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_por_área" sheetId="1" r:id="rId5"/>
    <sheet state="visible" name="Matriz_subarea" sheetId="2" r:id="rId6"/>
    <sheet state="visible" name="Prácticas_Revisiones" sheetId="3" r:id="rId7"/>
    <sheet state="visible" name="Prácticas_Snowballing" sheetId="4" r:id="rId8"/>
    <sheet state="visible" name="Diccionario slr" sheetId="5" r:id="rId9"/>
    <sheet state="visible" name="Control" sheetId="6" r:id="rId10"/>
    <sheet state="visible" name="Hoja 2" sheetId="7" r:id="rId11"/>
  </sheets>
  <definedNames>
    <definedName hidden="1" localSheetId="2" name="_xlnm._FilterDatabase">'Prácticas_Revisiones'!$A$1:$U$282</definedName>
    <definedName hidden="1" localSheetId="3" name="_xlnm._FilterDatabase">'Prácticas_Snowballing'!$A$1:$AD$281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2">
      <text>
        <t xml:space="preserve">Revisiones: 1 · Snowballing: 0</t>
      </text>
    </comment>
    <comment authorId="0" ref="G92">
      <text>
        <t xml:space="preserve">Revisiones: 1 · Snowballing: 0</t>
      </text>
    </comment>
    <comment authorId="0" ref="F26">
      <text>
        <t xml:space="preserve">Revisiones: 10 · Snowballing: 12</t>
      </text>
    </comment>
    <comment authorId="0" ref="F84">
      <text>
        <t xml:space="preserve">Revisiones: 1 · Snowballing: 0</t>
      </text>
    </comment>
    <comment authorId="0" ref="M26">
      <text>
        <t xml:space="preserve">Revisiones: 1 · Snowballing: 0</t>
      </text>
    </comment>
    <comment authorId="0" ref="F51">
      <text>
        <t xml:space="preserve">Revisiones: 1 · Snowballing: 1</t>
      </text>
    </comment>
    <comment authorId="0" ref="R92">
      <text>
        <t xml:space="preserve">Revisiones: 0 · Snowballing: 1</t>
      </text>
    </comment>
    <comment authorId="0" ref="O51">
      <text>
        <t xml:space="preserve">Revisiones: 2 · Snowballing: 0</t>
      </text>
    </comment>
    <comment authorId="0" ref="J109">
      <text>
        <t xml:space="preserve">Revisiones: 1 · Snowballing: 0</t>
      </text>
    </comment>
    <comment authorId="0" ref="O109">
      <text>
        <t xml:space="preserve">Revisiones: 1 · Snowballing: 0</t>
      </text>
    </comment>
    <comment authorId="0" ref="F60">
      <text>
        <t xml:space="preserve">Revisiones: 20 · Snowballing: 3</t>
      </text>
    </comment>
    <comment authorId="0" ref="F27">
      <text>
        <t xml:space="preserve">Revisiones: 1 · Snowballing: 0</t>
      </text>
    </comment>
    <comment authorId="0" ref="G60">
      <text>
        <t xml:space="preserve">Revisiones: 2 · Snowballing: 0</t>
      </text>
    </comment>
    <comment authorId="0" ref="C118">
      <text>
        <t xml:space="preserve">Revisiones: 1 · Snowballing: 2</t>
      </text>
    </comment>
    <comment authorId="0" ref="E118">
      <text>
        <t xml:space="preserve">Revisiones: 1 · Snowballing: 2</t>
      </text>
    </comment>
    <comment authorId="0" ref="F118">
      <text>
        <t xml:space="preserve">Revisiones: 13 · Snowballing: 101</t>
      </text>
    </comment>
    <comment authorId="0" ref="F85">
      <text>
        <t xml:space="preserve">Revisiones: 1 · Snowballing: 0</t>
      </text>
    </comment>
    <comment authorId="0" ref="G118">
      <text>
        <t xml:space="preserve">Revisiones: 2 · Snowballing: 2</t>
      </text>
    </comment>
    <comment authorId="0" ref="I118">
      <text>
        <t xml:space="preserve">Revisiones: 1 · Snowballing: 0</t>
      </text>
    </comment>
    <comment authorId="0" ref="I85">
      <text>
        <t xml:space="preserve">Revisiones: 2 · Snowballing: 0</t>
      </text>
    </comment>
    <comment authorId="0" ref="C77">
      <text>
        <t xml:space="preserve">Revisiones: 0 · Snowballing: 1</t>
      </text>
    </comment>
    <comment authorId="0" ref="L118">
      <text>
        <t xml:space="preserve">Revisiones: 0 · Snowballing: 2</t>
      </text>
    </comment>
    <comment authorId="0" ref="M118">
      <text>
        <t xml:space="preserve">Revisiones: 0 · Snowballing: 2</t>
      </text>
    </comment>
    <comment authorId="0" ref="E77">
      <text>
        <t xml:space="preserve">Revisiones: 1 · Snowballing: 0</t>
      </text>
    </comment>
    <comment authorId="0" ref="M85">
      <text>
        <t xml:space="preserve">Revisiones: 5 · Snowballing: 0</t>
      </text>
    </comment>
    <comment authorId="0" ref="F110">
      <text>
        <t xml:space="preserve">Revisiones: 5 · Snowballing: 5</t>
      </text>
    </comment>
    <comment authorId="0" ref="F77">
      <text>
        <t xml:space="preserve">Revisiones: 3 · Snowballing: 0</t>
      </text>
    </comment>
    <comment authorId="0" ref="O118">
      <text>
        <t xml:space="preserve">Revisiones: 1 · Snowballing: 1</t>
      </text>
    </comment>
    <comment authorId="0" ref="F44">
      <text>
        <t xml:space="preserve">Revisiones: 1 · Snowballing: 0</t>
      </text>
    </comment>
    <comment authorId="0" ref="E11">
      <text>
        <t xml:space="preserve">Revisiones: 1 · Snowballing: 0</t>
      </text>
    </comment>
    <comment authorId="0" ref="R118">
      <text>
        <t xml:space="preserve">Revisiones: 0 · Snowballing: 14</t>
      </text>
    </comment>
    <comment authorId="0" ref="I44">
      <text>
        <t xml:space="preserve">Revisiones: 1 · Snowballing: 0</t>
      </text>
    </comment>
    <comment authorId="0" ref="C69">
      <text>
        <t xml:space="preserve">Revisiones: 1 · Snowballing: 0</t>
      </text>
    </comment>
    <comment authorId="0" ref="E69">
      <text>
        <t xml:space="preserve">Revisiones: 1 · Snowballing: 0</t>
      </text>
    </comment>
    <comment authorId="0" ref="F69">
      <text>
        <t xml:space="preserve">Revisiones: 2 · Snowballing: 1</t>
      </text>
    </comment>
    <comment authorId="0" ref="G69">
      <text>
        <t xml:space="preserve">Revisiones: 2 · Snowballing: 0</t>
      </text>
    </comment>
    <comment authorId="0" ref="I69">
      <text>
        <t xml:space="preserve">Revisiones: 1 · Snowballing: 0</t>
      </text>
    </comment>
    <comment authorId="0" ref="R110">
      <text>
        <t xml:space="preserve">Revisiones: 0 · Snowballing: 1</t>
      </text>
    </comment>
    <comment authorId="0" ref="E94">
      <text>
        <t xml:space="preserve">Revisiones: 1 · Snowballing: 0</t>
      </text>
    </comment>
    <comment authorId="0" ref="M69">
      <text>
        <t xml:space="preserve">Revisiones: 1 · Snowballing: 0</t>
      </text>
    </comment>
    <comment authorId="0" ref="E28">
      <text>
        <t xml:space="preserve">Revisiones: 1 · Snowballing: 0</t>
      </text>
    </comment>
    <comment authorId="0" ref="F28">
      <text>
        <t xml:space="preserve">Revisiones: 5 · Snowballing: 0</t>
      </text>
    </comment>
    <comment authorId="0" ref="O69">
      <text>
        <t xml:space="preserve">Revisiones: 1 · Snowballing: 0</t>
      </text>
    </comment>
    <comment authorId="0" ref="R36">
      <text>
        <t xml:space="preserve">Revisiones: 0 · Snowballing: 1</t>
      </text>
    </comment>
    <comment authorId="0" ref="C53">
      <text>
        <t xml:space="preserve">Revisiones: 1 · Snowballing: 0</t>
      </text>
    </comment>
    <comment authorId="0" ref="E53">
      <text>
        <t xml:space="preserve">Revisiones: 2 · Snowballing: 0</t>
      </text>
    </comment>
    <comment authorId="0" ref="F53">
      <text>
        <t xml:space="preserve">Revisiones: 71 · Snowballing: 15</t>
      </text>
    </comment>
    <comment authorId="0" ref="I53">
      <text>
        <t xml:space="preserve">Revisiones: 1 · Snowballing: 0</t>
      </text>
    </comment>
    <comment authorId="0" ref="C111">
      <text>
        <t xml:space="preserve">Revisiones: 0 · Snowballing: 1</t>
      </text>
    </comment>
    <comment authorId="0" ref="D111">
      <text>
        <t xml:space="preserve">Revisiones: 0 · Snowballing: 1</t>
      </text>
    </comment>
    <comment authorId="0" ref="E111">
      <text>
        <t xml:space="preserve">Revisiones: 1 · Snowballing: 0</t>
      </text>
    </comment>
    <comment authorId="0" ref="L53">
      <text>
        <t xml:space="preserve">Revisiones: 1 · Snowballing: 0</t>
      </text>
    </comment>
    <comment authorId="0" ref="F111">
      <text>
        <t xml:space="preserve">Revisiones: 4 · Snowballing: 13</t>
      </text>
    </comment>
    <comment authorId="0" ref="M53">
      <text>
        <t xml:space="preserve">Revisiones: 2 · Snowballing: 0</t>
      </text>
    </comment>
    <comment authorId="0" ref="G111">
      <text>
        <t xml:space="preserve">Revisiones: 0 · Snowballing: 2</t>
      </text>
    </comment>
    <comment authorId="0" ref="N53">
      <text>
        <t xml:space="preserve">Revisiones: 1 · Snowballing: 0</t>
      </text>
    </comment>
    <comment authorId="0" ref="F12">
      <text>
        <t xml:space="preserve">Revisiones: 1 · Snowballing: 0</t>
      </text>
    </comment>
    <comment authorId="0" ref="Q53">
      <text>
        <t xml:space="preserve">Revisiones: 1 · Snowballing: 0</t>
      </text>
    </comment>
    <comment authorId="0" ref="K111">
      <text>
        <t xml:space="preserve">Revisiones: 1 · Snowballing: 0</t>
      </text>
    </comment>
    <comment authorId="0" ref="O111">
      <text>
        <t xml:space="preserve">Revisiones: 0 · Snowballing: 1</t>
      </text>
    </comment>
    <comment authorId="0" ref="Q111">
      <text>
        <t xml:space="preserve">Revisiones: 0 · Snowballing: 1</t>
      </text>
    </comment>
    <comment authorId="0" ref="R111">
      <text>
        <t xml:space="preserve">Revisiones: 0 · Snowballing: 1</t>
      </text>
    </comment>
    <comment authorId="0" ref="C54">
      <text>
        <t xml:space="preserve">Revisiones: 1 · Snowballing: 0</t>
      </text>
    </comment>
    <comment authorId="0" ref="F54">
      <text>
        <t xml:space="preserve">Revisiones: 0 · Snowballing: 5</t>
      </text>
    </comment>
    <comment authorId="0" ref="G54">
      <text>
        <t xml:space="preserve">Revisiones: 0 · Snowballing: 2</t>
      </text>
    </comment>
    <comment authorId="0" ref="K54">
      <text>
        <t xml:space="preserve">Revisiones: 1 · Snowballing: 0</t>
      </text>
    </comment>
    <comment authorId="0" ref="F46">
      <text>
        <t xml:space="preserve">Revisiones: 1 · Snowballing: 0</t>
      </text>
    </comment>
    <comment authorId="0" ref="F13">
      <text>
        <t xml:space="preserve">Revisiones: 0 · Snowballing: 1</t>
      </text>
    </comment>
    <comment authorId="0" ref="O54">
      <text>
        <t xml:space="preserve">Revisiones: 3 · Snowballing: 0</t>
      </text>
    </comment>
    <comment authorId="0" ref="F71">
      <text>
        <t xml:space="preserve">Revisiones: 1 · Snowballing: 0</t>
      </text>
    </comment>
    <comment authorId="0" ref="R13">
      <text>
        <t xml:space="preserve">Revisiones: 0 · Snowballing: 1</t>
      </text>
    </comment>
    <comment authorId="0" ref="F113">
      <text>
        <t xml:space="preserve">Revisiones: 5 · Snowballing: 2</t>
      </text>
    </comment>
    <comment authorId="0" ref="F14">
      <text>
        <t xml:space="preserve">Revisiones: 1 · Snowballing: 0</t>
      </text>
    </comment>
    <comment authorId="0" ref="L113">
      <text>
        <t xml:space="preserve">Revisiones: 0 · Snowballing: 1</t>
      </text>
    </comment>
    <comment authorId="0" ref="E6">
      <text>
        <t xml:space="preserve">Revisiones: 1 · Snowballing: 0</t>
      </text>
    </comment>
    <comment authorId="0" ref="F6">
      <text>
        <t xml:space="preserve">Revisiones: 3 · Snowballing: 2</t>
      </text>
    </comment>
    <comment authorId="0" ref="F31">
      <text>
        <t xml:space="preserve">Revisiones: 1 · Snowballing: 0</t>
      </text>
    </comment>
    <comment authorId="0" ref="R105">
      <text>
        <t xml:space="preserve">Revisiones: 0 · Snowballing: 1</t>
      </text>
    </comment>
    <comment authorId="0" ref="R6">
      <text>
        <t xml:space="preserve">Revisiones: 0 · Snowballing: 1</t>
      </text>
    </comment>
    <comment authorId="0" ref="E89">
      <text>
        <t xml:space="preserve">Revisiones: 1 · Snowballing: 0</t>
      </text>
    </comment>
    <comment authorId="0" ref="F23">
      <text>
        <t xml:space="preserve">Revisiones: 6 · Snowballing: 3</t>
      </text>
    </comment>
    <comment authorId="0" ref="C114">
      <text>
        <t xml:space="preserve">Revisiones: 0 · Snowballing: 2</t>
      </text>
    </comment>
    <comment authorId="0" ref="I23">
      <text>
        <t xml:space="preserve">Revisiones: 1 · Snowballing: 0</t>
      </text>
    </comment>
    <comment authorId="0" ref="C48">
      <text>
        <t xml:space="preserve">Revisiones: 2 · Snowballing: 2</t>
      </text>
    </comment>
    <comment authorId="0" ref="E114">
      <text>
        <t xml:space="preserve">Revisiones: 2 · Snowballing: 0</t>
      </text>
    </comment>
    <comment authorId="0" ref="F114">
      <text>
        <t xml:space="preserve">Revisiones: 2 · Snowballing: 1</t>
      </text>
    </comment>
    <comment authorId="0" ref="O114">
      <text>
        <t xml:space="preserve">Revisiones: 1 · Snowballing: 0</t>
      </text>
    </comment>
    <comment authorId="0" ref="Q114">
      <text>
        <t xml:space="preserve">Revisiones: 1 · Snowballing: 0</t>
      </text>
    </comment>
    <comment authorId="0" ref="C65">
      <text>
        <t xml:space="preserve">Revisiones: 1 · Snowballing: 0</t>
      </text>
    </comment>
    <comment authorId="0" ref="E65">
      <text>
        <t xml:space="preserve">Revisiones: 1 · Snowballing: 0</t>
      </text>
    </comment>
    <comment authorId="0" ref="E32">
      <text>
        <t xml:space="preserve">Revisiones: 1 · Snowballing: 0</t>
      </text>
    </comment>
    <comment authorId="0" ref="F65">
      <text>
        <t xml:space="preserve">Revisiones: 13 · Snowballing: 16</t>
      </text>
    </comment>
    <comment authorId="0" ref="F32">
      <text>
        <t xml:space="preserve">Revisiones: 1 · Snowballing: 0</t>
      </text>
    </comment>
    <comment authorId="0" ref="G65">
      <text>
        <t xml:space="preserve">Revisiones: 0 · Snowballing: 1</t>
      </text>
    </comment>
    <comment authorId="0" ref="I65">
      <text>
        <t xml:space="preserve">Revisiones: 0 · Snowballing: 2</t>
      </text>
    </comment>
    <comment authorId="0" ref="N65">
      <text>
        <t xml:space="preserve">Revisiones: 1 · Snowballing: 0</t>
      </text>
    </comment>
    <comment authorId="0" ref="Q65">
      <text>
        <t xml:space="preserve">Revisiones: 1 · Snowballing: 0</t>
      </text>
    </comment>
    <comment authorId="0" ref="R65">
      <text>
        <t xml:space="preserve">Revisiones: 0 · Snowballing: 1</t>
      </text>
    </comment>
    <comment authorId="0" ref="R32">
      <text>
        <t xml:space="preserve">Revisiones: 0 · Snowballing: 2</t>
      </text>
    </comment>
    <comment authorId="0" ref="I115">
      <text>
        <t xml:space="preserve">Revisiones: 1 · Snowballing: 0</t>
      </text>
    </comment>
    <comment authorId="0" ref="F41">
      <text>
        <t xml:space="preserve">Revisiones: 5 · Snowballing: 5</t>
      </text>
    </comment>
    <comment authorId="0" ref="E33">
      <text>
        <t xml:space="preserve">Revisiones: 2 · Snowballing: 0</t>
      </text>
    </comment>
    <comment authorId="0" ref="F66">
      <text>
        <t xml:space="preserve">Revisiones: 9 · Snowballing: 6</t>
      </text>
    </comment>
    <comment authorId="0" ref="R41">
      <text>
        <t xml:space="preserve">Revisiones: 0 · Snowballing: 1</t>
      </text>
    </comment>
    <comment authorId="0" ref="E91">
      <text>
        <t xml:space="preserve">Revisiones: 1 · Snowballing: 0</t>
      </text>
    </comment>
    <comment authorId="0" ref="M66">
      <text>
        <t xml:space="preserve">Revisiones: 1 · Snowballing: 0</t>
      </text>
    </comment>
    <comment authorId="0" ref="F58">
      <text>
        <t xml:space="preserve">Revisiones: 1 · Snowballing: 2</t>
      </text>
    </comment>
    <comment authorId="0" ref="O66">
      <text>
        <t xml:space="preserve">Revisiones: 1 · Snowballing: 0</t>
      </text>
    </comment>
    <comment authorId="0" ref="C83">
      <text>
        <t xml:space="preserve">Revisiones: 1 · Snowballing: 0</t>
      </text>
    </comment>
    <comment authorId="0" ref="F50">
      <text>
        <t xml:space="preserve">Revisiones: 7 · Snowballing: 15</t>
      </text>
    </comment>
    <comment authorId="0" ref="G50">
      <text>
        <t xml:space="preserve">Revisiones: 4 · Snowballing: 1</t>
      </text>
    </comment>
    <comment authorId="0" ref="I83">
      <text>
        <t xml:space="preserve">Revisiones: 1 · Snowballing: 0</t>
      </text>
    </comment>
    <comment authorId="0" ref="J50">
      <text>
        <t xml:space="preserve">Revisiones: 0 · Snowballing: 1</t>
      </text>
    </comment>
    <comment authorId="0" ref="L50">
      <text>
        <t xml:space="preserve">Revisiones: 1 · Snowballing: 0</t>
      </text>
    </comment>
    <comment authorId="0" ref="M50">
      <text>
        <t xml:space="preserve">Revisiones: 2 · Snowballing: 0</t>
      </text>
    </comment>
    <comment authorId="0" ref="F42">
      <text>
        <t xml:space="preserve">Revisiones: 1 · Snowballing: 0</t>
      </text>
    </comment>
    <comment authorId="0" ref="F9">
      <text>
        <t xml:space="preserve">Revisiones: 1 · Snowballing: 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66">
      <text>
        <t xml:space="preserve">Revisiones: 0 · Snowballing: 1</t>
      </text>
    </comment>
    <comment authorId="0" ref="DO14">
      <text>
        <t xml:space="preserve">Revisiones: 0 · Snowballing: 1</t>
      </text>
    </comment>
    <comment authorId="0" ref="S34">
      <text>
        <t xml:space="preserve">Revisiones: 1 · Snowballing: 0</t>
      </text>
    </comment>
    <comment authorId="0" ref="AA42">
      <text>
        <t xml:space="preserve">Revisiones: 2 · Snowballing: 5</t>
      </text>
    </comment>
    <comment authorId="0" ref="T34">
      <text>
        <t xml:space="preserve">Revisiones: 1 · Snowballing: 0</t>
      </text>
    </comment>
    <comment authorId="0" ref="AC42">
      <text>
        <t xml:space="preserve">Revisiones: 1 · Snowballing: 0</t>
      </text>
    </comment>
    <comment authorId="0" ref="H84">
      <text>
        <t xml:space="preserve">Revisiones: 1 · Snowballing: 0</t>
      </text>
    </comment>
    <comment authorId="0" ref="BC66">
      <text>
        <t xml:space="preserve">Revisiones: 0 · Snowballing: 2</t>
      </text>
    </comment>
    <comment authorId="0" ref="AF42">
      <text>
        <t xml:space="preserve">Revisiones: 2 · Snowballing: 0</t>
      </text>
    </comment>
    <comment authorId="0" ref="AA67">
      <text>
        <t xml:space="preserve">Revisiones: 2 · Snowballing: 0</t>
      </text>
    </comment>
    <comment authorId="0" ref="AB67">
      <text>
        <t xml:space="preserve">Revisiones: 1 · Snowballing: 0</t>
      </text>
    </comment>
    <comment authorId="0" ref="AC67">
      <text>
        <t xml:space="preserve">Revisiones: 3 · Snowballing: 2</t>
      </text>
    </comment>
    <comment authorId="0" ref="V92">
      <text>
        <t xml:space="preserve">Revisiones: 1 · Snowballing: 0</t>
      </text>
    </comment>
    <comment authorId="0" ref="AD67">
      <text>
        <t xml:space="preserve">Revisiones: 2 · Snowballing: 4</t>
      </text>
    </comment>
    <comment authorId="0" ref="AE67">
      <text>
        <t xml:space="preserve">Revisiones: 1 · Snowballing: 0</t>
      </text>
    </comment>
    <comment authorId="0" ref="AA59">
      <text>
        <t xml:space="preserve">Revisiones: 1 · Snowballing: 2</t>
      </text>
    </comment>
    <comment authorId="0" ref="BC116">
      <text>
        <t xml:space="preserve">Revisiones: 1 · Snowballing: 0</t>
      </text>
    </comment>
    <comment authorId="0" ref="AA51">
      <text>
        <t xml:space="preserve">Revisiones: 3 · Snowballing: 7</t>
      </text>
    </comment>
    <comment authorId="0" ref="AC51">
      <text>
        <t xml:space="preserve">Revisiones: 2 · Snowballing: 7</t>
      </text>
    </comment>
    <comment authorId="0" ref="CO115">
      <text>
        <t xml:space="preserve">Revisiones: 1 · Snowballing: 0</t>
      </text>
    </comment>
    <comment authorId="0" ref="AE51">
      <text>
        <t xml:space="preserve">Revisiones: 2 · Snowballing: 1</t>
      </text>
    </comment>
    <comment authorId="0" ref="DO106">
      <text>
        <t xml:space="preserve">Revisiones: 0 · Snowballing: 1</t>
      </text>
    </comment>
    <comment authorId="0" ref="DO7">
      <text>
        <t xml:space="preserve">Revisiones: 0 · Snowballing: 1</t>
      </text>
    </comment>
    <comment authorId="0" ref="AA43">
      <text>
        <t xml:space="preserve">Revisiones: 1 · Snowballing: 0</t>
      </text>
    </comment>
    <comment authorId="0" ref="AA10">
      <text>
        <t xml:space="preserve">Revisiones: 1 · Snowballing: 1</t>
      </text>
    </comment>
    <comment authorId="0" ref="AJ51">
      <text>
        <t xml:space="preserve">Revisiones: 3 · Snowballing: 0</t>
      </text>
    </comment>
    <comment authorId="0" ref="AK51">
      <text>
        <t xml:space="preserve">Revisiones: 1 · Snowballing: 0</t>
      </text>
    </comment>
    <comment authorId="0" ref="AO51">
      <text>
        <t xml:space="preserve">Revisiones: 0 · Snowballing: 1</t>
      </text>
    </comment>
    <comment authorId="0" ref="CJ66">
      <text>
        <t xml:space="preserve">Revisiones: 1 · Snowballing: 0</t>
      </text>
    </comment>
    <comment authorId="0" ref="V93">
      <text>
        <t xml:space="preserve">Revisiones: 1 · Snowballing: 0</t>
      </text>
    </comment>
    <comment authorId="0" ref="DH115">
      <text>
        <t xml:space="preserve">Revisiones: 1 · Snowballing: 0</t>
      </text>
    </comment>
    <comment authorId="0" ref="AA27">
      <text>
        <t xml:space="preserve">Revisiones: 3 · Snowballing: 6</t>
      </text>
    </comment>
    <comment authorId="0" ref="AC27">
      <text>
        <t xml:space="preserve">Revisiones: 2 · Snowballing: 4</t>
      </text>
    </comment>
    <comment authorId="0" ref="AD27">
      <text>
        <t xml:space="preserve">Revisiones: 5 · Snowballing: 1</t>
      </text>
    </comment>
    <comment authorId="0" ref="BC84">
      <text>
        <t xml:space="preserve">Revisiones: 1 · Snowballing: 0</t>
      </text>
    </comment>
    <comment authorId="0" ref="AE27">
      <text>
        <t xml:space="preserve">Revisiones: 0 · Snowballing: 1</t>
      </text>
    </comment>
    <comment authorId="0" ref="AI93">
      <text>
        <t xml:space="preserve">Revisiones: 1 · Snowballing: 0</t>
      </text>
    </comment>
    <comment authorId="0" ref="AA52">
      <text>
        <t xml:space="preserve">Revisiones: 0 · Snowballing: 1</t>
      </text>
    </comment>
    <comment authorId="0" ref="AC52">
      <text>
        <t xml:space="preserve">Revisiones: 1 · Snowballing: 0</t>
      </text>
    </comment>
    <comment authorId="0" ref="AD85">
      <text>
        <t xml:space="preserve">Revisiones: 1 · Snowballing: 0</t>
      </text>
    </comment>
    <comment authorId="0" ref="BI51">
      <text>
        <t xml:space="preserve">Revisiones: 0 · Snowballing: 1</t>
      </text>
    </comment>
    <comment authorId="0" ref="DH66">
      <text>
        <t xml:space="preserve">Revisiones: 1 · Snowballing: 0</t>
      </text>
    </comment>
    <comment authorId="0" ref="CC67">
      <text>
        <t xml:space="preserve">Revisiones: 1 · Snowballing: 0</t>
      </text>
    </comment>
    <comment authorId="0" ref="E119">
      <text>
        <t xml:space="preserve">Revisiones: 0 · Snowballing: 1</t>
      </text>
    </comment>
    <comment authorId="0" ref="F119">
      <text>
        <t xml:space="preserve">Revisiones: 1 · Snowballing: 0</t>
      </text>
    </comment>
    <comment authorId="0" ref="G119">
      <text>
        <t xml:space="preserve">Revisiones: 0 · Snowballing: 1</t>
      </text>
    </comment>
    <comment authorId="0" ref="DO66">
      <text>
        <t xml:space="preserve">Revisiones: 0 · Snowballing: 1</t>
      </text>
    </comment>
    <comment authorId="0" ref="DO33">
      <text>
        <t xml:space="preserve">Revisiones: 0 · Snowballing: 2</t>
      </text>
    </comment>
    <comment authorId="0" ref="BU51">
      <text>
        <t xml:space="preserve">Revisiones: 1 · Snowballing: 0</t>
      </text>
    </comment>
    <comment authorId="0" ref="E78">
      <text>
        <t xml:space="preserve">Revisiones: 0 · Snowballing: 1</t>
      </text>
    </comment>
    <comment authorId="0" ref="CP67">
      <text>
        <t xml:space="preserve">Revisiones: 1 · Snowballing: 0</t>
      </text>
    </comment>
    <comment authorId="0" ref="CC51">
      <text>
        <t xml:space="preserve">Revisiones: 2 · Snowballing: 0</t>
      </text>
    </comment>
    <comment authorId="0" ref="AA61">
      <text>
        <t xml:space="preserve">Revisiones: 4 · Snowballing: 3</t>
      </text>
    </comment>
    <comment authorId="0" ref="AA28">
      <text>
        <t xml:space="preserve">Revisiones: 1 · Snowballing: 0</t>
      </text>
    </comment>
    <comment authorId="0" ref="AB61">
      <text>
        <t xml:space="preserve">Revisiones: 1 · Snowballing: 0</t>
      </text>
    </comment>
    <comment authorId="0" ref="V119">
      <text>
        <t xml:space="preserve">Revisiones: 0 · Snowballing: 2</t>
      </text>
    </comment>
    <comment authorId="0" ref="AC61">
      <text>
        <t xml:space="preserve">Revisiones: 5 · Snowballing: 0</t>
      </text>
    </comment>
    <comment authorId="0" ref="AD61">
      <text>
        <t xml:space="preserve">Revisiones: 6 · Snowballing: 0</t>
      </text>
    </comment>
    <comment authorId="0" ref="G70">
      <text>
        <t xml:space="preserve">Revisiones: 1 · Snowballing: 0</t>
      </text>
    </comment>
    <comment authorId="0" ref="AE61">
      <text>
        <t xml:space="preserve">Revisiones: 4 · Snowballing: 0</t>
      </text>
    </comment>
    <comment authorId="0" ref="Y119">
      <text>
        <t xml:space="preserve">Revisiones: 1 · Snowballing: 0</t>
      </text>
    </comment>
    <comment authorId="0" ref="AA119">
      <text>
        <t xml:space="preserve">Revisiones: 6 · Snowballing: 54</t>
      </text>
    </comment>
    <comment authorId="0" ref="AA86">
      <text>
        <t xml:space="preserve">Revisiones: 1 · Snowballing: 0</t>
      </text>
    </comment>
    <comment authorId="0" ref="AC119">
      <text>
        <t xml:space="preserve">Revisiones: 4 · Snowballing: 16</t>
      </text>
    </comment>
    <comment authorId="0" ref="AJ61">
      <text>
        <t xml:space="preserve">Revisiones: 1 · Snowballing: 0</t>
      </text>
    </comment>
    <comment authorId="0" ref="AD119">
      <text>
        <t xml:space="preserve">Revisiones: 1 · Snowballing: 8</t>
      </text>
    </comment>
    <comment authorId="0" ref="T12">
      <text>
        <t xml:space="preserve">Revisiones: 1 · Snowballing: 0</t>
      </text>
    </comment>
    <comment authorId="0" ref="AK61">
      <text>
        <t xml:space="preserve">Revisiones: 1 · Snowballing: 0</t>
      </text>
    </comment>
    <comment authorId="0" ref="AE119">
      <text>
        <t xml:space="preserve">Revisiones: 1 · Snowballing: 23</t>
      </text>
    </comment>
    <comment authorId="0" ref="AF119">
      <text>
        <t xml:space="preserve">Revisiones: 1 · Snowballing: 0</t>
      </text>
    </comment>
    <comment authorId="0" ref="X78">
      <text>
        <t xml:space="preserve">Revisiones: 1 · Snowballing: 0</t>
      </text>
    </comment>
    <comment authorId="0" ref="AA111">
      <text>
        <t xml:space="preserve">Revisiones: 2 · Snowballing: 5</t>
      </text>
    </comment>
    <comment authorId="0" ref="DO42">
      <text>
        <t xml:space="preserve">Revisiones: 0 · Snowballing: 1</t>
      </text>
    </comment>
    <comment authorId="0" ref="AA78">
      <text>
        <t xml:space="preserve">Revisiones: 2 · Snowballing: 0</t>
      </text>
    </comment>
    <comment authorId="0" ref="AJ119">
      <text>
        <t xml:space="preserve">Revisiones: 2 · Snowballing: 1</t>
      </text>
    </comment>
    <comment authorId="0" ref="AC111">
      <text>
        <t xml:space="preserve">Revisiones: 2 · Snowballing: 0</t>
      </text>
    </comment>
    <comment authorId="0" ref="AD111">
      <text>
        <t xml:space="preserve">Revisiones: 1 · Snowballing: 0</t>
      </text>
    </comment>
    <comment authorId="0" ref="F54">
      <text>
        <t xml:space="preserve">Revisiones: 1 · Snowballing: 0</t>
      </text>
    </comment>
    <comment authorId="0" ref="AD78">
      <text>
        <t xml:space="preserve">Revisiones: 1 · Snowballing: 0</t>
      </text>
    </comment>
    <comment authorId="0" ref="AD45">
      <text>
        <t xml:space="preserve">Revisiones: 1 · Snowballing: 0</t>
      </text>
    </comment>
    <comment authorId="0" ref="X70">
      <text>
        <t xml:space="preserve">Revisiones: 1 · Snowballing: 0</t>
      </text>
    </comment>
    <comment authorId="0" ref="AO119">
      <text>
        <t xml:space="preserve">Revisiones: 0 · Snowballing: 1</t>
      </text>
    </comment>
    <comment authorId="0" ref="CA27">
      <text>
        <t xml:space="preserve">Revisiones: 1 · Snowballing: 0</t>
      </text>
    </comment>
    <comment authorId="0" ref="BN110">
      <text>
        <t xml:space="preserve">Revisiones: 1 · Snowballing: 0</t>
      </text>
    </comment>
    <comment authorId="0" ref="AA70">
      <text>
        <t xml:space="preserve">Revisiones: 1 · Snowballing: 0</t>
      </text>
    </comment>
    <comment authorId="0" ref="F112">
      <text>
        <t xml:space="preserve">Revisiones: 0 · Snowballing: 1</t>
      </text>
    </comment>
    <comment authorId="0" ref="AC70">
      <text>
        <t xml:space="preserve">Revisiones: 1 · Snowballing: 1</t>
      </text>
    </comment>
    <comment authorId="0" ref="V95">
      <text>
        <t xml:space="preserve">Revisiones: 1 · Snowballing: 0</t>
      </text>
    </comment>
    <comment authorId="0" ref="W29">
      <text>
        <t xml:space="preserve">Revisiones: 1 · Snowballing: 0</t>
      </text>
    </comment>
    <comment authorId="0" ref="S54">
      <text>
        <t xml:space="preserve">Revisiones: 2 · Snowballing: 0</t>
      </text>
    </comment>
    <comment authorId="0" ref="AA29">
      <text>
        <t xml:space="preserve">Revisiones: 4 · Snowballing: 0</t>
      </text>
    </comment>
    <comment authorId="0" ref="AJ70">
      <text>
        <t xml:space="preserve">Revisiones: 2 · Snowballing: 0</t>
      </text>
    </comment>
    <comment authorId="0" ref="AC29">
      <text>
        <t xml:space="preserve">Revisiones: 1 · Snowballing: 0</t>
      </text>
    </comment>
    <comment authorId="0" ref="P112">
      <text>
        <t xml:space="preserve">Revisiones: 0 · Snowballing: 1</t>
      </text>
    </comment>
    <comment authorId="0" ref="BC119">
      <text>
        <t xml:space="preserve">Revisiones: 1 · Snowballing: 0</t>
      </text>
    </comment>
    <comment authorId="0" ref="BC86">
      <text>
        <t xml:space="preserve">Revisiones: 2 · Snowballing: 0</t>
      </text>
    </comment>
    <comment authorId="0" ref="S112">
      <text>
        <t xml:space="preserve">Revisiones: 1 · Snowballing: 0</t>
      </text>
    </comment>
    <comment authorId="0" ref="AA54">
      <text>
        <t xml:space="preserve">Revisiones: 21 · Snowballing: 9</t>
      </text>
    </comment>
    <comment authorId="0" ref="AB54">
      <text>
        <t xml:space="preserve">Revisiones: 0 · Snowballing: 1</t>
      </text>
    </comment>
    <comment authorId="0" ref="AC54">
      <text>
        <t xml:space="preserve">Revisiones: 29 · Snowballing: 1</t>
      </text>
    </comment>
    <comment authorId="0" ref="AD54">
      <text>
        <t xml:space="preserve">Revisiones: 14 · Snowballing: 1</t>
      </text>
    </comment>
    <comment authorId="0" ref="AE54">
      <text>
        <t xml:space="preserve">Revisiones: 5 · Snowballing: 3</t>
      </text>
    </comment>
    <comment authorId="0" ref="BC45">
      <text>
        <t xml:space="preserve">Revisiones: 1 · Snowballing: 0</t>
      </text>
    </comment>
    <comment authorId="0" ref="AF54">
      <text>
        <t xml:space="preserve">Revisiones: 2 · Snowballing: 0</t>
      </text>
    </comment>
    <comment authorId="0" ref="CQ52">
      <text>
        <t xml:space="preserve">Revisiones: 2 · Snowballing: 0</t>
      </text>
    </comment>
    <comment authorId="0" ref="AA112">
      <text>
        <t xml:space="preserve">Revisiones: 2 · Snowballing: 3</t>
      </text>
    </comment>
    <comment authorId="0" ref="D55">
      <text>
        <t xml:space="preserve">Revisiones: 1 · Snowballing: 0</t>
      </text>
    </comment>
    <comment authorId="0" ref="AC112">
      <text>
        <t xml:space="preserve">Revisiones: 0 · Snowballing: 4</t>
      </text>
    </comment>
    <comment authorId="0" ref="AA13">
      <text>
        <t xml:space="preserve">Revisiones: 1 · Snowballing: 0</t>
      </text>
    </comment>
    <comment authorId="0" ref="AD112">
      <text>
        <t xml:space="preserve">Revisiones: 2 · Snowballing: 4</t>
      </text>
    </comment>
    <comment authorId="0" ref="CO110">
      <text>
        <t xml:space="preserve">Revisiones: 1 · Snowballing: 0</t>
      </text>
    </comment>
    <comment authorId="0" ref="AE112">
      <text>
        <t xml:space="preserve">Revisiones: 0 · Snowballing: 2</t>
      </text>
    </comment>
    <comment authorId="0" ref="BC70">
      <text>
        <t xml:space="preserve">Revisiones: 1 · Snowballing: 0</t>
      </text>
    </comment>
    <comment authorId="0" ref="BU119">
      <text>
        <t xml:space="preserve">Revisiones: 0 · Snowballing: 2</t>
      </text>
    </comment>
    <comment authorId="0" ref="AJ112">
      <text>
        <t xml:space="preserve">Revisiones: 0 · Snowballing: 1</t>
      </text>
    </comment>
    <comment authorId="0" ref="AL112">
      <text>
        <t xml:space="preserve">Revisiones: 0 · Snowballing: 1</t>
      </text>
    </comment>
    <comment authorId="0" ref="DO93">
      <text>
        <t xml:space="preserve">Revisiones: 0 · Snowballing: 1</t>
      </text>
    </comment>
    <comment authorId="0" ref="CC119">
      <text>
        <t xml:space="preserve">Revisiones: 0 · Snowballing: 2</t>
      </text>
    </comment>
    <comment authorId="0" ref="CC86">
      <text>
        <t xml:space="preserve">Revisiones: 5 · Snowballing: 0</t>
      </text>
    </comment>
    <comment authorId="0" ref="BC54">
      <text>
        <t xml:space="preserve">Revisiones: 1 · Snowballing: 0</t>
      </text>
    </comment>
    <comment authorId="0" ref="AA55">
      <text>
        <t xml:space="preserve">Revisiones: 0 · Snowballing: 3</t>
      </text>
    </comment>
    <comment authorId="0" ref="AC55">
      <text>
        <t xml:space="preserve">Revisiones: 0 · Snowballing: 2</t>
      </text>
    </comment>
    <comment authorId="0" ref="CO119">
      <text>
        <t xml:space="preserve">Revisiones: 1 · Snowballing: 1</t>
      </text>
    </comment>
    <comment authorId="0" ref="CC70">
      <text>
        <t xml:space="preserve">Revisiones: 1 · Snowballing: 0</t>
      </text>
    </comment>
    <comment authorId="0" ref="AA47">
      <text>
        <t xml:space="preserve">Revisiones: 1 · Snowballing: 0</t>
      </text>
    </comment>
    <comment authorId="0" ref="AJ55">
      <text>
        <t xml:space="preserve">Revisiones: 0 · Snowballing: 2</t>
      </text>
    </comment>
    <comment authorId="0" ref="AC14">
      <text>
        <t xml:space="preserve">Revisiones: 0 · Snowballing: 1</t>
      </text>
    </comment>
    <comment authorId="0" ref="BU54">
      <text>
        <t xml:space="preserve">Revisiones: 1 · Snowballing: 0</t>
      </text>
    </comment>
    <comment authorId="0" ref="AA72">
      <text>
        <t xml:space="preserve">Revisiones: 1 · Snowballing: 0</t>
      </text>
    </comment>
    <comment authorId="0" ref="BQ112">
      <text>
        <t xml:space="preserve">Revisiones: 1 · Snowballing: 0</t>
      </text>
    </comment>
    <comment authorId="0" ref="CO70">
      <text>
        <t xml:space="preserve">Revisiones: 1 · Snowballing: 0</t>
      </text>
    </comment>
    <comment authorId="0" ref="CC54">
      <text>
        <t xml:space="preserve">Revisiones: 2 · Snowballing: 0</t>
      </text>
    </comment>
    <comment authorId="0" ref="DO119">
      <text>
        <t xml:space="preserve">Revisiones: 0 · Snowballing: 14</t>
      </text>
    </comment>
    <comment authorId="0" ref="CI54">
      <text>
        <t xml:space="preserve">Revisiones: 1 · Snowballing: 0</t>
      </text>
    </comment>
    <comment authorId="0" ref="DO111">
      <text>
        <t xml:space="preserve">Revisiones: 0 · Snowballing: 1</t>
      </text>
    </comment>
    <comment authorId="0" ref="AA114">
      <text>
        <t xml:space="preserve">Revisiones: 3 · Snowballing: 1</t>
      </text>
    </comment>
    <comment authorId="0" ref="AC114">
      <text>
        <t xml:space="preserve">Revisiones: 2 · Snowballing: 0</t>
      </text>
    </comment>
    <comment authorId="0" ref="AA15">
      <text>
        <t xml:space="preserve">Revisiones: 1 · Snowballing: 0</t>
      </text>
    </comment>
    <comment authorId="0" ref="AE114">
      <text>
        <t xml:space="preserve">Revisiones: 0 · Snowballing: 1</t>
      </text>
    </comment>
    <comment authorId="0" ref="BQ55">
      <text>
        <t xml:space="preserve">Revisiones: 1 · Snowballing: 0</t>
      </text>
    </comment>
    <comment authorId="0" ref="CQ112">
      <text>
        <t xml:space="preserve">Revisiones: 0 · Snowballing: 1</t>
      </text>
    </comment>
    <comment authorId="0" ref="X7">
      <text>
        <t xml:space="preserve">Revisiones: 1 · Snowballing: 0</t>
      </text>
    </comment>
    <comment authorId="0" ref="D115">
      <text>
        <t xml:space="preserve">Revisiones: 0 · Snowballing: 2</t>
      </text>
    </comment>
    <comment authorId="0" ref="DO37">
      <text>
        <t xml:space="preserve">Revisiones: 0 · Snowballing: 1</t>
      </text>
    </comment>
    <comment authorId="0" ref="D49">
      <text>
        <t xml:space="preserve">Revisiones: 2 · Snowballing: 2</t>
      </text>
    </comment>
    <comment authorId="0" ref="AA7">
      <text>
        <t xml:space="preserve">Revisiones: 2 · Snowballing: 0</t>
      </text>
    </comment>
    <comment authorId="0" ref="AC7">
      <text>
        <t xml:space="preserve">Revisiones: 0 · Snowballing: 2</t>
      </text>
    </comment>
    <comment authorId="0" ref="AE7">
      <text>
        <t xml:space="preserve">Revisiones: 1 · Snowballing: 0</t>
      </text>
    </comment>
    <comment authorId="0" ref="AA32">
      <text>
        <t xml:space="preserve">Revisiones: 1 · Snowballing: 0</t>
      </text>
    </comment>
    <comment authorId="0" ref="DI54">
      <text>
        <t xml:space="preserve">Revisiones: 1 · Snowballing: 0</t>
      </text>
    </comment>
    <comment authorId="0" ref="W90">
      <text>
        <t xml:space="preserve">Revisiones: 1 · Snowballing: 0</t>
      </text>
    </comment>
    <comment authorId="0" ref="DH112">
      <text>
        <t xml:space="preserve">Revisiones: 0 · Snowballing: 1</t>
      </text>
    </comment>
    <comment authorId="0" ref="AA24">
      <text>
        <t xml:space="preserve">Revisiones: 4 · Snowballing: 2</t>
      </text>
    </comment>
    <comment authorId="0" ref="V115">
      <text>
        <t xml:space="preserve">Revisiones: 1 · Snowballing: 0</t>
      </text>
    </comment>
    <comment authorId="0" ref="F66">
      <text>
        <t xml:space="preserve">Revisiones: 1 · Snowballing: 0</t>
      </text>
    </comment>
    <comment authorId="0" ref="W115">
      <text>
        <t xml:space="preserve">Revisiones: 1 · Snowballing: 0</t>
      </text>
    </comment>
    <comment authorId="0" ref="AC24">
      <text>
        <t xml:space="preserve">Revisiones: 2 · Snowballing: 1</t>
      </text>
    </comment>
    <comment authorId="0" ref="CP55">
      <text>
        <t xml:space="preserve">Revisiones: 1 · Snowballing: 0</t>
      </text>
    </comment>
    <comment authorId="0" ref="DO112">
      <text>
        <t xml:space="preserve">Revisiones: 0 · Snowballing: 1</t>
      </text>
    </comment>
    <comment authorId="0" ref="CQ55">
      <text>
        <t xml:space="preserve">Revisiones: 1 · Snowballing: 0</t>
      </text>
    </comment>
    <comment authorId="0" ref="AA115">
      <text>
        <t xml:space="preserve">Revisiones: 2 · Snowballing: 1</t>
      </text>
    </comment>
    <comment authorId="0" ref="CR55">
      <text>
        <t xml:space="preserve">Revisiones: 1 · Snowballing: 0</t>
      </text>
    </comment>
    <comment authorId="0" ref="W66">
      <text>
        <t xml:space="preserve">Revisiones: 1 · Snowballing: 0</t>
      </text>
    </comment>
    <comment authorId="0" ref="W33">
      <text>
        <t xml:space="preserve">Revisiones: 1 · Snowballing: 0</t>
      </text>
    </comment>
    <comment authorId="0" ref="BU114">
      <text>
        <t xml:space="preserve">Revisiones: 0 · Snowballing: 1</t>
      </text>
    </comment>
    <comment authorId="0" ref="AA66">
      <text>
        <t xml:space="preserve">Revisiones: 4 · Snowballing: 7</t>
      </text>
    </comment>
    <comment authorId="0" ref="AC66">
      <text>
        <t xml:space="preserve">Revisiones: 6 · Snowballing: 4</t>
      </text>
    </comment>
    <comment authorId="0" ref="AC33">
      <text>
        <t xml:space="preserve">Revisiones: 1 · Snowballing: 0</t>
      </text>
    </comment>
    <comment authorId="0" ref="AD66">
      <text>
        <t xml:space="preserve">Revisiones: 2 · Snowballing: 0</t>
      </text>
    </comment>
    <comment authorId="0" ref="BA24">
      <text>
        <t xml:space="preserve">Revisiones: 1 · Snowballing: 0</t>
      </text>
    </comment>
    <comment authorId="0" ref="AE66">
      <text>
        <t xml:space="preserve">Revisiones: 1 · Snowballing: 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tc={5c7a7714-221c-45b4-bde5-b0cebf05a416}</author>
  </authors>
  <commentList>
    <comment authorId="0" xr:uid="{5c7a7714-221c-45b4-bde5-b0cebf05a416}" ref="A2">
      <text>
        <t xml:space="preserve">[Threaded comment]
 Your version of Excel allows you to read this threaded comment; however, any edits to it will get removed if the file is opened in a newer version of Excel. Learn more: https://go.microsoft.com/fwlink/?linkid=870924
Comment:
	Nombres de los 33 papers seleccionados para la revision terciaria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tc={ff30b647-0c05-4278-8855-40c8d56734e2}</author>
  </authors>
  <commentList>
    <comment authorId="0" xr:uid="{ff30b647-0c05-4278-8855-40c8d56734e2}" ref="D49">
      <text>
        <t xml:space="preserve">[Threaded comment]
 Your version of Excel allows you to read this threaded comment; however, any edits to it will get removed if the file is opened in a newer version of Excel. Learn more: https://go.microsoft.com/fwlink/?linkid=870924
Comment:
	Corregido, es ensayo la tecnica
</t>
      </text>
    </comment>
  </commentList>
</comments>
</file>

<file path=xl/sharedStrings.xml><?xml version="1.0" encoding="utf-8"?>
<sst xmlns="http://schemas.openxmlformats.org/spreadsheetml/2006/main" count="11758" uniqueCount="2877">
  <si>
    <t>Matriz didácticas × Área SWEBOK (agregada, sin subáreas) — leyenda de colores</t>
  </si>
  <si>
    <t>Paper_ID</t>
  </si>
  <si>
    <t>Práctica educativa con IAG</t>
  </si>
  <si>
    <t>Área SWEBOK</t>
  </si>
  <si>
    <t>Subárea SWEBOK</t>
  </si>
  <si>
    <t>Área SWEBOK secundaria</t>
  </si>
  <si>
    <t>Subárea SWEBOK secundaria</t>
  </si>
  <si>
    <t>Técnica didáctica UnADM</t>
  </si>
  <si>
    <t>Nivel taxonómico</t>
  </si>
  <si>
    <t>Estado</t>
  </si>
  <si>
    <t>Estudio primario</t>
  </si>
  <si>
    <t>Resultado estudio primario</t>
  </si>
  <si>
    <t>Cita textual</t>
  </si>
  <si>
    <t>1</t>
  </si>
  <si>
    <t>Ubicación</t>
  </si>
  <si>
    <t>Fuente</t>
  </si>
  <si>
    <t>2</t>
  </si>
  <si>
    <t>Se cuenta en matriz</t>
  </si>
  <si>
    <t>Motivo si No</t>
  </si>
  <si>
    <t>Detalle de didáctica</t>
  </si>
  <si>
    <t>Detalle de área</t>
  </si>
  <si>
    <t>Clave fila matriz</t>
  </si>
  <si>
    <t>Clave columna matriz</t>
  </si>
  <si>
    <t>3 a 5</t>
  </si>
  <si>
    <t>Posible duplicado con</t>
  </si>
  <si>
    <t>P01</t>
  </si>
  <si>
    <t>6 o más</t>
  </si>
  <si>
    <t>El estudiante conversa con agentes LLM que simulan los roles de un equipo ágil (product manager, tester, desarrollador senior, arquitecto). Discute, aclara y negocia soluciones técnicas a lo largo del ciclo de vida del software.</t>
  </si>
  <si>
    <t>SOFTWARE ENG. PROCESS</t>
  </si>
  <si>
    <t>Life Cycles</t>
  </si>
  <si>
    <t>PROFESSIONAL PRACTICE</t>
  </si>
  <si>
    <t>Group Dynamics and Psychology</t>
  </si>
  <si>
    <t>Juego de roles</t>
  </si>
  <si>
    <t>APLICAR</t>
  </si>
  <si>
    <t>Implementada y evaluada</t>
  </si>
  <si>
    <t>Wang, T.; Trimble, M.; Brown, C. (2025) DevCoach [10]</t>
  </si>
  <si>
    <t>Fila extra (sin equivalente) / columna Sin área SWEBOK</t>
  </si>
  <si>
    <t>Objetivo</t>
  </si>
  <si>
    <t>Post-test analysis revealed a significant increase in scores for the DevCoach group.</t>
  </si>
  <si>
    <t>Sección 3.4.2, p. 14 (también Secciones 3.1.2 y 3.3.2, pp. 7 y 12)</t>
  </si>
  <si>
    <t>Revisiones</t>
  </si>
  <si>
    <t>Sí</t>
  </si>
  <si>
    <t>T045</t>
  </si>
  <si>
    <t>Encabezado de nivel/área</t>
  </si>
  <si>
    <t>SOFTWARE ENG. PROCESS &gt; Life Cycles</t>
  </si>
  <si>
    <t>Snowballing fila 264 (p83-049); Snowballing fila 265 (p83-049)</t>
  </si>
  <si>
    <t>El estudiante resuelve retos de programación en un serious game. El sistema adapta la narrativa y la dificultad según el estado motivacional detectado (modelo ARCS) y ofrece pistas y apoyo narrativo a cargo de personajes.</t>
  </si>
  <si>
    <t>CONSTRUCTION</t>
  </si>
  <si>
    <t>Software Construction Fundamentals</t>
  </si>
  <si>
    <t>Simulación</t>
  </si>
  <si>
    <t>CONSTRUIR</t>
  </si>
  <si>
    <t>Implementada sin evaluación</t>
  </si>
  <si>
    <t>Shum, L.C.; Rosunally, Y.; Munir, K. (2025) GhostCoder [6]</t>
  </si>
  <si>
    <t>Técnica didáctica (código y nombre)</t>
  </si>
  <si>
    <t>Sin evaluación</t>
  </si>
  <si>
    <t>The system dynamically adapts both narrative elements and programming difficulty based on the learner's detected motivational state, providing a calibrated learning curve.</t>
  </si>
  <si>
    <t>Sección 3.1.2, p. 7 (también Sección 3.3.3, p. 12)</t>
  </si>
  <si>
    <t>REQUIREMENTS</t>
  </si>
  <si>
    <t>T099</t>
  </si>
  <si>
    <t>CONSTRUCTION &gt; Software Construction Fundamentals</t>
  </si>
  <si>
    <t>El estudiante recibe ejercicios de programación personalizados con contextos de su interés, generados con IA generativa.</t>
  </si>
  <si>
    <t>ARCHITECTURE</t>
  </si>
  <si>
    <t>DESIGN</t>
  </si>
  <si>
    <t>Instrucción personalizada</t>
  </si>
  <si>
    <t>SOFTWARE TESTING</t>
  </si>
  <si>
    <t>SOFTWARE ENG. OPERATIONS</t>
  </si>
  <si>
    <t>MAINTENANCE</t>
  </si>
  <si>
    <t>Logacheva, E.; Hellas, A.; Prather, J.; Sarsa, S.; Leinonen, J. (2024) [32]</t>
  </si>
  <si>
    <t>SOFTWARE CONFIG. MGMT.</t>
  </si>
  <si>
    <t>Logacheva et al. [32] demonstrate that contextual customization significantly increases learner engagement.</t>
  </si>
  <si>
    <t>Sección 3.5.1, p. 16</t>
  </si>
  <si>
    <t>SOFTWARE ENG. MODELS/METH.</t>
  </si>
  <si>
    <t>T044</t>
  </si>
  <si>
    <t>SOFTWARE QUALITY</t>
  </si>
  <si>
    <t>SOFTWARE SECURITY</t>
  </si>
  <si>
    <t>El estudiante plantea consultas en lenguaje natural a una herramienta de IAG. Esta genera código contextualizado y explicaciones paso a paso, como parte del diseño de un sistema de generación de código y retroalimentación inteligente.</t>
  </si>
  <si>
    <t>SOFTWARE ENG. ECONOMICS</t>
  </si>
  <si>
    <t>SOFTWARE ENG. MANAGEMENT</t>
  </si>
  <si>
    <t>Sin área SWEBOK</t>
  </si>
  <si>
    <t>Propuesta</t>
  </si>
  <si>
    <t>Hong, Z. (2025) [19]</t>
  </si>
  <si>
    <t>According to Hong [19], GenAI-based tools demonstrate the ability to process natural language queries, generate contextually appropriate code, and provide step-by-step explanations.</t>
  </si>
  <si>
    <t>Total fila</t>
  </si>
  <si>
    <t>Sección 3.3.1, p. 11</t>
  </si>
  <si>
    <t>Título</t>
  </si>
  <si>
    <t>RECORDAR</t>
  </si>
  <si>
    <t>Semilla</t>
  </si>
  <si>
    <t>Un tutor conversacional basado en LLM formula preguntas socráticas al estudiante novato, por ejemplo sobre el porqué de una estructura de bucle o sobre el resultado de una ejecución. Ofrece andamiaje sin dar la solución directa.</t>
  </si>
  <si>
    <t>Referencia (manifiesto)</t>
  </si>
  <si>
    <t>Preguntas dirigidas</t>
  </si>
  <si>
    <t>N.º práctica</t>
  </si>
  <si>
    <t>Barzanji, C.; Loitsch, C. (2025) [11]</t>
  </si>
  <si>
    <t>T001 Diario de aprendizaje</t>
  </si>
  <si>
    <t>By employing Socratic questioning (e.g., querying the rationale behind specific loop structures or predicting execution outcomes), these agents stimulate metacognitive reflection and foster a deeper educational dialogue.</t>
  </si>
  <si>
    <t>Matriz didácticas × SWEBOK — leyenda de colores (según N.º de prácticas por celda)</t>
  </si>
  <si>
    <t>Sección 3.3.2, p. 12</t>
  </si>
  <si>
    <t>T095</t>
  </si>
  <si>
    <t>P02</t>
  </si>
  <si>
    <t>Resolución de Prompt Problems. El estudiante recibe un problema presentado visualmente, escribe un prompt en lenguaje natural, y la herramienta genera el código y lo evalúa automáticamente</t>
  </si>
  <si>
    <t>Código técnica</t>
  </si>
  <si>
    <t>Software Construction Tools</t>
  </si>
  <si>
    <t>Examen práctico</t>
  </si>
  <si>
    <t>Denny et al. (2024) [53]</t>
  </si>
  <si>
    <t>P1: "Prompt Problems as a technique designed to help students practice prompt engineering by automatically generating and evaluating the resulting code</t>
  </si>
  <si>
    <t>P1: §1, p.1; §4.1.3, p.7; §4.1.6, p.8</t>
  </si>
  <si>
    <t>T041</t>
  </si>
  <si>
    <t>CONSTRUCTION &gt; Software Construction Tools</t>
  </si>
  <si>
    <t>Snowballing fila 12 (p08-004)</t>
  </si>
  <si>
    <t>Autocompletion Quiz. El estudiante revisa varias sugerencias de código generadas por IA para un mismo punto del programa y distingue las correctas de las incorrectas</t>
  </si>
  <si>
    <t>Cita verificada en PDF</t>
  </si>
  <si>
    <t>Practical Considerations</t>
  </si>
  <si>
    <t>Pasada</t>
  </si>
  <si>
    <t>Cuestionario</t>
  </si>
  <si>
    <t>Incluido en matriz</t>
  </si>
  <si>
    <t>Alertas QA</t>
  </si>
  <si>
    <t>MacNeil et al. (2025) [137]</t>
  </si>
  <si>
    <t>P2: "Autocompletion Quizzes to give students practice differentiating between good and bad code suggestions"; "offering multiple options for each code suggestion</t>
  </si>
  <si>
    <t>P2: §1, p.1; §5.1.3, p.10</t>
  </si>
  <si>
    <t>T032</t>
  </si>
  <si>
    <t>CONSTRUCTION &gt; Practical Considerations</t>
  </si>
  <si>
    <t>Prompting guiado por ayudantes con verificación de los outputs. En un curso de estructuras de datos y algoritmos, los ayudantes orientan los prompts de los estudiantes y verifican las respuestas de ChatGPT</t>
  </si>
  <si>
    <t>No determinable</t>
  </si>
  <si>
    <t>Fila/columna extra (sin equivalente / sin área)</t>
  </si>
  <si>
    <t>Palacios-Alonso et al. (2024) [171]</t>
  </si>
  <si>
    <t>P3: "when TAs guided students' prompts and verified ChatGPT's outputs, the AI-assisted group outperformed the control by 16.50 points on average</t>
  </si>
  <si>
    <t>P3: §4.1.1, p.5</t>
  </si>
  <si>
    <t>p08-001</t>
  </si>
  <si>
    <t>CONSTRUCTION &gt; Subárea no determinable</t>
  </si>
  <si>
    <t>Evaluating the quality of LLM-generated explanations for logical errors in CS1 student programs</t>
  </si>
  <si>
    <t>p08</t>
  </si>
  <si>
    <t>Escritura de tests contra mutantes en una plataforma gamificada (Code Defenders), con apoyo de un asistente LLM</t>
  </si>
  <si>
    <t>Balse, Kumar, Prasad, Warriem (2023) — "Evaluating the quality of LLM-generated explanations for logical errors in CS1 student programs" — ACM India Compute Conf</t>
  </si>
  <si>
    <t>Test Techniques</t>
  </si>
  <si>
    <t>Mezzaro et al. (2024) [148]</t>
  </si>
  <si>
    <t>P4: "Code Defenders, a gamified web platform for practicing software testing via mutants</t>
  </si>
  <si>
    <t>La IAG (GPT-3.5-Turbo) genera explicaciones en lenguaje natural sobre errores lógicos en programas de Python escritos por estudiantes, sin incluir código ni la solución correcta. Los asistentes de docencia (TAs) revisan, adaptan y filtran estas explicaciones antes de entregarlas a los estudiantes para guiarlos en la comprensión y depuración de sus errores.</t>
  </si>
  <si>
    <t>P4: §4.1.1, p.5</t>
  </si>
  <si>
    <t>Construction</t>
  </si>
  <si>
    <t>Sin equivalente en catálogo (Nivel no cubierto)</t>
  </si>
  <si>
    <t>Sin equivalente</t>
  </si>
  <si>
    <t>SOFTWARE TESTING &gt; Test Techniques</t>
  </si>
  <si>
    <t>Snowballing fila 174 (p59-027)</t>
  </si>
  <si>
    <t>Recomendación</t>
  </si>
  <si>
    <t>Este estudio</t>
  </si>
  <si>
    <t>Consulta a un asistente LLM con guardrails. El asistente da pistas y explicaciones sin entregar la solución completa; en una variante, el estudiante puede desactivar los guardrails</t>
  </si>
  <si>
    <t>Percepción; Desempeño de herramienta</t>
  </si>
  <si>
    <t>Rather than completely discarding LLM-generated explanations, we believe there is value in using these explanations, albeit indirectly. A scenario where such explanations can be useful is for TAs who are mentoring students.</t>
  </si>
  <si>
    <t>Sección 6, página 5</t>
  </si>
  <si>
    <t>Literal (parcial)</t>
  </si>
  <si>
    <t>Liffiton et al. (2024) [126], CodeHelp; Kapoor et al. (2025) [109]; Kazemitabaar et al. (2024) [112], CodeAid</t>
  </si>
  <si>
    <t>P5: "use of guardrails that encourage students to use tools responsibly"; "50% of students disabled guardrails to reveal full solutions</t>
  </si>
  <si>
    <t>P5: §4.1.2, p.6; §4.1.6, p.8</t>
  </si>
  <si>
    <t>Snowballing</t>
  </si>
  <si>
    <t>Snowballing fila 14 (p08-006); Snowballing fila 15 (p08-006); Snowballing fila 16 (p08-006); Snowballing fila 17 (p08-006); Snowballing fila 18 (p08-006)</t>
  </si>
  <si>
    <t>Módulo de exploración de sesgos. Los estudiantes examinan imágenes producidas por modelos texto-a-imagen e identifican estereotipos e injusticias sociales</t>
  </si>
  <si>
    <t>p08-002</t>
  </si>
  <si>
    <t>Professionalism</t>
  </si>
  <si>
    <t>Automated assessment of student self-explanation in code comprehension using pre-trained language models</t>
  </si>
  <si>
    <t>Análisis de contenido</t>
  </si>
  <si>
    <t>ANALIZAR</t>
  </si>
  <si>
    <t>Chapagain &amp; Rus (2025) — "Automated assessment of student self-explanation in code comprehension using pre-trained language models" — AAAI</t>
  </si>
  <si>
    <t>Apiola et al. (2024) [19]</t>
  </si>
  <si>
    <t>Percepción</t>
  </si>
  <si>
    <t>No determinable en este artículo</t>
  </si>
  <si>
    <t>P6: "taught a module to have CS students explore social justice issues in text-to-image models</t>
  </si>
  <si>
    <t>P6: §4.1.4, p.7</t>
  </si>
  <si>
    <t>T058</t>
  </si>
  <si>
    <t>N/E</t>
  </si>
  <si>
    <t>PROFESSIONAL PRACTICE &gt; Professionalism</t>
  </si>
  <si>
    <t>Examen escrito de Interacción Humano-Computador en el que el docente permite consultar ChatGPT</t>
  </si>
  <si>
    <t>No</t>
  </si>
  <si>
    <t>Freire et al. (2023) [70]</t>
  </si>
  <si>
    <t>No describe una práctica (paper sin práctica identificable)</t>
  </si>
  <si>
    <t>P7: "in an HCI written exam where ChatGPT use was permitted, some students reported defaulting to copying answers completely</t>
  </si>
  <si>
    <t>P7: §4.1.2, p.6</t>
  </si>
  <si>
    <t>p08-003</t>
  </si>
  <si>
    <t>How far are we? The triumphs and trials of generative AI in learning software engineering</t>
  </si>
  <si>
    <t>DESIGN &gt; Subárea no determinable</t>
  </si>
  <si>
    <t>Choudhuri, Liu, Steinmacher, Gerosa, Sarma (2024) — "How far are we? The triumphs and trials of generative AI in learning software engineering" — ICSE</t>
  </si>
  <si>
    <t>Enfoque "AI-first". El docente adelanta las partes más motivadoras del currículo y pospone la sintaxis y el código repetitivo (boilerplate), que se delegan a la IA</t>
  </si>
  <si>
    <t>El estudiante interactúa mediante peticiones en lenguaje natural con ChatGPT para identificar, depurar y corregir errores funcionales y lógicos en un programa Python que incluye el uso de librerías de terceros (NOAA_SDK) y captura de elementos web (Selenium), mientras la IAG genera explicaciones y fragmentos de código de solución.</t>
  </si>
  <si>
    <t>Porter &amp; Zingaro (2024) [181]; Reeves et al. (2024) [200]; Vadaparty et al. (2024) [243]</t>
  </si>
  <si>
    <t>Aplicar</t>
  </si>
  <si>
    <t>P8: "Classes have adopted AI-first approaches"; "delay more tedious or frustrating aspects of early programming, such as syntax and boilerplate code</t>
  </si>
  <si>
    <t>P8: §1, p.1</t>
  </si>
  <si>
    <t>Objetivo; Percepción</t>
  </si>
  <si>
    <t>Participants needed to create their own git branch and debug code functionalities in their branch (3 subtasks).</t>
  </si>
  <si>
    <t>Sección 2.1, página 3</t>
  </si>
  <si>
    <t>Literal</t>
  </si>
  <si>
    <t>Reorientar la enseñanza hacia la especificación de problemas, la comprensión de código y la descomposición de problemas</t>
  </si>
  <si>
    <t>Requirements Specification</t>
  </si>
  <si>
    <t>Software Maintenance Techniques</t>
  </si>
  <si>
    <t>McDanel &amp; Novak (2025) [144]</t>
  </si>
  <si>
    <t>P9: "instructors now may need to focus more on problem specification, code comprehension, and problem decomposition</t>
  </si>
  <si>
    <t>P9: §4.1.6, p.8</t>
  </si>
  <si>
    <t>REQUIREMENTS &gt; Requirements Specification</t>
  </si>
  <si>
    <t>Enseñanza explícita de prompt engineering y del uso responsable de la IAG (cursos introductorios de alfabetización en IAG)</t>
  </si>
  <si>
    <t>El estudiante utiliza ChatGPT para identificar y eliminar vicios de código (code smells) —tales como variables globales, importaciones no utilizadas, código muerto y números mágicos— en una aplicación Python, mientras la IAG sugiere modificaciones para refactorizar y mejorar la calidad del código.</t>
  </si>
  <si>
    <t>Lyu et al. (2024) [132]; Budhiraja et al. (2024) [37]; Lau &amp; Guo (2023) [120]; Denny et al. (2024) [53]</t>
  </si>
  <si>
    <t>P10: "reinforcing the need to build GenAI literacy intro courses"; "curricula should teach responsible and proficient use</t>
  </si>
  <si>
    <t>P10: §4.1.6, p.8</t>
  </si>
  <si>
    <t>Snowballing fila 12 (p08-004); Snowballing fila 114 (p29-056); Snowballing fila 115 (p29-056); Snowballing fila 116 (p29-056); Snowballing fila 117 (p29-056); Snowballing fila 118 (p29-056); Snowballing fila 119 (p29-056); Snowballing fila 120 (p29-056); Snowballing fila 121 (p29-056); Snowballing fila 122 (p29-056); Snowballing fila 123 (p29-056); Snowballing fila 200 (p61-096); Snowballing fila 201 (p61-096); Snowballing fila 202 (p61-096); Snowballing fila 203 (p61-096); Snowballing fila 204 (p61-096); Snowballing fila 205 (p61-096); Snowballing fila 206 (p61-096)</t>
  </si>
  <si>
    <t>P03</t>
  </si>
  <si>
    <t>The second task focused on improving code quality by identifying and removing code smells. We introduced these code smells: global variables, unused imports, dead code (commented-out code), and magic numbers (constants without context).</t>
  </si>
  <si>
    <t>"we conducted a preliminary literature review to identify motivators and demotivators for using LLMs in software engineering education" · "Automates quiz and test case generation for student evaluation" · "AI serves as a virtual tutor for brainstorming and problem-solving" · "redesign assessments to encourage critical thinking over rote AI-generated responses"</t>
  </si>
  <si>
    <t>Sección 2.1, página 4</t>
  </si>
  <si>
    <t>Resumen (p. 182); §4.1.2–4.1.3 (pp. 185–186); Fig. 2 (p. 186); §4.2.2 (p. 188)</t>
  </si>
  <si>
    <t>P04</t>
  </si>
  <si>
    <t>el estudiante redacta el prompt que hace que el LLM produzca el código correcto para un problema dado (Prompt Problems)</t>
  </si>
  <si>
    <t>Taller</t>
  </si>
  <si>
    <t>Denny et al. (2024) [6]</t>
  </si>
  <si>
    <t>the task is to write the prompt itself (Denny et al., 2024)</t>
  </si>
  <si>
    <t>p. 6 (RQ1), pp. 6–7 (RQ2), p. 7 (RQ2, RQ4, Discusión), p. 8 (Implicaciones)</t>
  </si>
  <si>
    <t>El estudiante consulta a ChatGPT sobre comandos y procedimientos de Git y GitHub para realizar confirmaciones (commits) de sus cambios, administrar ramas y enviar una solicitud de extracción (pull request) hacia un repositorio remoto base protegido.</t>
  </si>
  <si>
    <t>Software Config. Mgmt.</t>
  </si>
  <si>
    <t>T056</t>
  </si>
  <si>
    <t>Software Configuration Change Control</t>
  </si>
  <si>
    <t>el estudiante usa un tutor LLM (CodeTutor) durante un semestre para comprender sintaxis y corregir errores en sus programas</t>
  </si>
  <si>
    <t>The third task was designed to familiarize students with the configuration management process by contributing to a repository using git/GitHub. Participants were required to commit their contributions to the remote branch and create a pull request (PR) to the base branch.</t>
  </si>
  <si>
    <t>Lyu et al. (2024) [22]</t>
  </si>
  <si>
    <t>students using an LLM tutor (CodeTutor) showed significant improvements in final scores</t>
  </si>
  <si>
    <t>SOFTWARE CONFIG. MGMT. &gt; Software Configuration Change Control</t>
  </si>
  <si>
    <t>el docente rediseña las tareas de un curso de POO hacia asignaciones más complejas y compara las notas de grupos con y sin acceso a LLM</t>
  </si>
  <si>
    <t>Kosar et al. (2024), citado en Azoulay et al. (2025) [2]</t>
  </si>
  <si>
    <t>El estudiante o docente aplica patrones de prompt (como el 'persona prompt pattern') para configurar la IAG como un agente tutor de andamiaje pedagógico personalizado, adaptando sus explicaciones y nivel de detalle técnico según el nivel de experiencia del estudiante.</t>
  </si>
  <si>
    <t>no statistically significant difference in grades between groups with and without LLM access</t>
  </si>
  <si>
    <t>Snowballing fila 164 (p49-023); Snowballing fila 165 (p49-023); Snowballing fila 166 (p49-023); Snowballing fila 167 (p49-023); Snowballing fila 168 (p49-023)</t>
  </si>
  <si>
    <t>el estudiante defiende oralmente la lógica de su código ante el docente para verificar comprensión (defensa oral)</t>
  </si>
  <si>
    <t>Communication Skills</t>
  </si>
  <si>
    <t>Further research can also explore how genAI can be leveraged for personalized student assistance, using techniques like the ‘persona prompt pattern’ to adjust content based on expertise levels.</t>
  </si>
  <si>
    <t>Exposición oral</t>
  </si>
  <si>
    <t>Sección 4, página 9</t>
  </si>
  <si>
    <t>EXPLICAR</t>
  </si>
  <si>
    <t>Azoulay et al. (2025) [2]; Kosar et al. (2024), citado en Azoulay et al.</t>
  </si>
  <si>
    <t>Requiring students to verbally explain their code" ; "a strategy shown to be effective</t>
  </si>
  <si>
    <t>T020</t>
  </si>
  <si>
    <t>el estudiante entrega el historial de desarrollo (control de versiones) y bitácoras de diseño, que el docente califica en lugar del producto final (evaluación basada en proceso)</t>
  </si>
  <si>
    <t>El docente utiliza la IA generativa para crear automáticamente ejercicios de programación y explicaciones de código destinados a proporcionar práctica y orientación estructurada a los estudiantes.</t>
  </si>
  <si>
    <t>Recording Software Design</t>
  </si>
  <si>
    <t>Portafolio de evidencias digital</t>
  </si>
  <si>
    <t>Lau &amp; Guo (2023) [20]</t>
  </si>
  <si>
    <t>T019</t>
  </si>
  <si>
    <t>Grading development history and design logs rather than just the final product" ; "requiring students to submit iterative documentation like version control history</t>
  </si>
  <si>
    <t>Ejemplificación</t>
  </si>
  <si>
    <t>Explicar</t>
  </si>
  <si>
    <t>Sarsa et al., 2022</t>
  </si>
  <si>
    <t>T094</t>
  </si>
  <si>
    <t>Desempeño de herramienta</t>
  </si>
  <si>
    <t>SOFTWARE CONFIG. MGMT. &gt; Subárea no determinable</t>
  </si>
  <si>
    <t>Sarsa et al. used genAI to create coding exercises and explanations, both of which can be used to provide practice and guidance to students.</t>
  </si>
  <si>
    <t>Snowballing fila 114 (p29-056); Snowballing fila 115 (p29-056); Snowballing fila 116 (p29-056); Snowballing fila 117 (p29-056); Snowballing fila 118 (p29-056); Snowballing fila 119 (p29-056); Snowballing fila 120 (p29-056); Snowballing fila 121 (p29-056); Snowballing fila 122 (p29-056); Snowballing fila 123 (p29-056)</t>
  </si>
  <si>
    <t>Sección 5, página 10</t>
  </si>
  <si>
    <t>el estudiante resuelve tareas auténticas con código base propio, contexto local o insumos multimodales (p. ej., diagramas UML) que el LLM no maneja bien</t>
  </si>
  <si>
    <t>Estudio de casos</t>
  </si>
  <si>
    <t>Lau &amp; Guo (2023) [20]; Azoulay et al. (2025) [2]</t>
  </si>
  <si>
    <t>Using bespoke starter code or local context that LLMs lack" ; "multi-modal inputs (e.g., UML diagrams)</t>
  </si>
  <si>
    <t>T066</t>
  </si>
  <si>
    <t>Estudiantes y docentes combinan modelos generativos (Codex) con esquemas de colaboración entre pares (learnersourcing) para generar, evaluar y validar ejercicios de programación interactivos y atractivos.</t>
  </si>
  <si>
    <t>el estudiante entrega un informe que analiza la solución generada por un LLM (p. ej., su adherencia a los principios SOLID) para detectar errores o mal diseño (flujo de verificación)</t>
  </si>
  <si>
    <t>Software Design Analysis and Evaluations</t>
  </si>
  <si>
    <t>T057</t>
  </si>
  <si>
    <t>Trabajo cooperativo</t>
  </si>
  <si>
    <t>Software Quality Assurance Process</t>
  </si>
  <si>
    <t>Denny et al., 2022</t>
  </si>
  <si>
    <t>Cambaz &amp; Zhang (2024) [4]; Fernandez &amp; Cornell (2024) [8]</t>
  </si>
  <si>
    <t>Another study combined Codex with learnersourcing (crowdsourcing for learners) to create and validate exercises that are engaging for learners.</t>
  </si>
  <si>
    <t>requiring students to submit a report analyzing an LLM's solution for adherence to SOLID principles</t>
  </si>
  <si>
    <t>DESIGN &gt; Software Design Analysis and Evaluations</t>
  </si>
  <si>
    <t>Snowballing fila 214 (p61-100); Snowballing fila 215 (p61-100); Snowballing fila 216 (p61-100); Snowballing fila 217 (p61-100); Snowballing fila 218 (p61-100); Snowballing fila 219 (p61-100)</t>
  </si>
  <si>
    <t>el estudiante practica en actividades dedicadas a descomponer un problema complejo de POO en pasos estructurados y a dar contexto al formular prompts (alfabetización en prompts)</t>
  </si>
  <si>
    <t>Software Design Strategies and Methods</t>
  </si>
  <si>
    <t>Lyu et al. (2024) [22]; Fernandez &amp; Cornell (2024) [8]; Shen &amp; Ai (2024) [37]</t>
  </si>
  <si>
    <t>decompose complex OOP tasks into structured steps" ; "Incorporate dedicated activities to teach students how to formulate effective prompts</t>
  </si>
  <si>
    <t>El docente utiliza modelos de lenguaje (como GPT-3) para generar automáticamente explicaciones diversas de código e integrarlas en libros electrónicos interactivos orientados al aprendizaje del desarrollo de software web.</t>
  </si>
  <si>
    <t>DESIGN &gt; Software Design Strategies and Methods</t>
  </si>
  <si>
    <t>MacNeil et al., 2022; MacNeil et al., 2023</t>
  </si>
  <si>
    <t>el estudiante recibe ayuda inmediata de un LLM integrado en una herramienta con guardrails que impiden entregar la solución completa</t>
  </si>
  <si>
    <t>Generative models have also been used to aid instructors by automating content creation for interactive course materials.</t>
  </si>
  <si>
    <t>Liffiton et al. (2023) (no figura en la lista de referencias); Azaiz et al. (2024) [1]</t>
  </si>
  <si>
    <t>integrate them within tools that have 'guardrails' to prevent the generation of complete solutions</t>
  </si>
  <si>
    <t>Software Requirements Fundamentals</t>
  </si>
  <si>
    <t>el docente usa un LLM para generar ejercicios y pruebas que produzcan variantes de asignaciones</t>
  </si>
  <si>
    <t>Requirements Elicitation</t>
  </si>
  <si>
    <t>El estudiante de programación inicial utiliza un generador de código basado en IA (Codex o GitHub Copilot) como apoyo para la escritura, completitud y aprendizaje de programas en Python durante la resolución de ejercicios introductorios.</t>
  </si>
  <si>
    <t>Requirements Analysis</t>
  </si>
  <si>
    <t>Requirements Validation</t>
  </si>
  <si>
    <t>Sarsa et al. (2022) (no figura en la lista de referencias)</t>
  </si>
  <si>
    <t>Requirements Management Activities</t>
  </si>
  <si>
    <t>Kazemitabaar et al., 2023; Prather et al., 2023</t>
  </si>
  <si>
    <t>Instructors use LLMs for exercise/test generation to create varied assignments</t>
  </si>
  <si>
    <t>Software Requirements Tools</t>
  </si>
  <si>
    <t>In a different study, Kazemitabaar et al. conducted an experiment comparing precollege students learning Python with and without Codex’s help.</t>
  </si>
  <si>
    <t>Parafraseada</t>
  </si>
  <si>
    <t>Subárea no determinable</t>
  </si>
  <si>
    <t>Snowballing fila 127 (p29-058); Snowballing fila 128 (p29-058)</t>
  </si>
  <si>
    <t>P05</t>
  </si>
  <si>
    <t>Los estudiantes redactan historias de usuario (user stories) con apoyo de ChatGPT frente a un grupo control sin IA, y se evalúa su calidad (estructura, independencia, valor, testabilidad, gramática)</t>
  </si>
  <si>
    <t>Subtotal REQUIREMENTS</t>
  </si>
  <si>
    <t>p08-004</t>
  </si>
  <si>
    <t>Explaining code with a purpose: an integrated approach for developing code comprehension and prompting skills</t>
  </si>
  <si>
    <t>Brockenbrough y Salinas (2024) [16]</t>
  </si>
  <si>
    <t>Denny, Smith, Fowler, Prather, Becker, Leinonen (2024) — "Explaining code with a purpose: an integrated approach for developing code comprehension and prompting skills" — ITiCSE</t>
  </si>
  <si>
    <t>El estudiante lee un fragmento de código en C con nombres de identificadores ofuscados y redacta una explicación en lenguaje natural de su propósito para usarla como prompt; un LLM genera código a partir de dicha explicación y un conjunto de pruebas automatizadas verifica la equivalencia funcional con el código original, permitiendo al estudiante iterar sus prompts si no supera las pruebas.</t>
  </si>
  <si>
    <t>Software Architecture Fundamentals</t>
  </si>
  <si>
    <t>T016</t>
  </si>
  <si>
    <t>Software Architecture Description</t>
  </si>
  <si>
    <t>Los estudiantes escriben casos de prueba (tests) para un sistema con ayuda de ChatGPT, comparados con un grupo de control sin IA; se mide cantidad y calidad de los tests</t>
  </si>
  <si>
    <t>Auto-explicación</t>
  </si>
  <si>
    <t>Software Architecture Process</t>
  </si>
  <si>
    <t>Software Architecture Evaluation</t>
  </si>
  <si>
    <t>Objetivo; Percepción; Desempeño de herramienta</t>
  </si>
  <si>
    <t>Mezzaro, Gambi y Fraser (2024) [6]</t>
  </si>
  <si>
    <t>We propose using an LLM to generate code based on students’ responses to EiPE questions – not only enabling EiPE responses to be assessed automatically, but helping students develop essential code comprehension and prompt crafting skills in parallel.</t>
  </si>
  <si>
    <t>Subtotal ARCHITECTURE</t>
  </si>
  <si>
    <t>Página 2, Sección 1</t>
  </si>
  <si>
    <t>Software Design Fundamentals</t>
  </si>
  <si>
    <t>Software Design Processes</t>
  </si>
  <si>
    <t>Software Design Qualities</t>
  </si>
  <si>
    <t>P06</t>
  </si>
  <si>
    <t>Revisiones fila 7 (P02); Revisiones fila 16 (P02); Revisiones fila 18 (P04); Revisiones fila 47 (P08)</t>
  </si>
  <si>
    <t>Los estudiantes reciben código generado por IA con errores o ineficiencias deliberados y deben depurarlo, identificando y corrigiendo errores o malinterpretaciones de la respuesta de la IAG.</t>
  </si>
  <si>
    <t>p08-005</t>
  </si>
  <si>
    <t>Studying the effect of AI code generators on supporting novice learners in introductory programming</t>
  </si>
  <si>
    <t>Subtotal DESIGN</t>
  </si>
  <si>
    <t>Kazemitabaar, Chow, Ma, Ericson, Weintrop, Grossman (2023) — "Studying the effect of AI code generators on supporting novice learners in introductory programming" — CHI</t>
  </si>
  <si>
    <t>Managing Construction</t>
  </si>
  <si>
    <t>El estudiante escribe instrucciones en lenguaje natural (o descompone el problema en submetas mediante promts individuales) en el entorno Coding Steps para generar código Python, y la IAG (OpenAI Codex) genera e inserta el código en el editor para que el estudiante lo inspeccione, ejecute o modifique al resolver tareas de autoría de código.</t>
  </si>
  <si>
    <t>some studies introduced GenAI-assisted code with deliberate bugs or inefficiencies, prompting students to debug.</t>
  </si>
  <si>
    <t>p. 2739, sección Skills Gained</t>
  </si>
  <si>
    <t>Construction Technologies</t>
  </si>
  <si>
    <t>Los estudiantes usan ChatGPT en un aula invertida combinada con actividades prácticas de codificación.</t>
  </si>
  <si>
    <t>Subtotal CONSTRUCTION</t>
  </si>
  <si>
    <t>Learners worked on 45 Python code-authoring tasks, for which half of the learners had access to Codex, each followed by a code-modification task.</t>
  </si>
  <si>
    <t>Software Testing Fundamentals</t>
  </si>
  <si>
    <t>Página 1, Abstract; Página 5, Sección 4.1.2</t>
  </si>
  <si>
    <t>Test Levels</t>
  </si>
  <si>
    <t>Yilmaz &amp; Yilmaz, 2023b</t>
  </si>
  <si>
    <t>Test-Related Measures</t>
  </si>
  <si>
    <t>a significant increase in students' computational thinking skills, programming self-efficacy, and motivation was observed among students who used ChatGPT in a flipped classroom approach combined with hands-on coding activities (Yilmaz &amp; Yilmaz, 2023b)</t>
  </si>
  <si>
    <t>Test Process</t>
  </si>
  <si>
    <t>p. 2739, sección Skills Gained; p. 2737, sección Assessment Methods (pre-test/post-test)</t>
  </si>
  <si>
    <t>p08-006</t>
  </si>
  <si>
    <t>Software Testing in the Development Processes...</t>
  </si>
  <si>
    <t>CodeAid: Evaluating a classroom deployment of an LLM-based programming assistant</t>
  </si>
  <si>
    <t>Testing of and Testing Through Emerging Tech...</t>
  </si>
  <si>
    <t>Kazemitabaar, Ye, Wang, Henley, Denny, Craig, Grossman (2024) — "CodeAid: Evaluating a classroom deployment of an LLM-based programming assistant" — CHI</t>
  </si>
  <si>
    <t>Software Testing Tools</t>
  </si>
  <si>
    <t>El estudiante formula preguntas conceptuales o dudas generales sobre programación en C mediante un cuadro de texto, y la IAG genera explicaciones conceptuales breves en lenguaje natural y seudocódigo con referencias a la documentación de funciones, evitando mostrar código con soluciones directas.</t>
  </si>
  <si>
    <t>Se entregan ejercicios con resultados esperados y los estudiantes analizan las soluciones generadas por ChatGPT para validarlas contra dichos resultados.</t>
  </si>
  <si>
    <t>Subtotal SOFTWARE TESTING</t>
  </si>
  <si>
    <t>Software Engineering Operations Fundamentals</t>
  </si>
  <si>
    <t>Software Engineering Operations Planning</t>
  </si>
  <si>
    <t>Ouh et al., 2023</t>
  </si>
  <si>
    <t>Software Engineering Operations Delivery</t>
  </si>
  <si>
    <t>providing exercises with expected outcomes and analyzing ChatGPT-generated solutions (Ouh et al., 2023) improves students' programming skills.</t>
  </si>
  <si>
    <t>T002 Exegética</t>
  </si>
  <si>
    <t>p. 2739, sección Skills Gained; p. 2737, sección Assessment Methods</t>
  </si>
  <si>
    <t>Software Engineering Operations Control</t>
  </si>
  <si>
    <t>When a user selects General Question, the code editor will become disabled indicating that the AI will only consider the question input. For generating the response, we used few-shot learning to generate short answers with informative explanations.</t>
  </si>
  <si>
    <t>Sección 3.1.1, página 4</t>
  </si>
  <si>
    <t>Software Engineering Operations Tools</t>
  </si>
  <si>
    <t>Snowballing fila 124 (p29-057); Snowballing fila 125 (p29-057); Snowballing fila 126 (p29-057)</t>
  </si>
  <si>
    <t>Subtotal SOFTWARE ENG. OPERATIONS</t>
  </si>
  <si>
    <t>Demostración de codificación en vivo en la que docente y curso co-desarrollan una función con sugerencias de ChatGPT, pausando para criticar la salida y refinar los prompts en tiempo real.</t>
  </si>
  <si>
    <t>Software Maintenance Fundamentals</t>
  </si>
  <si>
    <t>Key Issues in Software Maintenance</t>
  </si>
  <si>
    <t>Revisiones fila 11 (P02); Revisiones fila 192 (P18)</t>
  </si>
  <si>
    <t>Software Maintenance Processes</t>
  </si>
  <si>
    <t>This might begin with live code-along demonstrations in which the instructor and the class co-develop a function using ChatGPT's suggestions, pausing to critique the output and to refine prompts in real time.</t>
  </si>
  <si>
    <t>p. 2744, Fase 3 del marco GenAI-Ped</t>
  </si>
  <si>
    <t>Software Maintenance Tools</t>
  </si>
  <si>
    <t>El estudiante proporciona un fragmento de su código en C junto con una pregunta sobre su comportamiento o errores en ese contexto, y la IAG genera respuestas explicativas personalizadas, seudocódigo interactivo y documentación de funciones sin revelar la solución directa en código.</t>
  </si>
  <si>
    <t>Subtotal MAINTENANCE</t>
  </si>
  <si>
    <t>Management of the SCM Process</t>
  </si>
  <si>
    <t>Software Configuration Identification</t>
  </si>
  <si>
    <t>Módulo de ingeniería de prompts: los estudiantes redactan prompts, los discuten en grupos pequeños y reciben retroalimentación inmediata, siguiendo el ciclo planificar-monitorear-reflexionar.</t>
  </si>
  <si>
    <t>Software Configuration Status Accounting</t>
  </si>
  <si>
    <t>Software Configuration Auditing</t>
  </si>
  <si>
    <t>Prasad &amp; Sane, 2024</t>
  </si>
  <si>
    <t>Software Release Management and Delivery</t>
  </si>
  <si>
    <t>To simulate an experience similar to StackOverflow’s Q&amp;A forum, we designed the Question from Code feature to help students with debugging tasks or conceptual questions in a specific context.</t>
  </si>
  <si>
    <t>students are guided to design prompts following the plan-monitor-reflect cycle proposed by Prasad et al., (2024).</t>
  </si>
  <si>
    <t>Sección 3.1.3, página 4</t>
  </si>
  <si>
    <t>p. 2745, Fase 3 del marco GenAI-Ped</t>
  </si>
  <si>
    <t>Software Configuration Management Tools</t>
  </si>
  <si>
    <t>Subtotal SOFTWARE CONFIG. MGMT.</t>
  </si>
  <si>
    <t>Software Engineering Process Fundamentals</t>
  </si>
  <si>
    <t>Software Process Assessment and Improvement</t>
  </si>
  <si>
    <t>Los estudiantes usan ChatGPT para depurar bucles en Python, refinan prompts iterativamente para identificar errores lógicos y comparan el código generado con soluciones de sus pares.</t>
  </si>
  <si>
    <t>Subtotal SOFTWARE ENG. PROCESS</t>
  </si>
  <si>
    <t>Modeling</t>
  </si>
  <si>
    <t>Types of Models</t>
  </si>
  <si>
    <t>Analysis of Models</t>
  </si>
  <si>
    <t>students could use ChatGPT to debug loops in a Python programming course. They can iteratively refine prompts to identify logic errors and then compare AI-generated codes with peer solutions.</t>
  </si>
  <si>
    <t>Software Engineering Methods</t>
  </si>
  <si>
    <t>Subtotal SOFTWARE ENG. MODELS/METH.</t>
  </si>
  <si>
    <t>Software Quality Fundamentals</t>
  </si>
  <si>
    <t>p. 2745, Fase 4 del marco GenAI-Ped</t>
  </si>
  <si>
    <t>El estudiante ingresa su código defectuoso junto con la descripción del comportamiento deseado o mensaje de error, y la IAG resalta las líneas con errores y proporciona explicaciones con sugerencias de corrección mediante viñetas, sin entregar el código corregido.</t>
  </si>
  <si>
    <t>Software Quality Management Process</t>
  </si>
  <si>
    <t>Software Quality Tools</t>
  </si>
  <si>
    <t>Los estudiantes documentan su recorrido de resolución de problemas en portafolios digitales, destacando cuándo la IAG mejoró o dificultó su comprensión.</t>
  </si>
  <si>
    <t>Subtotal SOFTWARE QUALITY</t>
  </si>
  <si>
    <t>To help students in their code debugging tasks, students could enter their buggy code in the code editor and the intended behaviour or the problem of the code in the question input. The response interface (Figure 2d) only displayed the bullet points and not the fixed code as a way to not reveal direct code solutions.</t>
  </si>
  <si>
    <t>Software Security Fundamentals</t>
  </si>
  <si>
    <t>Sección 3.1.4, página 4</t>
  </si>
  <si>
    <t>Security Management and Organization</t>
  </si>
  <si>
    <t>Software Security Engineering and Process</t>
  </si>
  <si>
    <t>Students document their problem-solving journey in digital portfolios, highlighting instances where GenAI enhanced or hindered their understanding.</t>
  </si>
  <si>
    <t>Security Engineering for Software Systems</t>
  </si>
  <si>
    <t>Software Security Tools</t>
  </si>
  <si>
    <t>Domain Specific Software Security</t>
  </si>
  <si>
    <t>Los estudiantes prueban y critican herramientas de IAG y registran sus fortalezas y limitaciones en registros o diarios reflexivos.</t>
  </si>
  <si>
    <t>El estudiante pega un fragmento de código (como código inicial de tareas o visto en clase) y la IAG genera un resumen general del programa junto con explicaciones interactivas paso a paso que se despliegan al pasar el cursor sobre cada línea.</t>
  </si>
  <si>
    <t>Subtotal SOFTWARE SECURITY</t>
  </si>
  <si>
    <t>Diario de aprendizaje</t>
  </si>
  <si>
    <t>students document their perception of the tool in reflective logs; actively test and critique GenAI tools and document tool strengths and limitations through reflective journals.</t>
  </si>
  <si>
    <t>pp. 2743-2744, Fase 2 del marco GenAI-Ped</t>
  </si>
  <si>
    <t>Upon selecting this feature, the code editor would be enabled and students could paste in code they wanted to be explained. The generated output was an interface that displayed the users’ code and enabled them to hover over each line to see the detailed explanation for that line and how the line works in orchestration with the rest of the code.</t>
  </si>
  <si>
    <t>Sección 3.1.5, página 4</t>
  </si>
  <si>
    <t>Subtotal PROFESSIONAL PRACTICE</t>
  </si>
  <si>
    <t>T001</t>
  </si>
  <si>
    <t>Software Engineering Economics Fundamentals</t>
  </si>
  <si>
    <t>The Engineering Decision-Making Process</t>
  </si>
  <si>
    <t>For-Profit Decision-Making</t>
  </si>
  <si>
    <t>Retirada gradual (fading) del apoyo de IAG: uso intensivo y guiado al inicio, y reducción progresiva de la asistencia hasta que el estudiante evalúa las salidas de forma independiente.</t>
  </si>
  <si>
    <t>Nonprofit Decision-Making</t>
  </si>
  <si>
    <t>Present Economy Decision-Making</t>
  </si>
  <si>
    <t>Multiple-Attribute Decision-Making</t>
  </si>
  <si>
    <t>El estudiante describe el comportamiento esperado de un programa y la IAG descompone la tarea generando una estructura de alto nivel con subobjetivos y seudocódigo interactivo explicado línea por línea junto a referencias de funciones en C, sin incluir código directo de solución.</t>
  </si>
  <si>
    <t>Identifying and Characterizing Intangible Assets</t>
  </si>
  <si>
    <t>Scaffolded fading of GenAI support draws on Vygotsky's ZPD, empowering students to transition from guided GenAI use to independent critical evaluation, thereby fostering ownership of learning.</t>
  </si>
  <si>
    <t>Estimation</t>
  </si>
  <si>
    <t>pp. 2745-2746, Fase 4 del marco GenAI-Ped</t>
  </si>
  <si>
    <t>Related Concepts</t>
  </si>
  <si>
    <t>Therefore, to assist students struggling with coding tasks, we wanted to provide ways to help them to write code without displaying any code. For that, the Help Write Code feature (Figure 2f) required users to enter the intended behaviour of the program and generated a high-level structure of the code with sub-goals and pseudo-code in natural language.</t>
  </si>
  <si>
    <t>Sección 3.1.6, página 4-5</t>
  </si>
  <si>
    <t>Subtotal SOFTWARE ENG. ECONOMICS</t>
  </si>
  <si>
    <t>Los estudiantes generan con IAG tres variantes de código para un problema y comparan críticamente sus compromisos de eficiencia.</t>
  </si>
  <si>
    <t>Software Engineering Management Fundamentals</t>
  </si>
  <si>
    <t>Initiation and Scope Definition</t>
  </si>
  <si>
    <t>Valoración de decisiones</t>
  </si>
  <si>
    <t>Software Project Planning</t>
  </si>
  <si>
    <t>Software Project Enactment</t>
  </si>
  <si>
    <t>p08-007</t>
  </si>
  <si>
    <t>Let's ask AI about their programs: Exploring ChatGPT's answers to program comprehension questions</t>
  </si>
  <si>
    <t>Review and Evaluation</t>
  </si>
  <si>
    <t>Use GenAI to generate three code variants for a problem, then critically compare efficiency trade-offs.</t>
  </si>
  <si>
    <t>Lehtinen, Koutcheme, Hellas (2024) — "Let's ask AI about their programs: Exploring ChatGPT's answers to program comprehension questions" — ICSE-SEET</t>
  </si>
  <si>
    <t>p. 2743, Fase 1 del marco GenAI-Ped</t>
  </si>
  <si>
    <t>Closure</t>
  </si>
  <si>
    <t>Los estudiantes reciben respuestas y explicaciones en texto natural generadas por la IAG sobre preguntas de comprensión de código (QLCs) y deben evaluar la corrección de las afirmaciones o identificar dónde comete un error el modelo. Por su parte, la IAG genera respuestas y explicaciones a preguntas de opción múltiple sobre la estructura y ejecución del código.</t>
  </si>
  <si>
    <t>Software Engineering Management Tools</t>
  </si>
  <si>
    <t>T074</t>
  </si>
  <si>
    <t>Subtotal SOFTWARE ENG. MANAGEMENT</t>
  </si>
  <si>
    <t>Los docentes usan IAG para generar evaluaciones (preguntas de opción múltiple y evaluaciones formativas y sumativas) de programación.</t>
  </si>
  <si>
    <t>As an example of an activity, students could be provided natural text answers to QLCs generated by LLMs and asked to assess the correctness of the claims. Similarly, given that students would be highlighted that the answers came from LLMs, students could also be asked to identify where the model makes a mistake.</t>
  </si>
  <si>
    <t>Sección 6, página 11</t>
  </si>
  <si>
    <t>Doughty et al., 2024; Petrovska et al., 2023; Savelka et al., 2023a</t>
  </si>
  <si>
    <t>Generate assessments (MCQs, formative and summative assessments)</t>
  </si>
  <si>
    <t>p. 2738, Tabla 6; p. 2737, sección Assessment Methods</t>
  </si>
  <si>
    <t>p08-008</t>
  </si>
  <si>
    <t>Snowballing fila 213 (p61-099)</t>
  </si>
  <si>
    <t>Experiences from using code explanations generated by LLMs in a web software development e-book</t>
  </si>
  <si>
    <t>Los estudiantes interactúan con fragmentos de código y resuelven problemas de Parsons con apoyo de IAG.</t>
  </si>
  <si>
    <t>MacNeil, Tran, Hellas, Kim, Sarsa, Denny, Bernstein, Leinonen (2023) — "Experiences from using code explanations generated by LLMs in a web software development e-book" — SIGCSE</t>
  </si>
  <si>
    <t>Rompecabezas</t>
  </si>
  <si>
    <t>Los estudiantes consultan fragmentos de código en un e-book interactivo de desarrollo web y solicitan explicaciones en lenguaje natural generadas por GPT-3 seleccionando entre tres formatos (desglose línea por línea, lista de conceptos clave y resumen de alto nivel) mediante botones integrados junto a cada ejemplo.</t>
  </si>
  <si>
    <t>Kazemitabaar et al., 2023a; Wu et al., 2023</t>
  </si>
  <si>
    <t>Students interact with code snippets and solve Parsons problems</t>
  </si>
  <si>
    <t>p. 2738, Tabla 6</t>
  </si>
  <si>
    <t>T098</t>
  </si>
  <si>
    <t>For each code snippet, three types of explanations were generated (line-by-line explanation, summarization, listing concepts). The explanations were added to two chapters (Chapter 3 and Chapter 11) in the e-book so that students could optionally view them.</t>
  </si>
  <si>
    <t>Los estudiantes programan en un entorno con IAG integrada que ofrece sugerencias en tiempo real, corrección de sintaxis y propuestas para mejorar la eficiencia del código.</t>
  </si>
  <si>
    <t>Página 4, Sección 4.3</t>
  </si>
  <si>
    <t>Kazemitabaar et al., 2023a; Kazemitabaar et al., 2023b</t>
  </si>
  <si>
    <t>GenAI is embedded into coding environments to provide real-time suggestions, assist with syntax correction, and improve code efficiency</t>
  </si>
  <si>
    <t>p. 2736, Tabla 5; p. 2740 (desempeño según nivel de engagement)</t>
  </si>
  <si>
    <t>Los estudiantes reciben pistas automáticas de siguiente paso generadas por IAG cuando se atascan en ejercicios de programación.</t>
  </si>
  <si>
    <t>Los estudiantes responden preguntas sobre las explicaciones de código generadas por la IA, las adaptan o crean sus propias explicaciones como actividades de creación colectiva (learnersourcing) para mejorar continuamente los recursos educativos.</t>
  </si>
  <si>
    <t>Roest et al., 2024</t>
  </si>
  <si>
    <t>automated next-step hints (Roest et al., 2024) support students when they are stuck in programming exercises</t>
  </si>
  <si>
    <t>p. 2740; p. 2737, sección Assessment Methods</t>
  </si>
  <si>
    <t>Asking questions about code explanations, having students adapt the explanations, and having students create their own explanations could also be seen as a learnersourcing activity, which has the potential to lead to continuously improving learning resources.</t>
  </si>
  <si>
    <t>Página 7, Sección 6.4.3</t>
  </si>
  <si>
    <t>P07</t>
  </si>
  <si>
    <t>El docente plantea a los estudiantes escenarios y proyectos realistas de industria (p. ej., actuar como empleados de una empresa en un dominio con requisitos de privacidad, o trabajar en proyectos legacy con lenguajes donde los LLM rinden mal) mediante juego de roles y simulaciones, para practicar el uso de LLM con sus limitaciones</t>
  </si>
  <si>
    <t>For this reason, educators could incorporate realistic scenarios and projects that students would face in industry using role-play and simulations.</t>
  </si>
  <si>
    <t>Los estudiantes, mientras escriben su propio código, solicitan explicaciones en tiempo real y retroalimentación a la IAG para orientar y apoyar el proceso de depuración (debugging) de sus programas.</t>
  </si>
  <si>
    <t>Pág. 27, Sección 8 (Implications for Education); ejemplos en pág. 28</t>
  </si>
  <si>
    <t>PROFESSIONAL PRACTICE &gt; Subárea no determinable</t>
  </si>
  <si>
    <t>El docente usa LLM para generar ejemplos sofisticados de buen código y mal código al enseñar programación, para transmitir la importancia de la calidad del software</t>
  </si>
  <si>
    <t>For example, when students write their own code, LLMs might provide feedback on their code and guide their debugging.</t>
  </si>
  <si>
    <t>Página 7, Sección 6.4.4</t>
  </si>
  <si>
    <t>We see the potential of educators using LLMs to generate sophisticated examples involving good code and bad code when teaching programming.</t>
  </si>
  <si>
    <t>Pág. 21, Sección 6.1.1 (Improvement in Code Quality)</t>
  </si>
  <si>
    <t>SOFTWARE QUALITY &gt; Software Quality Fundamentals</t>
  </si>
  <si>
    <t>El estudiante intenta resolver el problema por sí mismo y recurre al LLM solo cuando no logra llegar a una solución</t>
  </si>
  <si>
    <t>Los estudiantes utilizan una extensión de navegador para hacer clic en fragmentos de código situados en páginas web externas y solicitar explicaciones automáticas generadas por un LLM.</t>
  </si>
  <si>
    <t>P17; P36; P60; P61; P64; P74</t>
  </si>
  <si>
    <t>Study participants recommend novice developers only go after LLM tools when they fail to reach a solution by themselves [P: 17, 36, 60, 61, 64, 74].</t>
  </si>
  <si>
    <t>For example, a browser extension could enable students to click on a code snippet on any web page to request an explanation of that code from an LLM.</t>
  </si>
  <si>
    <t>Pág. 24, Sección 6.3.2 (When to use LLMs)</t>
  </si>
  <si>
    <t>Página 7, Sección 6.4.5</t>
  </si>
  <si>
    <t>P08</t>
  </si>
  <si>
    <t>El estudiante redacta un prompt en lenguaje natural que debe generar código correcto para resolver un problema, iterando hasta que el código pasa las pruebas del ejercicio (Prompt Problems).</t>
  </si>
  <si>
    <t>p08-009</t>
  </si>
  <si>
    <t>Using an LLM to help with code understanding</t>
  </si>
  <si>
    <t>Denny et al., 2024</t>
  </si>
  <si>
    <t>Nam, Macvean, Hellendoorn, Vasilescu, Myers (2024) — "Using an LLM to help with code understanding" — ICSE</t>
  </si>
  <si>
    <t>"Prompt Problems introduce exercises where students write natural language prompts to generate correct code, shifting focus from coding to problem articulation skills"</t>
  </si>
  <si>
    <t>secc. 5.2.1</t>
  </si>
  <si>
    <t>El estudiante o desarrollador selecciona bloques de código en el IDE para solicitar a un asistente basado en LLM resúmenes automáticos, explicaciones de la API, conceptos del dominio y ejemplos de uso mediante botones predefinidos, o formula preguntas conversacionales en lenguaje natural con el contexto del código. La IA generativa procesa el código seleccionado como contexto de entrada y genera explicaciones, aclaraciones conceptuales o ejemplos de código para facilitar la comprensión y modificación del programa.</t>
  </si>
  <si>
    <t>El estudiante redacta prompts estructurados para depurar código, aplicando una guía paso a paso que incluye descripción precisa del problema, identificación de casos límite y estrategias de depuración (framework AI-Lab).</t>
  </si>
  <si>
    <t>In this study, we provide a first investigation of an LLM-based conversational UI built directly in the IDE that is geared towards code understanding. Our IDE plugin queries OpenAI’s GPT-3.5-turbo model with four high-level requests without the user having to write explicit prompts: to explain a highlighted section of code, provide details of API calls used in the code, explain key domain-specific terms, and provide usage examples for an API.</t>
  </si>
  <si>
    <t>Página 1, Abstract</t>
  </si>
  <si>
    <t>Manley et al., 2024; Bejarano et al., 2025</t>
  </si>
  <si>
    <t>"The AI-Lab framework offers structured guidance for students to write effective prompts through precise problem descriptions, edge case identification, and debugging strategies"; "The AI-Lab Framework improved debugging skills by 57%"</t>
  </si>
  <si>
    <t>secc. 5.2.1; Apéndice 1, fila 5</t>
  </si>
  <si>
    <t>Estudiantes de nivel universitario en un curso de desarrollo software web leen e interactúan con un libro electrónico interactivo que integra explicaciones de código generadas por un LLM. La IA generativa genera explicaciones contextuales de código integradas directamente en el material de lectura para apoyar la comprensión de programación de los estudiantes.</t>
  </si>
  <si>
    <t>El estudiante explica un concepto o algoritmo de programación a un agente de IA que actúa como aprendiz (agente enseñable), verbalizando y estructurando su propio razonamiento para reforzar su comprensión.</t>
  </si>
  <si>
    <t>MacNeil et al., 2022</t>
  </si>
  <si>
    <t>Jin et al., 2024; Chen et al., 2024</t>
  </si>
  <si>
    <t>MacNeil et al. examined the advantages of integrating code explanations generated by LLMs into an interactive e-book focused on web software development, with a user study with sophomores. They found students tend to find LLM-generated explanations to be useful, which is promising, but the study was focused on providing one-directional support in an introductory e-book which is different from user-oriented need-based information support.</t>
  </si>
  <si>
    <t>Sección 2.2, Página 3</t>
  </si>
  <si>
    <t>"These agents are designed to be taught by students, which can improve knowledge building and metacognitive skills... This approach emphasizes explaining concepts to the AI, which enhances the student's understanding"; "Improved knowledge gains (η2 = 0.74)"</t>
  </si>
  <si>
    <t>secc. 5.1; Apéndice 1, fila 42</t>
  </si>
  <si>
    <t>p08-010</t>
  </si>
  <si>
    <t>The robots are here: Navigating the generative AI revolution in computing education</t>
  </si>
  <si>
    <t>El estudiante utiliza una herramienta de IA generativa (Uizard) para generar y ajustar mockups de interfaz de usuario a partir de descripciones, dentro de un curso de programación.</t>
  </si>
  <si>
    <t>Prather et al. (2023) — "The robots are here: Navigating the generative AI revolution in computing education" — ITiCSE-WGR</t>
  </si>
  <si>
    <t>El estudiante escribe comentarios en lenguaje natural en el IDE aplicando diseño descendente y la IAG genera el código correspondiente, mientras el docente explica cada línea para enseñar sintaxis y conceptos.</t>
  </si>
  <si>
    <t>Ho et al., 2024</t>
  </si>
  <si>
    <t>"Reduced UI design time from 3h to 90s. Increased student satisfaction. Enabled professional designs by beginners."</t>
  </si>
  <si>
    <t>Apéndice 1, fila 2; secc. 5.2</t>
  </si>
  <si>
    <t>Porter y Zingaro, 2023</t>
  </si>
  <si>
    <t>Students create their first programs by typing English comments and letting Copilot generate the code.</t>
  </si>
  <si>
    <t>Sección 5.3, página 22</t>
  </si>
  <si>
    <t>DESIGN &gt; Recording Software Design</t>
  </si>
  <si>
    <t>El estudiante construye mapas mentales progresivos de conceptos de programación en conjunto con un chatbot de IA generativa, estructurando visualmente la lógica antes de codificar.</t>
  </si>
  <si>
    <t>CONSTRUCTION &gt; Construction Technologies</t>
  </si>
  <si>
    <t>Revisiones fila 205 (P18)</t>
  </si>
  <si>
    <t>Mapa mental</t>
  </si>
  <si>
    <t>Ye et al., 2025</t>
  </si>
  <si>
    <t>"GenAI significantly improved programming performance and computational thinking. Self-constructed mind maps also outperformed traditional methods."</t>
  </si>
  <si>
    <t>Apéndice 1, fila 52</t>
  </si>
  <si>
    <t>El estudiante resuelve problemas de programación redactando e iterando sus propios prompts en lenguaje natural para guiar a la IAG hacia la generación de código correcto.</t>
  </si>
  <si>
    <t>T004</t>
  </si>
  <si>
    <t>El estudiante resuelve ejercicios de programación de CS1 utilizando un plugin de ChatGPT integrado en VSCode, variando el estilo de la consulta (descripción completa del problema, guía paso a paso, o estilo mixto para depuración).</t>
  </si>
  <si>
    <t>Denny et al., 2023</t>
  </si>
  <si>
    <t>Práctica distribuida</t>
  </si>
  <si>
    <t>Most students found the prompt writing to be beneficial, while a few voiced concerns.</t>
  </si>
  <si>
    <t>Sección 3.3.3, página 7</t>
  </si>
  <si>
    <t>Amoozadeh et al., 2024</t>
  </si>
  <si>
    <t>"65% success rate with AI; 33% used full problem descriptions; Only 30% verified solutions; Mixed self-efficacy changes"</t>
  </si>
  <si>
    <t>Apéndice 1, fila 56</t>
  </si>
  <si>
    <t>T051</t>
  </si>
  <si>
    <t>Snowballing fila 237 (p79-103); Snowballing fila 238 (p79-103); Snowballing fila 239 (p79-103); Snowballing fila 240 (p79-103)</t>
  </si>
  <si>
    <t>Parejas de estudiantes realizan programación en pareja (pair programming) utilizando un agente de IA generativa (GPT-3.5/Claude 3 Opus) como compañero de programación, comparado con programación individual o en pareja tradicional.</t>
  </si>
  <si>
    <t>El docente presenta un enunciado junto con un prompt y la salida errónea o alucinada generada por la IAG, y el estudiante debe analizar el código e identificar los errores.</t>
  </si>
  <si>
    <t>Fan et al., 2025</t>
  </si>
  <si>
    <t>"AI-assisted pair programming significantly increased intrinsic motivation (p &lt;.001, d = 0.35), reduced programming anxiety (p &lt;.001), and improved performance compared to individual programming"</t>
  </si>
  <si>
    <t>Apéndice 1, fila 57</t>
  </si>
  <si>
    <t>Here’s the problem. Here’s the prompt we gave ChatGPT, or Copilot, or whatever. Here’s the output it gave us. It’s wrong. Tell us why it’s wrong.</t>
  </si>
  <si>
    <t>Sección 5.4.3, página 24</t>
  </si>
  <si>
    <t>Estudiantes realizan programación en pareja tradicional (estudiante-estudiante), utilizando una herramienta de IA generativa como asistente de apoyo (generación de ejemplos, depuración, refactorización) durante la sesión.</t>
  </si>
  <si>
    <t>Simaremare et al., 2024</t>
  </si>
  <si>
    <t>"Students prefer traditional student-student pairing supplemented by GenAI; GenAI useful as assistant; lack of engagement in student-GenAI pairs; need for balanced integration"</t>
  </si>
  <si>
    <t>Apéndice 1, fila 36</t>
  </si>
  <si>
    <t>El estudiante interactúa con una herramienta con restricciones basadas en IAG que le brinda explicaciones socráticas y pistas sin revelar la solución de código completa.</t>
  </si>
  <si>
    <t>Snowballing fila 220 (p79-035); Snowballing fila 221 (p79-035); Snowballing fila 222 (p79-035)</t>
  </si>
  <si>
    <t>El estudiante utiliza un sistema tutor inteligente (ITS, ej. Blackbox) que adapta la instrucción y la práctica de programación según su nivel de experiencia previo.</t>
  </si>
  <si>
    <t>Fodouop Kouam, 2024</t>
  </si>
  <si>
    <t>Liffiton et al., 2023</t>
  </si>
  <si>
    <t>"Advanced students showed the most improvement in programming skills. Higher satisfaction with ITS interface among intermediate/advanced students. Positive impact on comprehension and reduced anxiety."</t>
  </si>
  <si>
    <t>One paper presents a tool to help out students with issues without revealing the full solution and reports positive feedback from both students and instructors.</t>
  </si>
  <si>
    <t>Apéndice 1, fila 53</t>
  </si>
  <si>
    <t>Sección 3.3.4, página 7</t>
  </si>
  <si>
    <t>El estudiante revisa y decide si acepta o rechaza como correctas las respuestas/código entregadas por un asistente de IA personalizado durante la resolución de tareas de programación, antes de incorporarlas a su entrega.</t>
  </si>
  <si>
    <t>Akçapınar &amp; Sidan, 2024</t>
  </si>
  <si>
    <t>"93% used an AI assistant 92% accepted incorrect AI info. 61% copied wrong answers directly. Only 8% rejected AI errors."</t>
  </si>
  <si>
    <t>El docente proporciona a la IAG temas de interés y conceptos de programación específicos para generar enunciados de ejercicios de programación personalizados e inéditos.</t>
  </si>
  <si>
    <t>Apéndice 1, fila 55</t>
  </si>
  <si>
    <t>SOFTWARE QUALITY &gt; Software Quality Assurance Process</t>
  </si>
  <si>
    <t>Sarsa et al., 2022; Denny et al., 2022</t>
  </si>
  <si>
    <t>T003 Fábula</t>
  </si>
  <si>
    <t>One of the main findings in both papers was that LLMs can be coaxed into generating exercises with prescribed themes (such as basketball or cooking) and programming concepts (such as loops or conditionals).</t>
  </si>
  <si>
    <t>Se propone (no implementado) un marco de preguntas socráticas secuenciales, formuladas con apoyo de IA, para guiar al estudiante a descomponer progresivamente un problema de programación.</t>
  </si>
  <si>
    <t>Sección 3.3.5, página 8</t>
  </si>
  <si>
    <t>Sun et al., 2024</t>
  </si>
  <si>
    <t>"A Socratic-style framework could be developed to ask students sequential, more profound questions, strengthening their problem-solving skills"</t>
  </si>
  <si>
    <t>secc. 5.2.1 (Scaffolding Strategy)</t>
  </si>
  <si>
    <t>El estudiante lee explicaciones de código generadas por la IAG integradas en libros de texto digitales e-books para apoyar la comprensión de programas.</t>
  </si>
  <si>
    <t>Snowballing fila 169 (p49-024); Snowballing fila 170 (p49-024); Snowballing fila 171 (p49-024)</t>
  </si>
  <si>
    <t>P09</t>
  </si>
  <si>
    <t>Pareja de estudiantes programa colaborativamente mientras un avatar conversacional de IA en un entorno de Realidad Mixta media la interacción de pair programming</t>
  </si>
  <si>
    <t>MacNeil et al., 2023; Sarsa et al., 2022</t>
  </si>
  <si>
    <t>[47]</t>
  </si>
  <si>
    <t>MacNeil et al. found that students generally found code explanations generated by LLMs useful for learning, but the perceived utility of the explanations and students’ engagement with them varied by explanation type.</t>
  </si>
  <si>
    <t>"Improvement in coding skills (measured by coding assessments). User satisfaction (post-session surveys on application features, usability, and effectiveness)."</t>
  </si>
  <si>
    <t>Tabla A1 (estudio #3), p. 20-21</t>
  </si>
  <si>
    <t>El estudiante escribe suites de prueba para código con errores generado por el sistema, formula hipótesis sobre la causa del bug asumiendo el rol de ayudante de cátedra, y revisa el código defectuoso con apoyo de scaffolding</t>
  </si>
  <si>
    <t>[54]</t>
  </si>
  <si>
    <t>El estudiante ingresa mensajes de error del compilador o código defectuoso en la IAG para obtener explicaciones comprensibles y sugerencias de depuración.</t>
  </si>
  <si>
    <t>"Improvement: Significant 16.79% increase in debugging accuracy."</t>
  </si>
  <si>
    <t>Tabla A1 (estudio #23), p. 28-29</t>
  </si>
  <si>
    <t>Leinonen et al., 2023</t>
  </si>
  <si>
    <t>Leinonen et al. found that Codex could enhance programming error messages – which are notoriously hard for students to understand – about 54% of the time on average</t>
  </si>
  <si>
    <t>El estudiante envía código de forma iterativa a un pipeline automatizado (GitHub+Gradle+Travis-CI) que devuelve retroalimentación en niveles crecientes de detalle (resultado de pruebas, comparación esperado-vs-obtenido, o pistas sobre errores conceptuales), y corrige y reenvía su código</t>
  </si>
  <si>
    <t>[61]</t>
  </si>
  <si>
    <t>"Student Performance: Measured by the percentage of passed test cases across three programming assignments."</t>
  </si>
  <si>
    <t>Tabla A1 (estudio #32), p. 33</t>
  </si>
  <si>
    <t>El estudiante resuelve tareas con asistencia de la IAG y registra reflexiones en un diario sobre su proceso de aprendizaje y las respuestas obtenidas del modelo.</t>
  </si>
  <si>
    <t>SOFTWARE TESTING &gt; Test-Related Measures</t>
  </si>
  <si>
    <t>Recordar</t>
  </si>
  <si>
    <t>El estudiante envía su código a una plataforma que genera pistas dinámicas ante errores de compilación, de ejecución o pruebas fallidas, explicando el error y sugiriendo dirección de depuración sin revelar la solución, y luego reenvía el código corregido</t>
  </si>
  <si>
    <t>Christian Tomaschitz replaced several previous exercises with reflection assignments in a diary for students to document their learning process.</t>
  </si>
  <si>
    <t>[56]</t>
  </si>
  <si>
    <t>"Immediate performance: Percentage of successful submissions across consecutive attempts."</t>
  </si>
  <si>
    <t>Tabla A1 (estudio #25), p. 29-30</t>
  </si>
  <si>
    <t>El estudiante participa en un diálogo socrático con un sistema tutor, prediciendo la salida de ejemplos de código Java y respondiendo preguntas guiadas en niveles crecientes de andamiaje (explicación conceptual, completar espacios, opción múltiple) para corregir concepciones erróneas</t>
  </si>
  <si>
    <t>El estudiante desarrolla ejercicios de programación utilizando un asistente de IAG como compañero de programación en pareja que sugiere líneas de código en tiempo real.</t>
  </si>
  <si>
    <t>[24]</t>
  </si>
  <si>
    <t>Kazemitabaar et al., 2023</t>
  </si>
  <si>
    <t>"An average improvement of 12.58% (from 75.82% pre-test to 88.4% post-test; LG score: 52.03%)."</t>
  </si>
  <si>
    <t>Tabla A1 (estudio #16), p. 25-26</t>
  </si>
  <si>
    <t>They found that students who used AI code generators performed significantly better (1.15x progress, 0.59x errors, 1.8x higher correctness, 0.57x time spent) without negative effects on learning.</t>
  </si>
  <si>
    <t>MAINTENANCE &gt; Key Issues in Software Maintenance</t>
  </si>
  <si>
    <t>El estudiante redacta una explicación en lenguaje natural de qué hace una función dada, y luego evalúa la exactitud, comprensibilidad y extensión tanto de explicaciones de compañeros como de explicaciones generadas por GPT-3 sobre el mismo código</t>
  </si>
  <si>
    <t>[21]; [49]</t>
  </si>
  <si>
    <t>El docente utiliza la IAG para generar conjuntos de datos sintéticos de muestra con los que se pueblan bases de datos para ejercicios prácticos de los estudiantes.</t>
  </si>
  <si>
    <t>Fuera de SWEBOK</t>
  </si>
  <si>
    <t>"Accuracy: How well the explanation described the code's functionality."</t>
  </si>
  <si>
    <t>Tabla A1 (estudios #8, #9), p. 21-22</t>
  </si>
  <si>
    <t>I used it fairly heavily in a database course to generate sample data</t>
  </si>
  <si>
    <t>Sección 4.4.1, página 15</t>
  </si>
  <si>
    <t>Grupos de estudiantes programan colaborativamente en Matlab una tarea de ingeniería y reciben retroalimentación calificada en cinco dimensiones (corrección, legibilidad, eficiencia, mantenibilidad, cumplimiento), entregada como retroalimentación generada por IA o manual del instructor</t>
  </si>
  <si>
    <t>[22]</t>
  </si>
  <si>
    <t>"Feedback Mechanism: ChatGPT was prompted to assess Matlab code and generate specific suggestions for improvement across five dimensions."</t>
  </si>
  <si>
    <t>Tabla A1 (estudio #10), p. 22-23</t>
  </si>
  <si>
    <t>El estudiante programa una solución a un ejercicio y solicita a la IAG que genere una versión propia para comparar ambas soluciones y analizar las diferencias de estilo y estructura.</t>
  </si>
  <si>
    <t>El estudiante compara una solución correcta y una incorrecta de una tarea de manipulación de datos y redacta pistas para guiar a otro estudiante a corregir el error; en una condición escribe primero de forma independiente y luego ajusta sus pistas tras ver pistas generadas por IA</t>
  </si>
  <si>
    <t>This included some novel ideas, such as asking students to compare their own code with code generated by the AI tool, and asking students to use ChatGPT to generate code and then critique the output that it produces</t>
  </si>
  <si>
    <t>[42]</t>
  </si>
  <si>
    <t>"Task: Students compared a correct solution to an incorrect solution for a programming assignment and write hints to guide correction of errors."</t>
  </si>
  <si>
    <t>Tabla A1 (estudio #30), p. 32-33</t>
  </si>
  <si>
    <t>El estudiante resuelve un problema escribiendo código en un lenguaje que conoce y utiliza la IAG para traducirlo al lenguaje de programación solicitado en el curso.</t>
  </si>
  <si>
    <t>Ayudantes de cátedra representan el rol de tutor en una sesión individual de tutoría sobre una tarea de programación (FizzBuzz), tras revisar una pantalla de "consejos de enseñanza" que sugiere hacer preguntas abiertas, verificar comprensión y fomentar que el estudiante hable más</t>
  </si>
  <si>
    <t>[60]</t>
  </si>
  <si>
    <t>write the solution in a programming language (other than the one used in the course), translate it with GenAI tools, and submit the translated code</t>
  </si>
  <si>
    <t>Sección 4.3.4, página 13</t>
  </si>
  <si>
    <t>"Participants in the treatment condition spent significantly more time in productive teaching events (1.4 times increase, Cohen's d = 0.72)."</t>
  </si>
  <si>
    <t>Tabla A1 (estudio #31), p. 33-34</t>
  </si>
  <si>
    <t>PROFESSIONAL PRACTICE &gt; Communication Skills</t>
  </si>
  <si>
    <t>El estudiante aprende etiquetas HTML, párrafos, listas, multimedia e hipervínculos mediante una secuencia instruccional gamificada con puntos, insignias, tablas de posiciones, barras de progreso y avatares</t>
  </si>
  <si>
    <t>p08-011</t>
  </si>
  <si>
    <t>The widening gap: The benefits and harms of generative AI for novice programmers</t>
  </si>
  <si>
    <t>Prather et al. (2024) — "The widening gap: The benefits and harms of generative AI for novice programmers" — ICER</t>
  </si>
  <si>
    <t>Preguntas y premios</t>
  </si>
  <si>
    <t>El docente realiza programación en vivo en el aula utilizando VSCode con GitHub Copilot y empleando ChatGPT para ejemplificar usos productivos, como la comprensión de mensajes de error, y discutir las respuestas no útiles, engañosas o incorrectas de la IA.</t>
  </si>
  <si>
    <t>[62]</t>
  </si>
  <si>
    <t>"The experimental group was taught HTML programming using gamification elements (points, leaderboards, badges, levels, progress bars, rewards, avatars)."</t>
  </si>
  <si>
    <t>Tabla A1 (estudio #34), p. 34</t>
  </si>
  <si>
    <t>The professor (one of the researchers) encouraged students to install VSCode with GitHub Copilot on the first day of class and coded live in front of students in that environment. The professor also utilized ChatGPT during class to discuss productive ways to use that tool, such as for understanding programming error messages.</t>
  </si>
  <si>
    <t>T007</t>
  </si>
  <si>
    <t>Página 4, Sección 3.1</t>
  </si>
  <si>
    <t>El estudiante resuelve un set de cuestionarios de programación en un curso de PHP, con un grupo autorizado a usar ChatGPT como apoyo y otro resolviéndolos sin asistencia</t>
  </si>
  <si>
    <t>[23]</t>
  </si>
  <si>
    <t>"Experimental Group: Used ChatGPT for solving quizzes."</t>
  </si>
  <si>
    <t>Los estudiantes resuelven individualmente un problema de programación en C++ escribiendo código en un IDE con la ayuda de sugerencias automáticas en línea de GitHub Copilot y consultando a ChatGPT para solicitar pistas, depurar errores de compilación o solicitar fragmentos de código.</t>
  </si>
  <si>
    <t>Tabla A1 (estudio #33), p. 34</t>
  </si>
  <si>
    <t>Students used a lab computer that had VSCode installed with GitHub Copilot. During the study, they were allowed to utilize GitHub Copilot as well as ChatGPT.</t>
  </si>
  <si>
    <t>El estudiante resuelve un desafío de programación cronometrado usando solo libros de texto y apuntes (sin internet), comparado con un grupo que resuelve el mismo desafío con acceso a ChatGPT, calificando el desempeño por casos de prueba superados y esfuerzo de depuración</t>
  </si>
  <si>
    <t>Página 5, Sección 3.3</t>
  </si>
  <si>
    <t>[17]</t>
  </si>
  <si>
    <t>"Group A (control group): Used textbooks and notes without internet access. Group B (experimental group): Had ChatGPT access for solving programming challenges."</t>
  </si>
  <si>
    <t>Tabla A1 (estudio #35), p. 34-35</t>
  </si>
  <si>
    <t>Los estudiantes revisan reproducciones de sus propias sesiones de programación (code replays) con herramientas de IA generativa para identificar y reflexionar sobre las pausas, las sugerencias no útiles leídas o aceptadas y sus decisiones metacognitivas.</t>
  </si>
  <si>
    <t>Aprendices novatos (10-17 años) completan tareas de autoría y modificación de código Python en una plataforma en línea autoguiada, eligiendo entre estrategias como solicitar al generador de IA una solución completa, pedirla paso a paso, combinar IA con edición manual, o programar completamente a mano</t>
  </si>
  <si>
    <t>[53]</t>
  </si>
  <si>
    <t>"Coding approaches (e.g., AI Single Prompt, AI Step-by-Step, Hybrid, Manual)."</t>
  </si>
  <si>
    <t>Tabla A1 (estudio #22), p. 27-28</t>
  </si>
  <si>
    <t>El estudiante diseña un diagrama de clases UML especificando campos, métodos y relaciones para un escenario dado, y luego implementa los esqueletos de clases Java correspondientes, con o sin asistencia de ChatGPT</t>
  </si>
  <si>
    <t>Diagrama de flujo</t>
  </si>
  <si>
    <t>SINTETIZAR</t>
  </si>
  <si>
    <t>[19]</t>
  </si>
  <si>
    <t>Mozannar et al. (2024); Xie et al. (2023)</t>
  </si>
  <si>
    <t>"Tasks: The students designed UML diagrams, implemented Java programming tasks, and completed a closed-book post-evaluation."</t>
  </si>
  <si>
    <t>Pauses in code editing with GenAI tools like Copilot are when code suggestions appear, potentially also making this a useful exercise for novices engaged in GenAI-supported coding. These pauses could enable novices to see when they spent too much time reading unhelpful suggestions or when they accepted unhelpful code and reflect on the outcome.</t>
  </si>
  <si>
    <t>Tabla A1 (estudio #12), p. 24</t>
  </si>
  <si>
    <t>Página 21, Sección 5.2</t>
  </si>
  <si>
    <t>T078</t>
  </si>
  <si>
    <t>p08-070</t>
  </si>
  <si>
    <t>Un ayudante de cátedra redacta respuestas a preguntas de estudiantes en el foro del curso usando una plataforma de IA generativa, y luego revisa y edita la respuesta generada antes de publicarla como propia</t>
  </si>
  <si>
    <t>'Like a nesting doll': Analyzing recursion analogies generated by CS students using large language models</t>
  </si>
  <si>
    <t>Bernstein, Denny, Leinonen, Kan, Hellas, Littlefield, Sarsa, MacNeil (2024) — "'Like a nesting doll': Analyzing recursion analogies generated by CS students using large language models" — ITiCSE</t>
  </si>
  <si>
    <t>Foro</t>
  </si>
  <si>
    <t>Los estudiantes utilizan ChatGPT para generar, iterar y seleccionar analogías personalizadas basadas en temas de su interés que expliquen el funcionamiento de una función recursiva en código C. La IA generativa produce explicaciones analógicas paso a paso según las instrucciones y temas especificados por los estudiantes en sus prompts.</t>
  </si>
  <si>
    <t>[14]</t>
  </si>
  <si>
    <t>"A generative AI platform, BoilerTAI, was used by one designated TA per course (AI-TA) to respond to student discussion board queries."</t>
  </si>
  <si>
    <t>T049</t>
  </si>
  <si>
    <t>Tabla A1 (estudio #4), p. 20</t>
  </si>
  <si>
    <t>Pensamiento analógico</t>
  </si>
  <si>
    <t>T042</t>
  </si>
  <si>
    <t>As part of their lab on recursion, a well-known threshold concept that is challenging for many students, students were asked to use ChatGPT to craft their own analogies to explain recursion using any personally relevant topic as a theme.</t>
  </si>
  <si>
    <t>Sección 1, p. 2</t>
  </si>
  <si>
    <t>El estudiante ejecuta una herramienta de análisis estático (PythonTA) sobre su propio código, localmente y mediante un autograder, a lo largo de las tareas del semestre, recibiendo retroalimentación de calidad de código ligada a parte de su calificación</t>
  </si>
  <si>
    <t>p08-071</t>
  </si>
  <si>
    <t>[48]</t>
  </si>
  <si>
    <t>JorGPT: Instructor-aided grading of programming assignments with large language models (LLMs)</t>
  </si>
  <si>
    <t>"Integration of PythonTA, a static analysis tool, in programming assignments; 10–20% of grades tied to PythonTA outputs."</t>
  </si>
  <si>
    <t>Cisneros-González, Gordo-Herrera, Barcia-Santos, Sánchez-Soriano (2025) — "JorGPT: Instructor-aided grading of programming assignments with large language models (LLMs)" — Future Internet</t>
  </si>
  <si>
    <t>Tabla A1 (estudio #5), p. 20-21</t>
  </si>
  <si>
    <t>El docente utiliza la herramienta JorGPT para evaluar tareas de programación en C en un curso introductorio, cargando las entregas desde Canvas y seleccionando un LLM y una rúbrica de 5 dimensiones. La IA genera calificaciones y comentarios formativos para el estudiante, los cuales el docente revisa y ajusta en un archivo Excel antes de publicarlos en el LMS.</t>
  </si>
  <si>
    <t>Estudiantes de primer año reciben sugerencias automáticas de reparación de programas y retroalimentación de localización de errores de un sistema tutor inteligente mientras depuran sus tareas de programación</t>
  </si>
  <si>
    <t>[55]</t>
  </si>
  <si>
    <t>This dataset is processed through a graphical user interface built with PyQT5, where instructors can select the desired LLM for evaluation and optionally edit the grading rubric. The results are stored in an Excel file for instructor review and, if needed, possible revision before final feedback is delivered to students via Canvas, as shown in Figure 1.</t>
  </si>
  <si>
    <t>Página 6, Sección 3.1</t>
  </si>
  <si>
    <t>"First-year students used ITS for debugging assistance and feedback on programming assignments."</t>
  </si>
  <si>
    <t>Tabla A1 (estudio #24), p. 29</t>
  </si>
  <si>
    <t>p08-072</t>
  </si>
  <si>
    <t>Estudiantes de tercer año de ingeniería de software diseñan y construyen de forma incremental componentes del propio sistema tutor inteligente (reparación automática de programas y localización de errores) como proyecto de curso durante el semestre</t>
  </si>
  <si>
    <t>Feedback literacy: Holistic analysis of secondary educators' views of LLM explanations of program error messages</t>
  </si>
  <si>
    <t>Cucuiat &amp; Waite (2024) — "Feedback literacy: Holistic analysis of secondary educators' views of LLM explanations of program error messages" — ITiCSE</t>
  </si>
  <si>
    <t>El estudiante realiza una tarea de programación en Python en un IDE y solicita explicaciones generadas por una LLM (GPT-3.5) sobre los mensajes de error para comprender la causa del fallo y guiarse en la corrección del código.</t>
  </si>
  <si>
    <t>Proyectos colaborativos</t>
  </si>
  <si>
    <t>"Third-year students incrementally developed and enhanced ITS components as part of their software engineering projects."</t>
  </si>
  <si>
    <t>Explanations were accessible to users via a question mark next to the standard error message and were displayed in a pop-up window.</t>
  </si>
  <si>
    <t>Section 3</t>
  </si>
  <si>
    <t>T096</t>
  </si>
  <si>
    <t>P10</t>
  </si>
  <si>
    <t>Generación y refinamiento de user stories con ChatGPT, comparando la calidad con producción manual</t>
  </si>
  <si>
    <t>[13,100]</t>
  </si>
  <si>
    <t>"the use of ChatGPT and other LLMs by students generally resulted in higher-quality user stories [13, 100]"</t>
  </si>
  <si>
    <t>p. 68-69, secc. 6.4.1</t>
  </si>
  <si>
    <t>El estudiante recibe retroalimentación de la LLM sobre errores de código en un enfoque escalonado, donde la herramienta ofrece primero solo una explicación o pista orientadora y revela la solución en código únicamente tras uno o más intentos del estudiante.</t>
  </si>
  <si>
    <t>Uso de ChatGPT para identificar inconsistencias en requisitos en lenguaje natural, comparado con detección manual</t>
  </si>
  <si>
    <t>...four educators suggesting a two- (or more) stepped approach in which the solution is only shown after the students have had one or more attempts at solving the error using only an explanation.</t>
  </si>
  <si>
    <t>Section 4.1</t>
  </si>
  <si>
    <t>[33]</t>
  </si>
  <si>
    <t>"For inconsistency detection in requirements [33] ... ChatGPT did not outperform humans."</t>
  </si>
  <si>
    <t>p. 70, secc. 6.4.1</t>
  </si>
  <si>
    <t>REQUIREMENTS &gt; Requirements Validation</t>
  </si>
  <si>
    <t>Uso de ChatGPT para trazar requisitos a sus fuentes (trazabilidad), comparado con trazabilidad manual</t>
  </si>
  <si>
    <t>El docente utiliza explicaciones de errores generadas por la LLM que contienen imprecisiones o alucinaciones para diseñar actividades de depuración, en las que los estudiantes evalúan críticamente la salida de la IA y discuten criterios de calidad para explicaciones de código.</t>
  </si>
  <si>
    <t>Mapeo de procesos</t>
  </si>
  <si>
    <t>"requirements traceability [23], ChatGPT did not outperform humans."</t>
  </si>
  <si>
    <t>Educators recognised opportunities to use the explanations to teach about debugging, for example using invalid explanations to discuss the criteria for good explanations and error messages.</t>
  </si>
  <si>
    <t>T072</t>
  </si>
  <si>
    <t>Section 4.5</t>
  </si>
  <si>
    <t>REQUIREMENTS &gt; Requirements Management Activities</t>
  </si>
  <si>
    <t>Generación de diagramas UML (clase, casos de uso, secuencia) con PlantUML y GenAI como borradores formativos, seguidos de revisión y refinamiento crítico por estudiantes</t>
  </si>
  <si>
    <t>Mapa conceptual</t>
  </si>
  <si>
    <t>[5,26,29,121]</t>
  </si>
  <si>
    <t>p08-073</t>
  </si>
  <si>
    <t>Comparing code explanations created by students and large language models</t>
  </si>
  <si>
    <t>"the authors consistently noted semantic shortcomings, including incorrect relationships, misused multiplicities, and inconsistent naming [26, 29]"</t>
  </si>
  <si>
    <t>p. 68, secc. 6.4.2</t>
  </si>
  <si>
    <t>Leinonen, Denny, MacNeil, Sarsa, Bernstein, Kim, Tran, Hellas (2023) — "Comparing code explanations created by students and large language models" — ITiCSE</t>
  </si>
  <si>
    <t>T081</t>
  </si>
  <si>
    <t>El estudiante lee y evalúa explicaciones de código en C generadas por GPT-3 en una actividad de laboratorio para ejercitar la comprensión lectora de programas, mientras que la IAG genera automáticamente descripciones del propósito, algoritmos y parámetros de las funciones.</t>
  </si>
  <si>
    <t>Prompting estructurado con ChatGPT para explorar patrones de diseño empresarial, generando prompts, evaluando respuestas y documentando en informes de experiencia</t>
  </si>
  <si>
    <t>Informe</t>
  </si>
  <si>
    <t>In this paper, we explore the potential of LLMs in generating explanations that can serve as examples to scaffold students' ability to understand and explain code.</t>
  </si>
  <si>
    <t>Section 1, Page 2</t>
  </si>
  <si>
    <t>[38]</t>
  </si>
  <si>
    <t>"students engaged in structured prompting tasks with ChatGPT to explore selected patterns and reflect on their understanding."</t>
  </si>
  <si>
    <t>T025</t>
  </si>
  <si>
    <t>Refactorización de código con y sin GenAI para evaluar críticamente sus sugerencias</t>
  </si>
  <si>
    <t>T004 Mapa mental</t>
  </si>
  <si>
    <t>[79]</t>
  </si>
  <si>
    <t>El estudiante consulta un libro de texto electrónico interactivo donde la IAG (GPT-3) genera explicaciones automáticas de fragmentos cortos de código presentadas junto al código fuente para apoyar la comprensión lectora del programa.</t>
  </si>
  <si>
    <t>"students refactored code with and without GenAI to critically assess its suggestions. This approach fostered skills such as abstraction, problem formulation, and decomposition."</t>
  </si>
  <si>
    <t>p. 68, secc. 6.4.3</t>
  </si>
  <si>
    <t>MAINTENANCE &gt; Software Maintenance Techniques</t>
  </si>
  <si>
    <t>MacNeil et al., 2023</t>
  </si>
  <si>
    <t>Interacción con agentes GenAI que representan roles del equipo de desarrollo (Team Lead, Product Manager, Senior Developer) para elicitar user stories y practicar comunicación (DevCoach)</t>
  </si>
  <si>
    <t>MacNeil et al. used the GPT-3 model to generate explanations of short code fragments which then were presented to students in an online e-book alongside the corresponding code.</t>
  </si>
  <si>
    <t>Section 2.3, Page 2</t>
  </si>
  <si>
    <t>[122]</t>
  </si>
  <si>
    <t>"Students could seek guidance, practice skills, ask questions, and receive real-time feedback from the agents."</t>
  </si>
  <si>
    <t>p. 69, secc. 6.4.3</t>
  </si>
  <si>
    <t>El docente utiliza un modelo de lenguaje (Codex) para generar automáticamente ejercicios de programación y explicaciones de código como recursos educativos mediante el diseño de prompts especializados.</t>
  </si>
  <si>
    <t>REQUIREMENTS &gt; Requirements Elicitation</t>
  </si>
  <si>
    <t>Uso libre y sin restricciones de herramientas GenAI durante un proyecto de desarrollo de software, decidiendo cuándo y cómo emplearlas</t>
  </si>
  <si>
    <t>Sarsa et al. explored various prompts and approaches for using the Codex model to generate code explanations and programming exercises, finding that it frequently produced novel and high-quality resources.</t>
  </si>
  <si>
    <t>[22,11]</t>
  </si>
  <si>
    <t>"Clift and Petrovska [22] noted a positive trend between learners being given freedom to explore GenAI tools usage and student enjoyment and project quality."</t>
  </si>
  <si>
    <t>Integración de un LLM vía API Java para construir aplicaciones extendiendo código base, gestionando llamadas y prompts</t>
  </si>
  <si>
    <t>El estudiante utiliza un sistema regulado de tokens para solicitar explicaciones de código generadas por la IAG y gana tokens adicionales redactando sus propias explicaciones de código para evitar la sobre-dependencia en la herramienta.</t>
  </si>
  <si>
    <t>[39]</t>
  </si>
  <si>
    <t>"The authors were impressed with several ambitious applications developed by students with limited prior programming experience."</t>
  </si>
  <si>
    <t>p. 70, secc. 6.4.3</t>
  </si>
  <si>
    <t>One way to combat over-reliance on LLM-created code explanations would be to monitor student use of this type of support (e.g., giving students a limited number of tokens that would be used as they request explanations from an LLM) to limit student use of, or reliance, on these tools.</t>
  </si>
  <si>
    <t>Section 5.1, Page 6</t>
  </si>
  <si>
    <t>Generación de escenarios/artefactos de prueba con GenAI y verificación manual de su corrección</t>
  </si>
  <si>
    <t>p08-074</t>
  </si>
  <si>
    <t>[43,117,71,80,24,55]</t>
  </si>
  <si>
    <t>Using large language models to enhance programming error messages</t>
  </si>
  <si>
    <t>"the effectiveness and perception from students in these studies were mixed... reported positive student responses of how the GenAI model was able to solve "basic" problems related to software testing"</t>
  </si>
  <si>
    <t>Leinonen, Hellas, Sarsa, Reeves, Denny, Prather, Becker (2023) — "Using large language models to enhance programming error messages" — SIGCSE</t>
  </si>
  <si>
    <t>p. 70, secc. 6.4.4</t>
  </si>
  <si>
    <t>El docente utiliza la IA generativa para pregenerar explicaciones de mensajes de error de programación comunes y valida su exactitud antes de presentarlas a los estudiantes.</t>
  </si>
  <si>
    <t>Talleres educativos guiados por instructor con GenAI (ChatGPT y Bard) para transmitir conceptos de metodología ágil (Scrum)</t>
  </si>
  <si>
    <t>One possibility is using LLMs to pre-generate explanations of common error messages that the instructor could validate (essentially, a “human-in-the-loop” approach).</t>
  </si>
  <si>
    <t>p. 6, Sección 5.2</t>
  </si>
  <si>
    <t>[12,59,88]</t>
  </si>
  <si>
    <t>"97% of students reported an improvement in their understanding of essential concepts, such as the Scrum framework, when GenAI was included in their workshop lessons [12]"</t>
  </si>
  <si>
    <t>p. 70, secc. 6.4.5</t>
  </si>
  <si>
    <t>SOFTWARE ENG. MANAGEMENT &gt; Software Project Planning</t>
  </si>
  <si>
    <t>El estudiante utiliza la IA generativa para obtener explicaciones en lenguaje sencillo y sugerencias de corrección sobre mensajes de error de programación como andamiaje instruccional durante la depuración de código, advirtiéndosele explícitamente que la salida de la IA puede contener errores.</t>
  </si>
  <si>
    <t>Simulación de sesiones de estimación "planning poker" apoyadas por GenAI para evaluar contribuciones estudiantiles</t>
  </si>
  <si>
    <t>[81,82]</t>
  </si>
  <si>
    <t>We propose that the generated content could be useful to students if it were delivered so that it is clear that the content is AI-generated and might not be correct.</t>
  </si>
  <si>
    <t>p. 5, Sección 5.1</t>
  </si>
  <si>
    <t>"GenAI has been integrated as a learning tool for students [82] and as a means to assess the effectiveness of leveraging GenAI in evaluating student contributions during planning poker sessions [81]"</t>
  </si>
  <si>
    <t>Consulta a un asistente de conocimiento AI (chatbot con RAG local y Stack Overflow) integrado en sistema Kanban de proyecto capstone para guía y documentación</t>
  </si>
  <si>
    <t>p08-075</t>
  </si>
  <si>
    <t>Generating high-precision feedback for programming syntax errors using large language models</t>
  </si>
  <si>
    <t>Phung, Cambronero, Gulwani, Kohn, Majumdar, Singla, Soares (2023) — "Generating high-precision feedback for programming syntax errors using large language models" — arXiv:2302.04662</t>
  </si>
  <si>
    <t>[86]</t>
  </si>
  <si>
    <t>El estudiante de programación introductoria escribe código Python con errores de sintaxis y recibe realimentación generada por la IAG (PyFiXV/Codex), que consiste en el programa corregido y una explicación en lenguaje natural de los errores y sus soluciones, validada automáticamente en tiempo de ejecución antes de ser entregada.</t>
  </si>
  <si>
    <t>"Feedback indicated that students favoured recommendations from LLMs over those from the local repository... Overall, students reported a positive experience using the tool."</t>
  </si>
  <si>
    <t>p. 70, secc. 6.4.6</t>
  </si>
  <si>
    <t>SOFTWARE ENG. MANAGEMENT &gt; Software Project Enactment</t>
  </si>
  <si>
    <t>We investigate using LLMs to generate feedback for fixing syntax errors in Python programs, a key scenario in introductory programming. More concretely, given a student's buggy program, our goal is to generate feedback comprising a fixed program along with a natural language explanation describing the errors/fixes, inspired by how a human tutor would give feedback.</t>
  </si>
  <si>
    <t>Página 1, Sección 1</t>
  </si>
  <si>
    <t>Uso continuo de ChatGPT y GitHub Copilot durante un proyecto semestral para generación de código, debugging y diseño de algoritmos, analizado mediante código anotado y prompts</t>
  </si>
  <si>
    <t>p08-076</t>
  </si>
  <si>
    <t>Jask: Generation of questions about learners' code in Java</t>
  </si>
  <si>
    <t>Santos, Soares, Garrido, Lehtinen (2022) — "Jask: Generation of questions about learners' code in Java" — ITiCSE</t>
  </si>
  <si>
    <t>[102]</t>
  </si>
  <si>
    <t>"The analysis of the annotated code and the students' prompts showed that GenAI usage was most frequent at the beginning of the project, supporting early scaffolding."</t>
  </si>
  <si>
    <t>Uso de LLMs para descomponer problemas, aclarar recursión, recorrer estructuras de datos y comprender eficiencia algorítmica mediante guía estructurada paso a paso</t>
  </si>
  <si>
    <t>[25,51,68]</t>
  </si>
  <si>
    <t>p15-012</t>
  </si>
  <si>
    <t>Enhancing academic performance with generative AI-Based quiz platform</t>
  </si>
  <si>
    <t>"students used LLMs to decompose problems, clarify recursion, traverse data structures, and gain insights into algorithmic efficiency [25, 51, 68]"</t>
  </si>
  <si>
    <t>p15</t>
  </si>
  <si>
    <t>p. 74, secc. 6.7.1</t>
  </si>
  <si>
    <t>Chang &amp; Chien (2024) — "Enhancing academic performance with generative AI-Based quiz platform" — ICALT</t>
  </si>
  <si>
    <t>El estudiante resuelve cuestionarios de opción múltiple sobre sintaxis y lógica de código Python realizando un seguimiento mental de la ejecución ("thought programming"), mientras la IAG (ChatGPT 4.0) genera automáticamente las preguntas con cuatro opciones en tres niveles de dificultad a partir de 14 temas del curso.</t>
  </si>
  <si>
    <t>DESIGN &gt; Software Design Fundamentals</t>
  </si>
  <si>
    <t>Retroalimentación formativa generada por GPT-4 con prompts de cadena de pensamiento sobre pruebas de recursión, comparada con retroalimentación directa del instructor</t>
  </si>
  <si>
    <t>Feynman</t>
  </si>
  <si>
    <t>Learners are required to perform 'thought programming', mentally following the program's logic to select the correct result from four options.</t>
  </si>
  <si>
    <t>Página 193, Sección I</t>
  </si>
  <si>
    <t>[87]</t>
  </si>
  <si>
    <t>NO ENCONTRADA</t>
  </si>
  <si>
    <t>"the GenAI responses, structured with chain-of-thought prompts, led to higher resubmission scores and were perceived as equally supportive [87]"</t>
  </si>
  <si>
    <t>p. 74, secc. 6.7.2</t>
  </si>
  <si>
    <t>T021</t>
  </si>
  <si>
    <t>Reflexión escrita comparando la propia solución de código del estudiante con la generada por GenAI, documentando hallazgos</t>
  </si>
  <si>
    <t>El estudiante interactúa mediante un chat conversacional con la IAG para formular consultas y resolver dudas sobre la materia de programación, mientras la IAG (ChatGPT) proporciona respuestas explicativas detalladas sobre la solución correcta y orienta al estudiante en la comprensión de los conceptos.</t>
  </si>
  <si>
    <t>[96]</t>
  </si>
  <si>
    <t>"Use a generative AI... to optimize program, function, or code segment. [...] Summarize your findings (at least 50 words)."</t>
  </si>
  <si>
    <t>p. 74, recuadro "Student Reflection (Direct Quote from [96])"</t>
  </si>
  <si>
    <t>If the answer is correct, ChatGPT provides a detailed explanation of the correct answer. We encourage students to ask questions to ChatGPT and utilize the interactive chat for gaining knowledge.</t>
  </si>
  <si>
    <t>Reflexión con transcripción completa de la interacción con IA, explicando verificación de exactitud y evidencia de transferencia del aprendizaje a otro problema</t>
  </si>
  <si>
    <t>p15-013</t>
  </si>
  <si>
    <t>Generative artificial intelligence in computer programming: Does it enhance learning, motivation, and the learning environment?</t>
  </si>
  <si>
    <t>[75]</t>
  </si>
  <si>
    <t>Cubillos, Mellado, Cabrera-Paniagua, Urra (2025) — "Generative artificial intelligence in computer programming: Does it enhance learning, motivation, and the learning environment?" — IEEE Access</t>
  </si>
  <si>
    <t>"The learning reflection form asked students to include the entire transcript of their interaction with the AI tool, even parts they didn't use."</t>
  </si>
  <si>
    <t>p. 75, recuadro "Student Reflection (Direct Quote from [75])"</t>
  </si>
  <si>
    <t>Los estudiantes realizan consultas en lenguaje natural a la IAG (Google Gemini 1.5) para responder cuatro preguntas guía sobre la declaración, estructura, comportamiento de punteros y recorrido de listas simplemente enlazadas en lenguaje C, mientras que la IAG genera explicaciones conceptuales y estructuras de código. La actividad se realiza de forma autónoma durante nueve días como apoyo al estudio del curso.</t>
  </si>
  <si>
    <t>Construir</t>
  </si>
  <si>
    <t>Creación de personas de usuario mediante simulación de entrevistas con LLMs conversacionales</t>
  </si>
  <si>
    <t>The experimental group had to answer these questions using the Google Gemini 1.5 generative artificial intelligence engine, as shown by an example in Figure 2, which is free to access for students, and they could interact with the AI by asking the questions provided as a guide.</t>
  </si>
  <si>
    <t>Sección II-C, página 6</t>
  </si>
  <si>
    <t>Entrevista</t>
  </si>
  <si>
    <t>[8,40,124,127]</t>
  </si>
  <si>
    <t>"Many of these involved simulating user interviews through chat-based LLM tools [8, 40, 124, 127]"</t>
  </si>
  <si>
    <t>p15-014</t>
  </si>
  <si>
    <t>p. 72, secc. 6.6.1</t>
  </si>
  <si>
    <t>From automation to cognition: Redefining the roles of educators and generative AI in computing education</t>
  </si>
  <si>
    <t>Feng, Luxton-Reilly, Wünsche, Denny (2025) — "From automation to cognition: Redefining the roles of educators and generative AI in computing education" — ACE</t>
  </si>
  <si>
    <t>T039</t>
  </si>
  <si>
    <t>El estudiante redacta prompts en lenguaje natural a partir de representaciones visuales de problemas para que la IAG genere código, el cual se evalúa automáticamente mediante la herramienta Promptly contra casos de prueba.</t>
  </si>
  <si>
    <t>Uso de GenAI para brainstorming, storyboarding y creación de prototipos en el proceso de diseño</t>
  </si>
  <si>
    <t>Denny et al., 2024; Este estudio</t>
  </si>
  <si>
    <t>Lluvia de ideas dirigida</t>
  </si>
  <si>
    <t>These exercises require students to craft natural language prompts that enable an LLM to generate correct code for solving a specified computational task.</t>
  </si>
  <si>
    <t>Sección 2.3.1, p. 3</t>
  </si>
  <si>
    <t>[37,106,110,124]</t>
  </si>
  <si>
    <t>"GenAI supported activities across a variety of phases of the design process, including brainstorming, storyboarding, and creating prototypes [37, 106, 110, 124]."</t>
  </si>
  <si>
    <t>p. 72-73, secc. 6.6.2</t>
  </si>
  <si>
    <t>T026</t>
  </si>
  <si>
    <t>DESIGN &gt; Software Design Processes</t>
  </si>
  <si>
    <t>Retroalimentación de GenAI en estudios de campo ficticios y walkthroughs cognitivos para evaluación de usabilidad de una interfaz</t>
  </si>
  <si>
    <t>La IAG (BugSpotter) genera código con errores a partir de una especificación de problema, y el estudiante debe diseñar casos de prueba fallidos que revelen dichos errores.</t>
  </si>
  <si>
    <t>Software Testing</t>
  </si>
  <si>
    <t>[10,106]</t>
  </si>
  <si>
    <t>"students appreciated the tool's usability and the quality of its feedback; although it had difficulty identifying visual or aesthetic issues, such as poor layout or color contrast, that human evaluators readily noticed [10]"</t>
  </si>
  <si>
    <t>p. 73, secc. 6.6.3</t>
  </si>
  <si>
    <t>Pădurean et al., 2024; Este estudio</t>
  </si>
  <si>
    <t>Desempeño de herramienta; Objetivo</t>
  </si>
  <si>
    <t>The tool generates buggy code based on a problem specification and requires students to design failing test cases that reveal the errors.</t>
  </si>
  <si>
    <t>Sección 2.3.2, p. 3</t>
  </si>
  <si>
    <t>Uso de ChatGPT y un sistema basado en RAG para responder preguntas de estudiantes y aclarar dudas sobre teoría de programación orientada a objetos</t>
  </si>
  <si>
    <t>[114]</t>
  </si>
  <si>
    <t>"the findings showed that GenAI models perform well for this task, delivering precise and detailed answers [114]"</t>
  </si>
  <si>
    <t>p. 77, secc. 6.9.2</t>
  </si>
  <si>
    <t>El estudiante adopta el rol de asistente de enseñanza para ayudar a un agente impulsado por IAG a depurar código, formulando hipótesis sobre las causas de los errores y verificando sus soluciones.</t>
  </si>
  <si>
    <t>Comparación de retroalimentación general generada por GenAI frente a retroalimentación humana sobre asignaciones de POO</t>
  </si>
  <si>
    <t>Ma et al., 2024</t>
  </si>
  <si>
    <t>Similar to our approach, this encourages metacognitive practices, as students are required to hypothesize the cause of errors and then verify their solutions.</t>
  </si>
  <si>
    <t>[4]</t>
  </si>
  <si>
    <t>"auto-generated feedback received significantly higher ratings compared to feedback from experts; suggesting that GenAI models are already capable of providing rich and valuable feedback for OOP exercises."</t>
  </si>
  <si>
    <t>Uso de un tutor basado en LLM (Sensai) que ofrece pistas y preguntas exploratorias sin dar respuestas directas para tareas de seguridad, usando el contexto del editor de código y terminal</t>
  </si>
  <si>
    <t>El estudiante lee un fragmento de código proporcionado con identificadores ofuscados y escribe un prompt en lenguaje natural para que la IAG genere código equivalente, recibiendo retroalimentación automatizada sobre su explicación.</t>
  </si>
  <si>
    <t>[83]</t>
  </si>
  <si>
    <t>"most students indicated that it is 'easier' to seek guidance from this tool than from those more traditional resources."</t>
  </si>
  <si>
    <t>p. 77-78, secc. 6.10.3</t>
  </si>
  <si>
    <t>Kerslake et al., 2024; Este estudio</t>
  </si>
  <si>
    <t>These tasks require students to explain the high-level purpose of a provided code fragment, by writing a prompt that will generate code equivalent to the original.</t>
  </si>
  <si>
    <t>Sección 2.3.3, p. 3-4</t>
  </si>
  <si>
    <t>SOFTWARE SECURITY &gt; Software Security Engineering and Process</t>
  </si>
  <si>
    <t>Diseño de curso propuesto integrando ChatGPT para automatizar tareas de programación web, detección de ataques XSS, ingeniería social y phishing</t>
  </si>
  <si>
    <t>[123]</t>
  </si>
  <si>
    <t>"this new course design was still conceptual and untested."</t>
  </si>
  <si>
    <t>p. 77, secc. 6.10.2</t>
  </si>
  <si>
    <t>El estudiante utiliza la IAG para solicitar analogías sobre el concepto de recursión alineadas con sus intereses personales, y posteriormente analiza y evalúa críticamente la utilidad de las analogías generadas.</t>
  </si>
  <si>
    <t>SOFTWARE SECURITY &gt; Security Engineering for Software Systems</t>
  </si>
  <si>
    <t>Refactorización de programas para aplicar patrones de diseño, evaluando cada etapa del proceso de refactorización con GenAI</t>
  </si>
  <si>
    <t>Bernstein et al., 2024; Este estudio</t>
  </si>
  <si>
    <t>Percepción; Objetivo</t>
  </si>
  <si>
    <t>To address this, we implemented a novel exercise where students used LLMs to generate analogies to help them understand recursion.</t>
  </si>
  <si>
    <t>Sección 2.3.4, p. 4</t>
  </si>
  <si>
    <t>"Refactor programs to make use of design patterns; and Evaluate each stage of a refactoring process using GenAI"</t>
  </si>
  <si>
    <t>Tabla 22 (Activities for Software Engineering), p. 86</t>
  </si>
  <si>
    <t>Comprensión de una base de código legado (legacy code base) apoyada por GenAI</t>
  </si>
  <si>
    <t>"Comprehend legacy code base"</t>
  </si>
  <si>
    <t>Generación, evaluación y refinamiento iterativo de escenarios de prueba (testing scenarios) con GenAI</t>
  </si>
  <si>
    <t>El estudiante utiliza la herramienta PuzzleMakerPy impulsada por IAG para seleccionar contextos y temas de programación de su interés, generando problemas de Parsons personalizados en los que debe ordenar bloques de código.</t>
  </si>
  <si>
    <t>"Generate testing scenarios; and Evaluate the testing scenarios; and Refine testing scenarios using GenAI"</t>
  </si>
  <si>
    <t>del Carpio Gutierrez et al., 2024; Este estudio</t>
  </si>
  <si>
    <t>P11</t>
  </si>
  <si>
    <t>Using a custom tool called PuzzleMakerPy, we allowed students to generate personalized Parsons Problems.</t>
  </si>
  <si>
    <t>Generación automática de ejercicios de práctica de programación (enunciado, respuesta de ejemplo y explicación) mediante IAG, para que los estudiantes resuelvan y comparen con la solución generada</t>
  </si>
  <si>
    <t>Sección 2.3.5, p. 4</t>
  </si>
  <si>
    <t>[10,13,14,20,24]</t>
  </si>
  <si>
    <t>"the majority of the automatically generated content is novel, sensible, including an appropriate sample solution, and in some cases, is ready to use."</t>
  </si>
  <si>
    <t>p.3, secc. 3.1.1</t>
  </si>
  <si>
    <t>El estudiante consulta a un tutor virtual con IAG (CodeHelp) durante ejercicios de programación y depuración, recibiendo explicaciones y sugerencias guiadas de alto nivel sin que la herramienta entregue soluciones directas de código.</t>
  </si>
  <si>
    <t>Generación automática de casos de prueba (test cases) para ejercicios de programación mediante IAG</t>
  </si>
  <si>
    <t>[3,10,20]</t>
  </si>
  <si>
    <t>In our courses we have deployed a digital assistant based on CodeHelp to support students in debugging and code-writing tasks.</t>
  </si>
  <si>
    <t>Sección 2.3.6, p. 4</t>
  </si>
  <si>
    <t>"three papers [3, 10, 20] propose the generation of test cases for the exercises."</t>
  </si>
  <si>
    <t>Generación de problemas de programación personalizados según intereses o perfil de competencia del estudiante mediante IAG</t>
  </si>
  <si>
    <t>El estudiante utiliza la IAG para generar código sobre un ejercicio, analiza y reflexiona sobre la calidad del código producido por la IAG y redacta comentarios comparándolo con su propia solución.</t>
  </si>
  <si>
    <t>Software Quality</t>
  </si>
  <si>
    <t>[8,14,20]</t>
  </si>
  <si>
    <t>"models such as ChatGPT and Codex possess the capability to contextualize problem statements and generate personalized questions tailored to students' interests, resulting in more engaging questions."</t>
  </si>
  <si>
    <t>The same activity (and indeed any activity that requires students to engage with work produced by others) can use GenAI to create the code to be reviewed.</t>
  </si>
  <si>
    <t>Sección 3.1, p. 5</t>
  </si>
  <si>
    <t>Generación de Parsons problems personalizados a partir de las soluciones incorrectas del estudiante mediante IAG</t>
  </si>
  <si>
    <t>[3]</t>
  </si>
  <si>
    <t>"[3] emphasizes the potential of generating personalized Parsons problems based on students' incorrect solutions."</t>
  </si>
  <si>
    <t>El estudiante resuelve una tarea guiada consultando a ChatGPT los conceptos involucrados, solicitando ejemplos en nuevos contextos, escribiendo su propia solución, pidiendo una solución a la IAG y comparando ambas versiones.</t>
  </si>
  <si>
    <t>Generación de variaciones de ejercicios de programación existentes mediante IAG para crear nuevo material de práctica</t>
  </si>
  <si>
    <t>Figure 4 guides students to use the capabilities of GenAI tools as a scaffolding tool to support learning rather than replace learning.</t>
  </si>
  <si>
    <t>SCAMPER</t>
  </si>
  <si>
    <t>T005 Mnemotecnia</t>
  </si>
  <si>
    <t>[8,20]</t>
  </si>
  <si>
    <t>"according to [8, 20], these models also enable instructors to create new exercise variations from existing ones."</t>
  </si>
  <si>
    <t>T009</t>
  </si>
  <si>
    <t>El docente demuestra y los estudiantes ejecutan métodos para verificar la precisión de la información y código generados por IAG, contrastándolos con documentación oficial/libros de texto o ejecutando y depurando el código.</t>
  </si>
  <si>
    <t>Calificación automática (grading) de tareas y cuestionarios de programación mediante IAG</t>
  </si>
  <si>
    <t>[10,18,19]</t>
  </si>
  <si>
    <t>"three papers [10, 18, 19] argue that the models can be used to grade assignments and quizzes, which can save teachers a significant amount of time."</t>
  </si>
  <si>
    <t>For example, educators can present snippets of AI-generated content and walk students through the process of verifying this information using course materials, textbooks, documentation, and trusted websites.</t>
  </si>
  <si>
    <t>Sección 3.1 y 3.2, p. 5-7</t>
  </si>
  <si>
    <t>Identificación automática de áreas donde el estudiante presenta dificultades, mediante análisis de su trabajo con IAG</t>
  </si>
  <si>
    <t>Análisis de hechos</t>
  </si>
  <si>
    <t>[10]</t>
  </si>
  <si>
    <t>El docente demuestra en clase el impacto de utilizar distintos tipos de prompts en la IAG (como solicitar explicaciones sin código o pedir comentarios detallados) para guiar el aprendizaje.</t>
  </si>
  <si>
    <t>"[10] mentions that ChatGPT can semi-automate grading by highlighting the potential strengths and weaknesses of the work in question."</t>
  </si>
  <si>
    <t>T060</t>
  </si>
  <si>
    <t>Teachers can easily demonstrate how to prompt ChatGPT and the impact of different prompts.</t>
  </si>
  <si>
    <t>Generación de retroalimentación individualizada sobre tareas de programación mediante IAG</t>
  </si>
  <si>
    <t>Sección 3.2, p. 6</t>
  </si>
  <si>
    <t>[10,19,20,24]</t>
  </si>
  <si>
    <t>p15-015</t>
  </si>
  <si>
    <t>Integrating generative AI into programming education: Student perceptions and the challenge of correcting AI errors</t>
  </si>
  <si>
    <t>"four papers [10, 19, 20, 24] discuss ChatGPT's and Codex's capability of providing individualized feedback on programming assignments as well as writing assignments."</t>
  </si>
  <si>
    <t>Kohen-Vacs, Usher, Jansen (2025) — "Integrating generative AI into programming education: Student perceptions and the challenge of correcting AI errors" — IJAIED</t>
  </si>
  <si>
    <t>Los estudiantes analizan e identifican errores sintácticos y semánticos insertados intencionalmente en código Java generado por un LLM (como una implementación del algoritmo RSA) y los corrigen para restaurar la funcionalidad del programa durante un examen.</t>
  </si>
  <si>
    <t>Uso de IAG para verificar posible plagio en trabajos de programación de los estudiantes</t>
  </si>
  <si>
    <t>Students were given flawed Java code generated by an LLM, e.g., representing an implementation of the RSA encryption algorithm. Several semantic and syntactic errors were intentionally embedded in the code.</t>
  </si>
  <si>
    <t>p. 3173, sección Research Method and Tools</t>
  </si>
  <si>
    <t>[10,19]</t>
  </si>
  <si>
    <t>"[10, 19] also underline the possibility of using the models to check for plagiarism in student work."</t>
  </si>
  <si>
    <t>p15-016</t>
  </si>
  <si>
    <t>Navigating the ethical and societal impacts of generative AI in higher computing education</t>
  </si>
  <si>
    <t>Mak, Nakatumba-Nabende, Clear, et al. (2025) — "Navigating the ethical and societal impacts of generative AI in higher computing education" — arXiv:2511.15768</t>
  </si>
  <si>
    <t>Generación de soluciones alternativas a un mismo problema de programación mediante IAG, para exponer a los estudiantes a distintos enfoques de resolución</t>
  </si>
  <si>
    <t>Cuadro comparativo</t>
  </si>
  <si>
    <t>[1,8,16,20]</t>
  </si>
  <si>
    <t>Mak et al. 2025 excluido del corpus de primarios</t>
  </si>
  <si>
    <t>"The models can also offer multiple alternative solutions to a given programming problem, introducing students to different problem-solving approaches [1, 8, 16, 20]."</t>
  </si>
  <si>
    <t>p.3, secc. 3.1.2</t>
  </si>
  <si>
    <t>p15-078</t>
  </si>
  <si>
    <t>T076</t>
  </si>
  <si>
    <t>The impact of large language models on programming education and student learning outcomes</t>
  </si>
  <si>
    <t>Jost, Taneski, Karakatic (2024) — "The impact of large language models on programming education and student learning outcomes" — Applied Sciences (MDPI, OA)</t>
  </si>
  <si>
    <t>Reparación automática de errores (bugs) en el código de estudiantes mediante IAG (modelo MMAPR)</t>
  </si>
  <si>
    <t>El estudiante solicita a la IAG la generación de código fuente para resolver tareas de programación en React con TypeScript, mientras que la IAG produce los fragmentos o soluciones de código correspondientes.</t>
  </si>
  <si>
    <t>Demostración silenciosa</t>
  </si>
  <si>
    <t>[25]</t>
  </si>
  <si>
    <t>"the MMAPR model [25] for repairing bugs in student code."</t>
  </si>
  <si>
    <t>For H2a, the analysis revealed a significant inverse relationship between the use of LLMs for generating code and final grades (Spearman’s rho = −0.305, p = 0.045), supporting the concern that reliance on LLMs for code generation can undermine independent coding skills.</t>
  </si>
  <si>
    <t>p.4, secc. 3.1.3</t>
  </si>
  <si>
    <t>Sección 4.3, página 10</t>
  </si>
  <si>
    <t>T035</t>
  </si>
  <si>
    <t>Aclaración de mensajes de error y sugerencias de corrección mediante IAG mientras el estudiante programa</t>
  </si>
  <si>
    <t>El estudiante plantea consultas a la IAG para solicitar explicaciones adicionales sobre conceptos de programación y desafíos en React/TypeScript, mientras que la IAG proporciona aclaraciones conceptuales para apoyar su aprendizaje.</t>
  </si>
  <si>
    <t>[1,8,14]</t>
  </si>
  <si>
    <t>"clarifying error messages and suggesting ways to fix the errors [1, 8, 14]."</t>
  </si>
  <si>
    <t>p.3, secc. 3.1.2, Tabla 2</t>
  </si>
  <si>
    <t>Conversely, H2b’s exploration of LLMs for seeking additional explanations did not yield a statistically significant impact on grades (Spearman’s rho = −0.201, p = 0.135), implying this form of LLM use might not hinder, and could potentially aid, student performance.</t>
  </si>
  <si>
    <t>Explicación de conceptos algorítmicos y apoyo a la comprensión conceptual del código mediante IAG</t>
  </si>
  <si>
    <t>[1,8,14,18,19,21]</t>
  </si>
  <si>
    <t>"They also support conceptual understand by ,for instance, explaining understand algorithmic concepts [1, 8, 14, 18, 19, 21]."</t>
  </si>
  <si>
    <t>El estudiante proporciona código con errores o fallas a la IAG para identificar problemas y depurar su aplicación en React/TypeScript, mientras que la IAG analiza el código e indica correcciones y sugerencias de depuración.</t>
  </si>
  <si>
    <t>Provisión de sugerencias de sintaxis (syntax tips) mientras el estudiante codifica, mediante IAG</t>
  </si>
  <si>
    <t>H2c was strongly supported by a significant inverse correlation between debugging with LLMs and final grades (Spearman’s rho = −0.360, p = 0.021), underscoring the importance of fostering independent debugging skills in programming education.</t>
  </si>
  <si>
    <t>[8,16]</t>
  </si>
  <si>
    <t>"providing syntax tips [8, 16]."</t>
  </si>
  <si>
    <t>p15-079</t>
  </si>
  <si>
    <t>Does ChatGPT help with introductory programming? An experiment of students using ChatGPT in CS1</t>
  </si>
  <si>
    <t>Generación de explicaciones multifacéticas de un fragmento de código (complejidad temporal, errores comunes, resumen, trazado de ejecución, corrección de bugs, analogías, conceptos relevantes, predicción de salida) mediante GPT-3</t>
  </si>
  <si>
    <t>Xue, Chen, Bai, Tairas, Huang (2024) — "Does ChatGPT help with introductory programming? An experiment of students using ChatGPT in CS1" — ICSE-SEET</t>
  </si>
  <si>
    <t>Los estudiantes diseñan un diagrama de clases UML para representar el sistema de evaluación de un curso de CS1, pudiendo utilizar ChatGPT para generar la estructura del diagrama o para resolver dudas conceptuales y sintácticas sobre la notación UML y el diseño orientado a objetos.</t>
  </si>
  <si>
    <t>Design</t>
  </si>
  <si>
    <t>[15]</t>
  </si>
  <si>
    <t>"Given a code snippet, GPT-3 can analyze time complexity, identify common mistakes, summarize code, trace execution, fix bugs and explain how they were fixed, create real-world analogies, list relevant programming concepts, and predict console output [15]."</t>
  </si>
  <si>
    <t>Participants were instructed to design a UML diagram representing the very assessments used in the CS1 course the students were currently enrolled in. Participants in the Experimental Group can access ChatGPT 3.5 and other online resources, such as Google and Stack Overflow when creating the UML diagram and programming;</t>
  </si>
  <si>
    <t>Sección 3.2 y 3.3.1, páginas 3 y 4</t>
  </si>
  <si>
    <t>Diálogo conversacional con IAG que permite a los estudiantes formular preguntas como si consultaran a un tutor</t>
  </si>
  <si>
    <t>Diálogos simultáneos</t>
  </si>
  <si>
    <t>Los estudiantes definen e implementan esqueletos de clases en Java (variables de instancia y cabeceras de métodos) a partir de un diagrama UML, interactuando con ChatGPT mediante la generación directa de código (Direct Code Generation) o consultas conceptuales y sintácticas (Conceptual Inquiry).</t>
  </si>
  <si>
    <t>"[10, 19] noted ChatGPT's advantage of generating conversational dialogues, enabling learners to ask questions as if they ask their tutors."</t>
  </si>
  <si>
    <t>p.4, secc. 3.1.2</t>
  </si>
  <si>
    <t>T037</t>
  </si>
  <si>
    <t>Following the UML diagram, participants were tasked with defining each class with a class skeleton, which includes the instance variables and the headers of the instance methods. We identified two distinct types of prompts: (1) Direct Code Generation (DCG): In this approach, participants directly requested ChatGPT to generate code based on their prompts... (2) Conceptual Inquiry (CI)...</t>
  </si>
  <si>
    <t>Sección 3.3.2 y 4.2, páginas 4 y 6</t>
  </si>
  <si>
    <t>Formulación de prompts propios por parte del estudiante para aprender a su propio ritmo y estilo mediante IAG</t>
  </si>
  <si>
    <t>[8]</t>
  </si>
  <si>
    <t>"since students can input their own prompts, they can learn at their preferred pace and in alignment with their learning style."</t>
  </si>
  <si>
    <t>Uso de "The Coding Steps": interfaz de IAG personalizada para programadores novatos, que combina ejemplos predefinidos, código existente y comportamiento solicitado por el usuario, con mecanismos de control para prevenir sobre-utilización</t>
  </si>
  <si>
    <t>Los estudiantes utilizan ChatGPT como herramienta de apoyo para depurar, identificar y corregir errores de lógica y sintaxis en sus programas de programación introductoria.</t>
  </si>
  <si>
    <t>[11]</t>
  </si>
  <si>
    <t>"Their research demonstrates improved task completion and correctness scores with reduced errors and completion times when using the AI code generator in The Coding Steps."</t>
  </si>
  <si>
    <t>Debugging is the most mentioned (16.36%) task that benefits the most from ChatGPT. Absolutely use it but beware it can be wrong. Use it for debugging, not writing programs.</t>
  </si>
  <si>
    <t>Sección 4.3 y Tabla 6, páginas 7 y 8</t>
  </si>
  <si>
    <t>Uso del modelo "Robosourcing" para generar de forma escalable un pool de ejercicios de programación con soluciones de muestra y pruebas automatizadas, combinando enunciados, soluciones y temas</t>
  </si>
  <si>
    <t>[5]</t>
  </si>
  <si>
    <t>"The model successfully produces coherent programming exercises with sample solutions and automated tests, despite minor accuracy concerns that were manageable through manual adjustments [5]."</t>
  </si>
  <si>
    <t>Los estudiantes novatos utilizan un generador de código basado en IA (OpenAI Codex) para apoyar la generación de código y la modificación manual de programas en tareas de programación introductoria.</t>
  </si>
  <si>
    <t>Propuesta de rediseño de evaluaciones contextualizadas y aplicadas que permiten a los estudiantes utilizar IAG mientras siguen resolviendo problemas</t>
  </si>
  <si>
    <t>Kazemitabaar et al. focused on the potential of OpenAI Codex to enhance the code-authoring abilities of novice programmers. Their experiment, which involved 69 novice participants, showed that Codex could significantly boost performance in code generation without undermining the participants’ capability in manual code modification.</t>
  </si>
  <si>
    <t>Sección 1 y 2, páginas 2 y 3</t>
  </si>
  <si>
    <t>[6,7]</t>
  </si>
  <si>
    <t>"Two papers [6, 7] propose contextualized, specific, and applied assessments that enable students to utilize code generation tools while still engaging in problem-solving."</t>
  </si>
  <si>
    <t>p.6, secc. 3.4.6</t>
  </si>
  <si>
    <t>Los estudiantes de programación utilizan ChatGPT para apoyarse en la resolución de problemas algorítmicos y estructuras de datos, incluyendo la generación de casos de prueba y análisis de complejidad temporal y memoria.</t>
  </si>
  <si>
    <t>Recomendación de reorientar el currículo desde la sintaxis básica hacia la resolución algorítmica de nivel superior, posponiendo la sintaxis y delegando la implementación de bajo nivel a la IAG</t>
  </si>
  <si>
    <t>Qureshi, 2023</t>
  </si>
  <si>
    <t>Objetivo; Desempeño de herramienta</t>
  </si>
  <si>
    <t>[1,14]</t>
  </si>
  <si>
    <t>Qureshi’s study compared two student groups: one with access to traditional programming material and another encouraged to use ChatGPT for programming help. Results showed ChatGPT’s efficacy mainly in simpler data structure problems regarding test cases, time complexity, and memory.</t>
  </si>
  <si>
    <t>"This could lead to a teaching approach that prioritizes algorithmic problem-solving, utilizing AI code generation for implementation and delaying syntax discussions until later stages [1]."</t>
  </si>
  <si>
    <t>p.6, secc. 4 Discussion</t>
  </si>
  <si>
    <t>Recomendación de reorientar cursos de ingeniería de software hacia prompt engineering, evaluación de código y depuración (debugging)</t>
  </si>
  <si>
    <t>Los estudiantes participan en el análisis colaborativo de tareas de programación realizadas por ChatGPT, evaluando factores como la eficiencia de las respuestas, la complejidad del código y la legibilidad.</t>
  </si>
  <si>
    <t>"Similarly, software engineering courses might pivot towards prompt engineering, code evaluation, and debugging [14]."</t>
  </si>
  <si>
    <t>Banerjee et al., 2023</t>
  </si>
  <si>
    <t>In a recent study by Banerjee et al., researchers suggested that students can enhance their learning by engaging in a collaborative analysis of programming tasks conducted by ChatGPT, focusing on factors including answer efficiency, code complexity, and readability</t>
  </si>
  <si>
    <t>Sección 2, página 3</t>
  </si>
  <si>
    <t>Recomendación de un período de transición para programadores novatos, priorizando una base sólida en conceptos fundamentales de computación antes de introducir IAG</t>
  </si>
  <si>
    <t>[6,8]</t>
  </si>
  <si>
    <t>Los estudiantes de ciencias de la computación consultan a un modelo de lenguaje (GPT-3/ChatGPT) para obtener explicaciones sobre conceptos de código, análisis de complejidad temporal y reparación de errores.</t>
  </si>
  <si>
    <t>"it may be more beneficial for them to prioritize building a strong foundation in core computing concepts [6]."</t>
  </si>
  <si>
    <t>P12</t>
  </si>
  <si>
    <t>Los estudiantes utilizan ChatGPT para comprender código de muestra y resolver ejercicios de programación similares, generando sus propios fragmentos de código</t>
  </si>
  <si>
    <t>Another investigation conducted by Macneil et al. showcased the potential of ChatGPT in explaining code concepts to CS students, such as analyzing and explaining time complexity and bug repair</t>
  </si>
  <si>
    <t>"students utilized ChatGPT to comprehend sample code, solve similar programming exercises, generate code snippets, and obtain debugging suggestions. The results demonstrated significant positive impacts on students across different initial knowledge levels."</t>
  </si>
  <si>
    <t>p. 260, secc. III.B</t>
  </si>
  <si>
    <t>p15-080</t>
  </si>
  <si>
    <t>Benefits and challenges of collaboration between students and conversational generative artificial intelligence in programming learning</t>
  </si>
  <si>
    <t>Yan, Nakajima, Sawada (2024) — "Benefits and challenges of collaboration between students and conversational generative artificial intelligence in programming learning" — Education Sciences (MDPI, OA)</t>
  </si>
  <si>
    <t>El docente realiza demostraciones prácticas sobre el uso de la IAG y los estudiantes aprenden a comunicarse y redactar prompts efectivos interactuando con la herramienta para resolver problemas de reportes de clase y explorar su aplicación en temas personales.</t>
  </si>
  <si>
    <t>Los estudiantes obtienen sugerencias de depuración generadas por ChatGPT para corregir errores en su propio código</t>
  </si>
  <si>
    <t>In the first lesson, students were introduced to Gen AI through the instructor's practical demonstrations. They learned to communicate with Gen AI and write effective prompts by having Gen AI solve actual report problems in class, understanding its performance, and exploring its use in their own lives and hobbies.</t>
  </si>
  <si>
    <t>p. 4, Sección 2.1</t>
  </si>
  <si>
    <t>"students utilized ChatGPT to comprehend sample code, solve similar programming exercises, generate code snippets, and obtain debugging suggestions."</t>
  </si>
  <si>
    <t>Los estudiantes formulan prompts a ChatGPT para obtener apoyo en tareas de programación (Prompt-based Learning), comparado con una condición sin prompts estructurados (Unprompted Learning)</t>
  </si>
  <si>
    <t>Los estudiantes interactúan de manera independiente con la IAG mediante diálogos de preguntas y respuestas para comprender conceptos y códigos de programación complejos, recibiendo explicaciones y retroalimentación que luego reestructuran y parafrasean con sus propias palabras para verificar su aprendizaje.</t>
  </si>
  <si>
    <t>"explored the differential impacts of Prompt-based Learning ( PbL ) and Unprompted Learning (UL) conditions on the programming behaviors, interaction quality, and perceptions of college students."</t>
  </si>
  <si>
    <t>p. 261, secc. III.C.1</t>
  </si>
  <si>
    <t>Students independently deepened their understanding of difficult codes or concepts by engaging in a dialogue with Gen AI, asking questions, and receiving explanations, problem solutions, and feedback on their answers.</t>
  </si>
  <si>
    <t>Los estudiantes completan seis tareas de programación progresivamente más desafiantes, alternando el uso de ChatGPT como apoyo de programación</t>
  </si>
  <si>
    <t>[9]</t>
  </si>
  <si>
    <t>"Each participant completed six progressively challenging programming tasks, with the groups alternately using ChatGPT as programming support."</t>
  </si>
  <si>
    <t>Los estudiantes construyen una aplicación básica de chatbot guiados por la IAG, tomando como referencia el proceso de desarrollo demostrado previamente por el docente para crear la versión funcional mínima y posteriormente modificarla según sus preferencias.</t>
  </si>
  <si>
    <t>Los estudiantes trabajan en programación colaborativa en grupos de dos o tres, coordinando dinámicamente sus interacciones con pares, tareas y entorno, recibiendo retroalimentación de ChatGPT comparada con retroalimentación manual del instructor</t>
  </si>
  <si>
    <t>In the third lesson, students collaborated with AI to create a simple chatbot application under their guidance. The instructor demonstrated their own development process as an example.</t>
  </si>
  <si>
    <t>"had students engage in collaborative programming in groups of two or three. Students were required to dynamically adjust and coordinate their interactions with peers, programming tasks, and the collaborative environment during the process."</t>
  </si>
  <si>
    <t>PROFESSIONAL PRACTICE &gt; Group Dynamics and Psychology</t>
  </si>
  <si>
    <t>Un sistema de eLearning personalizado impulsado por ChatGPT enseña múltiples lenguajes de programación, genera contenido de aprendizaje personalizado y evalúa automáticamente los ejercicios de programación enviados por los estudiantes</t>
  </si>
  <si>
    <t>Los estudiantes desarrollan una aplicación original de programación interactuando iterativamente con la IAG mediante prompts estructurados, construyendo el código en pequeños pasos incrementales, resolviendo errores de manera conjunta y equilibrando la ejecución funcional con la explicación del código en sus propias palabras.</t>
  </si>
  <si>
    <t>[7]</t>
  </si>
  <si>
    <t>In the fourth lesson, students developed their original applications with Gen AI. In their app development, they were required to create a balance between "execution" and "understanding".</t>
  </si>
  <si>
    <t>"designed and implemented an eLearning system that can teach multiple programming languages, generate personalized learning content, and automate the assessment of programming exercises submitted by students."</t>
  </si>
  <si>
    <t>pp. 4-5, Sección 2.1 y 2.2</t>
  </si>
  <si>
    <t>p. 261, secc. III.C.3</t>
  </si>
  <si>
    <t>p15-081</t>
  </si>
  <si>
    <t>Large language models (GPT) for automating feedback on programming assignments</t>
  </si>
  <si>
    <t>ChatGPT es utilizado experimentalmente como herramienta de calificación automática de tareas de programación, revisando el código de los estudiantes y otorgando retroalimentación</t>
  </si>
  <si>
    <t>Pankiewicz &amp; Baker (2023) — "Large language models (GPT) for automating feedback on programming assignments" — arXiv:2307.00150</t>
  </si>
  <si>
    <t>Los estudiantes resuelven tareas de programación orientada a objetos en C# dentro de una plataforma de evaluación automatizada y reciben pistas personalizadas generadas por GPT-3.5 cuando su código presenta errores de compilación, ejecución o fallas en pruebas unitarias. La IA explica los errores y sugiere estrategias de depuración sin revelar la solución directa, permitiendo al estudiante iterar en sus entregas y calificar la utilidad del feedback.</t>
  </si>
  <si>
    <t>[6]</t>
  </si>
  <si>
    <t>"designed an experiment to evaluate the role of ChatGPT as a programming assignment grading tool."; "A minority of studies utilized AIGC tools for automatic grading, with ChatGPT being used to review students' code and provide intelligent feedback."</t>
  </si>
  <si>
    <t>p. 260, secc. III.B; p. 261, secc. III.C.3</t>
  </si>
  <si>
    <t>In this experimental study, we automated the process of feedback generation by employing OpenAI’s GPT-3.5 model to generate personalized hints for students solving programming assignments on an automated assessment platform.</t>
  </si>
  <si>
    <t>Comparación experimental entre un modo de programación asistido por ChatGPT y un modo de programación independiente, con grupos aleatorizados de estudiantes durante varias semanas de un curso de programación</t>
  </si>
  <si>
    <t>p15-082</t>
  </si>
  <si>
    <t>The robots are coming: Exploring the implications of openai codex on introductory programming</t>
  </si>
  <si>
    <t>[12]</t>
  </si>
  <si>
    <t>Finnie-Ansley, Denny, Becker, Luxton-Reilly, Prather (2022) — "The robots are coming: Exploring the implications of openai codex on introductory programming" — ACE</t>
  </si>
  <si>
    <t>Estudiantes utilizan Codex para generar soluciones modelo de ejercicios de programación o exámenes anteriores que carecen de soluciones oficiales, empleándolas para guiar su aprendizaje o verificar su propio código; la IAG recibe la descripción del problema en lenguaje natural y genera el código correspondiente.</t>
  </si>
  <si>
    <t>"randomly divided 82 college students into two groups, with the experimental group using a ChatGPT-assisted programming mode and the control group using an independent programming mode, to investigate the impact of ChatGPT on students' programming behaviors, performance, learning outcomes, and perceived experiences."</t>
  </si>
  <si>
    <t>T006 Pensamiento de diseño</t>
  </si>
  <si>
    <t>p. 261, secc. III.C.4</t>
  </si>
  <si>
    <t>P13</t>
  </si>
  <si>
    <t>Instructor/estudiante recibe evaluación automática y sugerencias de corrección/estilo sobre código ya escrito en tareas de programación</t>
  </si>
  <si>
    <t>Some of the exercises (or even previous years tests and exams) that are used for practice typically do not come with sample solutions, so automatically generated solutions may provide students with models that they can use for learning, or to check their own work.</t>
  </si>
  <si>
    <t>Sección 5.1, pág. 7</t>
  </si>
  <si>
    <t>Wieser et al. [9]; Balse et al. [13]; Azaiz et al. [16]</t>
  </si>
  <si>
    <t>"ChatGPT could correctly solve 97.09% of 103 Java programming exercises, with 59.22% of solutions being correct on the first attempt" [9]</t>
  </si>
  <si>
    <t>p. 31, secc. 3.3.1</t>
  </si>
  <si>
    <t>Estudiante pega su código o mensajes de error completos en ChatGPT para recibir identificación de fallas y sugerencias de corrección</t>
  </si>
  <si>
    <t>Estudiantes evalúan, comparan y refactorizan múltiples soluciones de diferente calidad y enfoques algorítmicos generadas por la IAG para desarrollar habilidades de revisión de código y juicio crítico; por su parte, Codex produce una variedad de soluciones para un mismo enunciado.</t>
  </si>
  <si>
    <t>Sun et al. [12]; da Silva et al. [8]; Jin y Kim [10]</t>
  </si>
  <si>
    <t>"over 56% of students believed ChatGPT could effectively identify and resolve bugs" [8]</t>
  </si>
  <si>
    <t>p. 32, secc. 3.3.4</t>
  </si>
  <si>
    <t>When presented as a way of generating solutions of varying quality, and alternative approaches that students are asked to evaluate, the automatically generated solutions from Codex may provide fertile ground for discussions of alternative approaches, quality of solutions, and potential for refactoring exercises.</t>
  </si>
  <si>
    <t>Sección 5.1, pág. 8</t>
  </si>
  <si>
    <t>Sistema KOGI: ChatGPT integrado en entorno Jupyter que entrega pistas de error y corrige código erróneo para apoyar la práctica autodirigida fuera de clase</t>
  </si>
  <si>
    <t>Kuramitsu et al. [14]</t>
  </si>
  <si>
    <t>"This system demonstrated ChatGPT's potential in providing hints for errors and fixing erroneous code" [14]</t>
  </si>
  <si>
    <t>Docentes utilizan Codex para generar problemas o fragmentos de código únicos e individualizados para que cada estudiante los analice durante evaluaciones supervisadas; la IAG genera código diferenciado a partir de las especificaciones del examen.</t>
  </si>
  <si>
    <t>Sistema de auto-grader existente combinado con retroalimentación generada por ChatGPT para evaluar tareas de programación</t>
  </si>
  <si>
    <t>The CS1 of the future might use tools like Codex to create unique code snippets for each student to analyse on invigilated exams; students could be provided with a window into the variety of solutions for any given problem;</t>
  </si>
  <si>
    <t>Sección 7, pág. 9</t>
  </si>
  <si>
    <t>Savelka et al. [17]</t>
  </si>
  <si>
    <t>"ChatGPT models could successfully utilize auto-grader feedback primarily designed for human learners" [17]</t>
  </si>
  <si>
    <t>p. 32, secc. 3.3.1</t>
  </si>
  <si>
    <t>Uso de ChatGPT-3 para validar tareas de programación, verificar completitud, calibrar dificultad y generar pruebas automáticas para asignaciones</t>
  </si>
  <si>
    <t>Docentes y estudiantes discuten explícitamente en clase el uso apropiado y ético de Codex y herramientas similares junto con las pautas de integridad académica del curso; la IAG actúa como el objeto de discusión analizado.</t>
  </si>
  <si>
    <t>Professional Practice</t>
  </si>
  <si>
    <t>Cipriano y Alves [21]</t>
  </si>
  <si>
    <t>"Cipriano and Alves [21] demonstrated ChatGPT-3's use in assignment validation, checking completeness, calibrating difficulty, and generating automatic tests"</t>
  </si>
  <si>
    <t>p. 33, secc. 3.3.6</t>
  </si>
  <si>
    <t>We suggest that there may be benefits from explicitly discussing the use of Codex and other similar tools in class, alongside other academic integrity guidelines.</t>
  </si>
  <si>
    <t>Sección 5.3, pág. 8</t>
  </si>
  <si>
    <t>IA genera el código de bajo nivel de un proyecto Arduino, permitiendo que el estudiante se enfoque en el diseño creativo y la resolución de problemas de alto nivel</t>
  </si>
  <si>
    <t>Lau y Guo [23]</t>
  </si>
  <si>
    <t>"students from art and design backgrounds were more motivated to engage in creative design and problem-solving when AI generated the low-level Arduino code" [23]</t>
  </si>
  <si>
    <t>Docentes emplean herramientas basadas en Codex para apoyar o automatizar la evaluación y revisión del código desarrollado por los estudiantes; la IAG analiza el código entregado por los estudiantes para asistir en su evaluación.</t>
  </si>
  <si>
    <t>p. 33, secc. 3.3.3</t>
  </si>
  <si>
    <t>ChatGPT genera plantillas de código para una tarea de clustering k-means en R, facilitando el problem-solving colaborativo entre estudiantes</t>
  </si>
  <si>
    <t>The CS1 of the future might use tools like Codex to create unique code snippets for each student to analyse on invigilated exams; students could be provided with a window into the variety of solutions for any given problem; and eventually tools like Codex may assist in automatic evaluation of student code.</t>
  </si>
  <si>
    <t>Bringula [19]</t>
  </si>
  <si>
    <t>"Bringula [19] emphasized ChatGPT's role in facilitating interactive and collaborative problem-solving, such as providing code templates for k-means clustering in R and engaging students in coding tasks"</t>
  </si>
  <si>
    <t>p15-083</t>
  </si>
  <si>
    <t>Unlocking potential with generative AI instruction: Investigating mid-level software development student perceptions, behavior, and adoption</t>
  </si>
  <si>
    <t>Gorson Benario, Marroquin, Chan, Holmes, Mejia (2025) — "Unlocking potential with generative AI instruction: Investigating mid-level software development student perceptions, behavior, and adoption" — SIGCSE</t>
  </si>
  <si>
    <t>Los instructores realizan demostraciones en vivo y dirigen ejercicios prácticos guiados en los que los estudiantes aprenden a navegar e interactuar con herramientas de IA generativa en entornos como Cloud Console y Cloudshell.</t>
  </si>
  <si>
    <t>Instructores usan IA para generar variantes nuevas de tareas de programación cada período académico, evitando que estudiantes copien respuestas de años anteriores</t>
  </si>
  <si>
    <t>Through demos and hands-on practice, instructors taught students to navigate generative AI tools within course tools and platforms, including Cloud Console and Cloudshell.</t>
  </si>
  <si>
    <t>Sección 3.2, página 3</t>
  </si>
  <si>
    <t>"instructors used AI tools to generate new variants of programming assignments each term, preventing students from copying answers from previous years" [23]</t>
  </si>
  <si>
    <t>p. 33, secc. 3.3.7</t>
  </si>
  <si>
    <t>Generación automática de ejercicios de programación y explicaciones de código con Codex para apoyar el diseño de material didáctico</t>
  </si>
  <si>
    <t>El estudiante formula consultas a la IA generativa para solicitar explicaciones sobre conceptos complejos de programación, estructuras de datos o tecnologías desconocidas, mientras la IA proporciona explicaciones detalladas y ejemplos.</t>
  </si>
  <si>
    <t>Sarsa et al. [24]</t>
  </si>
  <si>
    <t>This recent homework regarding mock tests was quite difficult for me to grasp, so I played around with ChatGPT to help me out. I first asked it to explain mocks to me, give me examples.</t>
  </si>
  <si>
    <t>"Sarsa et al. [24] also noted the ease with which novel exercises could be generated using tools like Codex, aiding instructors in brainstorming ideas quickly"</t>
  </si>
  <si>
    <t>Sección 4.2.1, páginas 3-4</t>
  </si>
  <si>
    <t>P14</t>
  </si>
  <si>
    <t>ChatGPT genera fragmentos de código (code snippets) y ofrece pistas de programación (hints) a los estudiantes mientras resuelven tareas de programación</t>
  </si>
  <si>
    <t>Da Silva et al. [16]</t>
  </si>
  <si>
    <t>El estudiante realiza ingeniería de prompts para solicitar código a la IA generativa, prueba las sugerencias en su entorno de desarrollo, ajusta manualmente los errores detectados y re-interroga iterativamente a la IA.</t>
  </si>
  <si>
    <t>"Da Silva et al. [16] explored ChatGPT's role in generating code snippets and offering programming hints, with a Likert scale questionnaire among 40 Brazilian students indicating strong support for ChatGPT's educational potential."</t>
  </si>
  <si>
    <t>p. 17, secc. 4.4.2 AI-Driven Code Generation and Assistance</t>
  </si>
  <si>
    <t>I did a bit of prompt engineering to get the AI tool to understand what I was asking it to do. With each response it gave, I tested it in my IDE and tried to preview to see the results.</t>
  </si>
  <si>
    <t>Sección 4.2.2, página 4</t>
  </si>
  <si>
    <t>KOGI integra ChatGPT dentro del entorno Jupyter para ayudar a los estudiantes a resolver errores de programación durante ejercicios de Algoritmos y Ciencia de Datos, reduciendo la cantidad de errores no resueltos</t>
  </si>
  <si>
    <t>Kuramitsu et al. [22]</t>
  </si>
  <si>
    <t>"Kuramitsu et al. [22] detailed KOGI, a system incorporating ChatGPT within Jupyter environments, significantly reducing unresolved student errors in Algorithms and Data Science courses."</t>
  </si>
  <si>
    <t>El estudiante utiliza asistentes de código basados en IA dentro de su entorno de desarrollo para autocompletar código, redactando comentarios descriptivos para guiar a la IA o aceptando sus sugerencias contextuales.</t>
  </si>
  <si>
    <t>Plataforma basada en IA que entrega experiencias de aprendizaje personalizadas en cursos de programación, adaptando el proceso educativo ante la escasez de docentes calificados</t>
  </si>
  <si>
    <t>Wu et al. [30]</t>
  </si>
  <si>
    <t>"Wu et al. [30] described an AI-based platform providing personalized learning experiences, addressing the shortage of qualified teachers, and customizing the educational process."</t>
  </si>
  <si>
    <t>I used GitHub Copilot to autocomplete part of the code, either via adding a comment to make it generate what I want or accepting its own autocompletion if it recognizes what I do.</t>
  </si>
  <si>
    <t>Sistema de eLearning personalizado impulsado por GPT que genera dinámicamente contenido personalizado y gestiona sesiones de aprendizaje para la enseñanza de lenguajes de programación</t>
  </si>
  <si>
    <t>Jin and Kim [18]</t>
  </si>
  <si>
    <t>"Jin and Kim [18] introduced a GPT-empowered eLearning system for programming languages that dynamically generated personalized content and managed eLearning sessions."</t>
  </si>
  <si>
    <t>p. 17, secc. 4.4.4 Personalized Learning and Tutoring with AI</t>
  </si>
  <si>
    <t>Los estudiantes trabajan colaborativamente en un proyecto de desarrollo de software integrando APIs de IA generativa a través de herramientas como Streamlit y Figma para construir aplicaciones.</t>
  </si>
  <si>
    <t>Técnica de tutoría de doble modelo en la que GPT-4 genera pistas de programación para tareas de codificación y GPT-3.5 valida esas pistas, integrando información simbólica proveniente de casos de prueba fallidos</t>
  </si>
  <si>
    <t>Through a project, students worked with generative AI APIs within tools such as Streamlit and Figma, gaining practical experience in integrating these tools into their software development workflow.</t>
  </si>
  <si>
    <t>Phung et al. [33]</t>
  </si>
  <si>
    <t>"Phung et al. [33] showcased a dual-model tutoring technique where ChatGPT-4 generated programming hints and ChatGPT-3.5 validated them, integrating symbolic information from failing test cases to enhance instructional quality."</t>
  </si>
  <si>
    <t>p15-084</t>
  </si>
  <si>
    <t>Understanding the impact of using generative AI tools in a database course</t>
  </si>
  <si>
    <t>Docentes utilizan retroalimentación automatizada generada por ChatGPT sobre las entregas de código de los estudiantes, incluyendo verificación de corrección, críticas y sugerencias de mejora</t>
  </si>
  <si>
    <t>Ramirez Osorio, Zavaleta Bernuy, Simion, Liut (2025) — "Understanding the impact of using generative AI tools in a database course" — SIGCSE</t>
  </si>
  <si>
    <t>Los estudiantes utilizan herramientas de IA generativa (como ChatGPT, Gemini o Claude) para consultar, analizar y comparar dos esquemas de prevención de bloqueos (Wound-Wait y Wait-Die) en una tarea de un curso de bases de datos (Assignment 3, Q5), redactando además un párrafo reflexivo sobre cómo y por qué la herramienta facilitó su aprendizaje. La IA generativa proporciona explicaciones, resúmenes y respuestas a preguntas conceptuales sobre los esquemas de prevención de bloqueos para apoyar la resolución de la tarea.</t>
  </si>
  <si>
    <t>Balse et al. [21]; Azaiz et al. [24]</t>
  </si>
  <si>
    <t>"Balse et al. [21] explored ChatGPT-3's capacity to provide feedback on 1211 student code submissions, with correctness checks achieving 57% to 79% accuracy, critiques from 41% to 77%, and suggestions scoring between 32% and 93%."; "Azaiz et al. [24] used ChatGPT-3.5 to provide automated feedback on programming assignments, identifying 73% of submissions as correct or incorrect and generating effective feedback in 59% of cases."</t>
  </si>
  <si>
    <t>p. 17, secc. 4.4.3 Assessment Review and Feedback Automation</t>
  </si>
  <si>
    <t>They were also not permitted to use any GenAI to complete their assignments, with the exception of Assignment 3 (A3) Question 5 (Q5) — a task on analyzing, discussing, and reporting on two schemes for deadlock prevention taught in the course.</t>
  </si>
  <si>
    <t>Page 2, Section 3.1 Course Setting</t>
  </si>
  <si>
    <t>OpenAI Codex se utiliza para generar ejercicios de programación y sus explicaciones asociadas, produciendo contenido novedoso y listo para usar en distintos contextos temáticos</t>
  </si>
  <si>
    <t>p21-018</t>
  </si>
  <si>
    <t>Sarsa et al. [32]</t>
  </si>
  <si>
    <t>Generative AI assistants in software development education</t>
  </si>
  <si>
    <t>p21</t>
  </si>
  <si>
    <t>"Sarsa et al. [32] highlighted OpenAI Codex's ability to create programming exercises and explanations, making novel and ready-to-use content that influenced programming concepts and thematic contexts."</t>
  </si>
  <si>
    <t>Bull &amp; Kharrufa (2024) — "Generative AI assistants in software development education" — IEEE Software</t>
  </si>
  <si>
    <t>p. 17, secc. 4.4.5 Supporting Educators and Instructional Design</t>
  </si>
  <si>
    <t>El estudiante utiliza asistentes de IA generativa para recibir explicaciones paso a paso y ejemplos resueltos o parcialmente resueltos. A través de este andamiaje, el estudiante completa los componentes faltantes de código mientras la IA reduce progresivamente su soporte.</t>
  </si>
  <si>
    <t>Se aplica un método automatizado basado en 34 características (features) de anomalías de código para detectar entregas de código asistidas por IA en cursos introductorios de programación</t>
  </si>
  <si>
    <t>Worked examples provide scaffolding by providing learners with a demonstration of how a problem is solved to complete the task using representative examples with a clear step by step explanation of the process (very similar to what ChatGPT already does, or the comments inserted by Copilot).</t>
  </si>
  <si>
    <t>p. 3, sección 3.1</t>
  </si>
  <si>
    <t>Karnalim et al. [28]</t>
  </si>
  <si>
    <t>"Karnalim et al. [28] developed a method using 34 features to detect AI-assisted code submissions, achieving an 89% precision rate."</t>
  </si>
  <si>
    <t>p. 17-18, secc. 4.4.7 Plagiarism Checking</t>
  </si>
  <si>
    <t>Instructores intentan identificar manualmente tareas de programación en Python generadas por IA entre las entregas de los estudiantes</t>
  </si>
  <si>
    <t>El estudiante resuelve problemas de programación aplicados y contextualizados de alto nivel o en proyectos propios apoyándose en herramientas de IAG. La IAG genera sugerencias o fragmentos de solución que el estudiante integra mediante un razonamiento crítico y reflexivo.</t>
  </si>
  <si>
    <t>Ellis et al. [14]</t>
  </si>
  <si>
    <t>"Ellis et al. [14] focused on instructors' ability to identify AI-generated Python programming homework, highlighting the challenges in distinguishing AI-generated work from student submissions."</t>
  </si>
  <si>
    <t>p. 18, secc. 4.4.7 Plagiarism Checking</t>
  </si>
  <si>
    <t>Changing assessments to be more context-specific helps in two ways: (1) it allows students to use GAI tools whilst still engaging in critical problem solving and creative thinking, and (2) it helps reduce the potential for GAI tools to be used for cheating (having the tool generate a full solution for you).</t>
  </si>
  <si>
    <t>p. 4, sección 3.2</t>
  </si>
  <si>
    <t>P15</t>
  </si>
  <si>
    <t>El estudiante escribe o pega un fragmento de código y pasa el cursor sobre cada línea para recibir explicaciones detalladas y en tiempo real generadas por IAG (CodeAid).</t>
  </si>
  <si>
    <t>Kazemitabaar et al. (CodeAid) [39]</t>
  </si>
  <si>
    <t>El estudiante lleva a cabo revisiones de código sobre soluciones generadas por IA generativa para examinar y verificar críticamente su corrección y calidad. La IAG produce las propuestas de código que son auditadas y evaluadas por el estudiante antes de su aceptación.</t>
  </si>
  <si>
    <t>"Students can type or paste the code they want the tool to explain. After submission, CodeAid uses GenAI to provide students with real-time comprehension support, allowing them to hover over each line of code to receive detailed explanations."</t>
  </si>
  <si>
    <t>p.7-8 (24:8), secc. 4.1.1</t>
  </si>
  <si>
    <t>Moreover, including ‘code reviews’ as a common practice early on will also equip learners with the skills to critically examine code written by others (by peers, from open-source repositories, or given as a generated answer, to eventually apply this skill to GAI generated code).</t>
  </si>
  <si>
    <t>p. 5, sección 3.3</t>
  </si>
  <si>
    <t>El estudiante/profesional resalta un fragmento de código y la IAG accede al contexto local para generar explicaciones sin que el usuario tenga que redactar un prompt.</t>
  </si>
  <si>
    <t>p21-019</t>
  </si>
  <si>
    <t>Faculty perspectives on the potential of RAG in computer science higher education</t>
  </si>
  <si>
    <t>Nam et al. (GILT) [57]</t>
  </si>
  <si>
    <t>Dakshit (2024) — "Faculty perspectives on the potential of RAG in computer science higher education" — arXiv:2408.01462</t>
  </si>
  <si>
    <t>"GILT [57] can access the user's local code context and prompt the GenAI to generate explanations for the highlighted code without requiring the user to craft prompts."</t>
  </si>
  <si>
    <t>El docente utiliza un sistema RAG entrenado con materiales del curso (diapositivas, código, fórmulas) para generar guías de estudio, quizlets y preguntas para tareas o exámenes. La IAG procesa los contenidos precargados y genera los borradores de preguntas y materiales educativos.</t>
  </si>
  <si>
    <t>In comparison, Teaching Aid is defined as aid to faculties in the generation of study guides, quizlets, and assignment or exam questions.</t>
  </si>
  <si>
    <t>El estudiante recibe explicaciones ancladas y en múltiples niveles de detalle sobre código generado por IAG mientras completa tareas de programación (Ivie).</t>
  </si>
  <si>
    <t>Yan et al. (Ivie) [100]</t>
  </si>
  <si>
    <t>"programmers answered 90.2% of comprehension questions correctly with Ivie... versus 65.0% with a baseline GPT-based in-editor chatbot"</t>
  </si>
  <si>
    <t>p.18 (24:18), secc. 4.3.1</t>
  </si>
  <si>
    <t>El estudiante consulta a un asistente virtual RAG para resolver dudas sobre los contenidos de la asignatura y recibir apoyo en la realización de tareas. La IAG responde preguntas del alumnado restringiéndose a la información recuperada de los materiales oficiales del curso.</t>
  </si>
  <si>
    <t>El desarrollador edita resúmenes multinivel del código generados por IAG según su intención, y usa esos resúmenes editados como prompts para que la IAG refactorice código insatisfactorio.</t>
  </si>
  <si>
    <t>For our purposes, we defined the Teaching Assistant as an aid to faculty members in answering questions commonly asked by students.</t>
  </si>
  <si>
    <t>Tang [86]</t>
  </si>
  <si>
    <t>"Tang [86] developed a JetBrains plugin to enhance developers' understanding of GenAI-generated code through multi-level summarization. Developers can then edit these summaries based on their intent and use the edited summaries as prompts for the GenAI to refactor unsatisfactory code."</t>
  </si>
  <si>
    <t>p.8-9 (24:9), secc. 4.1.1</t>
  </si>
  <si>
    <t>p21-020</t>
  </si>
  <si>
    <t>Towards integrating emerging AI applications in SE education</t>
  </si>
  <si>
    <t>El estudiante/desarrollador recibe explicaciones y sugerencias de corrección generadas por IAG a partir del código erróneo y el mensaje de error del compilador/runtime, para apoyar la depuración.</t>
  </si>
  <si>
    <t>Vierhauser, Groher, Antensteiner, Sauerwein (2024) — "Towards integrating emerging AI applications in SE education" — CSEE&amp;T</t>
  </si>
  <si>
    <t>Docentes proporcionan a un modelo de lenguaje (LLM) un modelo de competencias (como CS2023) junto con el contexto de la asignatura; la IAG genera un conjunto diversificado de ejercicios de programación alineados con dichas competencias, crea casos de prueba específicos para evaluarlas y ayuda a identificar vacíos o competencias no cubiertas en las asignaciones.</t>
  </si>
  <si>
    <t>Leinonen et al. [47]; Balse et al. [7]; Kang et al. (AutoFL) [37]; Taylor et al. (DocHelp) [88]; Santos &amp; Becker [76,77]; Amburle et al. [5]</t>
  </si>
  <si>
    <t>"GenAI models (e.g., Codex and GPT-4) can generate explanations for PEMs that are more comprehensible than the original messages, even though the issues they highlight vary depending on the error type and available code context [37, 47, 77, 88]."</t>
  </si>
  <si>
    <t>p.20 (24:20), secc. 4.3.1</t>
  </si>
  <si>
    <t>Particularly taking into account competency-based education, which is also reflected in the most recent 2023 ACM curriculum guidelines, with a dedicated competency model, LLMs could be used in this context. First, to create a set of tasks that covers certain competencies, e.g., specified in a competency model, but also to generate specific test cases that cover/check the achievement of certain competencies, and even provide support for assigning assignments and identifying gaps in missing competences or tasks that exceed what students should be able to accomplish as part of an assignment.</t>
  </si>
  <si>
    <t>Sección 4, Direction I, p. 5</t>
  </si>
  <si>
    <t>El desarrollador recorre un "code tour" generado por IAG que extrae los stack traces de pruebas fallidas y produce explicaciones concisas, paso a paso, de cada segmento de código relevante.</t>
  </si>
  <si>
    <t>Visitas guiadas</t>
  </si>
  <si>
    <t>p21-021</t>
  </si>
  <si>
    <t>Balfroid et al. [6]</t>
  </si>
  <si>
    <t>Exploring the potential use of generative AI in software engineering education</t>
  </si>
  <si>
    <t>"they extract stack traces from failing tests and prompt the model to generate concise, step-by-step explanations for each relevant code segment, with the aim of enhancing developers' ability to quickly identify and resolve issues."</t>
  </si>
  <si>
    <t>Yabaku, Pombo, Ouhbi (2024) — "Exploring the potential use of generative AI in software engineering education" — AICT</t>
  </si>
  <si>
    <t>p.12 (24:12), secc. 4.1.1</t>
  </si>
  <si>
    <t>T100</t>
  </si>
  <si>
    <t>El estudiante explica en lenguaje natural el propósito de un fragmento de código dado; esa explicación se introduce en un LLM para generar código y verificar si coincide con el original, como forma de evaluar y reforzar la comprensión del estudiante.</t>
  </si>
  <si>
    <t>Denny et al. [19]; Smith et al. [82]</t>
  </si>
  <si>
    <t>p21-086</t>
  </si>
  <si>
    <t>"students were asked to explain a given code snippet. Their explanations were then input into an LLM to determine whether the generated code matched the original."</t>
  </si>
  <si>
    <t>Generative AI and CS education</t>
  </si>
  <si>
    <t>p.12 (24:12), secc. 4.1.2</t>
  </si>
  <si>
    <t>Johnson (2024) — "Generative AI and CS education" — Communications of the ACM</t>
  </si>
  <si>
    <t>El estudiante utiliza IAG para generar analogías personales o culturalmente relevantes que le ayuden a comprender funciones de recursión.</t>
  </si>
  <si>
    <t>Bernstein et al. [9]</t>
  </si>
  <si>
    <t>"Bernstein et al. [9] explored whether students could use GenAI to generate analogies to help them understand recursion functions." / "only 63.1% of students... could successfully generate analogy-based explanations"</t>
  </si>
  <si>
    <t>p.13 (24:13), secc. 4.1.2; p.21 (24:21), secc. 4.3.2</t>
  </si>
  <si>
    <t>p29-051</t>
  </si>
  <si>
    <t>AI-Enhanced Auto-Correction of Programming Exercises: How Effective is GPT-3.5?</t>
  </si>
  <si>
    <t>p29</t>
  </si>
  <si>
    <t>El desarrollador/científico de datos combina resúmenes de código generados automáticamente por IAG con refinamiento manual propio (co-creación humano-IA) para producir documentación de código en notebooks.</t>
  </si>
  <si>
    <t>Azaiz, Deckarm, Strickroth (2023) — "AI-Enhanced Auto-Correction of Programming Exercises: How Effective is GPT-3.5?" — Int. J. Eng. Ped.</t>
  </si>
  <si>
    <t>El docente o sistema de e-assessment envía las instrucciones del ejercicio de programación y la solución del estudiante a GPT-3.5 para generar retroalimentación formativa automatizada, incluyendo identificación y localización de errores, pistas de corrección y sugerencias de estilo de código.</t>
  </si>
  <si>
    <t>Wang et al. (Themisto) [93]</t>
  </si>
  <si>
    <t>"combining deep-learning-based and query-based documentation methods (i.e., a human–AI co-creation approach) significantly improved developers' productivity and their ability to understand unfamiliar code and APIs despite some of the generated explanations being vague and inaccurate"</t>
  </si>
  <si>
    <t>p.22 (24:22), secc. 4.3.4</t>
  </si>
  <si>
    <t>This study explores the advantages of an AI-assisted approach in introductory programming education, where assignment instructions and student solutions are sent to GPT-3.5 to obtain tailored feedback at scale.</t>
  </si>
  <si>
    <t>p. 68, sección 1</t>
  </si>
  <si>
    <t>T007 Preguntas y premios</t>
  </si>
  <si>
    <t>Se generan cómics ilustrativos del código fuente mediante un modelo de generación de imágenes (Stable Diffusion) con el objetivo de hacer la estructura del software más comprensible, especialmente para novatos.</t>
  </si>
  <si>
    <t>p29-052</t>
  </si>
  <si>
    <t>Investigating the Potential of GPT-3 in Providing Feedback for Programming Assessments</t>
  </si>
  <si>
    <t>Balse, Valaboju, Singhal, Warriem, Prasad (2023) — "Investigating the Potential of GPT-3 in Providing Feedback for Programming Assessments" — ITiCSE</t>
  </si>
  <si>
    <t>Historieta</t>
  </si>
  <si>
    <t>Heidrich &amp; Schreiber [31]</t>
  </si>
  <si>
    <t>"Heidrich and Schreiber [31] employed Stable Diffusion [72] to generate comics illustrating source code, with the goal of making the software structure more comprehensible and easier to understand."</t>
  </si>
  <si>
    <t>p.14 (24:14), secc. 4.1.5</t>
  </si>
  <si>
    <t>T024</t>
  </si>
  <si>
    <t>El estudiante entrega su código y GPT-4 evalúa automáticamente su comprensión conceptual, corrección sintáctica y complejidad temporal, generando retroalimentación formativa escalonada (tiered).</t>
  </si>
  <si>
    <t>p29-053</t>
  </si>
  <si>
    <t>GPT-3 vs Object Oriented Programming Assignments: An Experience Report</t>
  </si>
  <si>
    <t>Nguyen &amp; Allan [60]</t>
  </si>
  <si>
    <t>Cipriano &amp; Alves (2023) — "GPT-3 vs Object Oriented Programming Assignments: An Experience Report" — ITiCSE</t>
  </si>
  <si>
    <t>"GPT-4 correctly assessed students' submissions on conceptual understanding (92.04%), syntax (89.38%), and time complexity (90.27%)."</t>
  </si>
  <si>
    <t>El docente integra GPT-3 en el aula para enseñar a los estudiantes a evaluar críticamente el código generado por la IAG y guiar a la herramienta mediante prompts orientados a obtener soluciones con diseño orientado a objetos de mayor calidad.</t>
  </si>
  <si>
    <t>p.19 (24:19), secc. 4.3.1</t>
  </si>
  <si>
    <t>El desarrollador utiliza una herramienta de extracción de conocimiento basada en ML que identifica APIs comparables y oraciones explicativas de Stack Overflow, para comprender mejor APIs desconocidas, reduciendo el número de búsquedas y páginas web visitadas.</t>
  </si>
  <si>
    <t>Sesión bibliográfica</t>
  </si>
  <si>
    <t>Embrace GPT-3 into your classroom, teaching students how to critically evaluate its solutions and to guide it towards higher quality code.</t>
  </si>
  <si>
    <t>Sección 8.2, página 6</t>
  </si>
  <si>
    <t>Nam et al. (SOREL) [58]</t>
  </si>
  <si>
    <t>"Nam et al. [58] computed multiple objective variables—including task completion time, number of search queries issued, number of web pages visited, and solution correctness—to gauge the impact of AI-enhanced code documentation."</t>
  </si>
  <si>
    <t>p.16 (24:16), secc. 4.2.1</t>
  </si>
  <si>
    <t>T073</t>
  </si>
  <si>
    <t>P16</t>
  </si>
  <si>
    <t>El docente utiliza GPT-3 introduciendo los enunciados de las tareas de programación para verificar su completitud, identificar requisitos u omisiones en el texto y calibrar el nivel de dificultad del ejercicio.</t>
  </si>
  <si>
    <t>El estudiante entrega una tarea de programación y recibe retroalimentación instantánea sobre errores sintácticos y conceptuales, generada y calibrada por el nivel de comprensión del estudiante</t>
  </si>
  <si>
    <t>GPT-3 can be used for assignment validation, both to check for completeness (as demonstrated by one of our examples, where GPT-3 did not create two "toString()" functions because they were missing from the assignment's description), as well as to calibrate the assignment's difficulty.</t>
  </si>
  <si>
    <t>"Studies by [23] demonstrated that GPT-4 outperforms open source models in term of feedback accuracy and pedagogical value."</t>
  </si>
  <si>
    <t>Sección 8.1, página 6</t>
  </si>
  <si>
    <t>p.113453, Sec. IV-A-1</t>
  </si>
  <si>
    <t>El estudiante resuelve un ejercicio de programación introductoria recibiendo pistas incrementales (next-step hints) en lugar de la solución completa, comparado contra retroalimentación tradicional del instructor</t>
  </si>
  <si>
    <t>El docente suministra una clase de código a GPT-3 y le solicita la generación automática de pruebas unitarias para ser empleadas en la evaluación de tareas de programación.</t>
  </si>
  <si>
    <t>"[10] compared the effectiveness of LLM-generated hints with traditional instructor feedback in introductory programming assignments, measuring engagement, time to task completion, and overall learning improvements."</t>
  </si>
  <si>
    <t>p.113456, Sec. V-C-3</t>
  </si>
  <si>
    <t>Se recomienda que el estudiante reciba pistas de forma progresiva en lugar de respuestas directas, analizando el problema de forma independiente antes de ver la solución completa</t>
  </si>
  <si>
    <t>It can also be used to generate automatic tests for assignments. We performed such an experience, supplying it with a simple class and asking it to create some unit tests for that class.</t>
  </si>
  <si>
    <t>"Progressive disclosure of hints: rather than providing direct answers, llms should guide students through incremental hints, encouraging them to analyze the problem independently before revealing the full solution [33]."</t>
  </si>
  <si>
    <t>p.113457, Sec. V-D-3</t>
  </si>
  <si>
    <t>p29-054</t>
  </si>
  <si>
    <t>My AI Wants to Know if This Will Be on the Exam: Testing OpenAI's Codex on CS2 Programming Exercises</t>
  </si>
  <si>
    <t>Finnie-Ansley, Denny, Luxton-Reilly, Santos, Prather, Becker (2023) — "My AI Wants to Know if This Will Be on the Exam: Testing OpenAI's Codex on CS2 Programming Exercises" — ACE</t>
  </si>
  <si>
    <t>El estudiante recibe una corrección automática de bugs sintácticos y semánticos en su código Python (PyDex/Codex), junto con explicaciones de por qué el código falla</t>
  </si>
  <si>
    <t>"Tools such as PyDex, described by [8], showed that LLMs such as Codex are more effective than traditional repair tools in fixing syntactic and semantic errors. By providing immediate bug fixes along with explanations, these systems help students to better understand why their code fails"</t>
  </si>
  <si>
    <t>p.113454, Sec. IV-A-3</t>
  </si>
  <si>
    <t>p29-055</t>
  </si>
  <si>
    <t>KOGI: A Seamless Integration of ChatGPT into Jupyter Environments for Programming Education</t>
  </si>
  <si>
    <t>El estudiante depura su código apoyado por InferFix (reparación automática de programas basada en LLM) en lugar de depuración manual</t>
  </si>
  <si>
    <t>Kuramitsu, Obara, Sato, Obara (2023) — "KOGI: A Seamless Integration of ChatGPT into Jupyter Environments for Programming Education" — SPLASH-E</t>
  </si>
  <si>
    <t>El estudiante ejecuta su código en un entorno Jupyter y, al surgir un error de ejecución, envía una consulta de ayuda (como "¿Qué debo hacer?") en la interfaz de chat de KOGI para recibir pistas explicativas de ChatGPT que diagnostiquen la causa y lo orienten a corregir el problema.</t>
  </si>
  <si>
    <t>"students using InferFix, an LLM-based program repair tool, completed tasks 20% faster than those relying on manual debugging."</t>
  </si>
  <si>
    <t>p.113450, Introducción</t>
  </si>
  <si>
    <t>Using KOGI, students can send a help request to ChatGPT when error messages are displayed. Runtime data extracted from the Jupyter kernel makes ChatGPT's response more accurate.</t>
  </si>
  <si>
    <t>Sección 1, pág. 1; Sección 4.1, págs. 4-5; Sección 5.3, pág. 7</t>
  </si>
  <si>
    <t>El estudiante interactúa con Tutorly, que convierte videos tutoriales estáticos de programación en un entorno de aprendizaje interactivo tipo apprenticeship con retroalimentación en tiempo real ajustada a sus necesidades</t>
  </si>
  <si>
    <t>"developed the Tutorly system, which transformed static programming tutorials into interactive learning environments, allowing students to receive real-time feedback tailored to their needs."</t>
  </si>
  <si>
    <t>p.113450, Introducción; p.113454, Sec. IV-A-2</t>
  </si>
  <si>
    <t>Durante la realización de actividades de programación en Jupyter, el estudiante consulta el significado de términos técnicos o conceptos no aprendidos (por ejemplo, "¿Qué es iterable?") enviando la pregunta a KOGI, el cual responde con una explicación concisa adaptada para principiantes.</t>
  </si>
  <si>
    <t>El estudiante de un curso CS1 recibe instrucción adaptativa mediante prompts personalizados a través de ChatGPT, ajustada a su progreso</t>
  </si>
  <si>
    <t>In KOGI, the students are allowed to ask the meaning of such an unknown term by submitting "What is iterable?" KOGI will answer the explanation of "iterable" as concisely as possible.</t>
  </si>
  <si>
    <t>Sección 4.2.1, pág. 5; Sección 5.2, pág. 6</t>
  </si>
  <si>
    <t>"[7] also demonstrated that feedback personalization through the ChatGPT increased engagement and improved learning outcomes."</t>
  </si>
  <si>
    <t>p.113454, Sec. IV-A-2</t>
  </si>
  <si>
    <t>El estudiante recibe soporte y retroalimentación en clases de programación a través de CodeHelp, una herramienta con "guardrails" que mantiene consistencia y calidad a escala</t>
  </si>
  <si>
    <t>Cuando el estudiante no logra solucionar un error complejo o desconoce la sintaxis o parámetros específicos, solicita la corrección o modificación directa del código escribiendo "fix the code" o indicando instrucciones en lenguaje natural en los parámetros para obtener el código funcional correcto.</t>
  </si>
  <si>
    <t>"To ensure that the feedback remains accurate and reliable on the scale, guardrails are implemented to maintain consistency and quality [9]."</t>
  </si>
  <si>
    <t>p.113455, Sec. IV-B-3</t>
  </si>
  <si>
    <t>Accordingly, asking KOGI to "fix the code" can often correct erroneous code. ... In these situations, KOGI allows them to express the uncertain part of the code in natural language and execute it.</t>
  </si>
  <si>
    <t>Sección 4.2.2, págs. 5-6; Sección 5.2, págs. 6-7</t>
  </si>
  <si>
    <t>El estudiante de un MOOC de programación a gran escala recibe retroalimentación propagada y refinada a partir de interacciones previas de otros estudiantes</t>
  </si>
  <si>
    <t>"these models facilitate the propagation of feedback in massive open online courses (MOOCs), allowing efficient support for large-scale programming courses and ensuring that students receive timely actionable insights [23]."</t>
  </si>
  <si>
    <t>El estudiante escribe una indicación en lenguaje natural al inicio de una celda de código (por ejemplo, "give me Python comment"), generando intencionalmente un error de sintaxis que KOGI interpreta como un prompt directo para retornar el código documentado línea por línea con comentarios explicativos.</t>
  </si>
  <si>
    <t>El estudiante resuelve problemas de Parsons (armado de bloques de código) con soluciones generadas por LLM, evaluadas en un experimento controlado por exactitud y corrección</t>
  </si>
  <si>
    <t>KOGI is designed to interpret an error at the top of a code cell as a user prompt. This makes it easier to write prompts for explaining and commenting the code since the occurrence of errors is not required.</t>
  </si>
  <si>
    <t>Sección 4.3, pág. 6; Sección 5.2, pág. 7</t>
  </si>
  <si>
    <t>[28]</t>
  </si>
  <si>
    <t>"[28] tested LLM models to solve Parsons problems, measured the accuracy and correctness of the generated solutions and analyze the results through controlled testing environments."</t>
  </si>
  <si>
    <t>p.113456, Sec. V-C-5</t>
  </si>
  <si>
    <t>p29-056</t>
  </si>
  <si>
    <t>From 'Ban It Till We Understand It' to 'Resistance is Futile': How University Programming Instructors Plan to Adapt...</t>
  </si>
  <si>
    <t>El estudiante realiza tareas de programación concurrente y recibe retroalimentación generada por LLM sobre tareas complejas de este tipo</t>
  </si>
  <si>
    <t>Lau &amp; Guo (2023) — "From 'Ban It Till We Understand It' to 'Resistance is Futile': How University Programming Instructors Plan to Adapt..." — ICER</t>
  </si>
  <si>
    <t>El estudiante utiliza ChatGPT para resolver un problema de programación y entrega la transcripción del chat anotada con sus reflexiones, mientras la IAG genera las soluciones de código en respuesta a sus solicitudes.</t>
  </si>
  <si>
    <t>[30]</t>
  </si>
  <si>
    <t>"LLMs have also been evaluated for their ability to generate feedback in complex tasks such as concurrent programming assignments, demonstrating their utility in handling advanced topics [30]."</t>
  </si>
  <si>
    <t>p.113455, Sec. IV-B-7</t>
  </si>
  <si>
    <t>P1 added an optional exercise where students use ChatGPT to solve a programming problem and turn in a chat transcript annotated with their reflections.</t>
  </si>
  <si>
    <t>Página 7, Sección 5.2</t>
  </si>
  <si>
    <t>Niños aprenden programación visual de forma autónoma usando Chatscratch, con retroalimentación en tiempo real en un entorno visual dinámico</t>
  </si>
  <si>
    <t>Revisiones fila 16 (P02); Revisiones fila 22 (P04); Revisiones fila 23 (P04)</t>
  </si>
  <si>
    <t>[31]</t>
  </si>
  <si>
    <t>"[31] conducted a case study in which an LLM-powered tool was applied to learning of visual programming for children, assessing improvements in real-time feedback and task completion rates."</t>
  </si>
  <si>
    <t>p.113456, Sec. V-C-2</t>
  </si>
  <si>
    <t>El docente realiza una demostración en vivo introduciendo problemas de tareas anteriores en ChatGPT, y los estudiantes analizan y critican colectivamente el código generado por la IA para evaluar sus fortalezas y debilidades.</t>
  </si>
  <si>
    <t>El estudiante articula por escrito o verbalmente su razonamiento al incorporar una sugerencia generada por el LLM, para reforzar su comprensión conceptual</t>
  </si>
  <si>
    <t>P7 showed a live coding demo in class where he copied in homework questions from a prior term into ChatGPT and asked his class to critique the AI-generated code to assess its strengths and weaknesses.</t>
  </si>
  <si>
    <t>"Self-explanation prompts: students to articulate their reasoning when incorporating LLM-generated suggestions to reinforce their conceptual understanding [5]."</t>
  </si>
  <si>
    <t>El estudiante compara la retroalimentación automatizada con discusiones de pares y observaciones del instructor, combinando revisión humana con retroalimentación de IA para validar su aprendizaje</t>
  </si>
  <si>
    <t>El estudiante realiza un examen práctico de programación para llevar a casa utilizando cualquier herramienta de IA que desee y redacta una reflexión sobre su experiencia, mientras la IAG genera sugerencias o código de apoyo.</t>
  </si>
  <si>
    <t>"combination of peer and instructor review: Integrating human review mechanisms where students can compare automated feedback with peer discussions and instructor insights to validate learning [30]."</t>
  </si>
  <si>
    <t>Then she let students use any AI tool they wanted on a take-home coding exam and reflect on their experiences.</t>
  </si>
  <si>
    <t>Se ajusta dinámicamente la dificultad de los ejercicios de programación que resuelve el estudiante según su nivel de competencia, para desarrollar resiliencia en la resolución de problemas</t>
  </si>
  <si>
    <t>"Adaptive challenge levels: dynamically adjusting the difficulty of programming exercises based on student proficiency to ensure that they develop problem-solving resilience [14]."</t>
  </si>
  <si>
    <t>El estudiante solicita a la IAG explicaciones paso a paso de cómo funciona su código o conceptos teóricos bajo demanda, y la IA genera explicaciones contextualizadas y ejercicios adicionales de práctica.</t>
  </si>
  <si>
    <t>El estudiante de un curso introductorio de ciencias de la computación recibe asistencia conversacional en tiempo real de un LLM para resolver desafíos de codificación</t>
  </si>
  <si>
    <t>[29]</t>
  </si>
  <si>
    <t>P12, P15, and P17 were excited that by doing some prompt engineering one could use AI tools to explain step-by-step how code works, teach relevant concepts on-demand within the context of each student's code, and create extra exercises for students who want more practice.</t>
  </si>
  <si>
    <t>Página 9, Sección 5.4</t>
  </si>
  <si>
    <t>"LLM-powered conversational tools offer real-time assistance and guidance, making it easier for learners to navigate challenges in their coding tasks [29]."</t>
  </si>
  <si>
    <t>p.113455, Sec. IV-B-5</t>
  </si>
  <si>
    <t>Se identifica a estudiantes con dificultades en programación mediante analítica de aprendizaje combinada con intervenciones de retroalimentación de LLM, y se les brinda apoyo dirigido</t>
  </si>
  <si>
    <t>El docente utiliza la IAG para generar automáticamente nuevas variantes de tareas de programación y ejercicios de práctica, mientras la IA produce múltiples candidatos de ejercicios para seleccionar los más adecuados.</t>
  </si>
  <si>
    <t>[16]</t>
  </si>
  <si>
    <t>"Learning analytics combined with LLM feedback interventions help identify and support learners who face difficulties, providing targeted help to improve their performance [16]."</t>
  </si>
  <si>
    <t>P14 has already been using AI tools to generate new variants of his programming assignments. He is doing this so that he can create fresh new variants each term to prevent students from copying the answers from friends who took his course in prior terms.</t>
  </si>
  <si>
    <t>P17</t>
  </si>
  <si>
    <t>Estudiante usa PyTutor, un sistema tutor inteligente basado en ChatGPT, como apoyo guiado durante el aprendizaje de programación en Python a lo largo del curso</t>
  </si>
  <si>
    <t>Yang et al. (2024)</t>
  </si>
  <si>
    <t>"Yang, A. C., Lin, J. Y., Lin, C. Y., &amp; Ogata, H. (2024). Enhancing python learning with PyTutor: Efficacy of a ChatGPT-Based intelligent tutoring system in programming education."</t>
  </si>
  <si>
    <t>p.185, Reference list of studies analyzed in the research</t>
  </si>
  <si>
    <t>El estudiante lee, analiza críticamente, evalúa y edita código producido por herramientas de IA para verificar su corrección y alineación con las especificaciones, mientras la IAG genera las propuestas iniciales de código.</t>
  </si>
  <si>
    <t>Estudiante solicita ayuda a CodeHelp, un asistente basado en LLM con barreras de contención ("guardrails") que entrega apoyo escalonado sin revelar la solución completa, durante actividades de programación en clase</t>
  </si>
  <si>
    <t>Analizar</t>
  </si>
  <si>
    <t>P9, P14, and P15 propose to shift introductory computing courses more toward reading and critiquing code rather than simply writing code.</t>
  </si>
  <si>
    <t>Páginas 9-10, Sección 5.4</t>
  </si>
  <si>
    <t>Liffiton et al. (2024); Sheese et al. (2024)</t>
  </si>
  <si>
    <t>"Liffiton, M., Sheese, B. E., Savelka, J., &amp; Denny, P. (2024). CodeHelp: Using large language models with guardrails for scalable support in programming classes."</t>
  </si>
  <si>
    <t>p.184, Reference list of studies analyzed in the research</t>
  </si>
  <si>
    <t>El estudiante diseña proyectos abiertos o prototipos de software y utiliza la IAG para generar código base o de soporte, mientras la IA sintetiza el código según las especificaciones del estudiante.</t>
  </si>
  <si>
    <t>Estudiante recibe y aplica pistas ("hints") generadas por GPT para interpretar y corregir errores del compilador durante un curso introductorio de programación</t>
  </si>
  <si>
    <t>P2, P3, P11, P12, P15, and P19 were excited about the prospect of making more open-ended design-based assignments as early as CS1/CS2 rather than waiting until more advanced courses.</t>
  </si>
  <si>
    <t>Pankiewicz &amp; Baker (2024)</t>
  </si>
  <si>
    <t>Página 10, Sección 5.4</t>
  </si>
  <si>
    <t>"Pankiewicz, M., &amp; Baker, R. S. (2024). Navigating compiler errors with AI assistance: A study of GPT hints in an introductory programming course."</t>
  </si>
  <si>
    <t>El estudiante asume el rol de cliente especificando en lenguaje natural los requerimientos de un algoritmo, prueba el código generado por la IAG y le proporciona retroalimentación iterativa para corregir la solución.</t>
  </si>
  <si>
    <t>Requirements</t>
  </si>
  <si>
    <t>Estudiante escribe código de forma conjunta ("co-coding") con una IA generativa dentro de un contexto de programación creativa, alternando aportes propios y sugerencias de la IA</t>
  </si>
  <si>
    <t>P11 and P12 both proposed algorithm design problems where the student would assume the role of a 'client' and specify what they wanted to make in English. Then the AI would generate code, and the student would test and critique it and pass it back to the AI for the next round of iteration.</t>
  </si>
  <si>
    <t>Jonsson &amp; Tholander (2022)</t>
  </si>
  <si>
    <t>"Jonsson, M., &amp; Tholander, J. (2022). Cracking the code: Co-coding with AI in creative programming education."</t>
  </si>
  <si>
    <t>En parejas, los estudiantes resuelven una tarea de programación, solicitan a la IAG que genere una solución para la misma tarea, y luego discuten y comparan la solución humana con la producida por la IA.</t>
  </si>
  <si>
    <t>Estudiante participa en una sesión de instrucción por pares en la que ChatGPT actúa como "par virtual" que confronta y cuestiona las respuestas del estudiante para desafiar su sesgo de confirmación sobre conceptos de programación</t>
  </si>
  <si>
    <t>Debate</t>
  </si>
  <si>
    <t>Dos Santos &amp; Cury (2023)</t>
  </si>
  <si>
    <t>P8 proposed a variation of the think-pair-share classroom activity where a pair of students would try to solve a programming task and then prompt an AI to solve it. Then each pair would discuss how their human solutions compare to the AI solution.</t>
  </si>
  <si>
    <t>"Dos Santos, O. L., &amp; Cury, D. (2023). Challenging the confirmation bias: Using ChatGPT as a virtual peer for peer instruction in computer programming education."</t>
  </si>
  <si>
    <t>p.184-185, Reference list of studies analyzed in the research</t>
  </si>
  <si>
    <t>T033</t>
  </si>
  <si>
    <t>Estudiante escribe código con asistencia de ChatGPT y posteriormente el código producido es examinado mediante análisis estático para verificar limpieza, legibilidad y apego a convenciones de codificación</t>
  </si>
  <si>
    <t>El estudiante realiza un examen en el que la IAG genera los problemas a resolver y proporciona aclaraciones u orientación interactiva a las preguntas del estudiante durante la prueba.</t>
  </si>
  <si>
    <t>Haindl &amp; Weinberger (2024)</t>
  </si>
  <si>
    <t>"Does ChatGPT help novice programmers write better code? Results from static code analysis."; "They help students produce cleaner code, follow programming conventions, and better understand abstract coding concepts (Denny et al., 2024b; Haindl &amp; Weinberger, 2024; Ma, Chen &amp; Konomi, 2024; Rocha et al., 2024)"</t>
  </si>
  <si>
    <t>P19 proposed this sort of collaboration even during exams: AI could generate problems for the student to solve and then help the student along when prompted with clarifying questions.</t>
  </si>
  <si>
    <t>p.185, Reference list; p.181, secc. Discussion, Conclusion and Suggestions</t>
  </si>
  <si>
    <t>Snowballing fila 172 (p49-026)</t>
  </si>
  <si>
    <t>p29-057</t>
  </si>
  <si>
    <t>ChatGPT, Can You Generate Solutions for my Coding Exercises?</t>
  </si>
  <si>
    <t>Se recomienda incorporar formación explícita en ingeniería de prompts para que los estudiantes aprendan a formular instrucciones efectivas a la IAG y mejorar su desempeño en tareas de programación</t>
  </si>
  <si>
    <t>Ouh, Gan, Jin Shim, Wlodkowski (2023) — "ChatGPT, Can You Generate Solutions for my Coding Exercises?" — ITiCSE</t>
  </si>
  <si>
    <t>El estudiante consulta a ChatGPT de forma autónoma para depurar errores de código Java, solicitar orientación sobre problemas lógicos o de excepciones, explorar soluciones alternativas más eficientes y evaluar críticamente la precisión de las respuestas generadas. La IAG analiza peticiones en texto y genera explicaciones, propuestas de corrección de errores y versiones optimizadas del código.</t>
  </si>
  <si>
    <t>"One area that remains underexplored is the role of prompt engineering in shaping students' programming performance. Future research focusing on this topic could yield valuable insights and contribute to the refinement of Gen-AI-supported educational practices."</t>
  </si>
  <si>
    <t>p.182, secc. Discussion, Conclusion and Suggestions</t>
  </si>
  <si>
    <t>ChatGPT serves as a valuable resource for students in code debugging. Although assistance from instructors and peers remains helpful, ChatGPT can augment students’ self-directed learning abilities by allowing them to independently seek solutions and explore alternative methods.</t>
  </si>
  <si>
    <t>Section 5, Pages 5-6</t>
  </si>
  <si>
    <t>Estudiante utiliza una herramienta basada en procesamiento de lenguaje natural (NLP) para generar o asistir la escritura de código de programación de microcontroladores (Micro C)</t>
  </si>
  <si>
    <t>T008 Resumen</t>
  </si>
  <si>
    <t>Revisiones fila 32 (P06)</t>
  </si>
  <si>
    <t>Rocha et al. (2024)</t>
  </si>
  <si>
    <t>"Rocha, A., Sousa, L., Alves, M., &amp; Sousa, A. (2024). The underlying potential of NLP for microcontroller programming education."</t>
  </si>
  <si>
    <t>El estudiante interactúa con tutoriales de programación en video integrados con ChatGPT para recibir asistencia contextualizada e inmediata sobre desafíos de codificación, como errores de lógica o manejo de excepciones. La IAG actúa como un asistente automatizado dentro del entorno de videotutoriales, ofreciendo explicaciones y guía sobre los problemas de programación.</t>
  </si>
  <si>
    <t>P18</t>
  </si>
  <si>
    <t>Estudiantes resuelven Parsons puzzles generados por GPT-4 con dificultad progresiva y prompts reflexivos para reforzar lógica de programación y depuración</t>
  </si>
  <si>
    <t>Our future plan involves integrating ChatGPT into our existing video-based programming tutorials, allowing students to receive timely guidance on programming challenges such as coding exceptions or logic issues.</t>
  </si>
  <si>
    <t>Section 6, Page 6</t>
  </si>
  <si>
    <t>Hou et al. (2024)</t>
  </si>
  <si>
    <t>"Generate adaptive Parsons puzzles to scaffold programming logic and debugging skills... Students not only preferred these adaptive systems but also demonstrated stronger conceptual retention"</t>
  </si>
  <si>
    <t>Tabla 10; secc. 4.6.2</t>
  </si>
  <si>
    <t>El estudiante o docente utiliza ChatGPT para sintetizar y resumir los comentarios y explicaciones brindados en publicaciones e hilos de StackOverflow sobre temas específicos de programación, facilitando la búsqueda rápida de ayuda. La IAG procesa y condensa las discusiones de StackOverflow para generar resúmenes con las soluciones clave.</t>
  </si>
  <si>
    <t>Snowballing fila 175 (p59-028); Snowballing fila 176 (p59-028); Snowballing fila 177 (p59-028)</t>
  </si>
  <si>
    <t>T008</t>
  </si>
  <si>
    <t>Resumen</t>
  </si>
  <si>
    <t>Estudiantes reciben pistas estructuradas y retroalimentación guiada de GPT-4 con salida restringida para resolver problemas de programación sin obtener la solución completa</t>
  </si>
  <si>
    <t>Additionally, we aim to utilize ChatGPT for summarizing assistance provided by comments in the StackOverflow postings, enabling students to quickly find help on specific topics.</t>
  </si>
  <si>
    <t>"personalized guidance targeted students' specific problem areas, leading to measurable gains in accuracy, confidence, and overall performance"</t>
  </si>
  <si>
    <t>secc. 4.6.2; Tabla 10</t>
  </si>
  <si>
    <t>p29-058</t>
  </si>
  <si>
    <t>Automatic Generation of Programming Exercises and Code Explanations Using Large Language Models</t>
  </si>
  <si>
    <t>Sarsa, Denny, Hellas, Leinonen (2022) — "Automatic Generation of Programming Exercises and Code Explanations Using Large Language Models" — ICER</t>
  </si>
  <si>
    <t>Estudiantes usan un sistema de hints estructurados (CodeAid) que apoya la comprensión de código y la depuración sin revelar la solución completa</t>
  </si>
  <si>
    <t>El docente utiliza OpenAI Codex proporcionando primings con un problema de ejemplo, conceptos de programación y palabras clave de contexto para generar automáticamente enunciados de ejercicios de programación, soluciones modelo y suites de pruebas unitarias.</t>
  </si>
  <si>
    <t>Kazemitabaar et al. (2024)</t>
  </si>
  <si>
    <t>"Provide structured hints and feedback to support code understanding and debugging"</t>
  </si>
  <si>
    <t>Using OpenAI Codex as the large language model, we create programming exercises (including sample solutions and test cases) and code explanations, assessing these qualitatively and quantitatively.</t>
  </si>
  <si>
    <t>Tabla 10</t>
  </si>
  <si>
    <t>Abstract, pág. 1</t>
  </si>
  <si>
    <t>Estudiantes reciben asistencia basada en pistas (Gurukul) en un entorno de codificación estructurado, sin revelar soluciones</t>
  </si>
  <si>
    <t>Revisiones fila 27 (P04); Revisiones fila 242 (P26)</t>
  </si>
  <si>
    <t>Rachha &amp; Seyam (2024)</t>
  </si>
  <si>
    <t>El docente o estudiante utiliza OpenAI Codex ingresando el código fuente y la instrucción de explicación paso a paso para generar descripciones textuales a nivel de línea que guíen el recorrido del programa y apoyen la depuración.</t>
  </si>
  <si>
    <t>"Offer hint-based assistance in problem-solving without revealing solutions... Built into Gurukul coding environment with structured feedback flow"</t>
  </si>
  <si>
    <t>In this work, we focus on the last code explanation type, i.e. the step-by-step explanation of code, as it aligns with the multistructural level of the SOLO taxonomy and is often produced by students when prompted to explain code.</t>
  </si>
  <si>
    <t>Sección 3.2.3, pág. 5</t>
  </si>
  <si>
    <t>GPT-4 genera respuestas borrador a consultas de programación de estudiantes en foros de discusión (EdDiscussion), revisadas por el docente/ayudante antes de publicarse</t>
  </si>
  <si>
    <t>Sinha et al. (2024)</t>
  </si>
  <si>
    <t>p29-059</t>
  </si>
  <si>
    <t>"To assist teaching assistants by generating draft responses to programming queries... BoilerTAI integrated with EdDiscussion forums for instructor-reviewed AI replies"</t>
  </si>
  <si>
    <t>Thrilled by Your Progress! LLMs No Longer Struggle to Pass Assessments in Higher Ed Programming Courses</t>
  </si>
  <si>
    <t>Savelka, Agarwal, An, Bogart, Sakr (2023) — "Thrilled by Your Progress! LLMs No Longer Struggle to Pass Assessments in Higher Ed Programming Courses" — ICER</t>
  </si>
  <si>
    <t>Snowballing fila 252 (p82-107)</t>
  </si>
  <si>
    <t>p29-060</t>
  </si>
  <si>
    <t>Can Generative Pre-trained Transformers (GPT) Pass Assessments in Higher Education Programming Courses?</t>
  </si>
  <si>
    <t>Savelka, Agarwal, Bogart, Song, Sakr (2023) — "Can Generative Pre-trained Transformers (GPT) Pass Assessments in Higher Education Programming Courses?" — ITiCSE</t>
  </si>
  <si>
    <t>Estudiantes programan en pareja con GitHub Copilot embebido en el IDE, seguido de ejercicios de revisión reflexiva sobre el código escrito y revisado</t>
  </si>
  <si>
    <t>Styve et al. (2024)</t>
  </si>
  <si>
    <t>"Serve as a pair programming partner during code writing and revision... Embedded in IDE with reflective review exercises"</t>
  </si>
  <si>
    <t>p29-061</t>
  </si>
  <si>
    <t>Investigating the Role of ChatGPT in Supporting Text-Based Programming Education for Students and Teachers</t>
  </si>
  <si>
    <t>Estudiantes usan una extensión de VS Code con StarCoder (AutoAurora) para completado de código y soluciones alternativas durante tareas de programación estructuradas, con entrevistas de seguimiento</t>
  </si>
  <si>
    <t>Wieser, Schöffmann, Stefanics, Bollin, Pasterk (2023) — "Investigating the Role of ChatGPT in Supporting Text-Based Programming Education for Students and Teachers" — Informatics in Schools</t>
  </si>
  <si>
    <t>El estudiante introduce enunciados de ejercicios de programación en Java en ChatGPT para obtener código solución y reingresa detalles o solicitudes de ajuste cuando la respuesta no supera los casos de prueba automáticos.</t>
  </si>
  <si>
    <t>For the evaluation of RQ-1, we copy the description of every exercise from Moodle to the ChatGPT prompt, check the response, and copy it back to the CodeRunner input window, where it is submitted and automatically checked with our test cases.</t>
  </si>
  <si>
    <t>Sección 3.1, página 42</t>
  </si>
  <si>
    <t>Takerngsaksiri et al. (2024)</t>
  </si>
  <si>
    <t>"Provide code completion, syntax support, and alternative solutions to assist student coding... Used in a VS Code extension during structured programming tasks with follow-up interviews"</t>
  </si>
  <si>
    <t>Estudiantes usan Claude 2 (IPSSC) como tutor para razonamiento iterativo en tareas de planificación/diseño de software</t>
  </si>
  <si>
    <t>El docente proporciona a ChatGPT la consigna del ejercicio y las soluciones de código de los estudiantes para obtener una sugerencia de puntuación, desglose de criterios y análisis cualitativo de errores.</t>
  </si>
  <si>
    <t>Pensamiento de diseño</t>
  </si>
  <si>
    <t>Liao et al. (2024)</t>
  </si>
  <si>
    <t>Desempeño de herramienta; Percepción</t>
  </si>
  <si>
    <t>"Facilitate iterative reasoning in software planning tasks... Embedded in IPSSC tutor for scaffolded design thinking"</t>
  </si>
  <si>
    <t>We give ChatGPT the respective task definition and solutions and ask it to score each solution up to a given maximum of points.</t>
  </si>
  <si>
    <t>Sección 3.1, página 43</t>
  </si>
  <si>
    <t>T006</t>
  </si>
  <si>
    <t>ChatGPT actúa como par/revisor en un modelo de instrucción entre pares, apoyando razonamiento dialógico y refinamiento del código escrito por el estudiante</t>
  </si>
  <si>
    <t>El docente ingresa a ChatGPT la consigna original y las soluciones de los estudiantes junto con indicaciones de sus errores para generar ejercicios de práctica personalizados adaptados a sus necesidades de aprendizaje.</t>
  </si>
  <si>
    <t>Dos Santos &amp; Cury (2023); Styve et al. (2024)</t>
  </si>
  <si>
    <t>"GenAI acted as a peer reviewer or pair programmer, supporting dialogic reasoning and code refinement. These peer-like roles promoted critical thinking, though their effectiveness hinged on instructor oversight"</t>
  </si>
  <si>
    <t>secc. 4.10.1</t>
  </si>
  <si>
    <t>To get tasks adapted to the learning needs of students or whole groups, we present ChatGPT with the student's submissions and ask it, based on the mistakes, to create tasks that could be used by the students to specifically practice these topics.</t>
  </si>
  <si>
    <t>Estudiantes reciben retroalimentación de programación generada mediante RAG anclada en materiales específicos del curso, con validación iterativa de prompts</t>
  </si>
  <si>
    <t>Kusam et al. (2024); Winarta et al. (2024); Liu, Yu, et al. (2024); Yu et al. (2025)</t>
  </si>
  <si>
    <t>"retrieval-augmented generation (RAG) enhanced personalization by grounding AI outputs in course-specific materials. This approach improved response relevance, reduced hallucinations, and fostered learner trust"</t>
  </si>
  <si>
    <t>secc. 4.6.2</t>
  </si>
  <si>
    <t>El estudiante interactúa con ChatGPT como tutor personal para resolver ejercicios de práctica modificados y recibir explicaciones paso a paso sobre rutas de solución según los objetivos definidos por el docente.</t>
  </si>
  <si>
    <t>Estudiantes desarrollan, en un mini-curso basado en proyectos, personalización y ajuste fino (fine-tuning/RAG) de un modelo GenAI mediante OpenAI API, Gradio y Colab, aprendiendo prompt engineering aplicado</t>
  </si>
  <si>
    <t>When given useful requests ChatGPT is able to modify given examples in order to practice a defined subject and also provides step-by-step solutions, which allow students to review and learn at their own pace.</t>
  </si>
  <si>
    <t>Sección 5, página 49</t>
  </si>
  <si>
    <t>Kusam et al. (2024)</t>
  </si>
  <si>
    <t>"To teach prompt engineering and basic GenAI tool customization through project-based learning. Embedded in an AI course using OpenAI API, Gradio, and Colab for hands-on learning"</t>
  </si>
  <si>
    <t>Estudiantes resuelven ejercicios de programación generados por GPT-4 con distintas estrategias de prompting que incorporan contextos culturales y locales familiares</t>
  </si>
  <si>
    <t>Uso de modelos de lenguaje de gran escala para enriquecer y mejorar la claridad de los mensajes de error generados durante el aprendizaje de la programación.</t>
  </si>
  <si>
    <t>del Carpio Gutierrez et al. (2024); Oyelere &amp; Aruleba (2025)</t>
  </si>
  <si>
    <t>Leinonen et al. (2023)</t>
  </si>
  <si>
    <t>"GenAI-generated programming exercises that reflect learners' interests and local contexts have been shown to enhance motivation, engagement, and perceived relevance"</t>
  </si>
  <si>
    <t>secc. 4.8.2</t>
  </si>
  <si>
    <t>They are used to improve error messages</t>
  </si>
  <si>
    <t>Sección 2, página 42</t>
  </si>
  <si>
    <t>Estudiantes interactúan con GenAI en su lengua nativa (árabe, chino, español, vietnamita, tamil, entre otras) para tareas de programación como depuración y explicación de código</t>
  </si>
  <si>
    <t>Uso de modelos de lenguaje de gran escala para la generación automática de ejercicios de programación e explicaciones detalladas de código.</t>
  </si>
  <si>
    <t>Jordan et al. (2024); Prather, Reeves, et al. (2025)</t>
  </si>
  <si>
    <t>"Native-language input enables learners to engage more deeply in programming tasks such as debugging and code explanation"</t>
  </si>
  <si>
    <t>Tabla 9</t>
  </si>
  <si>
    <t>Sarsa et al. (2022)</t>
  </si>
  <si>
    <t>and they are used to create programming exercises as well as explanations.</t>
  </si>
  <si>
    <t>Estudiantes envían tareas de programación a una plataforma basada en GitHub donde una herramienta de revisión automática (ART) genera revisiones de código con IA, detectando defectos y ofreciendo sugerencias personalizadas</t>
  </si>
  <si>
    <t>p29-062</t>
  </si>
  <si>
    <t>ChatGPT in a programming course: benefits and limitations</t>
  </si>
  <si>
    <t>Crandall et al. (2023)</t>
  </si>
  <si>
    <t>Bringula (2024) — "ChatGPT in a programming course: benefits and limitations" — Frontiers in Education (OA)</t>
  </si>
  <si>
    <t>El docente utiliza ChatGPT mediante un prompt sobre un tema del curso (k-means clustering) para generar un esquema estructurado de clase que sirve de guía para la presentación de contenidos y el seguimiento de objetivos.</t>
  </si>
  <si>
    <t>"developed an Automatic Review Tool (ART) to provide timely, AI-generated code reviews for computer science and software engineering students... ART successfully detected defects and offered personalized suggestions"</t>
  </si>
  <si>
    <t>T079</t>
  </si>
  <si>
    <t>secc. 2.1</t>
  </si>
  <si>
    <t>Esquema</t>
  </si>
  <si>
    <t>Sintetizar</t>
  </si>
  <si>
    <t>I instructed ChatGPT to generate a handout on k-means clustering, and it produced an outline-like text. This output organizes the potential points of discussion on the topic in a well-structured manner.</t>
  </si>
  <si>
    <t>Sección 3.1, p. 3</t>
  </si>
  <si>
    <t>Estudiantes reciben apoyo en tiempo real de un tutor LLM (CodeHelp) que los guía sin revelar la solución completa, mientras el docente monitorea el uso y el progreso de aprendizaje</t>
  </si>
  <si>
    <t>Liffiton et al. (2023)</t>
  </si>
  <si>
    <t>"developed CodeHelp, a large language model–powered tool that guides students without revealing complete solutions. It provides real-time support while enabling instructors to monitor usage and learning progress in programming"</t>
  </si>
  <si>
    <t>El docente solicita a ChatGPT propuestas de actividades didácticas grupales sobre algoritmos de agrupamiento en R, recibiendo guías para dividir a la clase en grupos de 3 a 4 estudiantes, asignarles un conjunto de datos para preprocesar y solicitarles presentar los resultados y desafíos enfrentados.</t>
  </si>
  <si>
    <t>Ante salidas de IA con alucinaciones durante tareas de programación, estudiantes refinan prompts, validan las respuestas del modelo y ajustan su enfoque de resolución antes de aceptar el código o la explicación</t>
  </si>
  <si>
    <t>It suggested dividing the class into groups of 3–4 students per group and providing them with a dataset to work with. Then, it was suggested to instruct the students to preprocess the data.</t>
  </si>
  <si>
    <t>Sección 3.2, p. 3</t>
  </si>
  <si>
    <t>Kusam et al. (2024); Hasan et al. (2024); Suárez-Pizzarello et al. (2024); Prather, Reeves, et al. (2023)</t>
  </si>
  <si>
    <t>"students refined prompts, validated responses, and adjusted their approaches, demonstrating key elements of metacognitive awareness such as self-regulation and active monitoring"</t>
  </si>
  <si>
    <t>secc. 4.7.2</t>
  </si>
  <si>
    <t>El docente o estudiante solicita a ChatGPT la construcción de código en R para un algoritmo (k-means clustering) con la capacidad de cargar y analizar conjuntos de datos propios, obteniendo el código fuente funcional acompañado de anotaciones explicativas.</t>
  </si>
  <si>
    <t>Snowballing fila 26 (p08-010); Snowballing fila 27 (p08-010); Snowballing fila 28 (p08-010); Snowballing fila 29 (p08-010); Snowballing fila 30 (p08-010); Snowballing fila 31 (p08-010); Snowballing fila 32 (p08-010); Snowballing fila 33 (p08-010); Snowballing fila 34 (p08-010); Snowballing fila 35 (p08-010); Snowballing fila 36 (p08-010); Snowballing fila 37 (p08-010)</t>
  </si>
  <si>
    <t>P19</t>
  </si>
  <si>
    <t>First, I requested that it to generate a code for k-means clustering (e.g., “Construct me a k-means in R”). Second, I requested a code where students can upload their datasets and then analyze this data (e.g., “Generate an R code for k-means clustering where users have their own dataset”).</t>
  </si>
  <si>
    <t>Sección 3.3, p. 4</t>
  </si>
  <si>
    <t>P20</t>
  </si>
  <si>
    <t>Los estudiantes elaboran diagramas UML durante la etapa de planificación/diseño y reciben retroalimentación generada por un LLM potenciado con RAG que corrige errores y mejora la precisión de las explicaciones asociadas al modelo.</t>
  </si>
  <si>
    <t>El estudiante interactúa con ChatGPT como tutor virtual para resolver cuestionarios interactivos de opción múltiple, recibir retroalimentación explicativa inmediata sobre respuestas correctas o incorrectas, realizar consultas conceptuales y generar datasets sintéticos de práctica.</t>
  </si>
  <si>
    <t>Ardimento et al., 2024</t>
  </si>
  <si>
    <t>I asked this chatbot to act as a tutor in data analytics. I asked it to give me a five-item multiple-choice type of quiz, and checked whether my answers were correct.</t>
  </si>
  <si>
    <t>Sección 3.4, p. 4</t>
  </si>
  <si>
    <t>"study (Ardimento et al., 2024) introduces a novel approach to teaching UML during the planning and design stage."; "Enhances feedback accuracy (e.g., UML); fosters safe learning; supports understanding-based learning; achieves high response accuracy in tutoring."</t>
  </si>
  <si>
    <t>p. 356, secc. 4 (Results, mapeo de fases RQ4); p. 352, Tabla 12</t>
  </si>
  <si>
    <t>Snowballing fila 254 (p83-039)</t>
  </si>
  <si>
    <t>P21</t>
  </si>
  <si>
    <t>El docente solicita a ChatGPT la creación de exámenes escritos en múltiples formatos (opción múltiple, identificación, completar espacios, verdadero/falso) sobre un tema del curso, obteniendo los ítems con sus claves de respuestas, lecturas recomendadas y rúbricas.</t>
  </si>
  <si>
    <t>P22</t>
  </si>
  <si>
    <t>In this paper, I asked (e.g., “Generate a 5-item multiple-choice type of quiz with 3 options for k-means clustering.”) it to generate five-item written exams in four different forms: multiple-choice, identification, fill-in-the-blanks, and true-or-false.</t>
  </si>
  <si>
    <t>El estudiante recibe un prompt que le pide diseñar un sistema de software (p. ej. un e-commerce) especificando el patrón arquitectónico a aplicar (MVC), la fuente de datos y las APIs externas, produciendo un diseño estructurado según ese patrón.</t>
  </si>
  <si>
    <t>Sección 3.5, p. 4</t>
  </si>
  <si>
    <t>"Design an e-commerce system with MVC, database, and external APIs." / "LLMs consistent produced designs aligned with MVC and integrated database."</t>
  </si>
  <si>
    <t>p29-063</t>
  </si>
  <si>
    <t>p. 102, Tabla 2</t>
  </si>
  <si>
    <t>Kattis vs ChatGPT: Assessment and Evaluation of Programming Tasks in the Age of Artificial Intelligence</t>
  </si>
  <si>
    <t>Dunder, Lundborg, Wong, Viberg (2024) — "Kattis vs ChatGPT: Assessment and Evaluation of Programming Tasks in the Age of Artificial Intelligence" — LAK</t>
  </si>
  <si>
    <t>El estudiante solicita a la IAG elaborar una estrategia de pruebas desglosada por niveles (unitarias, de integración y de sistema), incluyendo ejemplos de casos de prueba para cada nivel.</t>
  </si>
  <si>
    <t>"Create a testing strategy for a software system, including unit, integration, and system tests." / "LLMs generated consistent testing plans."</t>
  </si>
  <si>
    <t>SOFTWARE TESTING &gt; Test Levels</t>
  </si>
  <si>
    <t>p29-064</t>
  </si>
  <si>
    <t>Potentials of ChatGPT in Computer Programming: Insights from Programming Instructors</t>
  </si>
  <si>
    <t>El estudiante entrega un fragmento de código existente y pide a la IAG refactorizarlo para mejorar legibilidad y mantenibilidad, exigiendo que justifique cada cambio propuesto.</t>
  </si>
  <si>
    <t>Husain (2024) — "Potentials of ChatGPT in Computer Programming: Insights from Programming Instructors" — JITE:Research</t>
  </si>
  <si>
    <t>El estudiante solicita a ChatGPT codigo para resolver un problema especifico en varios lenguajes de programacion para comparar sus implementaciones, analizando las fortalezas y debilidades de cada lenguaje.</t>
  </si>
  <si>
    <t>"Refactor the following piece of code to improve readability and maintainability. Justify your changes." / "LLMs led students with reasoning scaffolding to demonstrated maintainability."</t>
  </si>
  <si>
    <t>One amazing thing about ChatGPT is its ability to provide a program code for a specific problem, that is, n factorial, with several programming languages upon request. This feature enables students to compare the programming languages, understand their strengths and weaknesses, and select a language that is best suitable for that programming problem.</t>
  </si>
  <si>
    <t>Paginas 8-9, Results - Advantages of Using ChatGPT for Programming Instruction</t>
  </si>
  <si>
    <t>Se recomienda diseñar prompts que pidan a los estudiantes retomar sus propias soluciones y reflexionar por escrito sobre el razonamiento detrás de sus decisiones de diseño.</t>
  </si>
  <si>
    <t>El estudiante introduce su codigo en ChatGPT para ejecutarlo y obtener el resultado de salida, realizando autoevaluaciones y modificaciones repetidas a su codigo antes de entregarlo.</t>
  </si>
  <si>
    <t>"Prompts that ask students to revisit their solutions, reflect on the reasoning behind their design choices."</t>
  </si>
  <si>
    <t>p. 101, secc. 3.1.2</t>
  </si>
  <si>
    <t>This feature allows students to apply their theoretical knowledge practically by running any code, trying the results, and repeatedly modifying upon request. Indeed, students can perform self-evaluation and test their code before submission.</t>
  </si>
  <si>
    <t>Pagina 9, Results - Table 3</t>
  </si>
  <si>
    <t>P23</t>
  </si>
  <si>
    <t>Estudiante recibe retroalimentación automatizada y personalizada de GPT-3.5 sobre tareas de programación individuales, generada como corrección/comentario sobre el código entregado</t>
  </si>
  <si>
    <t>Azaiz et al. [4]</t>
  </si>
  <si>
    <t>"Using GPT-3.5 for personalized, automated feedback on programming assignments to enhance learning in large introductory courses"</t>
  </si>
  <si>
    <t>p. 374, Tabla 2</t>
  </si>
  <si>
    <t>El estudiante interactua con ChatGPT proporcionandole codigo con errores para identificar fallos, recibir sugerencias de mejora y obtener explicaciones practicas de depuracion basadas en casos reales.</t>
  </si>
  <si>
    <t>Estudiante utiliza ChatGPT integrado en Jupyter (sistema KOGI) como asistente conversacional en tiempo real durante la escritura de código, para recibir ayuda oportuna mientras programa</t>
  </si>
  <si>
    <t>Interactions with ChatGPT allow learners to focus on primary programming skills like debugging, fixing errors, and receiving code suggestions explained practically through real-world cases.</t>
  </si>
  <si>
    <t>Kuramitsu et al. [8]</t>
  </si>
  <si>
    <t>"The KOGI system integrates ChatGPT into Jupyter to provide timely assistance in programming education"</t>
  </si>
  <si>
    <t>Estudiante resuelve ejercicios de programación (tareas/exámenes) generando soluciones de código con ChatGPT como apoyo, que luego es revisado por el docente</t>
  </si>
  <si>
    <t>El estudiante solicita codigo a ChatGPT para resolver un problema, utiliza dicho codigo como un nuevo prompt para probar la salida y lo modifica iterativamente en cada ejecucion para observar y comprender la funcionalidad.</t>
  </si>
  <si>
    <t>Popovici [21]; Piccolo et al. [20]; Ellis et al. [23]; Cipriano y Alves [6]</t>
  </si>
  <si>
    <t>T009 SCAMPER</t>
  </si>
  <si>
    <t>"ChatGPT provided correct answers in 68% of the cases, only around half were legible solutions that could benefit students"</t>
  </si>
  <si>
    <t>p. 375, secc. 3.2 Quality and Accuracy</t>
  </si>
  <si>
    <t>One common case I am observing involves students asking for program code to solve a problem. They then use this code as a new prompt for ChatGPT to test the output. With each execution, students modify the code to observe and understand the functionality.</t>
  </si>
  <si>
    <t>Pagina 10, Results - Advantages of Using ChatGPT for Programming Instruction</t>
  </si>
  <si>
    <t>Docente diseña ejercicios de programación deliberadamente resistentes a ser resueltos con prompts directos a la IA (requiriendo paquetes específicos, validación de calidad de código, proyectos complejos), para mantener el compromiso del estudiante con el problema</t>
  </si>
  <si>
    <t>Cipriano y Alves [6]</t>
  </si>
  <si>
    <t>"They recommended several strategies, such as requiring specific packages, improving code quality validation, and shifting towards project-based evaluation schemes that demanded complex problem-solving skills"</t>
  </si>
  <si>
    <t>p. 376, secc. 3.5 Challenges in Traditional Assessment</t>
  </si>
  <si>
    <t>El docente utiliza ChatGPT para generar inmediatamente multiples ejemplos practicos sobre un concepto de programacion, los cuales ejecuta e ilustra en clase para responder dudas de los estudiantes.</t>
  </si>
  <si>
    <t>Estudiante aprende y aplica prompt engineering como habilidad explícita del currículo, formulando y ajustando instrucciones a GPT-3.5 para optimizar la calidad de las soluciones obtenidas en distintos escenarios</t>
  </si>
  <si>
    <t>Azaiz et al. [4]; Sarsa et al. [11]</t>
  </si>
  <si>
    <t>However, ChatGPT enables me to obtain several practical examples immediately to better illustrate the applications of such aspects within an actual program. I can execute each example, illustrate the output, and respond to any question practically.</t>
  </si>
  <si>
    <t>"Azaiz et al. [4] and Sarsa et al. [11] noted the necessity of incorporating prompt engineering into the curriculum. By understanding how to craft effective prompts, students could optimize GPT-3.5 and similar models to achieve the best results across various scenarios"</t>
  </si>
  <si>
    <t>Paginas 10, 13, Results / Role of ChatGPT in Enhancing Traditional Programming Teaching Methods</t>
  </si>
  <si>
    <t>p. 376, secc. 3.4 Need for Change in Traditional Curriculum</t>
  </si>
  <si>
    <t>Estudiante defiende su código de forma oral/presencial ante el docente como mecanismo de evaluación, para demostrar comprensión propia y descartar copia directa de IA</t>
  </si>
  <si>
    <t>Wieser et al. [14]</t>
  </si>
  <si>
    <t>El docente utiliza ChatGPT como apoyo al diseno instruccional para generar el esquema de sus clases lectivas, recordando los conceptos y habilidades de programacion esenciales que debe incluir.</t>
  </si>
  <si>
    <t>"Wieser et al. [14] suggested innovative assessment methods, such as in-person code defenses, to counter potential code copying facilitated by AI"</t>
  </si>
  <si>
    <t>p. 373, secc. 3.1 Plagiarism Risk</t>
  </si>
  <si>
    <t>I am using ChatGPT to support the instructional design and provide an outline for my lectures by reminding me of what necessary programming skills and concepts should be included.</t>
  </si>
  <si>
    <t>Estudiante rinde exámenes presenciales invigilados sin acceso a internet como método de evaluación sumativa para preservar la integridad frente al uso de IA</t>
  </si>
  <si>
    <t>Piccolo et al. [20]</t>
  </si>
  <si>
    <t>"in controlled assessment environments, such as invigilated exams where students could not access the internet, the integrity of grades remained reliable"</t>
  </si>
  <si>
    <t>p29-066</t>
  </si>
  <si>
    <t>GPT-Empowered Personalized eLearning System for Programming Languages</t>
  </si>
  <si>
    <t>Estudiante resuelve tareas de programación consolidando información proveniente de múltiples fuentes (más allá de una sola solución generada por IA), como estrategia evaluativa rediseñada</t>
  </si>
  <si>
    <t>Jin &amp; Kim (2023) — "GPT-Empowered Personalized eLearning System for Programming Languages" — Applied Sciences (MDPI, OA)</t>
  </si>
  <si>
    <t>El estudiante estudia conceptos teóricos, reglas sintácticas y ejemplos de código estructurados y adaptados por ChatGPT a su edad, área de interés y nivel de competencia, pudiendo realizar preguntas interactivas en tiempo real. ChatGPT genera dinámicamente el contenido instructivo y responde a las consultas del estudiante para simular la enseñanza en aula.</t>
  </si>
  <si>
    <t>Savelka et al. [12]</t>
  </si>
  <si>
    <t>"Savelka et al. [12] proposed a shift from traditional assessments to more complex programming tasks that required consolidating information from multiple sources"</t>
  </si>
  <si>
    <t>This functionality presents the foundational material of the topics in a unit. The foundation consists of three elements: Introduction, Language Constructs, and Code Examples.</t>
  </si>
  <si>
    <t>Sección 3.6, pág. 7</t>
  </si>
  <si>
    <t>P24</t>
  </si>
  <si>
    <t>Estudiantes usan ChatGPT y GitHub Copilot en paralelo para aprender a programar, incluyendo la recuperación de errores de código con ayuda de la IAG</t>
  </si>
  <si>
    <t>El estudiante resuelve problemas prácticos de programación generados dinámicamente por ChatGPT, los cuales se adaptan en contexto y complejidad a su nivel de conocimiento y a un dominio de su interés como comercio electrónico o finanzas. ChatGPT elabora enunciados de ejercicios personalizados con estructuras de clases y requisitos específicos.</t>
  </si>
  <si>
    <t>Bhalerao [43]</t>
  </si>
  <si>
    <t>"the students reported higher understanding of concepts and managed to recover from error with the help of these GenAI"</t>
  </si>
  <si>
    <t>p.7-8, secc. Where are the authors using GenAI in computing education?</t>
  </si>
  <si>
    <t>This functionality generates coding exercise problems that are personalized to each user's characteristics, such as age, group, occupation, place, level of language proficiency, and the evaluation results of previous coding exercise submissions.</t>
  </si>
  <si>
    <t>Sección 3.7, pág. 8</t>
  </si>
  <si>
    <t>Un chatbot basado en LLM actúa como agente enseñable al que el estudiante instruye para resolver problemas de diseño de algoritmos</t>
  </si>
  <si>
    <t>Jin et al. [42]</t>
  </si>
  <si>
    <t>"Jin et al. [42] integrated an LLM model into a chatbot to teach algorithm design."</t>
  </si>
  <si>
    <t>p.6-7, secc. Which topics in computing education are being taught using GenAI?</t>
  </si>
  <si>
    <t>El estudiante entrega sus soluciones de código y revisa la evaluación cuantitativa y la retroalimentación cualitativa detallada generadas por ChatGPT. ChatGPT analiza el código según criterios de conformidad, corrección, eficiencia y extensibilidad, asignando una puntuación e indicando correcciones, mejoras y enfoques alternativos.</t>
  </si>
  <si>
    <t>Estudiantes envían código con errores a KOGI (ChatGPT integrado en Jupyter Notebook) para recibir ayuda dirigida sobre cómo corregirlos</t>
  </si>
  <si>
    <t>This functionality evaluates the submitted coding exercises. In addition, it provides feedback on necessary corrections, suggestions for improvement, and alternative approaches to writing the code.</t>
  </si>
  <si>
    <t>Sección 3.9, pág. 8</t>
  </si>
  <si>
    <t>Kuramitsu et al. [46]</t>
  </si>
  <si>
    <t>p29-067</t>
  </si>
  <si>
    <t>"Kuramitsu et al. [46] integrated ChatGPt into Jupyter notebook application to develop a GenAI tool called KOGI that allows students to prompt the tool with codes with errors in order to receive help on how to fix them."</t>
  </si>
  <si>
    <t>Evaluating a large language model's ability to solve programming exercises from an introductory bioinformatics course</t>
  </si>
  <si>
    <t>p.7, secc. Which GenAI tools are being explored to foster computing education?</t>
  </si>
  <si>
    <t>Piccolo, Denny, Luxton-Reilly, Payne, Ridge (2023) — "Evaluating a large language model's ability to solve programming exercises from an introductory bioinformatics course" — PLoS Comput Biol (OA)</t>
  </si>
  <si>
    <t>El docente utiliza un LLM para generar preguntas de opción múltiple personalizadas sobre el código entregado por los estudiantes, evaluando su comprensión del código producido.</t>
  </si>
  <si>
    <t>Lehtinen et al., 2023</t>
  </si>
  <si>
    <t>Estudiantes de programación en C intentan detectar errores lógicos en fragmentos de código y reciben explicaciones amigables generadas por GPT-3/GPT-4 sobre esos errores, en comparación con el desempeño de la propia IAG</t>
  </si>
  <si>
    <t>One way that instructors could counter this behavior is to generate student-specific questions about their code. Lehtinen, et al. used an LLM to generate multiple-choice questions about code that students had submitted in an introductory-programming course.</t>
  </si>
  <si>
    <t>Página 11, sección Discussion</t>
  </si>
  <si>
    <t>MacNeil et al. [28]</t>
  </si>
  <si>
    <t>"MacNeil et al. [28] conducted a study with 964 students to collect 2980 data responses used to examine the performance of GPT-3 and GPT-4 regarding their capabilities in detecting logic error in C programming language and providing friendly explanations to novices."</t>
  </si>
  <si>
    <t>p.7, secc. What are the characteristics of the sample size reported in articles that demonstrate GenAI in computing education?</t>
  </si>
  <si>
    <t>El estudiante interactúa con un LLM que actúa como tutor inteligente durante la resolución de ejercicios de programación; al enfrentar dificultades, el modelo analiza el código enviado y los requerimientos para generar sugerencias orientadoras.</t>
  </si>
  <si>
    <t>El docente utiliza ChatGPT-4 para generar preguntas de opción múltiple para una clase de programación introductoria, comparando su calidad frente a preguntas elaboradas por humanos</t>
  </si>
  <si>
    <t>Doughty et al. [66]; Tran et al. [77]</t>
  </si>
  <si>
    <t>For example, to aid students on programming exercises, the instructor could allow access to an LLM, which could act as an intelligent tutor. When a student struggled to complete a given exercise, the tutor could ingest the student’s code and the exercise requirements and offer suggestions.</t>
  </si>
  <si>
    <t>"there are studies that used ChaptGPT to generate multiple choice questions for an introductory programming class [66,77]"</t>
  </si>
  <si>
    <t>p.8-9, secc. (párrafo sobre beneficios docentes)</t>
  </si>
  <si>
    <t>El docente utiliza IAG para realizar la evaluación automatizada de preguntas o entregas de programación</t>
  </si>
  <si>
    <t>El docente utiliza un LLM durante la creación de nuevos ejercicios de programación para probar las consignas y evaluar si las instrucciones son claras.</t>
  </si>
  <si>
    <t>Tran et al. [77]</t>
  </si>
  <si>
    <t>"teachers are exploring how to use GenAI for automated assessment of programming questions [77]"</t>
  </si>
  <si>
    <t>Finally, instructors might be able to use LLMs when creating new exercises to evaluate whether their prompts are clear.</t>
  </si>
  <si>
    <t>p.9, secc. (párrafo sobre usos docentes de GenAI)</t>
  </si>
  <si>
    <t>Un modelo de lenguaje actúa como asistente de enseñanza simulado que responde preguntas de estudiantes en un foro de discusión del curso</t>
  </si>
  <si>
    <t>p29-068</t>
  </si>
  <si>
    <t>ChatGPT in the Classroom. Exploring Its Potential and Limitations in a Functional Programming Course</t>
  </si>
  <si>
    <t>Popovici (2023) — "ChatGPT in the Classroom. Exploring Its Potential and Limitations in a Functional Programming Course" — Int. J. Human-Computer Interaction</t>
  </si>
  <si>
    <t>Laney &amp; Dewan [67]</t>
  </si>
  <si>
    <t>Los estudiantes utilizan ChatGPT u otras herramientas de IA generativa para obtener soluciones de código completas para resolver tareas y ejercicios de laboratorio de programación funcional, procediendo posteriormente a ajustar y modificar el código generado por su cuenta.</t>
  </si>
  <si>
    <t>"as teaching assistant [67]"</t>
  </si>
  <si>
    <t>El docente involucra a los estudiantes en sesiones de lluvia de ideas guiadas con IAG para idear diseños conceptuales (UX/desarrollo web)</t>
  </si>
  <si>
    <t>most students resorted to ChatGPT in order to get out-of-the-box solutions to coding assignments, which they may adjust on their own subsequently.</t>
  </si>
  <si>
    <t>Sección 2 y Sección 5.3 (Páginas 3 y 11)</t>
  </si>
  <si>
    <t>York [38]</t>
  </si>
  <si>
    <t>"engaging with students to brainstorm and ideate conceptual designs [38]"</t>
  </si>
  <si>
    <t>Estudiantes de un curso CS1 practican de forma repetida la redacción de prompts en lenguaje natural para que Copilot resuelva problemas de programación, desarrollando la habilidad de ingeniería de prompts</t>
  </si>
  <si>
    <t>Los docentes utilizan una herramienta desarrollada en Scala que extrae fragmentos de código de las tareas entregadas mediante un analizador sintáctico y realiza consultas automatizadas a ChatGPT para evaluar aspectos cualitativos como el estilo funcional, la recursión de cola y la ausencia de efectos secundarios, generando revisiones de código que son auditadas por los profesores antes de enviarse como retroalimentación a los estudiantes.</t>
  </si>
  <si>
    <t>Denny et al. [81]</t>
  </si>
  <si>
    <t>"studies such as Denny et al. [81] have begun to explore the efficacy of prompt engineering for Copilot in an introductory programming context"</t>
  </si>
  <si>
    <t>p.10, secc. 5.2 The pros and cons of integrating GenAI tools in computing education</t>
  </si>
  <si>
    <t>Code reviewers can select dedicated parts of the homework under review (e.g. functions with specific names), then formulate questions such as the ones previously illustrated. Next, it will parse the desired code fragment from each submitted homework and combine it with the question we are targeting.</t>
  </si>
  <si>
    <t>Sección 1 y Sección 4 (Páginas 2 y 9-10)</t>
  </si>
  <si>
    <t>Estudiantes practican la técnica de entrevistar personas (persona interviews) de HCI con apoyo de ChatGPT para el diseño y entrenamiento de personas de usuario</t>
  </si>
  <si>
    <t>Barambones et al. [36]</t>
  </si>
  <si>
    <t>"Good Persona design and training 1 [36]"</t>
  </si>
  <si>
    <t>Tabla 6 (Potential benefits of GenAI in computing education reported in the literature)</t>
  </si>
  <si>
    <t>Los docentes proponen integrar GitHub Copilot como herramienta de programación en el curso de programación funcional, reestructurando el currículo para que los estudiantes utilicen la generación de código por IA mientras enfocan su aprendizaje en la descomposición de problemas complejos, la lectura y comprensión de código, y el diseño de pruebas.</t>
  </si>
  <si>
    <t>P25</t>
  </si>
  <si>
    <t>El código del estudiante es analizado y corregido automáticamente por una herramienta de Reparación Automática de Programas (APR) para lograr la salida correcta, especialmente cuando el estudiante principiante está sobrepasado por errores.</t>
  </si>
  <si>
    <t>"APR helps students achieve the correct output of their codes, thereby making ARP a supportive mechanism in programming when students such as beginners are overwhelmed."</t>
  </si>
  <si>
    <t>In the upcoming academic year we plan on considering Copilot as a programming tool in our Functional Programming lecture. Nevertheless, the adoption of such a tool requires a substantial reevaluation of our programming curricula and teaching style.</t>
  </si>
  <si>
    <t>secc. IV.A Generative AI Tools</t>
  </si>
  <si>
    <t>Sección 5.3 y Sección 8 (Páginas 11-12 y 17)</t>
  </si>
  <si>
    <t>El código incorrecto del estudiante es reparado automáticamente mediante Contextual Error Model Repair (CEMR) antes de que el estudiante comprenda completamente la solución, y el estudiante estudia el modelo corregido para aprender de él.</t>
  </si>
  <si>
    <t>p29-069</t>
  </si>
  <si>
    <t>ChatGPT: Challenges and Benefits in Software Programming for Higher Education</t>
  </si>
  <si>
    <t>"This technique corrected mistakes in students' code before they fully understood the solution, allowing them to learn from the corrected model."</t>
  </si>
  <si>
    <t>Silva, Ramos, De Moraes, Santos (2024) — "ChatGPT: Challenges and Benefits in Software Programming for Higher Education" — Sustainability (MDPI, OA)</t>
  </si>
  <si>
    <t>Los estudiantes interactúan en grupos con la interfaz web de ChatGPT formulando preguntas estructuradas para explorar el funcionamiento y limitaciones de la herramienta, así como conceptos iniciales del lenguaje C (librerías, función int main(), llaves, punto y coma y errores de sintaxis) y el uso del IDE DEV C++. La IAG responde explicando las capacidades del modelo, resolviendo dudas sintácticas y generando explicaciones sobre el entorno de desarrollo.</t>
  </si>
  <si>
    <t>Los estudiantes utilizan ChatGPT para resolver las tareas de programación asignadas como homework.</t>
  </si>
  <si>
    <t>In this first part of the step, all students participate together in the introductory session. They collectively posed a series of questions directly to the visual web interface of ChatGPT.</t>
  </si>
  <si>
    <t>[43]</t>
  </si>
  <si>
    <t>pp. 9-10, Sección 3.1</t>
  </si>
  <si>
    <t>"A POLITEHNICA University of Bucharest (UPB) study showed that students used ChatGPT to solve their programming homework [43]."</t>
  </si>
  <si>
    <t>El estudiante recibe pistas calibradas y contra-preguntas (en lugar de soluciones completas) del tutor virtual Iris mientras resuelve ejercicios y tareas de programación.</t>
  </si>
  <si>
    <t>Los estudiantes realizan consultas colectivas a ChatGPT para explorar conceptos de programación en C (variables, tipos de datos, entrada y salida con printf y scanf, y estructuras condicionales simples y compuestas), solicitando explicaciones, ejemplos de código comentados y procedimientos paso a paso. La IAG genera explicaciones conceptuales detalladas, ejemplos de código en C con comentarios integrados y guías paso a paso para la ejecución del programa.</t>
  </si>
  <si>
    <t>"students perceive Iris as an effective tool in programming exercises and homework because it provides immediate and personalised support, understands their questions, provides relevant support, and contributes to the learning process."</t>
  </si>
  <si>
    <t>During this part, students collectively explored various programming concepts with ChatGPT, seeking explanations, examples, and step-by-step procedures.</t>
  </si>
  <si>
    <t>p. 11, Sección 3.2</t>
  </si>
  <si>
    <t>Los estudiantes realizan tareas estructuradas de depuración y retroalimentación dentro del marco AI-Lab, usando feedback generado por IAG para apoyar el aprendizaje activo y la resolución autodirigida de problemas.</t>
  </si>
  <si>
    <t>"A study in [17] introduces the AI-Lab framework to integrate GenAI in programming courses, emphasising how GenAI-driven debugging and feedback promote active learning and self-directed problem-solving."</t>
  </si>
  <si>
    <t>secc. II.B</t>
  </si>
  <si>
    <t>Los estudiantes resuelven de manera autónoma un desafío de programación en C en el IDE DEV C++ para calcular el Índice de Masa Corporal (IMC) y determinar el nivel de obesidad, consultando a ChatGPT para identificar errores de sintaxis o lógica, depurar el código y comprender aspectos no claros de la solución. La IAG analiza las consultas del estudiante, detecta errores en el código, ofrece asistencia para la depuración y explica la implementación propuesta.</t>
  </si>
  <si>
    <t>El diseño del curso alterna tareas resueltas sin apoyo de IAG ("no-GenAI") con tareas guiadas por IAG, para preservar la resolución independiente de problemas mientras se refuerza el pensamiento crítico.</t>
  </si>
  <si>
    <t>Also, students are provided with a code challenge and they seek assistance from ChatGPT to identify errors and find solutions.</t>
  </si>
  <si>
    <t>"A study in [22] proposes integrating "no-GenAI" assignments to encourage independent problem-solving while incorporating GenAI-guided tasks that reinforce critical thinking without reducing CT skills."</t>
  </si>
  <si>
    <t>secc. II.C Challenges of Generative AI Tools</t>
  </si>
  <si>
    <t>p49-022</t>
  </si>
  <si>
    <t>CONSTRUCTION &gt; Managing Construction</t>
  </si>
  <si>
    <t>Comparing the effects of instructor manual feedback and ChatGPT intelligent feedback on collaborative programming in China's higher education</t>
  </si>
  <si>
    <t>p49</t>
  </si>
  <si>
    <t>Ouyang, Guo, Zhang, Bai, Jiao (2024) — "Comparing the effects of instructor manual feedback and ChatGPT intelligent feedback on collaborative programming in China's higher education" — IEEE TLT</t>
  </si>
  <si>
    <t>Los estudiantes que aprenden Python reciben guía continua, pistas, pseudocódigo, soluciones de código y explicaciones de código por parte de PyTutor mientras resuelven ejercicios de programación.</t>
  </si>
  <si>
    <t>Los estudiantes en grupos colaborativos programan en MATLAB (desarrollando redes neuronales BP y GUI) y reciben semanalmente feedback inteligente generado por ChatGPT (mediante un prompt estandarizado que evalúa de 1 a 10 y sugiere mejoras en correctitud, legibilidad, eficiencia, mantenibilidad y cumplimiento, presentado en texto y video con un avatar virtual), el cual revisan para autorregularse, identificar errores de código e implementar mejoras en sus programas.</t>
  </si>
  <si>
    <t>"Generative AI tools like PyTutor provide ongoing guidance, hints, pseudocode, code solutions, and code explanations to students learning Python [48]."</t>
  </si>
  <si>
    <t>secc. IV.C Benefits of Generative AI Tools</t>
  </si>
  <si>
    <t>In the experimental group, ChatGPT intelligent feedback was offered to student groups. Due to policy restriction, the research team used ChatGPT to generate textual feedback, generated a video based on the ChatGPT feedback text, and used a virtual character to present the feedback content.</t>
  </si>
  <si>
    <t>Sección III-C, Página 5</t>
  </si>
  <si>
    <t>Propuesta de diseñar entornos de aprendizaje como entornos de trabajo simulados, para que los estudiantes practiquen sus habilidades en un contexto profesional realista antes de ingresar al mundo laboral.</t>
  </si>
  <si>
    <t>"A key drive we should also focus on is having learning environments as simulated workplace environments. This would allow students to practise their skills in a real-world setting before entering the workforce."</t>
  </si>
  <si>
    <t>secc. V. Discussions</t>
  </si>
  <si>
    <t>Estudiantes de pregrado en ciencias de la computación utilizan ChatGPT como herramienta de consulta para resolver desafíos de programación, comparando su desempeño con estudiantes que solo disponen de libros de texto y notas del curso sin acceso a internet.</t>
  </si>
  <si>
    <t>P26</t>
  </si>
  <si>
    <t>Resolución de ejercicios de programación cuya dificultad se ajusta dinámicamente según el desempeño del estudiante</t>
  </si>
  <si>
    <t>Qureshi contrasted two groups of students, one with access to textbooks and programming course notes but no Internet access, and the second with access to ChatGPT and encouragement to use it to help solve programming challenges.</t>
  </si>
  <si>
    <t>Sección II-B, Página 3</t>
  </si>
  <si>
    <t>Sayed et al. (2023) [47]</t>
  </si>
  <si>
    <t>"AI systems capable of adjusting the difficulty of programming exercises based on the student's performance led to improved engagement and understanding [47]"</t>
  </si>
  <si>
    <t>p. 64, secc. 3.2 Key Features of Generative AI in Personalized Learning</t>
  </si>
  <si>
    <t>Uso de una herramienta de depuración que identifica y corrige errores comunes cometidos por estudiantes novatos en su código</t>
  </si>
  <si>
    <t>Estudiantes principiantes realizan 45 tareas de programación en Python utilizando un generador de código basado en IA (OpenAI Codex) para apoyar la creación de código, seguidas por tareas de modificación manual del código generado.</t>
  </si>
  <si>
    <t>"debugging tools tailored to common novice errors reduced repeated mistakes by 30%"</t>
  </si>
  <si>
    <t>p. 66, secc. 5.1 Initial Search and Screening</t>
  </si>
  <si>
    <t>Kazemitabaar et al. conducted a controlled experiment with 69 novices (10–17 years old). The learners completed 45 Python coding tasks, with half of them having access to Codex, and each task was followed by a code modification task.</t>
  </si>
  <si>
    <t>Resolución de tutoriales basados en escenarios (scenario-based tutorials) orientados a desarrollar habilidades de resolución de problemas de programación</t>
  </si>
  <si>
    <t>"scenario-based tutorials enhanced problem-solving skills"</t>
  </si>
  <si>
    <t>p49-023</t>
  </si>
  <si>
    <t>Computer Science Education in ChatGPT Era</t>
  </si>
  <si>
    <t>Generación automática de ejercicios de programación personalizados junto con sus explicaciones de código mediante IAG, reduciendo la carga de trabajo docente</t>
  </si>
  <si>
    <t>Kosar, Ostojić, Liu, Mernik (2024) — "Computer Science Education in ChatGPT Era" — Mathematics (MDPI)</t>
  </si>
  <si>
    <t>Estudiantes de un curso introductorio de programación orientada a objetos en C++ usan ChatGPT en casa para resolver tareas prácticas semanales, utilizándolo para optimizar código, comparar sus soluciones con el código generado, obtener explicaciones de sintaxis y conceptos, y generar fragmentos de código.</t>
  </si>
  <si>
    <t>Sarsa et al. (2022) [59]</t>
  </si>
  <si>
    <t>"Sarsa et al. (2022) explores the use of AI to create tailored programming exercises, reducing workload for educators and improving student engagement [59]"</t>
  </si>
  <si>
    <t>p. 66, secc. 5.2 Synthesis of the Qualifying Papers</t>
  </si>
  <si>
    <t>Our differential study divided students into two groups, one using ChatGPT and the other not using it for practical programming assignments.</t>
  </si>
  <si>
    <t>Sección 1, pág. 2</t>
  </si>
  <si>
    <t>Revisiones fila 20 (P04); Revisiones fila 21 (P04)</t>
  </si>
  <si>
    <t>Tutoría en tiempo real con retroalimentación adaptada al ritmo de aprendizaje individual del estudiante mediante un sistema de IAG</t>
  </si>
  <si>
    <t>Estudiantes universitarios de un curso de programación orientada a objetos utilizan ChatGPT para resolver tareas prácticas en Python, Java y C++, empleándolo para depurar código, ahorrar tiempo en la búsqueda de respuestas y aprender temas no familiares.</t>
  </si>
  <si>
    <t>"The review emphasizes the potential of Generative AI to simulate real-time tutoring, adapting feedback based on individual learning paces [83]"</t>
  </si>
  <si>
    <t>Yilmaz and Yilmaz, 2023</t>
  </si>
  <si>
    <t>The participants in their study stated that the most significant advantage of ChatGPT is its time-saving factor, as they obtained reasonably accurate answers quickly, and thus saved time searching for answers. They also stated that it helped debug and solve complex problems and can be available 24/7.</t>
  </si>
  <si>
    <t>Sección 3, pág. 4</t>
  </si>
  <si>
    <t>Entrega de intervenciones focalizadas y recomendaciones personalizadas generadas por IA dirigidas a estudiantes con dificultades en el aprendizaje de programación</t>
  </si>
  <si>
    <t>Pradeep et al. (2024) [55]</t>
  </si>
  <si>
    <t>"Pradeep et al. (2024) showcases platforms that integrate AI-driven recommendations to provide targeted interventions for struggling students [55]"</t>
  </si>
  <si>
    <t>Estudiantes de grado en ciencias de la computación utilizan ChatGPT para resolver desafíos prácticos de programación con problemas, entradas, salidas y restricciones bien definidas tras finalizar el curso.</t>
  </si>
  <si>
    <t>Generación de código en múltiples lenguajes de programación mediante una plataforma multilingüe de generación de código (CodeGeex) para ampliar el acceso a la educación en programación</t>
  </si>
  <si>
    <t>In regard to findings, Ref. concluded that the ChatGPT group achieved higher scores in less time while attempting tasks with defined problems, inputs and outputs, and constraints.</t>
  </si>
  <si>
    <t>CodeGeex [58]</t>
  </si>
  <si>
    <t>"CodeGeex framework is highlighted as a multilingual code generation platform that expands the accessibility of programming education across different languages [58]"</t>
  </si>
  <si>
    <t>Estudiantes de ingeniería informática emplean ChatGPT para responder preguntas de cuestionarios sobre análisis de código, preguntas teóricas y completado de código en un curso de Sistemas Embebidos sin estudio previo de los temas.</t>
  </si>
  <si>
    <t>Aplicación de un catálogo de patrones de prompt engineering con ChatGPT para optimizar las instrucciones dirigidas al modelo de IA en tareas de programación</t>
  </si>
  <si>
    <t>Shoufan, 2023</t>
  </si>
  <si>
    <t>Prompt Pattern Catalogue [35]</t>
  </si>
  <si>
    <t>The findings from concluded that the ChatGPT group performed better answering code analysis and theoretical questions but faced problems with code completion and questions that involved images.</t>
  </si>
  <si>
    <t>Sección 3, págs. 4-5</t>
  </si>
  <si>
    <t>"A paper on the prompt pattern catalogue to improve prompt engineering with ChatGPT offers a thorough summary of the finest patterns and techniques in the field, emphasizing the significance of prompt engineering in terms of optimizing LLM outputs for particular tasks [35]"</t>
  </si>
  <si>
    <t>p. 63, secc. 3. Literature Review</t>
  </si>
  <si>
    <t>P27</t>
  </si>
  <si>
    <t>Estudiantes de ingeniería usan ChatGPT durante la realización de tareas académicas en un curso de matemáticas para evaluar su impacto en la adquisición de competencias de pensamiento crítico, resolución de problemas y trabajo en equipo.</t>
  </si>
  <si>
    <t>Sánchez-Ruiz et al., 2023</t>
  </si>
  <si>
    <t>The study also focused on essential skills for Computer Science students—how the use of ChatGPT can affect critical thinking, problem-solving, and group work skills.</t>
  </si>
  <si>
    <t>Sección 3, pág. 5</t>
  </si>
  <si>
    <t>P28</t>
  </si>
  <si>
    <t>El estudiante entrega una tarea de programación avanzada y recibe una posible solución de reparación de código generada automáticamente por un LLM (peer-aided repairer), que indica cómo corregir los errores detectados en su entrega.</t>
  </si>
  <si>
    <t>p49-024</t>
  </si>
  <si>
    <t>"[48] proposes the use of LLM to create automated program repairs (APR); these APR are provided to the student as feedback in programming assignments, indicating a possible correct solution based on the work delivered."</t>
  </si>
  <si>
    <t>Investigating students' programming behaviors, interaction qualities and perceptions through prompt-based learning in ChatGPT</t>
  </si>
  <si>
    <t>p. 30663-30664, secc. V-D "AI Approaches"</t>
  </si>
  <si>
    <t>Sun, Boudouaia, Yang, Xu (2024) — "Investigating students' programming behaviors, interaction qualities and perceptions through prompt-based learning in ChatGPT" — Humanities &amp; Social Sciences Communications</t>
  </si>
  <si>
    <t>Los estudiantes de un curso de programación en Python interactúan con ChatGPT mediante la plataforma ChatGPT Next aplicando técnicas estructuradas de prompt engineering (delimitadores, salidas estructuradas, verificación de condiciones, ejemplos few-shot y desglose de pasos) para formular preguntas de nivel intermedio y complejo, mientras que la IAG proporciona respuestas estructuradas, explicaciones y código que los estudiantes analizan y depuran en PyCharm durante tareas prácticas y un proyecto.</t>
  </si>
  <si>
    <t>El estudiante utiliza ChatGPT como asistente de enseñanza (TA) en un curso introductorio de Python, consultándolo para resolver dudas de código y recibiendo además calificación automatizada de sus tareas de programación.</t>
  </si>
  <si>
    <t>In Phase I and Phase II, both groups initially received lectures, oral presentations, and Python demonstrations, followed by self-guided programming tasks. In Phase III, students were tasked with developing a programming project within a 90-minute time frame.</t>
  </si>
  <si>
    <t>[49]</t>
  </si>
  <si>
    <t>Sección Research Methodology (pp. 4-5)</t>
  </si>
  <si>
    <t>"Students found ChatGPT a useful, accessible, and quick source of help, particularly for debugging, but noted limitations in complex reasoning and contextual understanding." / "In the context of grading, [49] proposed the use of LLM as an automated grading tool... LLMs were not completely reliable in evaluating the correctness of the code, still, they provided useful feedback to the students."</t>
  </si>
  <si>
    <t>p. 30664, secc. V-D "AI Approaches"; Appendix A, tabla resumen (fila ID [49])</t>
  </si>
  <si>
    <t>Revisiones fila 57 (P08)</t>
  </si>
  <si>
    <t>T010 SQA</t>
  </si>
  <si>
    <t>El estudiante recibe, en tiempo real, mensajes de error de programación reescritos y enriquecidos por un LLM (en lugar del mensaje estándar del compilador) mientras depura su código, con distinto grado de utilidad según su estilo de interacción con el sistema.</t>
  </si>
  <si>
    <t>Los estudiantes de un curso de programación en Python interactúan con ChatGPT utilizando lenguaje natural no estructurado para resolver tareas prácticas y un proyecto, realizando preguntas de nivel superficial, copiando y pegando código directamente entre el IDE (PyCharm) y el chatbot, o pegando mensajes de error de consola para recibir código y respuestas directas de la IAG.</t>
  </si>
  <si>
    <t>[50]</t>
  </si>
  <si>
    <t>"AI-enhanced error messages were perceived as significantly more helpful and reduced the time students spent debugging errors." / "[50] proposed a similar approach, highlighting that the student style to interact with the LLM affects the outcome and usefulness perception. Resulting in some students reporting the interaction as a waste of time."</t>
  </si>
  <si>
    <t>The UL group interacted with ChatGPT based on their existing knowledge (e.g., oral language), whereas the PbL group utilized additional prompts to facilitate their interactions.</t>
  </si>
  <si>
    <t>Sección Research Methodology (p. 4)</t>
  </si>
  <si>
    <t>Los estudiantes de un curso introductorio de Python utilizan la herramienta Promptly para resolver "Prompt Problems", construyendo prompts eficientes dirigidos a generadores de código con IA y evaluando el código resultante producido por la IAG para desarrollar el pensamiento computacional.</t>
  </si>
  <si>
    <t>p. 30664, secc. V-D "AI Approaches"; Appendix A, tabla resumen (fila ID [50])</t>
  </si>
  <si>
    <t>Denny et al. (2023)</t>
  </si>
  <si>
    <t>In their study, Denny et al. (2023) proposed "Prompt Problem" as a novel educational concept to teach students how to construct prompt for LLMs in an efficient manner. Furthermore, they developed an instrument called Promptly facilitates the assessment of code generated by prompts.</t>
  </si>
  <si>
    <t>Sección Literature review (p. 4)</t>
  </si>
  <si>
    <t>El estudiante conversa con ChatGPT dentro de un curso de programación en Python para plantear preguntas pequeñas sobre su código y obtener correcciones rápidas mientras programa, en vez de resolver el problema completamente por sí mismo.</t>
  </si>
  <si>
    <t>p49-026</t>
  </si>
  <si>
    <t>[51]</t>
  </si>
  <si>
    <t>Does ChatGPT Help Novice Programmers Write Better Code? Results From Static Code Analysis</t>
  </si>
  <si>
    <t>Haindl &amp; Weinberger (2024) — "Does ChatGPT Help Novice Programmers Write Better Code? Results From Static Code Analysis" — IEEE Access</t>
  </si>
  <si>
    <t>"[51] proposed the use of LLMs like ChatGPT to create an interaction between the student and a machine that can provide automated feedback by answering questions in the coding process." / "Students generally viewed ChatGPT as a useful tool for comprehension and debugging but expressed concerns about over-reliance and academic integrity."</t>
  </si>
  <si>
    <t>p. 30664, secc. V-D "AI Approaches"; Appendix A, tabla resumen (fila ID [51])</t>
  </si>
  <si>
    <t>Los estudiantes de un curso introductorio de Java utilizan ChatGPT (GPT-3.5 o GPT-4) para generar código de apoyo en tareas semanales de programación realizadas en casa, adaptando y combinando la salida de la IA con su propio trabajo para cumplir con los ejercicios asignados.</t>
  </si>
  <si>
    <t>One group of students employed ChatGPT to implement the course’s programming assignments, whereas the other group was devoid of access to ChatGPT.</t>
  </si>
  <si>
    <t>Un sistema genera automáticamente casos de prueba unitarios de alta calidad mediante aprendizaje reforzado guiado por métricas de retroalimentación automatizada, evaluado contra benchmarks estándar de pruebas de software (p. ej., Defects4J), sin evidencia de aplicación directa con estudiantes en el aula.</t>
  </si>
  <si>
    <t>Sección I, p. 2</t>
  </si>
  <si>
    <t>[52]</t>
  </si>
  <si>
    <t>Revisiones fila 187 (P17)</t>
  </si>
  <si>
    <t>"[52] used LLMs to generate code smells (bad practices in code) and then reinforced learning to generate unit tests automatically, which were used to provide automated feedback." / "RL guided by automatic feedback metrics to generate unit tests... achieve higher coverage and detect more faults than baseline methods."</t>
  </si>
  <si>
    <t>p49-088</t>
  </si>
  <si>
    <t>p. 30664, secc. V-D "AI Approaches"; Appendix A, tabla resumen (fila ID [52])</t>
  </si>
  <si>
    <t>Evaluating ChatGPT Impact on the Programming Learning Outcomes of Students in a Big Data Course</t>
  </si>
  <si>
    <t>Callejo, Alario-Hoyos, Delgado-Kloos — "Evaluating ChatGPT Impact on the Programming Learning Outcomes of Students in a Big Data Course"</t>
  </si>
  <si>
    <t>El estudiante interactúa con ChatGPT pidiéndole que actúe como programador de ciencia de datos, le explique línea por línea un código de ejemplo en PySpark y le oriente en cada acción, para luego escribir y ejecutar su propio código de procesamiento de datos en Jupyter Notebook. ChatGPT actúa como un asistente tutor interactivo, explicando el código de muestra de PySpark y guiando la resolución del ejercicio práctico de Big Data.</t>
  </si>
  <si>
    <t>El estudiante recibe retroalimentación en lenguaje natural generada por un LLM para corregir errores de sintaxis en su código, en lugar del mensaje de error estándar del compilador; la calidad de la retroalimentación se evaluó sobre errores de sintaxis simulados, no con estudiantes reales.</t>
  </si>
  <si>
    <t>During the class session, students were presented with a data science exercise in which they had to solve a basic data processing task using PySpark, one of the fundamental Big Data tools. The first step of the experiment was that they had to understand the example code with the assistance of ChatGPT, instead of with that of the teacher, as it would traditionally be.</t>
  </si>
  <si>
    <t>Sección 3.1, p. 866</t>
  </si>
  <si>
    <t>"[53] aimed to generate proper feedback for syntax errors... the feedback is given in a more natural language compared with the standard compiler error output. In this scenario, LLMs performed very well since the feedback received could be easier to understand and match the unit test verification."</t>
  </si>
  <si>
    <t>p. 30664, secc. V-D "AI Approaches"; Appendix A, tabla resumen (fila ID [53])</t>
  </si>
  <si>
    <t>p59-027</t>
  </si>
  <si>
    <t>An empirical study on how large language models impact software testing learning</t>
  </si>
  <si>
    <t>p59</t>
  </si>
  <si>
    <t>Mezzaro, Gambi, Fraser (2024) — "An empirical study on how large language models impact software testing learning" — EASE</t>
  </si>
  <si>
    <t>Un sistema multiagente basado en LLMs entrega distintos niveles de andamiaje (scaffolding) de retroalimentación según el desempeño del estudiante, con eficacia demostrada por los autores para adaptar la retroalimentación a estudiantes de bajo y alto rendimiento.</t>
  </si>
  <si>
    <t>Los estudiantes escriben pruebas unitarias y crean mutantes para clases en Java utilizando un juego competitivo de pruebas (Code Defenders), e interactúan con un asistente inteligente (AI Defenders, basado en GPT-3.5) para resolver dudas sobre conceptos de pruebas, técnicas de mocking y solicitar la generación de casos de prueba o ejemplos de código.</t>
  </si>
  <si>
    <t>We extended Code Defenders with a smart assistant called AI Defenders that leverages OpenAI’s chat completion API and GPT-3.5 Turbo model to answer student questions about generic software testing concepts and specific questions about the games they are currently playing.</t>
  </si>
  <si>
    <t>"Scholz et al. [54] demonstrated the efficacy of multi-agent Large Language Model (LLM) frameworks that tailor feedback strategies to specific student cohorts, such as providing different scaffolding for low-performing versus high-performing learners."</t>
  </si>
  <si>
    <t>Sección 1, p. 1-2</t>
  </si>
  <si>
    <t>p. 30672, secc. VI-F "Implications and Future Work"</t>
  </si>
  <si>
    <t>El sistema ajusta el momento de entrega de la retroalimentación automatizada al estudiante de un curso CS1, optimizando su temporización para mitigar la sobrecarga cognitiva.</t>
  </si>
  <si>
    <t>Revisiones fila 10 (P02); Revisiones fila 29 (P05)</t>
  </si>
  <si>
    <t>p59-028</t>
  </si>
  <si>
    <t>Codetailor: LLM-Powered personalized parsons puzzles for engaging support while learning programming</t>
  </si>
  <si>
    <t>Hou, Wu, Wang, Ericson (2024) — "Codetailor: LLM-Powered personalized parsons puzzles for engaging support while learning programming" — L@S</t>
  </si>
  <si>
    <t>El estudiante resuelve tareas de programación introductoria y, al atascarse, solicita ayuda; la IAG (GPT-4) genera una solución de código correcta y personalizada adaptada a su lógica y variables, presentándola como un rompecabezas de Parsons interactivo que el estudiante debe ordenar y resolver para completar su código.</t>
  </si>
  <si>
    <t>"Gonzaga et al. [55] addressed the temporal aspects of feedback, optimizing delivery timing to mitigate cognitive overload."</t>
  </si>
  <si>
    <t>In CodeTailor, when students work on programming tasks and get stuck, they can request help, and CodeTailor will then provide a two-staged personalized Parsons puzzle based on their incorrect code.</t>
  </si>
  <si>
    <t>Page 1, Section 1</t>
  </si>
  <si>
    <t>El sistema aplica métodos para minimizar las alucinaciones en la retroalimentación generada por LLMs para la resolución de problemas de programación, buscando aumentar la confianza del estudiante en la retroalimentación automatizada.</t>
  </si>
  <si>
    <t>Revisiones fila 190 (P18)</t>
  </si>
  <si>
    <t>"Furthermore, to address the inherent risks of generative AI, Silva et al. [56] investigated methods to minimize hallucinations, thereby fostering greater trust in automated feedback systems."</t>
  </si>
  <si>
    <t>P29</t>
  </si>
  <si>
    <t>El estudiante realiza ejercicios de programación introductoria y, al presentar dificultades, solicita asistencia a la IAG, la cual genera de forma directa una solución de código completa que el estudiante lee y copia en su entorno de trabajo.</t>
  </si>
  <si>
    <t>Actividades grupales de programación con herramientas de IAG en las que los estudiantes discuten entre pares y depuran código de forma colaborativa mientras usan salidas generadas por IA como insumo de trabajo</t>
  </si>
  <si>
    <t>[10];[24]</t>
  </si>
  <si>
    <t>The baseline condition simulates how students may naturally request help from generative AI products when having difficulty solving programming problems, i.e., asking an LLM to create a solution from the problem description.</t>
  </si>
  <si>
    <t>"The use of AI tools in group programming activities has been shown to stimulate peer discussion, collaborative debugging, and critical reflection on AI-generated outputs, thereby strengthening both cognitive and social aspects of programming education [10], [24]."</t>
  </si>
  <si>
    <t>Page 3, Section 1</t>
  </si>
  <si>
    <t>Secc. IV.A (Impact on Learning Outcomes and Engagement), p. 339</t>
  </si>
  <si>
    <t>Reflexión crítica grupal sobre las salidas generadas por la IA durante actividades de programación colaborativa, evaluando su corrección antes de aceptarlas</t>
  </si>
  <si>
    <t>El estudiante redacta en lenguaje natural los pasos algorítmicos para resolver un problema de programación y, si son correctos, la IAG genera un rompecabezas de Parsons personalizado para ejercitar el diseño de alto nivel y la descomposición del problema.</t>
  </si>
  <si>
    <t>Software Eng. Models/Meth.</t>
  </si>
  <si>
    <t>"The use of AI tools in group programming activities has been shown to stimulate peer discussion, collaborative debugging, and critical reflection on AI-generated outputs"</t>
  </si>
  <si>
    <t>Specifically, students could write the algorithm (processing steps of the program) in natural language. Then, if the student’s algorithm was correct, CodeTailor could generate a personalized Parsons puzzle based on their algorithm.</t>
  </si>
  <si>
    <t>Page 11, Section 7.3</t>
  </si>
  <si>
    <t>Guía docente para que los estudiantes evalúen críticamente y adapten las soluciones de código generadas por IA antes de incorporarlas, en lugar de aceptarlas directamente</t>
  </si>
  <si>
    <t>SOFTWARE ENG. MODELS/METH. &gt; Modeling</t>
  </si>
  <si>
    <t>"Some research also indicates that GenAI tools may struggle with complex coding problems, highlighting the need for educators to critically guide students in evaluating and adapting AI-generated solutions [25]."</t>
  </si>
  <si>
    <t>p59-029</t>
  </si>
  <si>
    <t>How to teach programming in the AI era? Using LLMs as a teachable agent for debugging</t>
  </si>
  <si>
    <t>Ma, Shen, Koedinger, Wu (2024) — "How to teach programming in the AI era? Using LLMs as a teachable agent for debugging" — AIED</t>
  </si>
  <si>
    <t>El estudiante asume el rol de asistente de cátedra para guiar a agentes enseñables simulados por LLM a depurar código, elaborando un conjunto de pruebas categorizado y seleccionando explicaciones de la causa raíz del error, mientras el LLM genera el código erróneo, pistas y retroalimentación interactiva.</t>
  </si>
  <si>
    <t>P30</t>
  </si>
  <si>
    <t>Estudiantes redactan consultas SQL y usan ChatGPT para depurarlas y mejorarlas iterativamente; posteriormente se comparó el desempeño de los estudiantes frente a ChatGPT en consultas de todos los niveles de dificultad</t>
  </si>
  <si>
    <t>In this work, we introduce HypoCompass, a novel system to facilitate deliberate practice on debugging, where human novices play the role of Teaching Assistants and help LLM-powered teachable agents debug code.</t>
  </si>
  <si>
    <t>"ChatGPT aided SQL debugging and improvements [6]." / "Students outperformed ChatGPT on SQL queries of all difficulty levels [6]."</t>
  </si>
  <si>
    <t>p.1-2, secc. RQ1,2 / RQ3</t>
  </si>
  <si>
    <t>Estudiantes reciben retroalimentación dirigida generada por GPT-4 sobre diagramas ER que ellos mismos diseñan, aplicando rúbricas para guiar dicha retroalimentación</t>
  </si>
  <si>
    <t>El docente proporciona la descripción del problema, la solución de referencia y un conjunto de pruebas base para que la IAG genere automáticamente materiales de práctica (códigos erróneos, explicaciones, correcciones y pistas), los cuales son posteriormente verificados y editados por el docente.</t>
  </si>
  <si>
    <t>"GPT-4 generated targeted ER feedback from student diagrams [11]." / "Rubrics improved pedagogical value [11]."</t>
  </si>
  <si>
    <t>We reduce instructor workload by generating practices using just a problem description, a reference solution, and a reference test suite with about 10 inputs, and we further minimize human verification overhead with optimized prompts and automated algorithms.</t>
  </si>
  <si>
    <t>Página 6, Sección 4</t>
  </si>
  <si>
    <t>Estudiantes interactúan con un chatbot (IBM Watson) que entrega pistas de SQL en tiempo real durante el entrenamiento en consultas</t>
  </si>
  <si>
    <t>p59-031</t>
  </si>
  <si>
    <t>[2]</t>
  </si>
  <si>
    <t>Effectiveness of using ChatGPT as a tool to strengthen benefits of the flipped learning strategy</t>
  </si>
  <si>
    <t>"IBM Watson chatbot provided real-time SQL hints. [2]."</t>
  </si>
  <si>
    <t>p.1, secc. RQ1,2</t>
  </si>
  <si>
    <t>Huesca et al. (2024) — "Effectiveness of using ChatGPT as a tool to strengthen benefits of the flipped learning strategy" — Education Sciences (MDPI)</t>
  </si>
  <si>
    <t>Los estudiantes interactúan individualmente con ChatGPT en la fase previa a la clase utilizando una lista de preguntas guía y una guía de prompts que asigna un rol a la IA para estudiar conceptos de programación básica y solicitar ejemplos de código, tomando notas, refinando preguntas y verificando la exactitud de las respuestas. Por su parte, ChatGPT actúa como tutor conversacional respondiendo dudas conceptuales y generando ejemplos de código en tiempo real adaptados al nivel principiante del estudiante.</t>
  </si>
  <si>
    <t>Generación automática, mediante ChatGPT, de esquemas de base de datos, tareas SQL y datos simulados para que los estudiantes los resuelvan como ejercicios prácticos, con revisión humana posterior de la consistencia de la normalización</t>
  </si>
  <si>
    <t>Students interact with ChatGPT to study the concepts and to obtain examples about their application. Using the starter pack (the guiding questions for each topic and the prompting guide), students interact with ChatGPT to begin their learning path.</t>
  </si>
  <si>
    <t>Sección 2.2.2, pág. 8</t>
  </si>
  <si>
    <t>[1]</t>
  </si>
  <si>
    <t>"ChatGPT designed schemas, SQL tasks, and mock data, though normalization was inconsistent. [1]." / "Exercises were mostly correct but needed human review. [1]."</t>
  </si>
  <si>
    <t>p59-032</t>
  </si>
  <si>
    <t>MindScratch: A visual programming support tool for classroom learning based on multimodal generative AI</t>
  </si>
  <si>
    <t>Chen, Xiao, Song, Li, Sun, Chen (2025) — "MindScratch: A visual programming support tool for classroom learning based on multimodal generative AI" — International Journal of Human-Computer Interaction</t>
  </si>
  <si>
    <t>El docente ingresa los temas de programación y los objetivos de aprendizaje en la interfaz para establecer la estructura inicial del proyecto. La IAG utiliza estos objetivos como prompt de sistema y memoria para guiar las sugerencias generadas y mantener la alineación pedagógica durante las interacciones con los estudiantes.</t>
  </si>
  <si>
    <t>Tutoría de SQL mediante prompting iterativo con ChatGPT, combinada con retroalimentación auto-evaluativa (auto-grading) sobre el trabajo del estudiante</t>
  </si>
  <si>
    <t>To better help students achieve their learning objectives, teachers can set initial task themes and learning objectives in MindScratch. Leveraging the system prompt capabilities of large language models (LLMs), MindScratch retains the teacher-defined learning objectives throughout student interactions.</t>
  </si>
  <si>
    <t>Sección 1, Página 2</t>
  </si>
  <si>
    <t>"Iterative prompting improved ChatGPT in SQL tutoring and auto-grading. [5]." / "Accuracy and grading reliability improved with iterative prompting. [5]."</t>
  </si>
  <si>
    <t>P31</t>
  </si>
  <si>
    <t>Estudiantes redactan un enunciado en lenguaje natural (prompt) para que un LLM genere código que satisfaga un conjunto de pruebas ocultas, como nuevo tipo de ejercicio de programación</t>
  </si>
  <si>
    <t>Denny &amp; Leinonen [37]; Prather et al. [93]</t>
  </si>
  <si>
    <t>"Prompt problems: A new programming exercise for the generative ai era."; "Interactions with prompt problems: A new way to teach programming with large language models"</t>
  </si>
  <si>
    <t>El estudiante desglosa el tema de su proyecto de programación en personajes, lógica y subtareas respondiendo a un agente conversacional para estructurar nodos en un mapa mental interactivo. La IAG plantea preguntas de opción múltiple, desglosa tareas, anota relaciones semánticas entre nodos y resalta elementos alineados con los objetivos docentes.</t>
  </si>
  <si>
    <t>p. 943, Referencias [37]; p. 944, Referencias [93]</t>
  </si>
  <si>
    <t>Through the LLM-powered conversational agent, the system guides students in task breakdown, sparks creativity, and offers coding implementation suggestions based on the learning goals set by the teacher. The content created by students during their interaction with the agent is then presented in the mind map.</t>
  </si>
  <si>
    <t>Estudiantes "enseñan" a un agente de IA a programar, explicándole conceptos y procedimientos de codificación, actuando como agentes enseñables</t>
  </si>
  <si>
    <t>Sección 4, Página 4</t>
  </si>
  <si>
    <t>Jin et al. [56]</t>
  </si>
  <si>
    <t>"Teach ai how to code: Using large language models as teachable agents for programming education."</t>
  </si>
  <si>
    <t>p. 943, Referencias [56]</t>
  </si>
  <si>
    <t>El estudiante dibuja bocetos sencillos en una pizarra digital e ingresa instrucciones de voz o texto para generar imágenes pulidas y efectos de sonido para sus personajes de Scratch. La IAG mediante ControlNet, Stable Diffusion y modelos de difusión de texto a audio convierte los trazos e instrucciones en recursos gráficos y auditivos de alta calidad.</t>
  </si>
  <si>
    <t>Estudiantes consultan un chatbot basado en LLM con barreras de contención (guardrails) que evita entregar la solución completa, para obtener apoyo escalable durante las clases de programación</t>
  </si>
  <si>
    <t>Liffiton et al. [76]</t>
  </si>
  <si>
    <t>"Codehelp: Using large language models with guardrails for scalable support in programming classes."</t>
  </si>
  <si>
    <t>p. 943, Referencias [76]</t>
  </si>
  <si>
    <t>To facilitate the easy creation of elements, such as characters and scenes in the mind map, MindScratch offers an AI-driven drawing board for sketching and refining images. By pressing the voice button to input speech and clicking the "image polish" button, the system automatically refines their sketches into high-quality image assets.</t>
  </si>
  <si>
    <t>Sección 4.1.3, Página 6</t>
  </si>
  <si>
    <t>Estudiantes reciben apoyo adaptativo (scaffolding) de un sistema de tutoría inteligente basado en LLM integrado en un curso CS1</t>
  </si>
  <si>
    <t>Cao [31]</t>
  </si>
  <si>
    <t>"Scaffolding cs1 courses with a large language model-powered intelligent tutoring system."</t>
  </si>
  <si>
    <t>El estudiante solicita ayuda durante la programación pulsando botones para generar opciones de lógica o código, revisando sugerencias estructuradas y ensamblando los bloques visuales de Scratch correspondientes. La IAG mediante un LLM fine-tuned genera alternativas de lógica algorítmica y traduce pseudo-código a bloques visuales de Scratch sin entregar soluciones completas automáticas.</t>
  </si>
  <si>
    <t>p. 943, Referencias [31]</t>
  </si>
  <si>
    <t>During the code implementation stage, MindScratch provides scaffolding to encourage students to elaborate their programming ideas. Students can receive assistance by clicking on the "generate logic" or "generate code" button within the chat box.</t>
  </si>
  <si>
    <t>Sección 4.1.2, Páginas 5-6</t>
  </si>
  <si>
    <t>Un sistema basado en LLM repara automáticamente el código con errores entregado por estudiantes principiantes en tareas introductorias de programación, entregando el código corregido como retroalimentación</t>
  </si>
  <si>
    <t>p59-089</t>
  </si>
  <si>
    <t>AI Meets the Classroom: When do Large Language Models Harm Learning?</t>
  </si>
  <si>
    <t>Wan et al. [117]</t>
  </si>
  <si>
    <t>"Automated program repair for introductory programming assignments."; "Studies have shown that LLMs can help students solve introductory programming problems, repair buggy code [68, 80, 117]"</t>
  </si>
  <si>
    <t>Lehmann, Cornelius, Sting — "AI Meets the Classroom: When do Large Language Models Harm Learning?" — arXiv:2409.09047</t>
  </si>
  <si>
    <t>p. 944, Referencias [117]; p. 942, secc. 4</t>
  </si>
  <si>
    <t>El estudiante ingresa enunciados de preguntas de tareas semanales de programación en Python en ChatGPT para generar soluciones de código completas y entregarlas en una plataforma en línea sin resolverlas autónomamente. La IA generativa analiza la consigna de la pregunta y genera el código correspondiente en Python.</t>
  </si>
  <si>
    <t>Estudiantes "enseñan" a un agente de IA a depurar código, como estrategia de agente enseñable enfocada específicamente en la depuración</t>
  </si>
  <si>
    <t>If students submit code that is identical to a ChatGPT-generated solution, their grade for the current question increases by 0.18, but their grade on all subsequent questions decreases by 0.02.</t>
  </si>
  <si>
    <t>Sección 5, pág. 6-12</t>
  </si>
  <si>
    <t>Ma et al. [80]</t>
  </si>
  <si>
    <t>"How to teach programming in the ai era? using llms as a teachable agent for debugging."; "repair buggy code [68, 80, 117]"</t>
  </si>
  <si>
    <t>p. 943, Referencias [80]; p. 942, secc. 4</t>
  </si>
  <si>
    <t>Estudiantes leen explicaciones de código generadas por un LLM, integradas como material de estudio dentro de un libro electrónico de desarrollo de software web</t>
  </si>
  <si>
    <t>El estudiante copia o escribe la descripción de ejercicios de práctica de programación en Python en ChatGPT durante un módulo de aprendizaje individual a su propio ritmo para obtener el código resuelto e insertarlo en el editor sin realizar esfuerzo mental propio. La IA generativa genera el código en Python completo y funcional para resolver el ejercicio especificado.</t>
  </si>
  <si>
    <t>MacNeil et al. [81]</t>
  </si>
  <si>
    <t>"Experiences from using code explanations generated by large language models in a web software development e-book."</t>
  </si>
  <si>
    <t>p. 943, Referencias [81]</t>
  </si>
  <si>
    <t>User asks the LLM to solve an exercise, most commonly by pasting in the entire task description.</t>
  </si>
  <si>
    <t>Sección 6, 8, 9, pág. 13-21; Tabla 16, pág. 34</t>
  </si>
  <si>
    <t>Estudiantes codifican dentro de un entorno Jupyter con un chatbot (ChatGPT) integrado de forma continua dentro del mismo entorno de desarrollo</t>
  </si>
  <si>
    <t>Kuramitsu et al. [71]</t>
  </si>
  <si>
    <t>El estudiante plantea consultas a ChatGPT durante el desarrollo de módulos individuales de aprendizaje práctico para solicitar explicaciones sobre conceptos teóricos o funciones de programación en Python (p. ej., qué hace la función str()), buscando aclarar dudas conceptuales sin pedir el código resuelto. La IA generativa proporciona explicaciones teóricas y guías conceptuales paso a paso.</t>
  </si>
  <si>
    <t>"Kogi: A seamless integration of chatgpt into jupyter environments for programming education."</t>
  </si>
  <si>
    <t>p. 943, Referencias [71]</t>
  </si>
  <si>
    <t>User asks the LLM to explain a programming concept.</t>
  </si>
  <si>
    <t>P32</t>
  </si>
  <si>
    <t>p59-090</t>
  </si>
  <si>
    <t>Assessing the impact of ChatGPT in a PHP programming course</t>
  </si>
  <si>
    <t>Al Hajj &amp; Sah (2023) — "Assessing the impact of ChatGPT in a PHP programming course" — ISAS</t>
  </si>
  <si>
    <t>P33</t>
  </si>
  <si>
    <t>Estudiante interactúa con ChatGPT como tutor virtual disponible permanentemente para recibir explicaciones conceptuales de programación bajo demanda</t>
  </si>
  <si>
    <t>Los estudiantes utilizan ChatGPT como un chatbot de asistencia conversacional para responder cuestionarios de evaluación en un curso de programación PHP que incluyen preguntas clásicas, de verdadero/falso, de opción múltiple y de desarrollo de código, mientras que la IAG procesa las consultas en texto y genera respuestas, explicaciones y fragmentos de código para asistir a los estudiantes en la resolución del cuestionario.</t>
  </si>
  <si>
    <t>[32]</t>
  </si>
  <si>
    <t>"the use of ChatGPT as an always-available virtual tutor [32]"</t>
  </si>
  <si>
    <t>p. 88, secc. 3.1</t>
  </si>
  <si>
    <t>In this paper, the impact of ChatGPT in a PHP programming course using user studies was investigated. Students were divided into two groups and asked to perform two quizzes; (a) manually alone and (b) with the assistance of ChatGPT.</t>
  </si>
  <si>
    <t>Sección Abstract y Sección III (págs. 1, 3)</t>
  </si>
  <si>
    <t>Estudiante recibe pistas adaptativas de PyTutor que se ajustan a sus respuestas mientras resuelve ejercicios de programación en Python</t>
  </si>
  <si>
    <t>[40]</t>
  </si>
  <si>
    <t>"adaptive hint systems that tailored support to student inputs [40]" / "[40] documented a 22% increase in pass rates among students enrolled in Python programming courses that incorporated ChatGPT-based tutoring"</t>
  </si>
  <si>
    <t>p. 88, secc. 3.1 / secc. 3.3.1</t>
  </si>
  <si>
    <t>Los estudiantes utilizan ChatGPT integrado en una interfaz de tutoría asistida por IA para interactuar mediante conversaciones continuas y resolver dudas de programación PHP, mientras que la IAG ofrece explicaciones progresivas y orientaciones pedagógicas en lugar de entregar directamente la respuesta final.</t>
  </si>
  <si>
    <t>Estudiante utiliza el autocompletado de GitHub Copilot mientras escribe código en tareas del curso</t>
  </si>
  <si>
    <t>ChatGPT in an AI-assisted tutoring interface is another option. By offering more time and conversations, ChatGPT can help students learn rather than directly answering the question.</t>
  </si>
  <si>
    <t>Sección VI (pág. 5)</t>
  </si>
  <si>
    <t>[26]</t>
  </si>
  <si>
    <t>"Tools such as GitHub Copilot provided autocomplete functionalities [26]"</t>
  </si>
  <si>
    <t>p59-091</t>
  </si>
  <si>
    <t>ChatGPT impact analysis on API testing: A controlled experiment</t>
  </si>
  <si>
    <t>Setiawan, Yudha, Mulyono, Simalango, Karnalim (2024) — "ChatGPT impact analysis on API testing: A controlled experiment" — J. Applied Informatics and Computing</t>
  </si>
  <si>
    <t>Los estudiantes realizan pruebas de API (autenticación, autorización y prueba de API gateway para contextos de oficina e inventario) en la plataforma Postman utilizando ChatGPT como guía interactiva. La herramienta de IA actúa como chatbot para explicar las características de las API, sugerir estrategias de prueba y brindar soluciones ante problemas de depuración (debugging) y errores.</t>
  </si>
  <si>
    <t>Estudiante usa GPT-4 para identificar y corregir errores de ejecución (runtime errors) en su propio código</t>
  </si>
  <si>
    <t>Semua partisipan diminta untuk mengerjakan dua tugas terkait API Postman dalam satu laboratorium komputer fisik: ASMT (API Specification Matching Test) dan ASMT-ALT (API Specification Matching Test - Alternative). Intervensi dilakukan dengan memberikan bantuan ChatGPT kepada kelompok eksperimen sebagai panduan pengguna dan chatbot untuk menjelaskan fitur-fitur API, memberikan saran tentang pengujian dan memberikan solusi terhadap masalah yang muncul.</t>
  </si>
  <si>
    <t>"GPT-4 was used to assist in fixing runtime errors [29]"</t>
  </si>
  <si>
    <t>Sección III, pp. 352-353</t>
  </si>
  <si>
    <t>SOFTWARE TESTING &gt; Software Testing Tools</t>
  </si>
  <si>
    <t>p59-093</t>
  </si>
  <si>
    <t>Estudiante sostiene un diálogo interactivo de depuración con una interfaz conversacional basada en GPT-4 mientras resuelve errores de código</t>
  </si>
  <si>
    <t>The effect of Flipped Interactive Learning (FIL) based on ChatGPT on students' skills in a large programming class</t>
  </si>
  <si>
    <t>Gasaymeh &amp; AlMohtadi (2024) — "The effect of Flipped Interactive Learning (FIL) based on ChatGPT on students' skills in a large programming class" — Int. J. Information and Education Technology</t>
  </si>
  <si>
    <t>Los estudiantes resuelven ejercicios de programación en Visual Basic 6 fuera de clase antes y después de ver los videos instruccionales, utilizando ChatGPT como herramienta de apoyo. La IA generativa brinda asistencia para la resolución de los problemas de código.</t>
  </si>
  <si>
    <t>"Interactive debugging via conversational interfaces, such as GPT-4, encouraged students to seek help more frequently [28]"</t>
  </si>
  <si>
    <t>secc. 3.2</t>
  </si>
  <si>
    <t>Students were asked to solve a set of exercises related to programming in Visual Basic 6 with the aid of ChatGPT before and after watching the instructional videos.</t>
  </si>
  <si>
    <t>Página 1519, Sección II-C (Tabla 1)</t>
  </si>
  <si>
    <t>Estudiante practica estructuras de datos y algoritmos mediante la plataforma Gurukul, que ofrece scaffolding estructurado con elementos tipo juego generado por LLM</t>
  </si>
  <si>
    <t>"[24], for example, reported that while students receiving structured LLM-guided instruction (via the Gurukul platform) demonstrated improved comprehension of data structures and algorithms (DSA), they struggled to apply those concepts to novel problem settings"</t>
  </si>
  <si>
    <t>secc. 3.3.2</t>
  </si>
  <si>
    <t>Los estudiantes interactúan con ChatGPT fuera de clase durante la fase de preparación previa, realizando consultas para profundizar en el contenido educativo y aclarar dudas sobre los videos. La IA generativa responde a las consultas ofreciendo explicaciones aclaratorias adaptadas.</t>
  </si>
  <si>
    <t>Estudiante recibe pistas generadas por LLM combinadas con validación automática en tiempo de ejecución mientras depura/comprende programas en Python (PyFiXV)</t>
  </si>
  <si>
    <t>Students were encouraged to use ChatGPT to deepen their understanding of the educational content and to clarify any educational points in the videos.</t>
  </si>
  <si>
    <t>[27]</t>
  </si>
  <si>
    <t>"PyFiXV, extended this support further by combining LLM-generated hints with runtime validation, improving feedback precision [27]"</t>
  </si>
  <si>
    <t>T011 Taxonomía</t>
  </si>
  <si>
    <t>El docente utiliza ChatGPT durante las clases presenciales para revisar los contenidos de programación mediante sesiones de preguntas y respuestas (Q&amp;A). La IA generativa sirve de apoyo al profesor para guiar el repaso de los temas en el aula.</t>
  </si>
  <si>
    <t>Estudiantes realizan programación colaborativa en pareja/grupo en CS1 apoyados por una herramienta LLM que facilita el aprendizaje entre pares y entrega analítica de trabajo grupal al docente</t>
  </si>
  <si>
    <t>The instructor utilized ChatGPT to review the content through Q&amp;A sessions.</t>
  </si>
  <si>
    <t>[45]; [23]</t>
  </si>
  <si>
    <t>"collaborative programming was examined in 16% of studies, with some leveraging LLMs to facilitate peer learning and group work analytics [45, 23]"</t>
  </si>
  <si>
    <t>Docente genera de forma automatizada cuestionarios y mecanismos de retroalimentación con LLM para evaluar aprendizaje en cursos de programación</t>
  </si>
  <si>
    <t>Los estudiantes conversan con ChatGPT durante la clase presencial para resolver dudas y profundizar en la comprensión de los temas de programación abordados. La IA generativa interactúa respondiendo a las consultas individuales de los alumnos en tiempo real.</t>
  </si>
  <si>
    <t>[30]; [36]</t>
  </si>
  <si>
    <t>"A smaller subset of studies (12%) explored assessment support, including the automated generation of quizzes and feedback mechanisms [30, 36]"</t>
  </si>
  <si>
    <t>Students were encouraged to chat with ChatGPT to clarify and deepen their understanding of the educational topics.</t>
  </si>
  <si>
    <t>p59-094</t>
  </si>
  <si>
    <t>Generative artificial intelligence-supported programming education: Effects on learning performance, self-efficacy and processes</t>
  </si>
  <si>
    <t>Li, Liu, Dong (2025) — "Generative artificial intelligence-supported programming education: Effects on learning performance, self-efficacy and processes" — Australasian J. Educational Technology</t>
  </si>
  <si>
    <t>Los estudiantes realizan una actividad autodirigida de 120 minutos guiada por una hoja de tareas para comprender la librería Turtle de Python, elaborar un mapa mental y resolver cinco ejercicios de programación. Durante la actividad, los estudiantes interactúan exclusivamente con ChatGPT (GPT-3.5-turbo) mediante un manual de usuario para realizar consultas, solicitar código, formular preguntas de seguimiento y depurar errores, mientras la IAG genera código, explicaciones y retroalimentación directa a sus solicitudes.</t>
  </si>
  <si>
    <t>During the experiment, both groups received the same task sheet with self-learning tasks: (a) understanding the Turtle library, (b) creating a mind map for the Turtle library and (c) completing five programming exercises. The tools allowed for self-learning differed between groups: the experimental group used GenAI exclusively, while the control group had access to other Internet resources.</t>
  </si>
  <si>
    <t>p. 5, Section Methodology (Research procedure)</t>
  </si>
  <si>
    <t>p61-033</t>
  </si>
  <si>
    <t>A mixed reality approach for innovative pair programming education with a conversational AI virtual avatar</t>
  </si>
  <si>
    <t>p61</t>
  </si>
  <si>
    <t>Manfredi, Erra, Gilio (2023) — "A mixed reality approach for innovative pair programming education with a conversational AI virtual avatar" — EASE</t>
  </si>
  <si>
    <t>En la actividad de programación en pareja en realidad mixta, el estudiante interactúa con un avatar virtual conversacional impulsado por IA generativa (OpenAI GPT-3.5) alternando los roles de conductor y navegante. Como conductor, el estudiante escribe código en VS Code mientras el avatar analiza su trabajo en tiempo real para ofrecerle sugerencias de mejora y correcciones; como navegante, el estudiante solicita al avatar la generación de código, selección de algoritmos o resolución de errores.</t>
  </si>
  <si>
    <t>In driver mode, the user, acting as navigator, requests the extension to produce code based on a specific topic or problem, such as finding the best algorithm for a given task, fixing a specific error message, or writing a test case. In navigator mode, the extension provides suggestions to the user, which acts as the driver, based on the code they are currently writing.</t>
  </si>
  <si>
    <t>Sección 4, página 3</t>
  </si>
  <si>
    <t>p61-034</t>
  </si>
  <si>
    <t>Generative AI-enabled conversational interaction to support self-directed learning experiences in transversal computational thinking</t>
  </si>
  <si>
    <t>Ouaazki, Bergram, Farah, Gillet, Holzer (2024) — "Generative AI-enabled conversational interaction to support self-directed learning experiences in transversal computational thinking" — CUI</t>
  </si>
  <si>
    <t>Los estudiantes resuelven ejercicios prácticos individuales de programación en Python dentro de la plataforma Graasp interactuando con un chatbot de IAG (Graasp Bot/GPT-3), el cual les entrega soluciones directas de código o los guía paso a paso mediante principios de pensamiento computacional sin dar la respuesta inmediata.</t>
  </si>
  <si>
    <t>Students took part in four self-directed lab sessions, during which they were required to solve Python programming challenges on Graasp.</t>
  </si>
  <si>
    <t>Sección 4.2, página 4</t>
  </si>
  <si>
    <t>Los estudiantes trabajan en grupos colaborativos durante un semestre para desarrollar un juego 2D en Python a partir de un código base inicial, utilizando ChatGPT de forma autorregulada para comprender el código, generar nuevas funcionalidades y depurar errores en la plataforma Replit.</t>
  </si>
  <si>
    <t>The second part of this study explored the long-term use of ChatGPT as an assistant in a self-directed semester-long project. The project consisted of creating a unique game using as a starting point a sample code featuring an avoidance game where the primary objective is for the player to avoid obstacles or enemies.</t>
  </si>
  <si>
    <t>Sección 4.3, página 5</t>
  </si>
  <si>
    <t>p61-095</t>
  </si>
  <si>
    <t>Recommendations to create programming exercises to overcome ChatGPT</t>
  </si>
  <si>
    <t>Berrezueta-Guzman &amp; Krusche (2023) — "Recommendations to create programming exercises to overcome ChatGPT" — CSEE&amp;T</t>
  </si>
  <si>
    <t>p61-096</t>
  </si>
  <si>
    <t>'It's not like Jarvis, but it's pretty close!' - Examining ChatGPT's usage among undergraduate students in computer science</t>
  </si>
  <si>
    <t>Budhiraja, Joshi, Challa, Akolekar, Kumar (2024) — "'It's not like Jarvis, but it's pretty close!' - Examining ChatGPT's usage among undergraduate students in computer science" — ACE</t>
  </si>
  <si>
    <t>El estudiante ingresa enunciados de problemas de programación de sus asignaciones académicas o laboratorios a ChatGPT para obtener código inicial o un enfoque algorítmico básico sobre el cual construir su solución.</t>
  </si>
  <si>
    <t>Earlier when I would have to spend 2 hours to even find a basic approach for a problem, ChatGPT would give that to me in 2 minutes, and from there I can build on that.</t>
  </si>
  <si>
    <t>Section 5.1, p. 5</t>
  </si>
  <si>
    <t>Revisiones fila 16 (P02)</t>
  </si>
  <si>
    <t>El estudiante introduce fragmentos de código con errores o mensajes de falla en ChatGPT para identificar los fallos, comprender qué está mal y recibir código corregido o sugerencias de mejora.</t>
  </si>
  <si>
    <t>It is good for debugging the code someone has written because otherwise people would anyway go to websites like Stack Overflow and follow things blindly, but using ChatGPT, they can at least know what they were doing wrong, and where they could improve.</t>
  </si>
  <si>
    <t>El estudiante interactúa de forma conversacional con ChatGPT durante sesiones de autoestudio para solicitar explicaciones paso a paso de conceptos de programación, semántica de lenguajes y detalles de documentación.</t>
  </si>
  <si>
    <t>Participants talked about using it for step-by-step explanations of questions, for example, programming questions, which are not possible when referring to online resources for assistance in learning.</t>
  </si>
  <si>
    <t>El docente utiliza ChatGPT para generar un conjunto de preguntas y ejercicios prácticos destinados a un curso que no dispone de contenido o material previamente elaborado.</t>
  </si>
  <si>
    <t>For example, I was in a course and the course did not have any pre-made content/questions. So sir asked ChatGPT to give us a bunch of questions for that course.</t>
  </si>
  <si>
    <t>El estudiante emplea ChatGPT para realizar lluvia de ideas, explorar dominios desconocidos de ciencias de la computación y obtener enfoques iniciales para proyectos y resolución de problemas.</t>
  </si>
  <si>
    <t>It has become an indispensable tool that I rely on regularly to gather information, brainstorm ideas, get the algorithm, and debug the code.</t>
  </si>
  <si>
    <t>El estudiante utiliza ChatGPT para redactar y generar el contenido de reportes teóricos extensos, trabajos escritos y proyectos requeridos en sus asignaturas.</t>
  </si>
  <si>
    <t>I used it religiously for one of the humanities courses where we had to write a report. I wrote almost the entire thing with the help of ChatGPT.</t>
  </si>
  <si>
    <t>Section 5.1, p. 5-6</t>
  </si>
  <si>
    <t>El estudiante emplea ChatGPT para resumir contenidos de aprendizaje y material de estudio de sus cursos académicos.</t>
  </si>
  <si>
    <t>Table 1 depicts that the most frequent use-cases involve students using ChatGPT for gathering information (89.2%), summarizing learning content (76.7%), assistance in coding (74.4%)...</t>
  </si>
  <si>
    <t>Section 4, p. 4</t>
  </si>
  <si>
    <t>p61-097</t>
  </si>
  <si>
    <t>GPTutor: a ChatGPT-powered programming tool for code explanation</t>
  </si>
  <si>
    <t>Chen, Huang, Chen, Tseng, Li (2023) — "GPTutor: a ChatGPT-powered programming tool for code explanation" — AIED</t>
  </si>
  <si>
    <t>El estudiante selecciona un bloque o función de código en Visual Studio Code y solicita una explicación mediante atajos o comandos; GPTutor analiza el código del archivo junto con las definiciones de funciones vinculadas y envía un prompt estructurado a la API de ChatGPT (gpt-3.5-turbo) para mostrar una explicación concisa e integrada en un mensaje emergente.</t>
  </si>
  <si>
    <t>With GPTutor, students can conveniently receive personalized explanations for coding problems they encounter. Additionally, those seeking to learn a new programming language can use GPTutor to understand example code.</t>
  </si>
  <si>
    <t>Sección 1, página 2</t>
  </si>
  <si>
    <t>p61-098</t>
  </si>
  <si>
    <t>Innovating computer programming pedagogy: The AI-Lab framework for generative AI adoption</t>
  </si>
  <si>
    <t>Dickey, Bejarano, Garg — "Innovating computer programming pedagogy: The AI-Lab framework for generative AI adoption"</t>
  </si>
  <si>
    <t>El estudiante crea una cuenta en la herramienta de IAG y realiza una exploración guiada e individual planteando preguntas introductorias y consultas sobre conceptos de ciencias de la computación (como Big-O, listas enlazadas o árboles), mientras la IAG genera explicaciones y visualizaciones para que el estudiante evalúe la precisión de sus respuestas.</t>
  </si>
  <si>
    <t>Students must create an account on the chosen GenAI tool and acquaint themselves with it. [...] Upon establishing proficiency with these introductory inquiries, students are encouraged to transition toward queries that align with their domain of study in computer science.</t>
  </si>
  <si>
    <t>Página 3, Sección 3.1.2</t>
  </si>
  <si>
    <t>El estudiante solicita a la IAG una introducción al tema de la sesión de laboratorio utilizando patrones de prompts de persona y reformula sus objetivos de aprendizaje empleando la taxonomía de Bloom, mientras la IAG asume un rol experto contextualizado y genera resúmenes y objetivos reformulados.</t>
  </si>
  <si>
    <t>Students will request explanations from the GenAI tool regarding the forthcoming lab session's subject matter. [...] The prompt's structure adheres to the 'persona prompt pattern,' a strategy grounded in the observation that GenAI tends to yield enhanced and tailored outcomes when provided with a contextual role to assume.</t>
  </si>
  <si>
    <t>Páginas 3-4, Sección 3.1.3</t>
  </si>
  <si>
    <t>En una sesión presencial e interactiva de laboratorio guiada por el docente, los estudiantes trabajan en parejas formulando prompts con contexto y restricciones específicas para que la IAG genere estructuras de datos y código (árboles de codificación Huffman), detectando errores y alucinaciones en las salidas de la IAG para debatirlos y corregirlos mediante Think/Pair/Share.</t>
  </si>
  <si>
    <t>To exemplify the algorithm's operation, students were prompted to collaborate in pairs, tasking ChatGPT with constructing Huffman Coding Trees for diverse strings. Swiftly, students were compelled to flag ChatGPT's errors—some of which teetered on the realm of absurdity—bringing them to the attention of their partners and instructors.</t>
  </si>
  <si>
    <t>Páginas 4-5, Sección 3.2 y Sección 4</t>
  </si>
  <si>
    <t>El estudiante resuelve un problema de programación o escenario algorítmico en una guía post-laboratorio intentando primero la solución con ayuda de la IAG y posteriormente resolviéndolo mediante enfoques conceptuales tradicionales, comparando ambos métodos para reconocer las limitaciones técnicas de la IAG.</t>
  </si>
  <si>
    <t>This query should be designed in a twofold manner: the initial segment prompting students to attempt problem-solving utilizing GenAI and the latter urging them to tackle the same issue via conventional conceptual approaches.</t>
  </si>
  <si>
    <t>Página 4, Sección 3.3</t>
  </si>
  <si>
    <t>El estudiante solicita a la IAG que genere preguntas de práctica o ejemplos basados en objetivos de aprendizaje del curso, resuelve las preguntas de forma individual y con apoyo de la IAG, y evalúa críticamente las respuestas generadas por la IAG según su precisión técnica, relevancia y exhaustividad.</t>
  </si>
  <si>
    <t>A significant task related to the covered topic involves having students utilize GenAI to generate problem questions or examples about the subject they have learned [...] Direct students to assess GenAI's answers based on the following criteria: technical accuracy, relevance to the posed question, and comprehensiveness of the response in addressing all aspects of the inquiry.</t>
  </si>
  <si>
    <t>p61-099</t>
  </si>
  <si>
    <t>A comparative study of AI-generated (GPT-4) and human-crafted MCQs in programming education</t>
  </si>
  <si>
    <t>Doughty, Wan, Bompelli, Qayum, Wang, Zhang, Sakr (2024) — "A comparative study of AI-generated (GPT-4) and human-crafted MCQs in programming education" — ACE</t>
  </si>
  <si>
    <t>El docente o diseñador instruccional proporciona información sobre el curso, la unidad y un objetivo de aprendizaje específico. La IA generativa (GPT-4) procesa este contexto junto con principios de diseño de evaluaciones y el nivel de la taxonomía de Bloom para generar preguntas de opción múltiple (MCQs) completas con enunciado, respuesta correcta y distractores.</t>
  </si>
  <si>
    <t>We developed a novel LLM-based (GPT-4) pipeline to automate generation of MCQs for higher-education Python programming courses. The novelty of our approach lies in making use of a high-level course context and detailed module-level LOs for producing well-formed high-quality MCQs that use clear language, have plausible distractors, and are well-aligned with the LOs.</t>
  </si>
  <si>
    <t>Revisiones fila 40 (P06)</t>
  </si>
  <si>
    <t>p61-100</t>
  </si>
  <si>
    <t>CS1 with a Side of AI: Teaching software verification for secure code in the era of Generative AI</t>
  </si>
  <si>
    <t>Fernandez &amp; Cornell (2024) — "CS1 with a Side of AI: Teaching software verification for secure code in the era of Generative AI" — SIGCSE</t>
  </si>
  <si>
    <t>El estudiante interactúa con un servicio de IAG en una lección inicial de bajo riesgo solicitando recomendaciones de comida según sus preferencias dietéticas, mientras la IAG genera las sugerencias personalizadas.</t>
  </si>
  <si>
    <t>For these students, an "ice breaker" lesson requiring them to interact with the AI service in a low-stakes way may be useful, such as making a recommendation for a meal based upon their dietary preferences.</t>
  </si>
  <si>
    <t>Página 4, Sección 4.1.1</t>
  </si>
  <si>
    <t>Revisiones fila 24 (P04); Revisiones fila 25 (P04)</t>
  </si>
  <si>
    <t>Los integrantes de un proyecto grupal proporcionan su disponibilidad de horarios a la IAG, y esta les ayuda a estructurar y programar un calendario de reuniones alineado con los plazos del proyecto.</t>
  </si>
  <si>
    <t>Software Eng. Management</t>
  </si>
  <si>
    <t>If there is a group project in the course, encourage the team members to provide their availability and have the LLM assist with setting up a schedule for their meetings, in keeping with project deadlines.</t>
  </si>
  <si>
    <t>El estudiante crea un chat enfocado en dudas básicas de computación para resolver preguntas iniciales de programación las 24 horas del día, mientras la IAG actúa como tutor personalizado respondiendo a sus consultas.</t>
  </si>
  <si>
    <t>From there, students can leverage these AI models as a customized tutor by creating a chat focused on basic CS questions, enabling them to have their early programming questions addressed 24/7.</t>
  </si>
  <si>
    <t>Página 4, Sección 4.1.1 (y Tablas 1 y 2, Sección 4.1.2)</t>
  </si>
  <si>
    <t>El estudiante redacta prompts estructurados especificando la tarea, el contexto, ejemplos de salida y el nivel de detalle o comentarios para solicitar la generación de un método básico en Java, mientras la IAG genera el código correspondiente.</t>
  </si>
  <si>
    <t>For example in activity 2, students may learn how to prompt the LLM to generate a basic method in Java which reflects the content of that week (weeks 7 and 8 in our sample).</t>
  </si>
  <si>
    <t>Página 4, Sección 4.1.2 (y Sección 4.2.1)</t>
  </si>
  <si>
    <t>Los estudiantes en equipos evalúan descripciones de prompts para predecir si la IAG generará código correcto o una interpretación literal no deseada, asumen el rol de la IAG para refinarlos iterativamente y prueban las respuestas en diferentes modelos de IAG.</t>
  </si>
  <si>
    <t>Team members can take the role of the AI and consider whether or not the prompt has been detailed thoroughly enough to consider it now a "safe bet.</t>
  </si>
  <si>
    <t>Páginas 4-6, Secciones 4.1.3, 4.2.2, 4.3.2 y 4.3.3</t>
  </si>
  <si>
    <t>El estudiante realiza una revisión de código e inspección de aserciones en programas generados por IAG, solicitando que esta incluya comentarios de pre/postcondiciones e invariantes para evaluarlos, e inserta impresiones para trazar variables con múltiples entradas.</t>
  </si>
  <si>
    <t>Software Security</t>
  </si>
  <si>
    <t>Students should request that the LLM generate these comments and then review/change these comments as needed.</t>
  </si>
  <si>
    <t>Páginas 4-6, Sección 4.3.1 (y Tablas 1 y 2, Sección 4.1.2)</t>
  </si>
  <si>
    <t>p79-035</t>
  </si>
  <si>
    <t>Pair programming in programming courses in the era of generative AI: Students' perspective</t>
  </si>
  <si>
    <t>p79</t>
  </si>
  <si>
    <t>Simaremare, Pardede, Tampubolon, Manurung, Simangunsong (2024) — "Pair programming in programming courses in the era of generative AI: Students' perspective" — APSEC</t>
  </si>
  <si>
    <t>Los docentes imparten un taller corto previo al semestre para introducir el uso de ChatGPT-3 y Copilot, enseñando sus funciones, técnicas básicas de prompting, normas de integridad académica y prácticas éticas.</t>
  </si>
  <si>
    <t>Before the semester began, we conducted a short workshop to introduce the two most popular tools, ChatGPT-3 and Copilot. The workshop emphasized the features and basic prompting techniques for both tools.</t>
  </si>
  <si>
    <t>p. 508, Sección III</t>
  </si>
  <si>
    <t>Sin equivalente en catálogo</t>
  </si>
  <si>
    <t>Revisiones fila 54 (P08)</t>
  </si>
  <si>
    <t>El estudiante trabaja individualmente emparejado con una IAG (ChatGPT o Copilot) como navegadora para resolver ejercicios de programación, mientras la IAG genera código, sugiere sentencias, explica errores al pegar mensajes de fallo, refactoriza y aclara conceptos difíciles.</t>
  </si>
  <si>
    <t>In the first half, students were assigned to work in a student-GenAI pairing fashion.</t>
  </si>
  <si>
    <t>Los estudiantes trabajan en parejas humano-humano para intercambiar ideas y resolver problemas de programación, utilizando la IAG (ChatGPT o Copilot) como un asistente de apoyo adicional para facilitar la codificación y la depuración de errores.</t>
  </si>
  <si>
    <t>In the second half, they transitioned to traditional student-student pairing, with GenAI as additional support.</t>
  </si>
  <si>
    <t>p79-036</t>
  </si>
  <si>
    <t>Generative AI and developer workflows: How GitHub Copilot and ChatGPT influence solo and pair programming</t>
  </si>
  <si>
    <t>Stray, Moe, Ganeshan, Kobbenes (2025) — "Generative AI and developer workflows: How GitHub Copilot and ChatGPT influence solo and pair programming" — HICSS</t>
  </si>
  <si>
    <t>p79-101</t>
  </si>
  <si>
    <t>AI chatbots in programming education: guiding success or encouraging plagiarism</t>
  </si>
  <si>
    <t>Akçapnar &amp; Sidan (2024) — "AI chatbots in programming education: guiding success or encouraging plagiarism" — Discover Artificial Intelligence</t>
  </si>
  <si>
    <t>Estudiantes de un curso de programación introductoria en C# realizan un examen de evaluación compuesto por preguntas de respuesta corta y respuesta abierta, consultando de forma opcional a un asistente virtual de IA personalizado basado en GPT-3.5 Turbo integrado en Moodle para obtener explicaciones conceptuales, generación, completado y explicación de código.</t>
  </si>
  <si>
    <t>Students were asked to take identical programming exams twice: once without AI assistance and once with the option to use the AI assistant.</t>
  </si>
  <si>
    <t>Sección 3.2 Procedure</t>
  </si>
  <si>
    <t>Estudiantes principiantes de programación ejecutan 45 tareas prácticas sobre conceptos fundamentales en Python (condicionales, bucles y arreglos) utilizando un asistente basado en OpenAI Codex para edición de código en tiempo real, localización de errores y depuración.</t>
  </si>
  <si>
    <t>In the research conducted with a total of 69 students between the ages of 10–17 using the OpenAI Codex for teaching Python programming language, students completed 45 different programming tasks on basic concepts, conditionals, loops and arrays, consisting of steps such as real-time code editing, error finding and debugging</t>
  </si>
  <si>
    <t>Sección 2 Literature review</t>
  </si>
  <si>
    <t>Estudiantes de un curso de programación orientada a objetos en C# utilizan un sistema de retroalimentación automatizado basado en GPT-3.5 integrado en las tareas del curso para recibir pistas e información orientativa durante la resolución de sus ejercicios.</t>
  </si>
  <si>
    <t>Pankiewicz y Baker, 2023</t>
  </si>
  <si>
    <t>Pankiewicz and Baker used a feedback system using the GPT-3.5 model in their object-oriented programming course in C# programming language and integrated this system into the course content to be used in the assignment part of the course.</t>
  </si>
  <si>
    <t>El sistema tutorial inteligente KIAAA analiza los perfiles y el nivel de conocimiento de estudiantes de programación en ingeniería de automatización para generar tareas individualizadas y proporcionar retroalimentación inmediata.</t>
  </si>
  <si>
    <t>Eilermann et al., 2023</t>
  </si>
  <si>
    <t>This designed assistant has been developed to analyze student profiles within the scope of programming education, to create individual tasks according to student knowledge level and preferences and to present them to students.</t>
  </si>
  <si>
    <t>Estudiantes de programación utilizan la herramienta CodeAid para realizar preguntas y obtener soporte técnico en forma de pistas explicativas sin que el asistente les proporcione directamente el código final de solución.</t>
  </si>
  <si>
    <t>Kazemitabaar et al., 2024</t>
  </si>
  <si>
    <t>Kazemitabaar et al., developed a programming assistant named Code-Aid for the use of Generative Artificial Intelligence in programming education.</t>
  </si>
  <si>
    <t>Docentes integran el modelo GPT-3 en un curso de programación orientada a objetos para validar tareas de escritura de código de los estudiantes, ajustar el nivel de dificultad de las tareas y generar pruebas automatizadas.</t>
  </si>
  <si>
    <t>Cipriano y Alves, 2023</t>
  </si>
  <si>
    <t>Desempeño de herramienta; Sin evaluación</t>
  </si>
  <si>
    <t>Cipriano and Alves, examined learners’ code writing assignments using the GPT-3 model in an object-oriented programming course and reported that the model can be used to validate assignments, adjust the difficulty of assignments and create automated tests for assignments</t>
  </si>
  <si>
    <t>Estudiantes novatos de un curso de programación introductoria (CS1) emplean GitHub Copilot para la generación automática de código en la resolución de problemas, interactuando iterativamente con las sugerencias generadas para obtener código funcional.</t>
  </si>
  <si>
    <t>Prather et al., 2023</t>
  </si>
  <si>
    <t>In the study conducted by Prather et al., GitHub Copilot was used in a beginner (CS1) programming course to examine students’ interactions with automated code generation tools.</t>
  </si>
  <si>
    <t>Sección 5 Discussion</t>
  </si>
  <si>
    <t>p79-102</t>
  </si>
  <si>
    <t>Student's use of generative AI as a support tool in an advanced web development course</t>
  </si>
  <si>
    <t>Alpizar-Chacon &amp; Keuning (2025) — "Student's use of generative AI as a support tool in an advanced web development course" — ITiCSE</t>
  </si>
  <si>
    <t>El docente realiza una demostración en vivo del uso de GitHub Copilot aplicando un ejemplo sencillo en JavaScript durante una clase magistral para ilustrar el uso de la herramienta de IAG.</t>
  </si>
  <si>
    <t>However, in the second lecture, the instructor demonstrated the use of Copilot with a simple JavaScript example.</t>
  </si>
  <si>
    <t>Section 3.2, Page 3</t>
  </si>
  <si>
    <t>El estudiante responde a un cuestionario de siete preguntas dirigidas para reflexionar sobre sus expectativas, ventajas, limitaciones y situaciones en las que prefiere no usar herramientas de IAG en su aprendizaje.</t>
  </si>
  <si>
    <t>Lab 1 required students to reflect on their expectations of using GenAI for learning, both in general and in the context of the course, through seven targeted questions</t>
  </si>
  <si>
    <t>El estudiante lee un artículo científico sobre el impacto y las implicaciones de ChatGPT, redacta un resumen y discute brevemente la importancia de seis ensayos seleccionados del texto.</t>
  </si>
  <si>
    <t>T029</t>
  </si>
  <si>
    <t>Reporte de lectura general</t>
  </si>
  <si>
    <t>Homework 1 involved reading a paper on the opportunities, challenges, and implications of ChatGPT across multiple domains, followed by writing a summary and briefly discussing the importance of six out of the 43 described essays in the paper.</t>
  </si>
  <si>
    <t>Los estudiantes en parejas desarrollan aplicaciones web de complejidad creciente (juego en HTML/CSS/JS, sistema en React y sistema full-stack en Angular/Express) empleando IAG para generar código, depurar, diseñar UI y definir requisitos, reportando su uso en reflexiones.</t>
  </si>
  <si>
    <t>Group projects tasked students to build increasingly complex applications: a text adventure game using HTML5, CSS3, and JavaScript (Project 1), a React-based front-end meeting management system (Project 2), and a full-stack ticketing system with Angular and Express (Project 3).</t>
  </si>
  <si>
    <t>El estudiante selecciona un tema de desarrollo web, utiliza herramientas de IAG para explorarlo y obtener conceptos iniciales, contrasta la información con fuentes científicas y web, y redacta un ensayo documentando el proceso de descubrimiento.</t>
  </si>
  <si>
    <t>T090</t>
  </si>
  <si>
    <t>Ensayo</t>
  </si>
  <si>
    <t>In Homework 3 students had to select a topic, use GenAI to explore it, and write a short essay incorporating web and scientific resources while documenting the GenAI-assisted discovery process.</t>
  </si>
  <si>
    <t>El estudiante mantiene un registro individual continuo en un diario de bordo donde documenta sus prompts, las respuestas de la IAG, las estrategias empleadas y sus reflexiones durante el estudio autónomo y las tareas.</t>
  </si>
  <si>
    <t>Also, students had to maintain a Logbook, recording their interactions with GenAI tools during self-study and assignments.</t>
  </si>
  <si>
    <t>p79-103</t>
  </si>
  <si>
    <t>Student-ai interaction: A case study of CS1 students</t>
  </si>
  <si>
    <t>Amoozadeh, Nam, Prol, Alfageeh, Prather, Hilton, Srinivasa Ragavan, Alipour (2024) — "Student-ai interaction: A case study of CS1 students" — Koli Calling</t>
  </si>
  <si>
    <t>El estudiante copia y envía la descripción completa del problema de programación a la IAG al inicio de la tarea sin realizar intentos previos autónomos, mientras que la IAG genera la solución de código completa para ser adoptada directamente por el estudiante.</t>
  </si>
  <si>
    <t>In the full description strategy, the participant copied the full description of the task into the plugin, thereby offloading task completion entirely to Generative AI.</t>
  </si>
  <si>
    <t>Sección 4.2.3, pág. 9</t>
  </si>
  <si>
    <t>Revisiones fila 52 (P08)</t>
  </si>
  <si>
    <t>El estudiante descompone un problema de programación en submetas o consultas conceptuales estructuradas paso a paso, solicitando a la IAG explicaciones de sintaxis, estructuras de datos o lógica para ir construyendo e integrando gradualmente el programa.</t>
  </si>
  <si>
    <t>In the step-by-step interaction strategy, participants broke the question down into structured sub-goals and then used the Generative AI to solve the problem step by step–resulting in an iterative approach.</t>
  </si>
  <si>
    <t>El estudiante escribe el código del programa de forma autónoma y, al enfrentar errores de ejecución o fallas de lógica durante la actividad, consulta a la IAG copiando el mensaje de error o el código defectuoso para recibir diagnósticos y correcciones.</t>
  </si>
  <si>
    <t>The remaining participants used a hybrid or partial strategy where participants tackled some parts of the task independently while seeking assistance from Generative AI for some other parts. Notably, participants attempted to write programs independently, but turned to Generative AI for debugging to resolve errors or others.</t>
  </si>
  <si>
    <t>El estudiante resuelve la tarea de programación de manera independiente y, tras lograr una solución correcta, consulta a la IAG para verificar su comprensión, comparando su propio código con la respuesta generada por la IAG.</t>
  </si>
  <si>
    <t>Interestingly, two participants (P3 and P5) employed Generative AI even after they had already arrived at the correct answer on their own.</t>
  </si>
  <si>
    <t>Sección 4.2.1, pág. 7</t>
  </si>
  <si>
    <t>p79-104</t>
  </si>
  <si>
    <t>Programming education and learner motivation in the age of generative AI: student and educator perspectives</t>
  </si>
  <si>
    <t>Boguslawski, Deer, Dawson (2025) — "Programming education and learner motivation in the age of generative AI: student and educator perspectives" — Information and Learning Sciences</t>
  </si>
  <si>
    <t>El estudiante formula preguntas a la IAG sobre conceptos complejos de programación solicitando explicaciones adaptadas a su nivel o en un tono simplificado, y la IAG genera explicaciones interactivas, personalizadas y sin juzgar al alumno.</t>
  </si>
  <si>
    <t>With ChatGPT you can just ask all the nonsense that you were always too shy to ask [...], there’s no judgment. The other day, I was kind of like “How does multithreading work in Swift?” and I couldn’t get the difference [in] how it works in Swift [compared] to others and I was just like, “explain it like I’m a high school student.” And then it just tells you.</t>
  </si>
  <si>
    <t>p. 98, Sección 4.2.1</t>
  </si>
  <si>
    <t>El estudiante introduce errores de código o mensajes de depuración en la IAG para identificar la causa del fallo, y la IAG analiza el problema y proporciona soluciones o explicaciones para resolver el error rápidamente.</t>
  </si>
  <si>
    <t>You get errors and you don’t know how to debug them. This is extremely frustrating [...]. And that’s where I just feel like these AI tools, text generators, are just amazingly helpful.</t>
  </si>
  <si>
    <t>pp. 98-99, Sección 4.2.2</t>
  </si>
  <si>
    <t>ID_paper</t>
  </si>
  <si>
    <t>Contenido</t>
  </si>
  <si>
    <t>El estudiante utiliza la IAG para generar código base o funcional en proyectos de software, asumiendo el rol de revisar e inspeccionar la solución generada en lugar de construir el código desde cero.</t>
  </si>
  <si>
    <t>I don’t find that [being able to write code myself is] a priority for me, because now [. . .] having Chat[GPT], and me having my ability to recognize what’s written, I don’t need to be able to actually replicate, like to create it from zero. I can ask for it and then recognize what is done.</t>
  </si>
  <si>
    <t>p. 99, Sección 4.2.3</t>
  </si>
  <si>
    <t>Adaptive Architectures for Gamified Learning in Software Engineering: A Systematic Review</t>
  </si>
  <si>
    <t>Beyond the Benefits: A Systematic Review of the Harms and Consequences of Generative AI in Computing Education</t>
  </si>
  <si>
    <t>Integrating LLMs in Software Engineering Education: Motivators, Demotivators, and a Roadmap Towards a Framework for Finnish Higher Education Institutes</t>
  </si>
  <si>
    <t>El docente enseña a los estudiantes a leer, comprender y evaluar críticamente el código y las respuestas generadas por la IAG para verificar su precisión técnica y detectar posibles errores o sesgos.</t>
  </si>
  <si>
    <t>Large Language Models as Programming Tutors in Computer Science Education: A Systematic Review of Applications, Learning Effectiveness, Error Patterns, and Academic Integrity</t>
  </si>
  <si>
    <t>Educators can work with LLMs to enhance programming education by: [...] teaching students how to read, understand and debug AI-generated code; teaching students how to check AI-generated answers for accuracy;</t>
  </si>
  <si>
    <t>p. 103, Sección 5.2</t>
  </si>
  <si>
    <t>Learning, Behavior, and Pedagogy: A Systematic Review of Generative AI Use in Programming Education</t>
  </si>
  <si>
    <t>Literature Review on the Integration of Generative AI in Programming Education</t>
  </si>
  <si>
    <t>Novice Developers' Perspectives on Adopting LLMs for Software Development: A Systematic Literature Review</t>
  </si>
  <si>
    <t>El docente enseña a los estudiantes a estructurar y formular consultas de buena calidad (prompts) dirigidas a la IAG para obtener soluciones y explicaciones precisas en tareas de programación.</t>
  </si>
  <si>
    <t>Subtotal RECORDAR</t>
  </si>
  <si>
    <t>Teaching with AI: A Systematic Review of Chatbots, Generative Tools, and Tutoring Systems in Programming Education</t>
  </si>
  <si>
    <t>The Influence of Artificial Intelligence Tools on Learning Outcomes in Computer Programming: A Systematic Review and Meta-Analysis</t>
  </si>
  <si>
    <t>The Rest of the Robots: Generative AI in Post-introductory Computing Education</t>
  </si>
  <si>
    <t>Use of AI-driven Code Generation Models in Teaching and Learning Programming: a Systematic Literature Review</t>
  </si>
  <si>
    <t>Educators can work with LLMs to enhance programming education by: [...] teaching students how to procure good-quality answers from LLMs;</t>
  </si>
  <si>
    <t>Harnessing AIGC on Programming Learning in Higher Education: A Systematic Review</t>
  </si>
  <si>
    <t>A Systematic Literature Review of the Opportunities and Advantages for AIGC (OpenAI ChatGPT, Copilot, Codex) in Programming Course</t>
  </si>
  <si>
    <t>A Systematic Literature Review of the Practical Applications of Artificial Intelligence-Generated Content (AIGC) Using OpenAI ChatGPT, Copilot, and Codex in Programming Education</t>
  </si>
  <si>
    <t>El docente orienta a estudiantes de nivel intermedio en la selección de lenguajes y proyectos de su interés, empleando la IAG como tutor para proporcionar soporte técnico personalizado durante el desarrollo.</t>
  </si>
  <si>
    <t>A Systematic Literature Review of the Use of GenAI Assistants for Code Comprehension: Implications for Computing Education Research and Practice</t>
  </si>
  <si>
    <t>A Systematic Literature Review on Large Language Models Applications in Computer Programming Teaching Evaluation Process</t>
  </si>
  <si>
    <t>supporting intermediate students in choosing a language and project that excites them, for which LLMs can then provide bespoke support;</t>
  </si>
  <si>
    <t>A Systematic Review of Studies on the Use of Generative Artificial Intelligence Tools in Programming Education</t>
  </si>
  <si>
    <t>A systematic review of the impact of GenAI on learning performance, AI hallucinations, and problem-solving in computer science education</t>
  </si>
  <si>
    <t>AI Generated Code Plagiarism Detection in Computer Science courses: A Literature Mapping</t>
  </si>
  <si>
    <t>Application of Retrieval-Augmented Generation Systems in Software Engineering Education: An Approach Based on Generative AI and DevOps</t>
  </si>
  <si>
    <t>El estudiante utiliza generadores de código basados en IAG para obtener sugerencias iniciales de código en tareas de autoría en programación introductoria, reduciendo el estrés y aumentando el rendimiento.</t>
  </si>
  <si>
    <t>Automatic Assessment Tools for Grading Coding Assignments: A Systematic Literature Review</t>
  </si>
  <si>
    <t>Building Effective Prompts for LLMs in Software Engineering Education: A Component Indicator Approach</t>
  </si>
  <si>
    <t>Kazemitabaar et al. (2023) noted that the use of AI code generators helped learners feel less stressed and more engaged while significantly increasing performance on authoring tasks – though those with some prior knowledge might benefit more.</t>
  </si>
  <si>
    <t>p. 93, Sección 2.3</t>
  </si>
  <si>
    <t>Challenges and Limitations of Using Artificial Intelligence Generated Content (AIGC) with ChatGPT in Programming Curriculum: A Systematic Literature Review</t>
  </si>
  <si>
    <t>p79-105</t>
  </si>
  <si>
    <t>Computing education using generative artificial intelligence tools: A systematic literature review</t>
  </si>
  <si>
    <t>On the assessment of generative AI in modeling tasks: an experience report with ChatGPT and UML</t>
  </si>
  <si>
    <t>Cámara, Troya, Burgueño, Vallecillo (2023) — "On the assessment of generative AI in modeling tasks: an experience report with ChatGPT and UML" — Software and Systems Modeling</t>
  </si>
  <si>
    <t>Enhancing Computational Thinking and Problem-Solving in Programming Education Through Generative AI: A Scoped Review</t>
  </si>
  <si>
    <t>Enhancing Personalized Learning in Programming Education through Generative Artificial Intelligence Frameworks: A Systematic Literature Review</t>
  </si>
  <si>
    <t>Explicit and Implicit Learning Mechanisms in AI Educational Assistants: A Systematic Review</t>
  </si>
  <si>
    <t>p79-106</t>
  </si>
  <si>
    <t>Feedback Systems on Computer Programming Courses: A Systematic Literature Review</t>
  </si>
  <si>
    <t>AI-tutoring in software engineering education</t>
  </si>
  <si>
    <t>Frankford, Sauerwein, Bassner, Krusche, Breu (2024) — "AI-tutoring in software engineering education" — ICSE-SEET</t>
  </si>
  <si>
    <t>Generative AI in Higher Education: A Systematic Review with Emphasis on Programming and Computer Science Education</t>
  </si>
  <si>
    <t>El estudiante resuelve un ejercicio de programación en C (triángulo de Pascal con gestión de memoria dinámica y bucles) en el editor en línea de la plataforma Artemis y solicita retroalimentación formativa en tiempo real mediante un botón. La IA generativa (GPT-3.5-Turbo) procesa el código actual, la descripción de la tarea y la solución de referencia para ofrecer explicaciones e indicaciones sobre errores lógicos, semánticos y de legibilidad sin entregar el código solución.</t>
  </si>
  <si>
    <t>Implications of Large Language Models in Database Management System Course</t>
  </si>
  <si>
    <t>T012 Afiche</t>
  </si>
  <si>
    <t>In this paper, we conducted an exploratory case study by integrating the GPT-3.5-Turbo model as an AI-Tutor within the APAS Artemis. In the subsequent tutorial, the students were tasked with solving the, before described, Pascal's Triangle task.</t>
  </si>
  <si>
    <t>Large Language Models in Computer Science Education: A Systematic Literature Review</t>
  </si>
  <si>
    <t>Sección 3.1 y 3.2</t>
  </si>
  <si>
    <t>Next-Gen Developers: Rethinking Software Engineering Education in the Age of Generative AI</t>
  </si>
  <si>
    <t>Systematic Review of Large Language Model Applications in Programming Education</t>
  </si>
  <si>
    <t>p82-037</t>
  </si>
  <si>
    <t>An Exploratory Study on the Impact of AI tools on the Student Experience in Programming Courses</t>
  </si>
  <si>
    <t>p82</t>
  </si>
  <si>
    <t>Maher, Tadimalla, Dhamani (2023) — "An Exploratory Study on the Impact of AI tools on the Student Experience in Programming Courses" — FIE</t>
  </si>
  <si>
    <t>El estudiante resuelve ejercicios de programación introductoria en Java sobre arreglos y bucles utilizando ChatGPT para realizar consultas conceptuales, solicitar el diseño de algoritmos, resolver dudas sintácticas y depurar errores lógicos o de compilación; la herramienta proporciona explicaciones en lenguaje natural, sugerencias de código y soluciones algorítmicas.</t>
  </si>
  <si>
    <t>A mixed-method study design was developed to capture the attitudes and behaviors of students towards AI tools when working on a competency-building exercise similar to those found in an introductory Java programming course. Task C, forming a Pascal triangle of a given size, took 17 minutes, with the participant employing ChatGPT for conceptual questions, algorithm design, troubleshooting, and understanding compiler errors and logic errors.</t>
  </si>
  <si>
    <t>Sección II. Methodology y Sección III. Findings</t>
  </si>
  <si>
    <t>p82-038</t>
  </si>
  <si>
    <t>Rocks coding, not development: A human-centric, experimental evaluation of LLM-supported SE tasks</t>
  </si>
  <si>
    <t>Wang, Ning, Zhang, Liu, Wang (2024) — "Rocks coding, not development: A human-centric, experimental evaluation of LLM-supported SE tasks" — Proc. ACM on Software Engineering</t>
  </si>
  <si>
    <t>p82-107</t>
  </si>
  <si>
    <t>Boilertai: A platform for enhancing instruction using generative AI in educational forums</t>
  </si>
  <si>
    <t>Sinha, Goyal, Sy, Kuperus, Dickey, Bejarano (2024) — "Boilertai: A platform for enhancing instruction using generative AI in educational forums" — arXiv:2409.13196</t>
  </si>
  <si>
    <t>Los asistentes de docencia utilizan la plataforma BoilerTAI para responder dudas de estudiantes en foros de discusión educativos (Ed Discussion), donde la IA generativa (GPT-4) genera borradores de respuesta usando contexto del curso y pautas pedagógicas, los cuales son revisados, editados o re-promptiados por los asistentes antes de ser aprobados y publicados.</t>
  </si>
  <si>
    <t>The platform empowers instructional staff to efficiently manage, refine, and approve responses by facilitating interaction between student posts and a Large Language Model (LLM). The AI-generated responses are reviewed by the AI-TAs for approval, modification, or reprompting, when necessary, to ensure accuracy and appropriateness.</t>
  </si>
  <si>
    <t>Sección Abstract y Sección II-A, pp. 1-2</t>
  </si>
  <si>
    <t>Revisiones fila 194 (P18)</t>
  </si>
  <si>
    <t>p82-108</t>
  </si>
  <si>
    <t>Exploring the use of chatgpt as a tool for learning and assessment in undergraduate computer science curriculum</t>
  </si>
  <si>
    <t>Qureshi (2023) — "Exploring the use of chatgpt as a tool for learning and assessment in undergraduate computer science curriculum" — arXiv:2304.11214</t>
  </si>
  <si>
    <t>Los estudiantes de un curso de Estructuras de Datos y Algoritmos utilizan ChatGPT en un entorno de laboratorio para generar código Java, solicitar explicaciones paso a paso de algoritmos, solucionar errores de compilación, depurar casos de prueba fallidos y optimizar la complejidad temporal y espacial de sus programas. La IAG responde generando código ejecutable, explicaciones conceptuales estructuradas y correcciones iterativas basadas en las instrucciones y errores proporcionados por los estudiantes.</t>
  </si>
  <si>
    <t>Group B students were given access to ChatGPT and were encouraged to use it to help solve the programming challenges. The challenge was conducted in a computer lab environment using Programming Contest Control (PC2) environment which is widely used in ACM International Collegiate Programming Contest (ICPC).</t>
  </si>
  <si>
    <t>Sección I y III, págs. 1-3</t>
  </si>
  <si>
    <t>p83-039</t>
  </si>
  <si>
    <t>Enhancing Software Modeling Learning with AI-Powered Scaffolding</t>
  </si>
  <si>
    <t>p83</t>
  </si>
  <si>
    <t>Ardimento, Bernardi, Cimitile, Scalera (2024) — "Enhancing Software Modeling Learning with AI-Powered Scaffolding" — MODELS Companion</t>
  </si>
  <si>
    <t>El estudiante crea y edita diagramas UML en la herramienta Visual Paradigm y realiza consultas mediante preguntas predefinidas o texto libre en el panel de UML Miner. La IA generativa (modelo RAG-LLM) analiza la representación textual del diagrama UML y las consignas para generar retroalimentación en tiempo real con explicaciones conceptuales, identificación de errores y sugerencias de mejora.</t>
  </si>
  <si>
    <t>The UMLMiner user interface for feedback allows users to create and edit UML diagrams directly within the tool while receiving real-time feedback and suggestions.</t>
  </si>
  <si>
    <t>Sección 4.2.4, pág. 3</t>
  </si>
  <si>
    <t>Revisiones fila 207 (P20)</t>
  </si>
  <si>
    <t>p83-040</t>
  </si>
  <si>
    <t>Incorporating AI in the teaching of requirements tracing within software engineering</t>
  </si>
  <si>
    <t>Couder, Pate, Machado, Ochoa (2024) — "Incorporating AI in the teaching of requirements tracing within software engineering" — FIE</t>
  </si>
  <si>
    <t>El estudiante o docente proporciona al LLM transcripciones de entrevistas, prototipos visuales y la lista de especificaciones de requerimientos para que la IAG identifique los enlaces de trazabilidad; el estudiante utiliza los resultados generados por el modelo para autoevaluar y verificar la completitud y exhaustividad de su propia matriz de trazado de requerimientos.</t>
  </si>
  <si>
    <t>The findings, illustrate that AI can help in the teaching of requirement tracing; these results suggest that while no AI model is currently capable of replacing real requirement engineers as they don't outperform students, it can be used as a tool to test the completeness of the requirement tracing process. We posit that GPT can be a tool for students to self-assess the degree to which their own requirements tracing is exhaustive.</t>
  </si>
  <si>
    <t>Página 1, Sección Abstract</t>
  </si>
  <si>
    <t>p83-041</t>
  </si>
  <si>
    <t>Generative AI in the Software Modeling Classroom: An Experience Report With ChatGPT and UML</t>
  </si>
  <si>
    <t>Cámara, Troya, Montes-Torres, Jaime (2024) — "Generative AI in the Software Modeling Classroom: An Experience Report With ChatGPT and UML" — IEEE Software</t>
  </si>
  <si>
    <t>El estudiante introduce prompts en ChatGPT para generar un diagrama de clases UML en PlantUML a partir de un conjunto de requisitos textuales sobre una aplicación de gestión de teatros y obras, interactúa por chat para refinarlo, realiza correcciones manuales si no queda satisfecho y documenta las deficiencias identificadas. ChatGPT procesa la descripción en lenguaje natural y genera iterativamente el código PlantUML correspondiente al modelo de clases.</t>
  </si>
  <si>
    <t>In the first task, a set of requirements about a management application for theaters and plays was provided. Students were asked to obtain a class diagram for the application by entering a prompt.</t>
  </si>
  <si>
    <t>Sección Methods / Teaching and Assessment Methods in the "Introduction to Software Engineering" Course / Methodology supported by generative AI</t>
  </si>
  <si>
    <t>El estudiante introduce prompts en ChatGPT para intentar replicar un diagrama de clases de referencia previo de cuatro clases sobre un sistema de libros, copias y autoría, interactuando por chat hasta aproximarse al modelo original y registrando las inconsistencias de la herramienta. ChatGPT intenta reproducir la estructura del diagrama objetivo generando y modificando el código PlantUML según las indicaciones recibidas.</t>
  </si>
  <si>
    <t>In the second task, students were given a class diagram about books, copies, and authorship consisting of four classes. They were asked to try to obtain the same class diagram by entering a prompt into ChatGPT.</t>
  </si>
  <si>
    <t>p83-042</t>
  </si>
  <si>
    <t>Inconsistency detection in natural language requirements using ChatGPT</t>
  </si>
  <si>
    <t>Fantechi, Gnesi, Passaro, Semini (2023) — "Inconsistency detection in natural language requirements using ChatGPT" — RE Conference</t>
  </si>
  <si>
    <t>p83-043</t>
  </si>
  <si>
    <t>Teaching Refactoring to Improve Code Quality with ChatGPT</t>
  </si>
  <si>
    <t>Menolli, Strik, Rodrigues (2024) — "Teaching Refactoring to Improve Code Quality with ChatGPT" — SBQS</t>
  </si>
  <si>
    <t>El estudiante envía clases y fragmentos de código Java a ChatGPT para identificar olores de código (code smells), evaluando críticamente las respuestas de la IAG y complementándolas con análisis manual y herramientas estáticas debido a su precisión limitada. La IAG analiza el código fuente suministrado e intenta identificar y clasificar las instancias de code smells presentes.</t>
  </si>
  <si>
    <t>Maintenance</t>
  </si>
  <si>
    <t>During this stage, the free version of chatGPT (3.5) demonstrated limited efficiency. Consequently, alternative tools, specifically JDeodorant and Sonarlint, were employed to enhance the effectiveness of the code smell identification process.</t>
  </si>
  <si>
    <t>p. 5, Sección 4</t>
  </si>
  <si>
    <t>El estudiante envía fragmentos de código Java con olores de código y descripciones contextuales a ChatGPT para obtener un código refactorizado, e inspecciona, valida y mejora críticamente la propuesta de la IAG aplicando aprendizaje de bucle simple y doble. La IAG procesa el código e instrucciones provistas para generar una versión refactorizada que elimine los olores de código y mejore la calidad.</t>
  </si>
  <si>
    <t>In this phase, participants submitted problematic code snippets to ChatGPT for automatic refactoring. They provided contextual descriptions of the identified issues to guide the AI in generating new and improved code solutions.</t>
  </si>
  <si>
    <t>p83-046</t>
  </si>
  <si>
    <t>Exploring the Impact of Generative AI for StandUp Report Recommendations in Software Capstone Project Development</t>
  </si>
  <si>
    <t>Neyem, Sandoval Alcocer, Mendoza, Centellas-Claros, Gonzalez, Paredes-Robles (2024) — "Exploring the Impact of Generative AI for StandUp Report Recommendations in Software Capstone Project Development" — SIGCSE</t>
  </si>
  <si>
    <t>En un curso capstone de desarrollo de software, los estudiantes redactan e ingresan sus informes semanales de progreso (StandUp Reports) a través de un bot de Slack integrado con IA generativa (GPT-3.5 y GPT-4), el cual analiza las respuestas iniciales y genera sugerencias para mejorar su claridad, concisión y calidad, permitiendo a los estudiantes revisar e incorporar dichas recomendaciones antes del envío final.</t>
  </si>
  <si>
    <t>In a semester-long capstone course, 179 students participated in 16 real-world software development projects. They submitted weekly StandUp Reports with the assistance of an AI-powered Slack, which analyzed their initial reports and provided suggestions for enhancing them using both GPT-3.5 and the early access GPT-4 API.</t>
  </si>
  <si>
    <t>Página 1, Abstract; Páginas 2-3, Secciones 3.1 y 3.2</t>
  </si>
  <si>
    <t>p83-047</t>
  </si>
  <si>
    <t>Enhancing User Story Generation in Agile Software Development Through OpenAI and Prompt Engineering</t>
  </si>
  <si>
    <t>Ramasamy, Ramamoorthy, Walia, Kulpinski, Antreassian (2024) — "Enhancing User Story Generation in Agile Software Development Through OpenAI and Prompt Engineering" — FIE</t>
  </si>
  <si>
    <t>Los estudiantes en equipos de proyectos capstone recolectan historias de usuario iniciales mediante lluvia de ideas tradicional y luego utilizan ChatGPT y técnicas de ingeniería de prompts para refinarlas, expandirlas y mejorarlas. La IAG analiza las historias iniciales y genera propuestas complementarias con funciones personalizadas, nuevos casos de uso y perspectivas de partes interesadas no contempladas.</t>
  </si>
  <si>
    <t>In Task 2, students used ChatGPT to improve user stories from Task 1, enhancing the application’s usability and effectiveness without using sophisticated prompt engineering.</t>
  </si>
  <si>
    <t>Sección III, p. 3</t>
  </si>
  <si>
    <t>p83-048</t>
  </si>
  <si>
    <t>Use of generative artificial intelligence in the education of software verification and validation</t>
  </si>
  <si>
    <t>Tuzmen (2024) — "Use of generative artificial intelligence in the education of software verification and validation" — FIE</t>
  </si>
  <si>
    <t>El estudiante interactúa con una herramienta de IA generativa (como ChatGPT o Bard) en el rol de par/desarrollador para generar código y casos de prueba unitarios de un algoritmo (Heapsort) utilizando un marco de pruebas (como JUnit o PyTest). Posteriormente, ejecuta las pruebas en un IDE, analiza críticamente la cobertura detectando brechas y casos borde omitidos por la IA, y diseña manualmente pruebas adicionales para completar la validación.</t>
  </si>
  <si>
    <t>This exercise allowed students to co-create test cases with GenAI where it played the role of a peer where students take the recommendation of a peer, assess the effectiveness of the recommendation and further improve it so that it meets the objectives of software validation.</t>
  </si>
  <si>
    <t>Sección III</t>
  </si>
  <si>
    <t>p83-049</t>
  </si>
  <si>
    <t>DevCoach: Supporting Students in Learning the Software Development Life Cycle at Scale with Generative Agents</t>
  </si>
  <si>
    <t>Wang, Ramanujan, Lu, Mao, Chen, Brown (2024) — "DevCoach: Supporting Students in Learning the Software Development Life Cycle at Scale with Generative Agents" — L@S</t>
  </si>
  <si>
    <t>El estudiante interactúa mediante una interfaz de chat con agentes generativos que simulan tres roles de un equipo de desarrollo (Líder de Equipo, Gerente de Producto y Desarrollador Senior) para discutir requerimientos y definir historias de usuario. Los agentes generativos responden según su rol asignado guiando al estudiante en la definición de los requerimientos funcionales y no funcionales del proyecto.</t>
  </si>
  <si>
    <t>For the design phase in DevCoach, the expected outcome is that users will interact with generative agents to come up with a set of user stories, or short product functional and non-functional requirements that center user needs in design processes.</t>
  </si>
  <si>
    <t>Sección 3.2.1, p. 3</t>
  </si>
  <si>
    <t>Revisiones fila 2 (P01)</t>
  </si>
  <si>
    <t>El estudiante realiza una simulación de programación en pareja interactuando con el agente Desarrollador Senior, quien le asigna una historia de usuario con criterios de aceptación para implementar código Python en un editor web. El agente generativo evalúa el código del editor en cada interacción y entrega pistas y retroalimentación para guiar al estudiante hasta completar la implementación.</t>
  </si>
  <si>
    <t>The Senior Developer greets the user and then assigns a random user story along with its acceptance criteria for a movie database and review system. The user then begins to provide a coding implementation that satisfies the user story.</t>
  </si>
  <si>
    <t>Sección 3.2.2, p. 3</t>
  </si>
  <si>
    <t>p83-109</t>
  </si>
  <si>
    <t>Simulating Requirement Elicitation: Development and Evaluation of a Persona-Based Tool</t>
  </si>
  <si>
    <t>Akhmetov &amp; Prpa (2025) — "Simulating Requirement Elicitation: Development and Evaluation of a Persona-Based Tool" — SIGCSE</t>
  </si>
  <si>
    <t>Los estudiantes entrevistan a tres personas sintéticas generadas por un LLM (gpt-4o-mini) que representan distintas partes interesadas de un proyecto para recopilar requisitos mediante preguntas de indagación. La IAG responde de forma conversacional según historias de usuario predefinidas sin revelar estructuras de bases de datos, permitiendo a los estudiantes sintetizar la información y elaborar diagramas Entidad-Relación.</t>
  </si>
  <si>
    <t>The Requirement Elicitation Tool is designed to simulate real-world interactions by allowing students to interview synthetic personas—each representing a different stakeholder in a software project.</t>
  </si>
  <si>
    <t>Página 1, sección The Requirement Elicitation Tool</t>
  </si>
  <si>
    <t>p83-110</t>
  </si>
  <si>
    <t>Analyzing LLM Usage in an Advanced Computing Class in India</t>
  </si>
  <si>
    <t>Arora, Garg, Gupta, Jain, Mehta, Oberoi, et al. (2025) — "Analyzing LLM Usage in an Advanced Computing Class in India" — ACE</t>
  </si>
  <si>
    <t>El estudiante copia la descripción completa de la tarea en el LLM para solicitar una solución directa o código base, mientras que la IAG genera el código de solución integral correspondiente.</t>
  </si>
  <si>
    <t>A significant portion of conversations (37.09% ; 9.71% of prompts) involved students copying assignment descriptions to get direct solutions.</t>
  </si>
  <si>
    <t>Sección 4.3, página 4</t>
  </si>
  <si>
    <t>El estudiante solicita la generación de módulos o fragmentos de código específicos para partes concretas del proyecto proporcionando instrucciones detalladas o seudocódigo, mientras que la IAG produce los bloques de código solicitados.</t>
  </si>
  <si>
    <t>Students also frequently used LLMs (13.29% of prompts) to generate code for specific portions of assignment, with some providing detailed instructions or pseudocode.</t>
  </si>
  <si>
    <t>El estudiante proporciona mensajes de error, trazas de pila o descripciones de comportamientos no deseados al LLM para revisar su programa, mientras que la IAG analiza el código e identifica o corrige errores y malas prácticas de programación.</t>
  </si>
  <si>
    <t>A prominent portion (11.52%) of the prompts involved students providing error stack traces. Furthermore, 7.59% of prompts involved students submitting functional code for the LLM to review, seeking identification of potential bugs or poor coding practices.</t>
  </si>
  <si>
    <t>El estudiante solicita explicaciones sobre bloques completos de código o funciones específicas de su programa, mientras que la IAG aclara su funcionalidad, lógica interna o gestión de casos límite.</t>
  </si>
  <si>
    <t>LLMs were frequently used for code explanation, accounting for 5.56% of prompts. Students primarily requested explanations of entire code blocks, though some inquired about specific line functionalities.</t>
  </si>
  <si>
    <t>El estudiante realiza preguntas teóricas al LLM para comprender algoritmos y conceptos de sistemas distribuidos, mientras que la IAG proporciona explicaciones conceptuales que complementan la instrucción recibida en clase.</t>
  </si>
  <si>
    <t>More commonly (5.43% of prompts), students utilized LLMs to better understand algorithms, asking questions like "explain k-means algorithm" or "how does Raft handle network partitions", thus supplementing in-class instruction.</t>
  </si>
  <si>
    <t>El estudiante consulta al LLM para discutir estrategias de implementación a alto nivel, estructuración del código e idoneidad de modelos arquitectónicos, mientras que la IAG ofrece orientaciones de diseño de sistemas.</t>
  </si>
  <si>
    <t>Architecture</t>
  </si>
  <si>
    <t>Students seldom (2.67% of prompts) used LLMs to discuss high-level implementation strategies, including brainstorming code structure and evaluating architectural suitability (e.g., Pub-Sub models).</t>
  </si>
  <si>
    <t>ARCHITECTURE &gt; Software Architecture Evaluation</t>
  </si>
  <si>
    <t>El estudiante consulta al LLM para resolver dudas de instalación de bibliotecas, configuración del entorno en la nube y generación de comandos de terminal, mientras que la IAG provee instrucciones de configuración y comandos ejecutables.</t>
  </si>
  <si>
    <t>Students sought assistance with library installations and Google Cloud environment configuration. A frequent request involved generating terminal commands for gRPC code, which students could directly copy and paste due to the conversation's existing knowledge of the codebase's directory structure.</t>
  </si>
  <si>
    <t>Sección 4.3, páginas 4-5</t>
  </si>
  <si>
    <t>El estudiante solicita al LLM la creación de comentarios explicativos en el código fuente y la redacción de archivos README para el proyecto, mientras que la IAG redacta la documentación correspondiente.</t>
  </si>
  <si>
    <t>Generating code documentation accounted for 0.94% of the prompts. Students mostly used LLMs for generating README files, a task required only once the assignment is completed.</t>
  </si>
  <si>
    <t>El estudiante solicita al LLM la creación de casos de prueba para evaluar sus programas, mientras que la IAG genera datos de entrada y escenarios de prueba estructurados.</t>
  </si>
  <si>
    <t>Less common uses included "Generating code test cases" (34.75%).</t>
  </si>
  <si>
    <t>El estudiante entrega al LLM fragmentos de código desarrollados de forma independiente por los integrantes del equipo o código previo para solicitar su combinación y ajuste, mientras que la IAG integra y modifica las funciones.</t>
  </si>
  <si>
    <t>T013 Anuncio publicitario</t>
  </si>
  <si>
    <t>Additionally, 16.36% of interactions involved students asking for minor code adjustments or combining independently developed code from team members.</t>
  </si>
  <si>
    <t>p83-111</t>
  </si>
  <si>
    <t>ChatGPT for Learning HCI Techniques: A Case Study on Interviews for Personas</t>
  </si>
  <si>
    <t>Barambones, Moral, de Antonio, Imbert, Martínez-Normand, Villalba-Mora (2024) — "ChatGPT for Learning HCI Techniques: A Case Study on Interviews for Personas" — IEEE Trans. Learning Technologies</t>
  </si>
  <si>
    <t>El docente configura ChatGPT mediante prompts de sistema y parámetros del modelo para simular usuarios ficticios y generar un conjunto de entrevistas estructuradas, las cuales son analizadas por los estudiantes para identificar patrones y construir descripciones de Personas.</t>
  </si>
  <si>
    <t>In our context, we hypothesized that ChatGPT could be used to roleplay a set of fictional users intended to perform a wide variety of interviews designed by trainers, which can be used as input material to train students in the Personas technique.</t>
  </si>
  <si>
    <t>Página 3, Sección II-C</t>
  </si>
  <si>
    <t>El docente configura un chatbot en ChatGPT mediante un prompt de sistema para impersonar a un usuario ficticio, y los estudiantes realizan entrevistas interactivas en tiempo real para ejercitar sus habilidades de formulación de preguntas y recolección de información.</t>
  </si>
  <si>
    <t>Second, a LLM-based chatbot will be used to help students practice interview skills. The professor may set up an interview session with a one-shot prompt and then let the students freely interview the user impersonated by the system to gather as much helpful information as possible.</t>
  </si>
  <si>
    <t>Página 11, Sección VI</t>
  </si>
  <si>
    <t>p83-112</t>
  </si>
  <si>
    <t>WIP: Assessing the effectiveness of ChatGPT in preparatory testing activities</t>
  </si>
  <si>
    <t>Haldar, Pierce, Capretz (2024) — "WIP: Assessing the effectiveness of ChatGPT in preparatory testing activities" — FIE</t>
  </si>
  <si>
    <t>En un ejercicio individual dentro de un curso de proyecto Capstone, los estudiantes diseñan e iteran prompts en ChatGPT para generar artefactos de preparación de pruebas (casos de uso, matriz de trazabilidad de requisitos, casos de prueba y guiones de prueba) de una aplicación web, aplicando pensamiento crítico para ajustar sus instrucciones. Posteriormente, evalúan y comparan la precisión, cobertura y efectividad de los artefactos generados por la IA con los que habían elaborado manualmente.</t>
  </si>
  <si>
    <t>In week 9, after manually completing all these activities, students are given an individual exercise to generate the same artifacts using ChatGPT. They then compare how manually generated test artifacts differ from those generated by ChatGPT.</t>
  </si>
  <si>
    <t>Página 2, Sección III. METHODOLOGY</t>
  </si>
  <si>
    <t>SOFTWARE TESTING &gt; Test Process</t>
  </si>
  <si>
    <t>p83-114</t>
  </si>
  <si>
    <t>How LLMs Aid in UML Modeling: An Exploratory Study with Novice Analysts</t>
  </si>
  <si>
    <t>Wang, Ma, Zhang, Hu, Jiang, Liu (2024) — "How LLMs Aid in UML Modeling: An Exploratory Study with Novice Analysts" — SSE</t>
  </si>
  <si>
    <t>Los estudiantes de un curso de ingeniería de software utilizan LLM (como ChatGPT o NewBing) como herramienta de asistencia para crear y optimizar diagramas UML (casos de uso, clases y secuencia) a partir de un caso de estudio. El LLM genera elementos de modelado, esquemas o código PlantUML, los cuales los estudiantes revisan, editan o dibujan manualmente en herramientas de modelado.</t>
  </si>
  <si>
    <t>45 undergraduate students majoring in Software Engineering at Wuhan University joined in this course were asked to create UML use case diagrams, class diagrams, and sequence diagrams for a given case study, with the help of LLMs.</t>
  </si>
  <si>
    <t>Sección I y Sección III-C, págs. 1-2</t>
  </si>
  <si>
    <t>REQUIREMENTS &gt; Requirements Analysis</t>
  </si>
  <si>
    <t>Utilización de LLM por parte de docentes o estudiantes para evaluar y optimizar diagramas de modelado UML creados previamente de forma manual por los estudiantes, recibiendo sugerencias y retroalimentación crítica sobre los modelos.</t>
  </si>
  <si>
    <t>That is, using LLMs to evaluate and optimize models manually created by the students is also a promising direction.</t>
  </si>
  <si>
    <t>Sección V-B, pág. 5</t>
  </si>
  <si>
    <t>Hoja Control — Matriz didácticas × SWEBOK (FONDECYT, GenIA en Ingeniería de Software)</t>
  </si>
  <si>
    <t>1. Conteos por archivo</t>
  </si>
  <si>
    <t>Archivo</t>
  </si>
  <si>
    <t>Filas totales</t>
  </si>
  <si>
    <t>Filas que se cuentan (Sí)</t>
  </si>
  <si>
    <t>Filas excluidas (No)</t>
  </si>
  <si>
    <t>A) Cruce papers (Revisiones)</t>
  </si>
  <si>
    <t>B) Mapeo_practicas (Snowballing)</t>
  </si>
  <si>
    <t>Motivo de exclusión (idéntico en ambos archivos)</t>
  </si>
  <si>
    <t>Motivo</t>
  </si>
  <si>
    <t>2. Comprobaciones</t>
  </si>
  <si>
    <t>Total general de la Matriz (celda Total fila x TOTAL GENERAL):</t>
  </si>
  <si>
    <t>Suma de filas con 'Se cuenta en matriz'='Sí' en ambas hojas (debe coincidir):</t>
  </si>
  <si>
    <t>Suma de la columna 'Total fila' (sin la fila TOTAL GENERAL, para no duplicar):</t>
  </si>
  <si>
    <t>Suma de la fila TOTAL GENERAL (columnas de datos base, sin subtotales de área):</t>
  </si>
  <si>
    <t>Total general de 'Matriz_por_área' (debe coincidir con el de 'Matriz'):</t>
  </si>
  <si>
    <t>T014 Artículo</t>
  </si>
  <si>
    <t>Total incluido en B (debe ser 265, dato de referencia del encargo):</t>
  </si>
  <si>
    <t>Construction: filas con Área SWEBOK=Construction en A:</t>
  </si>
  <si>
    <t>en B:</t>
  </si>
  <si>
    <t>suma:</t>
  </si>
  <si>
    <t>(referencia del encargo: 197 + 210 = 407)</t>
  </si>
  <si>
    <t>3. Tabla de normalización de nombres de área/subárea usada</t>
  </si>
  <si>
    <t>Área en archivo B (Título/abreviada)</t>
  </si>
  <si>
    <t>Área canónica usada en la Matriz</t>
  </si>
  <si>
    <t>Software Eng. Operations</t>
  </si>
  <si>
    <t>Software Eng. Process</t>
  </si>
  <si>
    <t>Software Eng. Economics</t>
  </si>
  <si>
    <t>Nota:</t>
  </si>
  <si>
    <t>Las áreas de A ya vienen en el formato canónico (MAYÚSCULAS/abreviado). Las de B vienen en formato título con las mismas abreviaturas (Software Eng. Management, Software Config. Mgmt., Software Eng. Models/Meth.); ambas formas se normalizaron (mayúsculas/minúsculas y espacios) al comparar contra la lista canónica de 15 áreas. No se detectaron formas adicionales (nombres completos sin abreviar) en los datos.</t>
  </si>
  <si>
    <t>Subáreas:</t>
  </si>
  <si>
    <t>Se usó la lista de 86 subáreas SWEBOK tal como se detalla en el encargo, comparando sin distinguir mayúsculas/minúsculas ni espacios sobrantes; no se encontraron variantes.</t>
  </si>
  <si>
    <t>4. Alertas</t>
  </si>
  <si>
    <t>Fila (Excel, hoja de prácticas)</t>
  </si>
  <si>
    <t>Alerta</t>
  </si>
  <si>
    <t>Código técnica no coincide con el nombre: fila trae código 'T089' pero el nombre 'Ensayo' corresponde a 'T090' (se respetó el nombre)</t>
  </si>
  <si>
    <t>5. Posibles duplicados (mismo estudio primario citado en A y extraído en B)</t>
  </si>
  <si>
    <t>Método:</t>
  </si>
  <si>
    <t>Coincidencia de primer autor + año entre 'Estudio primario' (A) y 'Referencia (manifiesto)' (B); se complementó con una coincidencia de primer autor + palabra clave del título citado en A contra el Título de B, para cubrir casos de año distinto entre versiones (p. ej. DevCoach).</t>
  </si>
  <si>
    <t>Fila Revisiones (Paper_ID)</t>
  </si>
  <si>
    <t>Fila Snowballing (Paper_ID)</t>
  </si>
  <si>
    <t>Autor/año detectado</t>
  </si>
  <si>
    <t>Efecto si se descontaran (celda de la Matriz que bajaría)</t>
  </si>
  <si>
    <t>Revisiones fila 7 (P02)</t>
  </si>
  <si>
    <t>denny 2024</t>
  </si>
  <si>
    <t>A: fila=T041/col=CONSTRUCTION &gt; Software Construction Tools; B: fila=T016/col=CONSTRUCTION &gt; Software Construction Fundamentals</t>
  </si>
  <si>
    <t>Revisiones fila 10 (P02)</t>
  </si>
  <si>
    <t>mezzaro 2024</t>
  </si>
  <si>
    <t>A: fila=Sin equivalente en catálogo (Nivel no cubierto)/col=SOFTWARE TESTING &gt; Test Techniques; B: fila=T045/col=SOFTWARE TESTING &gt; Test Techniques</t>
  </si>
  <si>
    <t>Revisiones fila 11 (P02)</t>
  </si>
  <si>
    <t>Snowballing fila 14 (p08-006)</t>
  </si>
  <si>
    <t>kazemitabaar 2024</t>
  </si>
  <si>
    <t>A: fila=T044/col=CONSTRUCTION &gt; Subárea no determinable; B: fila=Sin equivalente en catálogo (Nivel no cubierto)/col=CONSTRUCTION &gt; Software Construction Fundamentals</t>
  </si>
  <si>
    <t>Snowballing fila 15 (p08-006)</t>
  </si>
  <si>
    <t>Snowballing fila 16 (p08-006)</t>
  </si>
  <si>
    <t>Snowballing fila 17 (p08-006)</t>
  </si>
  <si>
    <t>Snowballing fila 18 (p08-006)</t>
  </si>
  <si>
    <t>Snowballing fila 200 (p61-096)</t>
  </si>
  <si>
    <t>budhiraja 2024</t>
  </si>
  <si>
    <t>A: fila=Sin equivalente en catálogo (Nivel no cubierto)/col=CONSTRUCTION &gt; Software Construction Tools; B: fila=Sin equivalente en catálogo (Nivel no cubierto)/col=CONSTRUCTION &gt; Software Construction Tools</t>
  </si>
  <si>
    <t>Snowballing fila 201 (p61-096)</t>
  </si>
  <si>
    <t>Snowballing fila 202 (p61-096)</t>
  </si>
  <si>
    <t>A: fila=Sin equivalente en catálogo (Nivel no cubierto)/col=CONSTRUCTION &gt; Software Construction Tools; B: fila=Sin equivalente en catálogo (Nivel no cubierto)/col=CONSTRUCTION &gt; Software Construction Fundamentals</t>
  </si>
  <si>
    <t>Snowballing fila 203 (p61-096)</t>
  </si>
  <si>
    <t>A: fila=Sin equivalente en catálogo (Nivel no cubierto)/col=CONSTRUCTION &gt; Software Construction Tools; B: fila=Sin equivalente en catálogo (Nivel no cubierto)/col=Sin área SWEBOK</t>
  </si>
  <si>
    <t>Snowballing fila 204 (p61-096)</t>
  </si>
  <si>
    <t>Snowballing fila 205 (p61-096)</t>
  </si>
  <si>
    <t>A: fila=Sin equivalente en catálogo (Nivel no cubierto)/col=CONSTRUCTION &gt; Software Construction Tools; B: fila=T025/col=Sin área SWEBOK</t>
  </si>
  <si>
    <t>Snowballing fila 206 (p61-096)</t>
  </si>
  <si>
    <t>A: fila=Sin equivalente en catálogo (Nivel no cubierto)/col=CONSTRUCTION &gt; Software Construction Tools; B: fila=T008/col=Sin área SWEBOK</t>
  </si>
  <si>
    <t>Snowballing fila 114 (p29-056)</t>
  </si>
  <si>
    <t>lau 2023</t>
  </si>
  <si>
    <t>A: fila=Sin equivalente en catálogo (Nivel no cubierto)/col=CONSTRUCTION &gt; Software Construction Tools; B: fila=T001/col=CONSTRUCTION &gt; Practical Considerations</t>
  </si>
  <si>
    <t>Snowballing fila 115 (p29-056)</t>
  </si>
  <si>
    <t>A: fila=Sin equivalente en catálogo (Nivel no cubierto)/col=CONSTRUCTION &gt; Software Construction Tools; B: fila=T019/col=CONSTRUCTION &gt; Practical Considerations</t>
  </si>
  <si>
    <t>Snowballing fila 116 (p29-056)</t>
  </si>
  <si>
    <t>A: fila=Sin equivalente en catálogo (Nivel no cubierto)/col=CONSTRUCTION &gt; Software Construction Tools; B: fila=T041/col=CONSTRUCTION &gt; Practical Considerations</t>
  </si>
  <si>
    <t>Snowballing fila 117 (p29-056)</t>
  </si>
  <si>
    <t>A: fila=Sin equivalente en catálogo (Nivel no cubierto)/col=CONSTRUCTION &gt; Software Construction Tools; B: fila=T044/col=CONSTRUCTION &gt; Software Construction Fundamentals</t>
  </si>
  <si>
    <t>Snowballing fila 118 (p29-056)</t>
  </si>
  <si>
    <t>A: fila=Sin equivalente en catálogo (Nivel no cubierto)/col=CONSTRUCTION &gt; Software Construction Tools; B: fila=Sin equivalente en catálogo (Nivel no cubierto)/col=CONSTRUCTION &gt; Practical Considerations</t>
  </si>
  <si>
    <t>Snowballing fila 119 (p29-056)</t>
  </si>
  <si>
    <t>A: fila=Sin equivalente en catálogo (Nivel no cubierto)/col=CONSTRUCTION &gt; Software Construction Tools; B: fila=T058/col=CONSTRUCTION &gt; Practical Considerations</t>
  </si>
  <si>
    <t>Snowballing fila 120 (p29-056)</t>
  </si>
  <si>
    <t>A: fila=Sin equivalente en catálogo (Nivel no cubierto)/col=CONSTRUCTION &gt; Software Construction Tools; B: fila=T096/col=CONSTRUCTION &gt; Practical Considerations</t>
  </si>
  <si>
    <t>Snowballing fila 121 (p29-056)</t>
  </si>
  <si>
    <t>A: fila=Sin equivalente en catálogo (Nivel no cubierto)/col=CONSTRUCTION &gt; Software Construction Tools; B: fila=T045/col=CONSTRUCTION &gt; Practical Considerations</t>
  </si>
  <si>
    <t>Snowballing fila 122 (p29-056)</t>
  </si>
  <si>
    <t>A: fila=Sin equivalente en catálogo (Nivel no cubierto)/col=CONSTRUCTION &gt; Software Construction Tools; B: fila=T057/col=CONSTRUCTION &gt; Practical Considerations</t>
  </si>
  <si>
    <t>Snowballing fila 123 (p29-056)</t>
  </si>
  <si>
    <t>A: fila=Sin equivalente en catálogo (Nivel no cubierto)/col=CONSTRUCTION &gt; Software Construction Tools; B: fila=T016/col=CONSTRUCTION &gt; Software Construction Fundamentals</t>
  </si>
  <si>
    <t>Revisiones fila 18 (P04)</t>
  </si>
  <si>
    <t>A: fila=T056/col=CONSTRUCTION &gt; Software Construction Fundamentals; B: fila=T016/col=CONSTRUCTION &gt; Software Construction Fundamentals</t>
  </si>
  <si>
    <t>Revisiones fila 20 (P04)</t>
  </si>
  <si>
    <t>Snowballing fila 164 (p49-023)</t>
  </si>
  <si>
    <t>kosar 2024</t>
  </si>
  <si>
    <t>A: fila=T041/col=CONSTRUCTION &gt; Software Construction Fundamentals; B: fila=T051/col=CONSTRUCTION &gt; Software Construction Fundamentals</t>
  </si>
  <si>
    <t>Snowballing fila 165 (p49-023)</t>
  </si>
  <si>
    <t>Snowballing fila 166 (p49-023)</t>
  </si>
  <si>
    <t>A: fila=T041/col=CONSTRUCTION &gt; Software Construction Fundamentals; B: fila=T041/col=CONSTRUCTION &gt; Software Construction Fundamentals</t>
  </si>
  <si>
    <t>Snowballing fila 167 (p49-023)</t>
  </si>
  <si>
    <t>A: fila=T041/col=CONSTRUCTION &gt; Software Construction Fundamentals; B: fila=T032/col=CONSTRUCTION &gt; Software Construction Fundamentals</t>
  </si>
  <si>
    <t>Snowballing fila 168 (p49-023)</t>
  </si>
  <si>
    <t>A: fila=T041/col=CONSTRUCTION &gt; Software Construction Fundamentals; B: fila=Sin equivalente en catálogo (Nivel no cubierto)/col=Sin área SWEBOK</t>
  </si>
  <si>
    <t>Revisiones fila 21 (P04)</t>
  </si>
  <si>
    <t>A: fila=T020/col=CONSTRUCTION &gt; Software Construction Fundamentals; B: fila=T051/col=CONSTRUCTION &gt; Software Construction Fundamentals</t>
  </si>
  <si>
    <t>A: fila=T020/col=CONSTRUCTION &gt; Software Construction Fundamentals; B: fila=T041/col=CONSTRUCTION &gt; Software Construction Fundamentals</t>
  </si>
  <si>
    <t>A: fila=T020/col=CONSTRUCTION &gt; Software Construction Fundamentals; B: fila=T032/col=CONSTRUCTION &gt; Software Construction Fundamentals</t>
  </si>
  <si>
    <t>A: fila=T020/col=CONSTRUCTION &gt; Software Construction Fundamentals; B: fila=Sin equivalente en catálogo (Nivel no cubierto)/col=Sin área SWEBOK</t>
  </si>
  <si>
    <t>Revisiones fila 22 (P04)</t>
  </si>
  <si>
    <t>A: fila=T094/col=SOFTWARE CONFIG. MGMT. &gt; Subárea no determinable; B: fila=T001/col=CONSTRUCTION &gt; Practical Considerations</t>
  </si>
  <si>
    <t>A: fila=T094/col=SOFTWARE CONFIG. MGMT. &gt; Subárea no determinable; B: fila=T019/col=CONSTRUCTION &gt; Practical Considerations</t>
  </si>
  <si>
    <t>A: fila=T094/col=SOFTWARE CONFIG. MGMT. &gt; Subárea no determinable; B: fila=T041/col=CONSTRUCTION &gt; Practical Considerations</t>
  </si>
  <si>
    <t>A: fila=T094/col=SOFTWARE CONFIG. MGMT. &gt; Subárea no determinable; B: fila=T044/col=CONSTRUCTION &gt; Software Construction Fundamentals</t>
  </si>
  <si>
    <t>A: fila=T094/col=SOFTWARE CONFIG. MGMT. &gt; Subárea no determinable; B: fila=Sin equivalente en catálogo (Nivel no cubierto)/col=CONSTRUCTION &gt; Practical Considerations</t>
  </si>
  <si>
    <t>A: fila=T094/col=SOFTWARE CONFIG. MGMT. &gt; Subárea no determinable; B: fila=T058/col=CONSTRUCTION &gt; Practical Considerations</t>
  </si>
  <si>
    <t>A: fila=T094/col=SOFTWARE CONFIG. MGMT. &gt; Subárea no determinable; B: fila=T096/col=CONSTRUCTION &gt; Practical Considerations</t>
  </si>
  <si>
    <t>A: fila=T094/col=SOFTWARE CONFIG. MGMT. &gt; Subárea no determinable; B: fila=T045/col=CONSTRUCTION &gt; Practical Considerations</t>
  </si>
  <si>
    <t>A: fila=T094/col=SOFTWARE CONFIG. MGMT. &gt; Subárea no determinable; B: fila=T057/col=CONSTRUCTION &gt; Practical Considerations</t>
  </si>
  <si>
    <t>Revisiones fila 23 (P04)</t>
  </si>
  <si>
    <t>A: fila=T066/col=CONSTRUCTION &gt; Software Construction Fundamentals; B: fila=T001/col=CONSTRUCTION &gt; Practical Considerations</t>
  </si>
  <si>
    <t>A: fila=T066/col=CONSTRUCTION &gt; Software Construction Fundamentals; B: fila=T019/col=CONSTRUCTION &gt; Practical Considerations</t>
  </si>
  <si>
    <t>A: fila=T066/col=CONSTRUCTION &gt; Software Construction Fundamentals; B: fila=T041/col=CONSTRUCTION &gt; Practical Considerations</t>
  </si>
  <si>
    <t>A: fila=T066/col=CONSTRUCTION &gt; Software Construction Fundamentals; B: fila=T044/col=CONSTRUCTION &gt; Software Construction Fundamentals</t>
  </si>
  <si>
    <t>A: fila=T066/col=CONSTRUCTION &gt; Software Construction Fundamentals; B: fila=Sin equivalente en catálogo (Nivel no cubierto)/col=CONSTRUCTION &gt; Practical Considerations</t>
  </si>
  <si>
    <t>A: fila=T066/col=CONSTRUCTION &gt; Software Construction Fundamentals; B: fila=T058/col=CONSTRUCTION &gt; Practical Considerations</t>
  </si>
  <si>
    <t>A: fila=T066/col=CONSTRUCTION &gt; Software Construction Fundamentals; B: fila=T096/col=CONSTRUCTION &gt; Practical Considerations</t>
  </si>
  <si>
    <t>A: fila=T066/col=CONSTRUCTION &gt; Software Construction Fundamentals; B: fila=T045/col=CONSTRUCTION &gt; Practical Considerations</t>
  </si>
  <si>
    <t>A: fila=T066/col=CONSTRUCTION &gt; Software Construction Fundamentals; B: fila=T057/col=CONSTRUCTION &gt; Practical Considerations</t>
  </si>
  <si>
    <t>Revisiones fila 24 (P04)</t>
  </si>
  <si>
    <t>Snowballing fila 214 (p61-100)</t>
  </si>
  <si>
    <t>fernandez 2024</t>
  </si>
  <si>
    <t>A: fila=T058/col=DESIGN &gt; Software Design Analysis and Evaluations; B: fila=Sin equivalente en catálogo (Nivel no cubierto)/col=Sin área SWEBOK</t>
  </si>
  <si>
    <t>Snowballing fila 215 (p61-100)</t>
  </si>
  <si>
    <t>A: fila=T058/col=DESIGN &gt; Software Design Analysis and Evaluations; B: fila=T096/col=SOFTWARE ENG. MANAGEMENT &gt; Software Project Planning</t>
  </si>
  <si>
    <t>Snowballing fila 216 (p61-100)</t>
  </si>
  <si>
    <t>A: fila=T058/col=DESIGN &gt; Software Design Analysis and Evaluations; B: fila=T044/col=CONSTRUCTION &gt; Software Construction Tools</t>
  </si>
  <si>
    <t>Snowballing fila 217 (p61-100)</t>
  </si>
  <si>
    <t>A: fila=T058/col=DESIGN &gt; Software Design Analysis and Evaluations; B: fila=T056/col=CONSTRUCTION &gt; Software Construction Tools</t>
  </si>
  <si>
    <t>Snowballing fila 218 (p61-100)</t>
  </si>
  <si>
    <t>A: fila=T058/col=DESIGN &gt; Software Design Analysis and Evaluations; B: fila=T045/col=CONSTRUCTION &gt; Software Construction Fundamentals</t>
  </si>
  <si>
    <t>Snowballing fila 219 (p61-100)</t>
  </si>
  <si>
    <t>A: fila=T058/col=DESIGN &gt; Software Design Analysis and Evaluations; B: fila=T056/col=SOFTWARE TESTING &gt; Test Techniques</t>
  </si>
  <si>
    <t>Revisiones fila 25 (P04)</t>
  </si>
  <si>
    <t>A: fila=T056/col=DESIGN &gt; Software Design Strategies and Methods; B: fila=Sin equivalente en catálogo (Nivel no cubierto)/col=Sin área SWEBOK</t>
  </si>
  <si>
    <t>A: fila=T056/col=DESIGN &gt; Software Design Strategies and Methods; B: fila=T096/col=SOFTWARE ENG. MANAGEMENT &gt; Software Project Planning</t>
  </si>
  <si>
    <t>A: fila=T056/col=DESIGN &gt; Software Design Strategies and Methods; B: fila=T044/col=CONSTRUCTION &gt; Software Construction Tools</t>
  </si>
  <si>
    <t>A: fila=T056/col=DESIGN &gt; Software Design Strategies and Methods; B: fila=T056/col=CONSTRUCTION &gt; Software Construction Tools</t>
  </si>
  <si>
    <t>A: fila=T056/col=DESIGN &gt; Software Design Strategies and Methods; B: fila=T045/col=CONSTRUCTION &gt; Software Construction Fundamentals</t>
  </si>
  <si>
    <t>A: fila=T056/col=DESIGN &gt; Software Design Strategies and Methods; B: fila=T056/col=SOFTWARE TESTING &gt; Test Techniques</t>
  </si>
  <si>
    <t>Revisiones fila 27 (P04)</t>
  </si>
  <si>
    <t>Snowballing fila 127 (p29-058)</t>
  </si>
  <si>
    <t>sarsa 2022</t>
  </si>
  <si>
    <t>A: fila=Sin equivalente en catálogo (Nivel no cubierto)/col=CONSTRUCTION &gt; Software Construction Fundamentals; B: fila=Sin equivalente en catálogo (Nivel no cubierto)/col=CONSTRUCTION &gt; Software Construction Fundamentals</t>
  </si>
  <si>
    <t>Snowballing fila 128 (p29-058)</t>
  </si>
  <si>
    <t>T015 Atributos</t>
  </si>
  <si>
    <t>Revisiones fila 29 (P05)</t>
  </si>
  <si>
    <t>A: fila=T041/col=SOFTWARE TESTING &gt; Test Techniques; B: fila=T045/col=SOFTWARE TESTING &gt; Test Techniques</t>
  </si>
  <si>
    <t>Snowballing fila 124 (p29-057)</t>
  </si>
  <si>
    <t>ouh 2023</t>
  </si>
  <si>
    <t>A: fila=T058/col=CONSTRUCTION &gt; Software Construction Fundamentals; B: fila=Sin equivalente en catálogo (Nivel no cubierto)/col=CONSTRUCTION &gt; Software Construction Fundamentals</t>
  </si>
  <si>
    <t>Snowballing fila 125 (p29-057)</t>
  </si>
  <si>
    <t>A: fila=T058/col=CONSTRUCTION &gt; Software Construction Fundamentals; B: fila=Sin equivalente en catálogo (Nivel no cubierto)/col=CONSTRUCTION &gt; Software Construction Tools</t>
  </si>
  <si>
    <t>Snowballing fila 126 (p29-057)</t>
  </si>
  <si>
    <t>A: fila=T058/col=CONSTRUCTION &gt; Software Construction Fundamentals; B: fila=T008/col=CONSTRUCTION &gt; Practical Considerations</t>
  </si>
  <si>
    <t>doughty 2024</t>
  </si>
  <si>
    <t>A: fila=T032/col=CONSTRUCTION &gt; Subárea no determinable; B: fila=T032/col=CONSTRUCTION &gt; Software Construction Fundamentals</t>
  </si>
  <si>
    <t>Revisiones fila 47 (P08)</t>
  </si>
  <si>
    <t>A: fila=T098/col=CONSTRUCTION &gt; Software Construction Fundamentals; B: fila=T016/col=CONSTRUCTION &gt; Software Construction Fundamentals</t>
  </si>
  <si>
    <t>Snowballing fila 237 (p79-103)</t>
  </si>
  <si>
    <t>amoozadeh 2024</t>
  </si>
  <si>
    <t>A: fila=T051/col=CONSTRUCTION &gt; Practical Considerations; B: fila=Sin equivalente en catálogo (Nivel no cubierto)/col=CONSTRUCTION &gt; Software Construction Fundamentals</t>
  </si>
  <si>
    <t>Snowballing fila 238 (p79-103)</t>
  </si>
  <si>
    <t>Snowballing fila 239 (p79-103)</t>
  </si>
  <si>
    <t>Snowballing fila 240 (p79-103)</t>
  </si>
  <si>
    <t>Snowballing fila 220 (p79-035)</t>
  </si>
  <si>
    <t>simaremare 2024</t>
  </si>
  <si>
    <t>A: fila=T057/col=CONSTRUCTION &gt; Practical Considerations; B: fila=T056/col=CONSTRUCTION &gt; Software Construction Tools</t>
  </si>
  <si>
    <t>Snowballing fila 221 (p79-035)</t>
  </si>
  <si>
    <t>A: fila=T057/col=CONSTRUCTION &gt; Practical Considerations; B: fila=T057/col=CONSTRUCTION &gt; Construction Technologies</t>
  </si>
  <si>
    <t>Snowballing fila 222 (p79-035)</t>
  </si>
  <si>
    <t>Snowballing fila 169 (p49-024)</t>
  </si>
  <si>
    <t>sun 2024</t>
  </si>
  <si>
    <t>A: fila=T095/col=CONSTRUCTION &gt; Software Construction Fundamentals; B: fila=T056/col=CONSTRUCTION &gt; Practical Considerations</t>
  </si>
  <si>
    <t>Snowballing fila 170 (p49-024)</t>
  </si>
  <si>
    <t>Snowballing fila 171 (p49-024)</t>
  </si>
  <si>
    <t>A: fila=T095/col=CONSTRUCTION &gt; Software Construction Fundamentals; B: fila=Sin equivalente en catálogo (Nivel no cubierto)/col=CONSTRUCTION &gt; Practical Considerations</t>
  </si>
  <si>
    <t>haindl 2024</t>
  </si>
  <si>
    <t>Snowballing fila 175 (p59-028)</t>
  </si>
  <si>
    <t>hou 2024</t>
  </si>
  <si>
    <t>A: fila=T098/col=CONSTRUCTION &gt; Practical Considerations; B: fila=T098/col=CONSTRUCTION &gt; Software Construction Fundamentals</t>
  </si>
  <si>
    <t>Snowballing fila 176 (p59-028)</t>
  </si>
  <si>
    <t>A: fila=T098/col=CONSTRUCTION &gt; Practical Considerations; B: fila=T019/col=CONSTRUCTION &gt; Software Construction Fundamentals</t>
  </si>
  <si>
    <t>Snowballing fila 177 (p59-028)</t>
  </si>
  <si>
    <t>A: fila=T098/col=CONSTRUCTION &gt; Practical Considerations; B: fila=T098/col=SOFTWARE ENG. MODELS/METH. &gt; Modeling</t>
  </si>
  <si>
    <t>Revisiones fila 192 (P18)</t>
  </si>
  <si>
    <t>A: fila=T044/col=CONSTRUCTION &gt; Practical Considerations; B: fila=Sin equivalente en catálogo (Nivel no cubierto)/col=CONSTRUCTION &gt; Software Construction Fundamentals</t>
  </si>
  <si>
    <t>sinha 2024</t>
  </si>
  <si>
    <t>A: fila=T042/col=CONSTRUCTION &gt; Practical Considerations; B: fila=T042/col=CONSTRUCTION &gt; Software Construction Fundamentals</t>
  </si>
  <si>
    <t>Snowballing fila 26 (p08-010)</t>
  </si>
  <si>
    <t>prather 2023</t>
  </si>
  <si>
    <t>A: fila=T016/col=CONSTRUCTION &gt; Practical Considerations; B: fila=Sin equivalente en catálogo (Nivel no cubierto)/col=CONSTRUCTION &gt; Construction Technologies</t>
  </si>
  <si>
    <t>Snowballing fila 27 (p08-010)</t>
  </si>
  <si>
    <t>A: fila=T016/col=CONSTRUCTION &gt; Practical Considerations; B: fila=Sin equivalente en catálogo (Nivel no cubierto)/col=CONSTRUCTION &gt; Software Construction Tools</t>
  </si>
  <si>
    <t>Snowballing fila 28 (p08-010)</t>
  </si>
  <si>
    <t>A: fila=T016/col=CONSTRUCTION &gt; Practical Considerations; B: fila=Sin equivalente en catálogo (Nivel no cubierto)/col=CONSTRUCTION &gt; Practical Considerations</t>
  </si>
  <si>
    <t>Snowballing fila 29 (p08-010)</t>
  </si>
  <si>
    <t>Snowballing fila 30 (p08-010)</t>
  </si>
  <si>
    <t>Snowballing fila 31 (p08-010)</t>
  </si>
  <si>
    <t>A: fila=T016/col=CONSTRUCTION &gt; Practical Considerations; B: fila=Sin equivalente en catálogo (Nivel no cubierto)/col=CONSTRUCTION &gt; Software Construction Fundamentals</t>
  </si>
  <si>
    <t>Snowballing fila 32 (p08-010)</t>
  </si>
  <si>
    <t>Snowballing fila 33 (p08-010)</t>
  </si>
  <si>
    <t>A: fila=T016/col=CONSTRUCTION &gt; Practical Considerations; B: fila=T001/col=CONSTRUCTION &gt; Practical Considerations</t>
  </si>
  <si>
    <t>Snowballing fila 34 (p08-010)</t>
  </si>
  <si>
    <t>Snowballing fila 35 (p08-010)</t>
  </si>
  <si>
    <t>A: fila=T016/col=CONSTRUCTION &gt; Practical Considerations; B: fila=Sin equivalente en catálogo (Nivel no cubierto)/col=Sin área SWEBOK</t>
  </si>
  <si>
    <t>Snowballing fila 36 (p08-010)</t>
  </si>
  <si>
    <t>Snowballing fila 37 (p08-010)</t>
  </si>
  <si>
    <t>Gráficos (dinámicos)</t>
  </si>
  <si>
    <t>ardimento 2024</t>
  </si>
  <si>
    <t>A: fila=T079/col=DESIGN &gt; Recording Software Design; B: fila=Sin equivalente en catálogo (Nivel no cubierto)/col=DESIGN &gt; Recording Software Design</t>
  </si>
  <si>
    <t>Revisiones fila 242 (P26)</t>
  </si>
  <si>
    <t>A: fila=T051/col=CONSTRUCTION &gt; Software Construction Tools; B: fila=Sin equivalente en catálogo (Nivel no cubierto)/col=CONSTRUCTION &gt; Software Construction Fundamentals</t>
  </si>
  <si>
    <t>Snowballing fila 264 (p83-049)</t>
  </si>
  <si>
    <t>wang kw:DevCoach</t>
  </si>
  <si>
    <t>A: fila=T045/col=SOFTWARE ENG. PROCESS &gt; Life Cycles; B: fila=T099/col=REQUIREMENTS &gt; Requirements Elicitation</t>
  </si>
  <si>
    <t>Snowballing fila 265 (p83-049)</t>
  </si>
  <si>
    <t>A: fila=T045/col=SOFTWARE ENG. PROCESS &gt; Life Cycles; B: fila=T099/col=CONSTRUCTION &gt; Software Construction Fundamentals</t>
  </si>
  <si>
    <t>Todo lo de abajo son fórmulas que leen 'Matriz' y 'Matriz_por_área'. Si cambian datos en las hojas de prácticas (p. ej. al decidir qué hacer con un duplicado, cambiando su 'Se cuenta en matriz' a 'No'), estas tablas y los gráficos se actualizan solos.</t>
  </si>
  <si>
    <t>Estos pares NO fueron eliminados ni fusionados, se cuentan tal como están en ambas hojas. La decisión de descontarlos o no queda a nuestro criterio</t>
  </si>
  <si>
    <t>6. Distribución de la matriz: filas/columnas extra vs. celdas plenamente determinadas</t>
  </si>
  <si>
    <t>Total de prácticas contadas (A+B):</t>
  </si>
  <si>
    <t>En fila 'Sin equivalente en catálogo' (cualquier nivel, incl. Nivel no cubierto):</t>
  </si>
  <si>
    <t xml:space="preserve">   de las cuales 'Sin equivalente' (técnica marcada así):</t>
  </si>
  <si>
    <t xml:space="preserve">   de las cuales 'No determinable' (sin técnica identificada):</t>
  </si>
  <si>
    <t>En columna 'Sin área SWEBOK':</t>
  </si>
  <si>
    <t>Área SWEBOK (ordenado, desc.)</t>
  </si>
  <si>
    <t xml:space="preserve">   de las cuales 'Fuera de SWEBOK':</t>
  </si>
  <si>
    <t xml:space="preserve">   de las cuales 'No determinable':</t>
  </si>
  <si>
    <t>En columna 'Subárea no determinable' (con área conocida):</t>
  </si>
  <si>
    <t>Celdas plenamente determinadas (técnica + área + subárea conocidas):</t>
  </si>
  <si>
    <t>Nota sobre comentarios de celda:</t>
  </si>
  <si>
    <t>Cada celda con al menos 1 práctica lleva un comentario estático con el desglose 'Revisiones: a · Snowballing: b' (no se recalcula solo si se editan las hojas de prácticas; para refrescarlo hay que regenerar el archivo).</t>
  </si>
  <si>
    <t>1.8E-06</t>
  </si>
  <si>
    <t>Área SWEBOK (sin Construction)</t>
  </si>
  <si>
    <t>Área SWEBOK (sin Construction) (ordenado, desc.)</t>
  </si>
  <si>
    <t>2.8E-06</t>
  </si>
  <si>
    <t>3.6E-06</t>
  </si>
  <si>
    <t>T016 Auto-explicación</t>
  </si>
  <si>
    <t>Construction vs. el resto</t>
  </si>
  <si>
    <t>Resto de las áreas (14 + Sin área SWEBOK)</t>
  </si>
  <si>
    <t>Nivel no cubierto</t>
  </si>
  <si>
    <t>Técnica (100 del catálogo)</t>
  </si>
  <si>
    <t>Técnica (100 del catálogo) (ordenado, desc.)</t>
  </si>
  <si>
    <t>T019 Ejemplificación</t>
  </si>
  <si>
    <t>5.8E-06</t>
  </si>
  <si>
    <t>5.9E-06</t>
  </si>
  <si>
    <t>T021 Feynman</t>
  </si>
  <si>
    <t>6.1E-06</t>
  </si>
  <si>
    <t>T025 Informe</t>
  </si>
  <si>
    <t>T026 Lluvia de ideas dirigida</t>
  </si>
  <si>
    <t>6.6E-06</t>
  </si>
  <si>
    <t>6.7E-06</t>
  </si>
  <si>
    <t>6.8E-06</t>
  </si>
  <si>
    <t>6.9E-06</t>
  </si>
  <si>
    <t>T029 Reporte de lectura general</t>
  </si>
  <si>
    <t>T024 Historieta</t>
  </si>
  <si>
    <t>7.1E-06</t>
  </si>
  <si>
    <t>T020 Exposición oral</t>
  </si>
  <si>
    <t>T017 Cartel</t>
  </si>
  <si>
    <t>7.3E-06</t>
  </si>
  <si>
    <t>T018 Documentales</t>
  </si>
  <si>
    <t>7.4E-06</t>
  </si>
  <si>
    <t>T022 Glosario colaborativo</t>
  </si>
  <si>
    <t>7.8E-06</t>
  </si>
  <si>
    <t>T023 Grupos focales</t>
  </si>
  <si>
    <t>7.9E-06</t>
  </si>
  <si>
    <t>T027 Monografía</t>
  </si>
  <si>
    <t>8.3E-06</t>
  </si>
  <si>
    <t>T028 Reporte de investigación</t>
  </si>
  <si>
    <t>8.4E-06</t>
  </si>
  <si>
    <t>T030 Reseña</t>
  </si>
  <si>
    <t>8.6E-06</t>
  </si>
  <si>
    <t>T100 Visitas guiadas</t>
  </si>
  <si>
    <t>T031 Consulta pública</t>
  </si>
  <si>
    <t>8.7E-06</t>
  </si>
  <si>
    <t>T090 Ensayo</t>
  </si>
  <si>
    <t>T032 Cuestionario</t>
  </si>
  <si>
    <t>T081 Mapa conceptual</t>
  </si>
  <si>
    <t>T033 Debate</t>
  </si>
  <si>
    <t>T078 Diagrama de flujo</t>
  </si>
  <si>
    <t>T034 Debate público</t>
  </si>
  <si>
    <t>T076 Cuadro comparativo</t>
  </si>
  <si>
    <t>T035 Demostración silenciosa</t>
  </si>
  <si>
    <t>T073 Sesión bibliográfica</t>
  </si>
  <si>
    <t>T036 Descripción de un personaje</t>
  </si>
  <si>
    <t>9.2E-06</t>
  </si>
  <si>
    <t>T060 Análisis de hechos</t>
  </si>
  <si>
    <t>T037 Diálogos simultáneos</t>
  </si>
  <si>
    <t>T038 Encuesta interactiva</t>
  </si>
  <si>
    <t>9.4E-06</t>
  </si>
  <si>
    <t>T039 Entrevista</t>
  </si>
  <si>
    <t>T040 Estudio intercalado</t>
  </si>
  <si>
    <t>9.6E-06</t>
  </si>
  <si>
    <t>T041 Examen práctico</t>
  </si>
  <si>
    <t>T042 Foro</t>
  </si>
  <si>
    <t>T043 Grupos de discusión</t>
  </si>
  <si>
    <t>9.9E-06</t>
  </si>
  <si>
    <t>T044 Instrucción personalizada</t>
  </si>
  <si>
    <t>T045 Juego de roles</t>
  </si>
  <si>
    <t>T097 Reportaje</t>
  </si>
  <si>
    <t>T046 Medios sociales</t>
  </si>
  <si>
    <t>1.02E-05</t>
  </si>
  <si>
    <t>T093 Poesía lírica</t>
  </si>
  <si>
    <t>T047 Mesa redonda con interrogador</t>
  </si>
  <si>
    <t>1.03E-05</t>
  </si>
  <si>
    <t>T092 Fotomontaje</t>
  </si>
  <si>
    <t>T048 Panel de discusión</t>
  </si>
  <si>
    <t>1.04E-05</t>
  </si>
  <si>
    <t>T091 Estructuras textuales</t>
  </si>
  <si>
    <t>T049 Pensamiento analógico</t>
  </si>
  <si>
    <t>T089 Diario digital</t>
  </si>
  <si>
    <t>T050 Phillips 66</t>
  </si>
  <si>
    <t>1.06E-05</t>
  </si>
  <si>
    <t>T088 Videocápsula</t>
  </si>
  <si>
    <t>T051 Práctica distribuida</t>
  </si>
  <si>
    <t>T087 Tuits</t>
  </si>
  <si>
    <t>T052 Simposio</t>
  </si>
  <si>
    <t>1.08E-05</t>
  </si>
  <si>
    <t>T086 Tablón de anuncios</t>
  </si>
  <si>
    <t>T053 Socio-aprendizaje</t>
  </si>
  <si>
    <t>1.09E-05</t>
  </si>
  <si>
    <t>T085 Sumillado</t>
  </si>
  <si>
    <t>T054 Sociodrama</t>
  </si>
  <si>
    <t>T084 Redes conceptuales</t>
  </si>
  <si>
    <t>T055 Suasoria</t>
  </si>
  <si>
    <t>1.11E-05</t>
  </si>
  <si>
    <t>T083 Mapa semántico</t>
  </si>
  <si>
    <t>T056 Taller</t>
  </si>
  <si>
    <t>T082 Mapa de cajas</t>
  </si>
  <si>
    <t>T057 Trabajo cooperativo</t>
  </si>
  <si>
    <t>T080 Línea de tiempo</t>
  </si>
  <si>
    <t>T058 Análisis de contenido</t>
  </si>
  <si>
    <t>T077 Cuadro sinóptico</t>
  </si>
  <si>
    <t>T059 Análisis de tergiversación textual</t>
  </si>
  <si>
    <t>1.15E-05</t>
  </si>
  <si>
    <t>T075 Cronología ilustrada</t>
  </si>
  <si>
    <t>T071 Juego de negocios</t>
  </si>
  <si>
    <t>T061 Análisis y consensos</t>
  </si>
  <si>
    <t>1.17E-05</t>
  </si>
  <si>
    <t>T070 Histograma</t>
  </si>
  <si>
    <t>T062 Controversia estructurada</t>
  </si>
  <si>
    <t>1.18E-05</t>
  </si>
  <si>
    <t>T069 Heurística de Bruner</t>
  </si>
  <si>
    <t>T063 Diagrama de Gowin</t>
  </si>
  <si>
    <t>1.19E-05</t>
  </si>
  <si>
    <t>T068 Gráfico estadístico</t>
  </si>
  <si>
    <t>T064 Diagrama de Venn</t>
  </si>
  <si>
    <t>T067 Estudio de noticia falsa</t>
  </si>
  <si>
    <t>T065 Discusión de gabinete</t>
  </si>
  <si>
    <t>1.21E-05</t>
  </si>
  <si>
    <t>T066 Estudio de casos</t>
  </si>
  <si>
    <t>1.23E-05</t>
  </si>
  <si>
    <t>1.24E-05</t>
  </si>
  <si>
    <t>1.25E-05</t>
  </si>
  <si>
    <t>1.26E-05</t>
  </si>
  <si>
    <t>1.27E-05</t>
  </si>
  <si>
    <t>T072 Mapeo de procesos</t>
  </si>
  <si>
    <t>T074 Valoración de decisiones</t>
  </si>
  <si>
    <t>1.31E-05</t>
  </si>
  <si>
    <t>1.33E-05</t>
  </si>
  <si>
    <t>T079 Esquema</t>
  </si>
  <si>
    <t>1.36E-05</t>
  </si>
  <si>
    <t>1.38E-05</t>
  </si>
  <si>
    <t>1.39E-05</t>
  </si>
  <si>
    <t>1.41E-05</t>
  </si>
  <si>
    <t>1.42E-05</t>
  </si>
  <si>
    <t>1.43E-05</t>
  </si>
  <si>
    <t>1.44E-05</t>
  </si>
  <si>
    <t>1.45E-05</t>
  </si>
  <si>
    <t>1.47E-05</t>
  </si>
  <si>
    <t>1.48E-05</t>
  </si>
  <si>
    <t>1.49E-05</t>
  </si>
  <si>
    <t>T094 Portafolio de evidencias digital</t>
  </si>
  <si>
    <t>T095 Preguntas dirigidas</t>
  </si>
  <si>
    <t>T096 Proyectos colaborativos</t>
  </si>
  <si>
    <t>1.53E-05</t>
  </si>
  <si>
    <t>T098 Rompecabezas</t>
  </si>
  <si>
    <t>T099 Simulación</t>
  </si>
  <si>
    <t>Subtotal EXPLICAR</t>
  </si>
  <si>
    <t>Subtotal APLICAR</t>
  </si>
  <si>
    <t>Subtotal ANALIZAR</t>
  </si>
  <si>
    <t>Subtotal SINTETIZAR</t>
  </si>
  <si>
    <t>Subtotal CONSTRUIR</t>
  </si>
  <si>
    <t>Subtotal Nivel no cubierto</t>
  </si>
  <si>
    <t>TOTAL GENERAL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</si>
</sst>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quot;&quot;"/>
  </numFmts>
  <fonts count="23">
    <font>
      <sz val="11.0"/>
      <color theme="1"/>
      <name val="Calibri"/>
      <scheme val="minor"/>
    </font>
    <font>
      <b/>
      <color rgb="FFFFFFFF"/>
      <name val="Calibri"/>
      <scheme val="minor"/>
    </font>
    <font>
      <b/>
      <sz val="12.0"/>
      <color theme="1"/>
      <name val="Calibri"/>
      <scheme val="minor"/>
    </font>
    <font>
      <sz val="11.0"/>
      <color theme="1"/>
      <name val="Calibri"/>
    </font>
    <font>
      <color rgb="FFFFFFFF"/>
      <name val="Calibri"/>
      <scheme val="minor"/>
    </font>
    <font>
      <color theme="1"/>
      <name val="Calibri"/>
      <scheme val="minor"/>
    </font>
    <font>
      <i/>
      <color theme="1"/>
      <name val="Calibri"/>
      <scheme val="minor"/>
    </font>
    <font>
      <b/>
      <i/>
      <color theme="1"/>
      <name val="Calibri"/>
      <scheme val="minor"/>
    </font>
    <font>
      <b/>
      <sz val="11.0"/>
      <color theme="1"/>
      <name val="Calibri"/>
      <scheme val="minor"/>
    </font>
    <font/>
    <font>
      <sz val="8.0"/>
      <color theme="1"/>
      <name val="Calibri"/>
      <scheme val="minor"/>
    </font>
    <font>
      <i/>
      <sz val="8.0"/>
      <color theme="1"/>
      <name val="Calibri"/>
      <scheme val="minor"/>
    </font>
    <font>
      <b/>
      <sz val="8.0"/>
      <color theme="1"/>
      <name val="Calibri"/>
      <scheme val="minor"/>
    </font>
    <font>
      <b/>
      <color theme="1"/>
      <name val="Calibri"/>
      <scheme val="minor"/>
    </font>
    <font>
      <b/>
      <sz val="11.0"/>
      <color rgb="FFFFFFFF"/>
      <name val="Arial"/>
    </font>
    <font>
      <sz val="11.0"/>
      <color rgb="FF253449"/>
      <name val="Arial"/>
    </font>
    <font>
      <sz val="11.0"/>
      <color theme="1"/>
      <name val="Arial"/>
    </font>
    <font>
      <sz val="11.0"/>
      <color theme="1"/>
      <name val="Carlito"/>
    </font>
    <font>
      <b/>
      <sz val="13.0"/>
      <color theme="1"/>
      <name val="Calibri"/>
      <scheme val="minor"/>
    </font>
    <font>
      <b/>
      <sz val="14.0"/>
      <color theme="1"/>
      <name val="Calibri"/>
    </font>
    <font>
      <sz val="11.0"/>
      <color rgb="FF000000"/>
      <name val="Calibri"/>
    </font>
    <font>
      <i/>
      <color rgb="FF565F6D"/>
      <name val="Calibri"/>
    </font>
    <font>
      <b/>
      <sz val="11.0"/>
      <color theme="1"/>
      <name val="Calibri"/>
    </font>
  </fonts>
  <fills count="12">
    <fill>
      <patternFill patternType="none"/>
    </fill>
    <fill>
      <patternFill patternType="lightGray"/>
    </fill>
    <fill>
      <patternFill patternType="solid">
        <fgColor rgb="FF1C5CAB"/>
        <bgColor rgb="FF1C5CAB"/>
      </patternFill>
    </fill>
    <fill>
      <patternFill patternType="solid">
        <fgColor rgb="FF86B6EF"/>
        <bgColor rgb="FF86B6EF"/>
      </patternFill>
    </fill>
    <fill>
      <patternFill patternType="solid">
        <fgColor rgb="FF7F7F52"/>
        <bgColor rgb="FF7F7F52"/>
      </patternFill>
    </fill>
    <fill>
      <patternFill patternType="solid">
        <fgColor rgb="FF3987E5"/>
        <bgColor rgb="FF3987E5"/>
      </patternFill>
    </fill>
    <fill>
      <patternFill patternType="solid">
        <fgColor rgb="FF0D366B"/>
        <bgColor rgb="FF0D366B"/>
      </patternFill>
    </fill>
    <fill>
      <patternFill patternType="solid">
        <fgColor rgb="FFF0EDE4"/>
        <bgColor rgb="FFF0EDE4"/>
      </patternFill>
    </fill>
    <fill>
      <patternFill patternType="solid">
        <fgColor rgb="FF9DC3E6"/>
        <bgColor rgb="FF9DC3E6"/>
      </patternFill>
    </fill>
    <fill>
      <patternFill patternType="solid">
        <fgColor rgb="FFDCE6F1"/>
        <bgColor rgb="FFDCE6F1"/>
      </patternFill>
    </fill>
    <fill>
      <patternFill patternType="solid">
        <fgColor rgb="FF253F63"/>
        <bgColor rgb="FF253F63"/>
      </patternFill>
    </fill>
    <fill>
      <patternFill patternType="solid">
        <fgColor rgb="FFCFE2F3"/>
        <bgColor rgb="FFCFE2F3"/>
      </patternFill>
    </fill>
  </fills>
  <borders count="8">
    <border/>
    <border>
      <left/>
      <right/>
      <top/>
      <bottom/>
    </border>
    <border>
      <left/>
      <right/>
      <top/>
    </border>
    <border>
      <left/>
      <top/>
      <bottom/>
    </border>
    <border>
      <top/>
      <bottom/>
    </border>
    <border>
      <right/>
      <top/>
      <bottom/>
    </border>
    <border>
      <left/>
      <right/>
      <bottom/>
    </border>
    <border>
      <left/>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1" fillId="3" fontId="3" numFmtId="0" xfId="0" applyAlignment="1" applyBorder="1" applyFill="1" applyFont="1">
      <alignment horizontal="center"/>
    </xf>
    <xf borderId="1" fillId="4" fontId="1" numFmtId="0" xfId="0" applyAlignment="1" applyBorder="1" applyFill="1" applyFont="1">
      <alignment shrinkToFit="0" vertical="center" wrapText="1"/>
    </xf>
    <xf borderId="1" fillId="5" fontId="3" numFmtId="0" xfId="0" applyAlignment="1" applyBorder="1" applyFill="1" applyFont="1">
      <alignment horizontal="center"/>
    </xf>
    <xf borderId="1" fillId="2" fontId="4" numFmtId="0" xfId="0" applyAlignment="1" applyBorder="1" applyFill="1" applyFont="1">
      <alignment horizontal="center"/>
    </xf>
    <xf borderId="0" fillId="0" fontId="5" numFmtId="0" xfId="0" applyAlignment="1" applyFont="1">
      <alignment shrinkToFit="0" wrapText="1"/>
    </xf>
    <xf borderId="1" fillId="6" fontId="4" numFmtId="0" xfId="0" applyAlignment="1" applyBorder="1" applyFill="1" applyFont="1">
      <alignment horizontal="center"/>
    </xf>
    <xf borderId="1" fillId="7" fontId="6" numFmtId="0" xfId="0" applyBorder="1" applyFill="1" applyFont="1"/>
    <xf borderId="1" fillId="2" fontId="1" numFmtId="0" xfId="0" applyBorder="1" applyFill="1" applyFont="1"/>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textRotation="90" vertical="center" wrapText="0"/>
    </xf>
    <xf borderId="1" fillId="7" fontId="7" numFmtId="0" xfId="0" applyAlignment="1" applyBorder="1" applyFill="1" applyFont="1">
      <alignment horizontal="center" shrinkToFit="0" textRotation="90" vertical="center" wrapText="0"/>
    </xf>
    <xf borderId="1" fillId="8" fontId="8"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0" fillId="0" fontId="5" numFmtId="0" xfId="0" applyFont="1"/>
    <xf borderId="0" fillId="0" fontId="3" numFmtId="164" xfId="0" applyAlignment="1" applyFont="1" applyNumberFormat="1">
      <alignment horizontal="center"/>
    </xf>
    <xf borderId="3" fillId="2" fontId="1" numFmtId="0" xfId="0" applyAlignment="1" applyBorder="1" applyFill="1" applyFont="1">
      <alignment horizontal="center" shrinkToFit="0" vertical="center" wrapText="1"/>
    </xf>
    <xf borderId="4" fillId="0" fontId="9" numFmtId="0" xfId="0" applyBorder="1" applyFont="1"/>
    <xf borderId="5" fillId="0" fontId="9" numFmtId="0" xfId="0" applyBorder="1" applyFont="1"/>
    <xf borderId="2" fillId="7" fontId="7" numFmtId="0" xfId="0" applyAlignment="1" applyBorder="1" applyFill="1" applyFont="1">
      <alignment horizontal="center" shrinkToFit="0" vertical="center" wrapText="1"/>
    </xf>
    <xf borderId="2" fillId="8" fontId="8" numFmtId="0" xfId="0" applyAlignment="1" applyBorder="1" applyFill="1" applyFont="1">
      <alignment horizontal="center" shrinkToFit="0" vertical="center" wrapText="1"/>
    </xf>
    <xf borderId="6" fillId="0" fontId="9" numFmtId="0" xfId="0" applyBorder="1" applyFont="1"/>
    <xf borderId="0" fillId="0" fontId="10" numFmtId="0" xfId="0" applyAlignment="1" applyFont="1">
      <alignment horizontal="center" shrinkToFit="0" textRotation="90" vertical="bottom" wrapText="0"/>
    </xf>
    <xf borderId="1" fillId="7" fontId="11" numFmtId="0" xfId="0" applyAlignment="1" applyBorder="1" applyFill="1" applyFont="1">
      <alignment horizontal="center" shrinkToFit="0" textRotation="90" vertical="bottom" wrapText="0"/>
    </xf>
    <xf borderId="1" fillId="9" fontId="12" numFmtId="0" xfId="0" applyAlignment="1" applyBorder="1" applyFill="1" applyFont="1">
      <alignment horizontal="center" shrinkToFit="0" textRotation="90" vertical="bottom" wrapText="0"/>
    </xf>
    <xf borderId="1" fillId="8" fontId="8" numFmtId="164" xfId="0" applyAlignment="1" applyBorder="1" applyFill="1" applyFont="1" applyNumberFormat="1">
      <alignment horizontal="center"/>
    </xf>
    <xf borderId="7" fillId="0" fontId="9" numFmtId="0" xfId="0" applyBorder="1" applyFont="1"/>
    <xf borderId="1" fillId="9" fontId="13" numFmtId="164" xfId="0" applyAlignment="1" applyBorder="1" applyFill="1" applyFont="1" applyNumberFormat="1">
      <alignment horizontal="center"/>
    </xf>
    <xf borderId="0" fillId="0" fontId="5" numFmtId="0" xfId="0" applyAlignment="1" applyFont="1">
      <alignment readingOrder="0" shrinkToFit="0" wrapText="1"/>
    </xf>
    <xf borderId="0" fillId="10" fontId="14" numFmtId="0" xfId="0" applyAlignment="1" applyFill="1" applyFont="1">
      <alignment horizontal="center" shrinkToFit="0" wrapText="1"/>
    </xf>
    <xf borderId="0" fillId="11" fontId="15" numFmtId="0" xfId="0" applyAlignment="1" applyFill="1" applyFont="1">
      <alignment shrinkToFit="0" vertical="top" wrapText="1"/>
    </xf>
    <xf borderId="0" fillId="11" fontId="16" numFmtId="0" xfId="0" applyAlignment="1" applyFill="1" applyFont="1">
      <alignment shrinkToFit="0" vertical="bottom" wrapText="1"/>
    </xf>
    <xf borderId="0" fillId="11" fontId="17" numFmtId="0" xfId="0" applyAlignment="1" applyFill="1" applyFont="1">
      <alignment shrinkToFit="0" wrapText="1"/>
    </xf>
    <xf borderId="3" fillId="9" fontId="13" numFmtId="0" xfId="0" applyBorder="1" applyFill="1" applyFont="1"/>
    <xf borderId="0" fillId="0" fontId="18" numFmtId="0" xfId="0" applyFont="1"/>
    <xf borderId="1" fillId="9" fontId="8" numFmtId="0" xfId="0" applyAlignment="1" applyBorder="1" applyFill="1" applyFont="1">
      <alignment shrinkToFit="0" wrapText="1"/>
    </xf>
    <xf borderId="0" fillId="0" fontId="5" numFmtId="164" xfId="0" applyFont="1" applyNumberFormat="1"/>
    <xf borderId="0" fillId="0" fontId="19" numFmtId="0" xfId="0" applyAlignment="1" applyFont="1">
      <alignment readingOrder="0" shrinkToFit="0" vertical="bottom" wrapText="0"/>
    </xf>
    <xf borderId="0" fillId="0" fontId="20" numFmtId="0" xfId="0" applyAlignment="1" applyFont="1">
      <alignment shrinkToFit="0" vertical="bottom" wrapText="0"/>
    </xf>
    <xf borderId="0" fillId="0" fontId="21" numFmtId="0" xfId="0" applyAlignment="1" applyFont="1">
      <alignment readingOrder="0" vertical="bottom"/>
    </xf>
    <xf borderId="0" fillId="0" fontId="22" numFmtId="0" xfId="0" applyAlignment="1" applyFon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horizontal="right" readingOrder="0" shrinkToFit="0" vertical="bottom" wrapText="0"/>
    </xf>
    <xf borderId="0" fillId="0" fontId="20" numFmtId="3" xfId="0" applyAlignment="1" applyFont="1" applyNumberFormat="1">
      <alignment horizontal="right" readingOrder="0" shrinkToFit="0" vertical="bottom" wrapText="0"/>
    </xf>
    <xf borderId="3" fillId="8" fontId="8" numFmtId="0" xfId="0" applyBorder="1" applyFill="1" applyFont="1"/>
  </cellXfs>
  <cellStyles count="1">
    <cellStyle xfId="0" name="Normal" builtinId="0"/>
  </cellStyles>
  <dxfs count="4">
    <dxf>
      <font/>
      <fill>
        <patternFill patternType="solid">
          <fgColor rgb="FF86B6EF"/>
          <bgColor rgb="FF86B6EF"/>
        </patternFill>
      </fill>
      <border/>
    </dxf>
    <dxf>
      <font/>
      <fill>
        <patternFill patternType="solid">
          <fgColor rgb="FF3987E5"/>
          <bgColor rgb="FF3987E5"/>
        </patternFill>
      </fill>
      <border/>
    </dxf>
    <dxf>
      <font>
        <color rgb="FFFFFFFF"/>
      </font>
      <fill>
        <patternFill patternType="solid">
          <fgColor rgb="FF1C5CAB"/>
          <bgColor rgb="FF1C5CAB"/>
        </patternFill>
      </fill>
      <border/>
    </dxf>
    <dxf>
      <font>
        <color rgb="FFFFFFFF"/>
      </font>
      <fill>
        <patternFill patternType="solid">
          <fgColor rgb="FF0D366B"/>
          <bgColor rgb="FF0D36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udia Vergara" id="{9d83ab65-7bbb-4524-a586-0f29f688e6b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9-26T21:54:59.00" personId="{9d83ab65-7bbb-4524-a586-0f29f688e6b8}" id="{5c7a7714-221c-45b4-bde5-b0cebf05a416}" done="0">
    <x18tc:text xml:space="preserve">Nombres de los 33 papers seleccionados para la revision terciaria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9" dT="2026-09-26T21:51:54.00" personId="{9d83ab65-7bbb-4524-a586-0f29f688e6b8}" id="{ff30b647-0c05-4278-8855-40c8d56734e2}" done="0">
    <x18tc:text xml:space="preserve">Corregido, es ensayo la tecnica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14.0"/>
    <col customWidth="1" min="2" max="2" width="32.0"/>
    <col customWidth="1" min="3" max="17" width="6.43"/>
    <col customWidth="1" min="18" max="18" width="8.0"/>
    <col customWidth="1" min="19" max="19" width="9.0"/>
    <col customWidth="1" min="20" max="26" width="8.71"/>
  </cols>
  <sheetData>
    <row r="1">
      <c r="A1" s="2" t="s">
        <v>0</v>
      </c>
    </row>
    <row r="3">
      <c r="A3" s="3" t="s">
        <v>13</v>
      </c>
      <c r="C3" s="5" t="s">
        <v>16</v>
      </c>
      <c r="E3" s="6" t="s">
        <v>23</v>
      </c>
      <c r="G3" s="8" t="s">
        <v>26</v>
      </c>
      <c r="I3" s="9" t="s">
        <v>36</v>
      </c>
      <c r="L3" s="10" t="s">
        <v>43</v>
      </c>
    </row>
    <row r="5">
      <c r="A5" s="11" t="s">
        <v>8</v>
      </c>
      <c r="B5" s="11" t="s">
        <v>53</v>
      </c>
      <c r="C5" s="12" t="s">
        <v>57</v>
      </c>
      <c r="D5" s="12" t="s">
        <v>61</v>
      </c>
      <c r="E5" s="12" t="s">
        <v>62</v>
      </c>
      <c r="F5" s="12" t="s">
        <v>47</v>
      </c>
      <c r="G5" s="12" t="s">
        <v>64</v>
      </c>
      <c r="H5" s="12" t="s">
        <v>65</v>
      </c>
      <c r="I5" s="12" t="s">
        <v>66</v>
      </c>
      <c r="J5" s="12" t="s">
        <v>68</v>
      </c>
      <c r="K5" s="12" t="s">
        <v>28</v>
      </c>
      <c r="L5" s="12" t="s">
        <v>71</v>
      </c>
      <c r="M5" s="12" t="s">
        <v>73</v>
      </c>
      <c r="N5" s="12" t="s">
        <v>74</v>
      </c>
      <c r="O5" s="12" t="s">
        <v>30</v>
      </c>
      <c r="P5" s="12" t="s">
        <v>76</v>
      </c>
      <c r="Q5" s="12" t="s">
        <v>77</v>
      </c>
      <c r="R5" s="13" t="s">
        <v>78</v>
      </c>
      <c r="S5" s="14" t="s">
        <v>82</v>
      </c>
    </row>
    <row r="6">
      <c r="A6" s="15" t="s">
        <v>85</v>
      </c>
      <c r="B6" s="16" t="s">
        <v>92</v>
      </c>
      <c r="C6" s="17">
        <f>COUNTIFS('Prácticas_Revisiones'!$S$2:$S$282,"T001",'Prácticas_Revisiones'!$T$2:$T$282,"REQUIREMENTS &gt; *")+COUNTIFS('Prácticas_Snowballing'!$AB$2:$AB$281,"T001",'Prácticas_Snowballing'!$AC$2:$AC$281,"REQUIREMENTS &gt; *")</f>
        <v>0</v>
      </c>
      <c r="D6" s="17">
        <f>COUNTIFS('Prácticas_Revisiones'!$S$2:$S$282,"T001",'Prácticas_Revisiones'!$T$2:$T$282,"ARCHITECTURE &gt; *")+COUNTIFS('Prácticas_Snowballing'!$AB$2:$AB$281,"T001",'Prácticas_Snowballing'!$AC$2:$AC$281,"ARCHITECTURE &gt; *")</f>
        <v>0</v>
      </c>
      <c r="E6" s="17">
        <f>COUNTIFS('Prácticas_Revisiones'!$S$2:$S$282,"T001",'Prácticas_Revisiones'!$T$2:$T$282,"DESIGN &gt; *")+COUNTIFS('Prácticas_Snowballing'!$AB$2:$AB$281,"T001",'Prácticas_Snowballing'!$AC$2:$AC$281,"DESIGN &gt; *")</f>
        <v>1</v>
      </c>
      <c r="F6" s="17">
        <f>COUNTIFS('Prácticas_Revisiones'!$S$2:$S$282,"T001",'Prácticas_Revisiones'!$T$2:$T$282,"CONSTRUCTION &gt; *")+COUNTIFS('Prácticas_Snowballing'!$AB$2:$AB$281,"T001",'Prácticas_Snowballing'!$AC$2:$AC$281,"CONSTRUCTION &gt; *")</f>
        <v>5</v>
      </c>
      <c r="G6" s="17">
        <f>COUNTIFS('Prácticas_Revisiones'!$S$2:$S$282,"T001",'Prácticas_Revisiones'!$T$2:$T$282,"SOFTWARE TESTING &gt; *")+COUNTIFS('Prácticas_Snowballing'!$AB$2:$AB$281,"T001",'Prácticas_Snowballing'!$AC$2:$AC$281,"SOFTWARE TESTING &gt; *")</f>
        <v>0</v>
      </c>
      <c r="H6" s="17">
        <f>COUNTIFS('Prácticas_Revisiones'!$S$2:$S$282,"T001",'Prácticas_Revisiones'!$T$2:$T$282,"SOFTWARE ENG. OPERATIONS &gt; *")+COUNTIFS('Prácticas_Snowballing'!$AB$2:$AB$281,"T001",'Prácticas_Snowballing'!$AC$2:$AC$281,"SOFTWARE ENG. OPERATIONS &gt; *")</f>
        <v>0</v>
      </c>
      <c r="I6" s="17">
        <f>COUNTIFS('Prácticas_Revisiones'!$S$2:$S$282,"T001",'Prácticas_Revisiones'!$T$2:$T$282,"MAINTENANCE &gt; *")+COUNTIFS('Prácticas_Snowballing'!$AB$2:$AB$281,"T001",'Prácticas_Snowballing'!$AC$2:$AC$281,"MAINTENANCE &gt; *")</f>
        <v>0</v>
      </c>
      <c r="J6" s="17">
        <f>COUNTIFS('Prácticas_Revisiones'!$S$2:$S$282,"T001",'Prácticas_Revisiones'!$T$2:$T$282,"SOFTWARE CONFIG. MGMT. &gt; *")+COUNTIFS('Prácticas_Snowballing'!$AB$2:$AB$281,"T001",'Prácticas_Snowballing'!$AC$2:$AC$281,"SOFTWARE CONFIG. MGMT. &gt; *")</f>
        <v>0</v>
      </c>
      <c r="K6" s="17">
        <f>COUNTIFS('Prácticas_Revisiones'!$S$2:$S$282,"T001",'Prácticas_Revisiones'!$T$2:$T$282,"SOFTWARE ENG. PROCESS &gt; *")+COUNTIFS('Prácticas_Snowballing'!$AB$2:$AB$281,"T001",'Prácticas_Snowballing'!$AC$2:$AC$281,"SOFTWARE ENG. PROCESS &gt; *")</f>
        <v>0</v>
      </c>
      <c r="L6" s="17">
        <f>COUNTIFS('Prácticas_Revisiones'!$S$2:$S$282,"T001",'Prácticas_Revisiones'!$T$2:$T$282,"SOFTWARE ENG. MODELS/METH. &gt; *")+COUNTIFS('Prácticas_Snowballing'!$AB$2:$AB$281,"T001",'Prácticas_Snowballing'!$AC$2:$AC$281,"SOFTWARE ENG. MODELS/METH. &gt; *")</f>
        <v>0</v>
      </c>
      <c r="M6" s="17">
        <f>COUNTIFS('Prácticas_Revisiones'!$S$2:$S$282,"T001",'Prácticas_Revisiones'!$T$2:$T$282,"SOFTWARE QUALITY &gt; *")+COUNTIFS('Prácticas_Snowballing'!$AB$2:$AB$281,"T001",'Prácticas_Snowballing'!$AC$2:$AC$281,"SOFTWARE QUALITY &gt; *")</f>
        <v>0</v>
      </c>
      <c r="N6" s="17">
        <f>COUNTIFS('Prácticas_Revisiones'!$S$2:$S$282,"T001",'Prácticas_Revisiones'!$T$2:$T$282,"SOFTWARE SECURITY &gt; *")+COUNTIFS('Prácticas_Snowballing'!$AB$2:$AB$281,"T001",'Prácticas_Snowballing'!$AC$2:$AC$281,"SOFTWARE SECURITY &gt; *")</f>
        <v>0</v>
      </c>
      <c r="O6" s="17">
        <f>COUNTIFS('Prácticas_Revisiones'!$S$2:$S$282,"T001",'Prácticas_Revisiones'!$T$2:$T$282,"PROFESSIONAL PRACTICE &gt; *")+COUNTIFS('Prácticas_Snowballing'!$AB$2:$AB$281,"T001",'Prácticas_Snowballing'!$AC$2:$AC$281,"PROFESSIONAL PRACTICE &gt; *")</f>
        <v>0</v>
      </c>
      <c r="P6" s="17">
        <f>COUNTIFS('Prácticas_Revisiones'!$S$2:$S$282,"T001",'Prácticas_Revisiones'!$T$2:$T$282,"SOFTWARE ENG. ECONOMICS &gt; *")+COUNTIFS('Prácticas_Snowballing'!$AB$2:$AB$281,"T001",'Prácticas_Snowballing'!$AC$2:$AC$281,"SOFTWARE ENG. ECONOMICS &gt; *")</f>
        <v>0</v>
      </c>
      <c r="Q6" s="17">
        <f>COUNTIFS('Prácticas_Revisiones'!$S$2:$S$282,"T001",'Prácticas_Revisiones'!$T$2:$T$282,"SOFTWARE ENG. MANAGEMENT &gt; *")+COUNTIFS('Prácticas_Snowballing'!$AB$2:$AB$281,"T001",'Prácticas_Snowballing'!$AC$2:$AC$281,"SOFTWARE ENG. MANAGEMENT &gt; *")</f>
        <v>0</v>
      </c>
      <c r="R6" s="17">
        <f>COUNTIFS('Prácticas_Revisiones'!$S$2:$S$282,"T001",'Prácticas_Revisiones'!$T$2:$T$282,"Sin área SWEBOK")+COUNTIFS('Prácticas_Snowballing'!$AB$2:$AB$281,"T001",'Prácticas_Snowballing'!$AC$2:$AC$281,"Sin área SWEBOK")</f>
        <v>1</v>
      </c>
      <c r="S6" s="27">
        <f t="shared" ref="S6:S17" si="1">SUM(C6:R6)</f>
        <v>7</v>
      </c>
    </row>
    <row r="7">
      <c r="A7" s="28"/>
      <c r="B7" s="16" t="s">
        <v>355</v>
      </c>
      <c r="C7" s="17">
        <f>COUNTIFS('Prácticas_Revisiones'!$S$2:$S$282,"T002",'Prácticas_Revisiones'!$T$2:$T$282,"REQUIREMENTS &gt; *")+COUNTIFS('Prácticas_Snowballing'!$AB$2:$AB$281,"T002",'Prácticas_Snowballing'!$AC$2:$AC$281,"REQUIREMENTS &gt; *")</f>
        <v>0</v>
      </c>
      <c r="D7" s="17">
        <f>COUNTIFS('Prácticas_Revisiones'!$S$2:$S$282,"T002",'Prácticas_Revisiones'!$T$2:$T$282,"ARCHITECTURE &gt; *")+COUNTIFS('Prácticas_Snowballing'!$AB$2:$AB$281,"T002",'Prácticas_Snowballing'!$AC$2:$AC$281,"ARCHITECTURE &gt; *")</f>
        <v>0</v>
      </c>
      <c r="E7" s="17">
        <f>COUNTIFS('Prácticas_Revisiones'!$S$2:$S$282,"T002",'Prácticas_Revisiones'!$T$2:$T$282,"DESIGN &gt; *")+COUNTIFS('Prácticas_Snowballing'!$AB$2:$AB$281,"T002",'Prácticas_Snowballing'!$AC$2:$AC$281,"DESIGN &gt; *")</f>
        <v>0</v>
      </c>
      <c r="F7" s="17">
        <f>COUNTIFS('Prácticas_Revisiones'!$S$2:$S$282,"T002",'Prácticas_Revisiones'!$T$2:$T$282,"CONSTRUCTION &gt; *")+COUNTIFS('Prácticas_Snowballing'!$AB$2:$AB$281,"T002",'Prácticas_Snowballing'!$AC$2:$AC$281,"CONSTRUCTION &gt; *")</f>
        <v>0</v>
      </c>
      <c r="G7" s="17">
        <f>COUNTIFS('Prácticas_Revisiones'!$S$2:$S$282,"T002",'Prácticas_Revisiones'!$T$2:$T$282,"SOFTWARE TESTING &gt; *")+COUNTIFS('Prácticas_Snowballing'!$AB$2:$AB$281,"T002",'Prácticas_Snowballing'!$AC$2:$AC$281,"SOFTWARE TESTING &gt; *")</f>
        <v>0</v>
      </c>
      <c r="H7" s="17">
        <f>COUNTIFS('Prácticas_Revisiones'!$S$2:$S$282,"T002",'Prácticas_Revisiones'!$T$2:$T$282,"SOFTWARE ENG. OPERATIONS &gt; *")+COUNTIFS('Prácticas_Snowballing'!$AB$2:$AB$281,"T002",'Prácticas_Snowballing'!$AC$2:$AC$281,"SOFTWARE ENG. OPERATIONS &gt; *")</f>
        <v>0</v>
      </c>
      <c r="I7" s="17">
        <f>COUNTIFS('Prácticas_Revisiones'!$S$2:$S$282,"T002",'Prácticas_Revisiones'!$T$2:$T$282,"MAINTENANCE &gt; *")+COUNTIFS('Prácticas_Snowballing'!$AB$2:$AB$281,"T002",'Prácticas_Snowballing'!$AC$2:$AC$281,"MAINTENANCE &gt; *")</f>
        <v>0</v>
      </c>
      <c r="J7" s="17">
        <f>COUNTIFS('Prácticas_Revisiones'!$S$2:$S$282,"T002",'Prácticas_Revisiones'!$T$2:$T$282,"SOFTWARE CONFIG. MGMT. &gt; *")+COUNTIFS('Prácticas_Snowballing'!$AB$2:$AB$281,"T002",'Prácticas_Snowballing'!$AC$2:$AC$281,"SOFTWARE CONFIG. MGMT. &gt; *")</f>
        <v>0</v>
      </c>
      <c r="K7" s="17">
        <f>COUNTIFS('Prácticas_Revisiones'!$S$2:$S$282,"T002",'Prácticas_Revisiones'!$T$2:$T$282,"SOFTWARE ENG. PROCESS &gt; *")+COUNTIFS('Prácticas_Snowballing'!$AB$2:$AB$281,"T002",'Prácticas_Snowballing'!$AC$2:$AC$281,"SOFTWARE ENG. PROCESS &gt; *")</f>
        <v>0</v>
      </c>
      <c r="L7" s="17">
        <f>COUNTIFS('Prácticas_Revisiones'!$S$2:$S$282,"T002",'Prácticas_Revisiones'!$T$2:$T$282,"SOFTWARE ENG. MODELS/METH. &gt; *")+COUNTIFS('Prácticas_Snowballing'!$AB$2:$AB$281,"T002",'Prácticas_Snowballing'!$AC$2:$AC$281,"SOFTWARE ENG. MODELS/METH. &gt; *")</f>
        <v>0</v>
      </c>
      <c r="M7" s="17">
        <f>COUNTIFS('Prácticas_Revisiones'!$S$2:$S$282,"T002",'Prácticas_Revisiones'!$T$2:$T$282,"SOFTWARE QUALITY &gt; *")+COUNTIFS('Prácticas_Snowballing'!$AB$2:$AB$281,"T002",'Prácticas_Snowballing'!$AC$2:$AC$281,"SOFTWARE QUALITY &gt; *")</f>
        <v>0</v>
      </c>
      <c r="N7" s="17">
        <f>COUNTIFS('Prácticas_Revisiones'!$S$2:$S$282,"T002",'Prácticas_Revisiones'!$T$2:$T$282,"SOFTWARE SECURITY &gt; *")+COUNTIFS('Prácticas_Snowballing'!$AB$2:$AB$281,"T002",'Prácticas_Snowballing'!$AC$2:$AC$281,"SOFTWARE SECURITY &gt; *")</f>
        <v>0</v>
      </c>
      <c r="O7" s="17">
        <f>COUNTIFS('Prácticas_Revisiones'!$S$2:$S$282,"T002",'Prácticas_Revisiones'!$T$2:$T$282,"PROFESSIONAL PRACTICE &gt; *")+COUNTIFS('Prácticas_Snowballing'!$AB$2:$AB$281,"T002",'Prácticas_Snowballing'!$AC$2:$AC$281,"PROFESSIONAL PRACTICE &gt; *")</f>
        <v>0</v>
      </c>
      <c r="P7" s="17">
        <f>COUNTIFS('Prácticas_Revisiones'!$S$2:$S$282,"T002",'Prácticas_Revisiones'!$T$2:$T$282,"SOFTWARE ENG. ECONOMICS &gt; *")+COUNTIFS('Prácticas_Snowballing'!$AB$2:$AB$281,"T002",'Prácticas_Snowballing'!$AC$2:$AC$281,"SOFTWARE ENG. ECONOMICS &gt; *")</f>
        <v>0</v>
      </c>
      <c r="Q7" s="17">
        <f>COUNTIFS('Prácticas_Revisiones'!$S$2:$S$282,"T002",'Prácticas_Revisiones'!$T$2:$T$282,"SOFTWARE ENG. MANAGEMENT &gt; *")+COUNTIFS('Prácticas_Snowballing'!$AB$2:$AB$281,"T002",'Prácticas_Snowballing'!$AC$2:$AC$281,"SOFTWARE ENG. MANAGEMENT &gt; *")</f>
        <v>0</v>
      </c>
      <c r="R7" s="17">
        <f>COUNTIFS('Prácticas_Revisiones'!$S$2:$S$282,"T002",'Prácticas_Revisiones'!$T$2:$T$282,"Sin área SWEBOK")+COUNTIFS('Prácticas_Snowballing'!$AB$2:$AB$281,"T002",'Prácticas_Snowballing'!$AC$2:$AC$281,"Sin área SWEBOK")</f>
        <v>0</v>
      </c>
      <c r="S7" s="27">
        <f t="shared" si="1"/>
        <v>0</v>
      </c>
    </row>
    <row r="8">
      <c r="A8" s="28"/>
      <c r="B8" s="16" t="s">
        <v>585</v>
      </c>
      <c r="C8" s="17">
        <f>COUNTIFS('Prácticas_Revisiones'!$S$2:$S$282,"T003",'Prácticas_Revisiones'!$T$2:$T$282,"REQUIREMENTS &gt; *")+COUNTIFS('Prácticas_Snowballing'!$AB$2:$AB$281,"T003",'Prácticas_Snowballing'!$AC$2:$AC$281,"REQUIREMENTS &gt; *")</f>
        <v>0</v>
      </c>
      <c r="D8" s="17">
        <f>COUNTIFS('Prácticas_Revisiones'!$S$2:$S$282,"T003",'Prácticas_Revisiones'!$T$2:$T$282,"ARCHITECTURE &gt; *")+COUNTIFS('Prácticas_Snowballing'!$AB$2:$AB$281,"T003",'Prácticas_Snowballing'!$AC$2:$AC$281,"ARCHITECTURE &gt; *")</f>
        <v>0</v>
      </c>
      <c r="E8" s="17">
        <f>COUNTIFS('Prácticas_Revisiones'!$S$2:$S$282,"T003",'Prácticas_Revisiones'!$T$2:$T$282,"DESIGN &gt; *")+COUNTIFS('Prácticas_Snowballing'!$AB$2:$AB$281,"T003",'Prácticas_Snowballing'!$AC$2:$AC$281,"DESIGN &gt; *")</f>
        <v>0</v>
      </c>
      <c r="F8" s="17">
        <f>COUNTIFS('Prácticas_Revisiones'!$S$2:$S$282,"T003",'Prácticas_Revisiones'!$T$2:$T$282,"CONSTRUCTION &gt; *")+COUNTIFS('Prácticas_Snowballing'!$AB$2:$AB$281,"T003",'Prácticas_Snowballing'!$AC$2:$AC$281,"CONSTRUCTION &gt; *")</f>
        <v>0</v>
      </c>
      <c r="G8" s="17">
        <f>COUNTIFS('Prácticas_Revisiones'!$S$2:$S$282,"T003",'Prácticas_Revisiones'!$T$2:$T$282,"SOFTWARE TESTING &gt; *")+COUNTIFS('Prácticas_Snowballing'!$AB$2:$AB$281,"T003",'Prácticas_Snowballing'!$AC$2:$AC$281,"SOFTWARE TESTING &gt; *")</f>
        <v>0</v>
      </c>
      <c r="H8" s="17">
        <f>COUNTIFS('Prácticas_Revisiones'!$S$2:$S$282,"T003",'Prácticas_Revisiones'!$T$2:$T$282,"SOFTWARE ENG. OPERATIONS &gt; *")+COUNTIFS('Prácticas_Snowballing'!$AB$2:$AB$281,"T003",'Prácticas_Snowballing'!$AC$2:$AC$281,"SOFTWARE ENG. OPERATIONS &gt; *")</f>
        <v>0</v>
      </c>
      <c r="I8" s="17">
        <f>COUNTIFS('Prácticas_Revisiones'!$S$2:$S$282,"T003",'Prácticas_Revisiones'!$T$2:$T$282,"MAINTENANCE &gt; *")+COUNTIFS('Prácticas_Snowballing'!$AB$2:$AB$281,"T003",'Prácticas_Snowballing'!$AC$2:$AC$281,"MAINTENANCE &gt; *")</f>
        <v>0</v>
      </c>
      <c r="J8" s="17">
        <f>COUNTIFS('Prácticas_Revisiones'!$S$2:$S$282,"T003",'Prácticas_Revisiones'!$T$2:$T$282,"SOFTWARE CONFIG. MGMT. &gt; *")+COUNTIFS('Prácticas_Snowballing'!$AB$2:$AB$281,"T003",'Prácticas_Snowballing'!$AC$2:$AC$281,"SOFTWARE CONFIG. MGMT. &gt; *")</f>
        <v>0</v>
      </c>
      <c r="K8" s="17">
        <f>COUNTIFS('Prácticas_Revisiones'!$S$2:$S$282,"T003",'Prácticas_Revisiones'!$T$2:$T$282,"SOFTWARE ENG. PROCESS &gt; *")+COUNTIFS('Prácticas_Snowballing'!$AB$2:$AB$281,"T003",'Prácticas_Snowballing'!$AC$2:$AC$281,"SOFTWARE ENG. PROCESS &gt; *")</f>
        <v>0</v>
      </c>
      <c r="L8" s="17">
        <f>COUNTIFS('Prácticas_Revisiones'!$S$2:$S$282,"T003",'Prácticas_Revisiones'!$T$2:$T$282,"SOFTWARE ENG. MODELS/METH. &gt; *")+COUNTIFS('Prácticas_Snowballing'!$AB$2:$AB$281,"T003",'Prácticas_Snowballing'!$AC$2:$AC$281,"SOFTWARE ENG. MODELS/METH. &gt; *")</f>
        <v>0</v>
      </c>
      <c r="M8" s="17">
        <f>COUNTIFS('Prácticas_Revisiones'!$S$2:$S$282,"T003",'Prácticas_Revisiones'!$T$2:$T$282,"SOFTWARE QUALITY &gt; *")+COUNTIFS('Prácticas_Snowballing'!$AB$2:$AB$281,"T003",'Prácticas_Snowballing'!$AC$2:$AC$281,"SOFTWARE QUALITY &gt; *")</f>
        <v>0</v>
      </c>
      <c r="N8" s="17">
        <f>COUNTIFS('Prácticas_Revisiones'!$S$2:$S$282,"T003",'Prácticas_Revisiones'!$T$2:$T$282,"SOFTWARE SECURITY &gt; *")+COUNTIFS('Prácticas_Snowballing'!$AB$2:$AB$281,"T003",'Prácticas_Snowballing'!$AC$2:$AC$281,"SOFTWARE SECURITY &gt; *")</f>
        <v>0</v>
      </c>
      <c r="O8" s="17">
        <f>COUNTIFS('Prácticas_Revisiones'!$S$2:$S$282,"T003",'Prácticas_Revisiones'!$T$2:$T$282,"PROFESSIONAL PRACTICE &gt; *")+COUNTIFS('Prácticas_Snowballing'!$AB$2:$AB$281,"T003",'Prácticas_Snowballing'!$AC$2:$AC$281,"PROFESSIONAL PRACTICE &gt; *")</f>
        <v>0</v>
      </c>
      <c r="P8" s="17">
        <f>COUNTIFS('Prácticas_Revisiones'!$S$2:$S$282,"T003",'Prácticas_Revisiones'!$T$2:$T$282,"SOFTWARE ENG. ECONOMICS &gt; *")+COUNTIFS('Prácticas_Snowballing'!$AB$2:$AB$281,"T003",'Prácticas_Snowballing'!$AC$2:$AC$281,"SOFTWARE ENG. ECONOMICS &gt; *")</f>
        <v>0</v>
      </c>
      <c r="Q8" s="17">
        <f>COUNTIFS('Prácticas_Revisiones'!$S$2:$S$282,"T003",'Prácticas_Revisiones'!$T$2:$T$282,"SOFTWARE ENG. MANAGEMENT &gt; *")+COUNTIFS('Prácticas_Snowballing'!$AB$2:$AB$281,"T003",'Prácticas_Snowballing'!$AC$2:$AC$281,"SOFTWARE ENG. MANAGEMENT &gt; *")</f>
        <v>0</v>
      </c>
      <c r="R8" s="17">
        <f>COUNTIFS('Prácticas_Revisiones'!$S$2:$S$282,"T003",'Prácticas_Revisiones'!$T$2:$T$282,"Sin área SWEBOK")+COUNTIFS('Prácticas_Snowballing'!$AB$2:$AB$281,"T003",'Prácticas_Snowballing'!$AC$2:$AC$281,"Sin área SWEBOK")</f>
        <v>0</v>
      </c>
      <c r="S8" s="27">
        <f t="shared" si="1"/>
        <v>0</v>
      </c>
    </row>
    <row r="9">
      <c r="A9" s="28"/>
      <c r="B9" s="16" t="s">
        <v>769</v>
      </c>
      <c r="C9" s="17">
        <f>COUNTIFS('Prácticas_Revisiones'!$S$2:$S$282,"T004",'Prácticas_Revisiones'!$T$2:$T$282,"REQUIREMENTS &gt; *")+COUNTIFS('Prácticas_Snowballing'!$AB$2:$AB$281,"T004",'Prácticas_Snowballing'!$AC$2:$AC$281,"REQUIREMENTS &gt; *")</f>
        <v>0</v>
      </c>
      <c r="D9" s="17">
        <f>COUNTIFS('Prácticas_Revisiones'!$S$2:$S$282,"T004",'Prácticas_Revisiones'!$T$2:$T$282,"ARCHITECTURE &gt; *")+COUNTIFS('Prácticas_Snowballing'!$AB$2:$AB$281,"T004",'Prácticas_Snowballing'!$AC$2:$AC$281,"ARCHITECTURE &gt; *")</f>
        <v>0</v>
      </c>
      <c r="E9" s="17">
        <f>COUNTIFS('Prácticas_Revisiones'!$S$2:$S$282,"T004",'Prácticas_Revisiones'!$T$2:$T$282,"DESIGN &gt; *")+COUNTIFS('Prácticas_Snowballing'!$AB$2:$AB$281,"T004",'Prácticas_Snowballing'!$AC$2:$AC$281,"DESIGN &gt; *")</f>
        <v>0</v>
      </c>
      <c r="F9" s="17">
        <f>COUNTIFS('Prácticas_Revisiones'!$S$2:$S$282,"T004",'Prácticas_Revisiones'!$T$2:$T$282,"CONSTRUCTION &gt; *")+COUNTIFS('Prácticas_Snowballing'!$AB$2:$AB$281,"T004",'Prácticas_Snowballing'!$AC$2:$AC$281,"CONSTRUCTION &gt; *")</f>
        <v>2</v>
      </c>
      <c r="G9" s="17">
        <f>COUNTIFS('Prácticas_Revisiones'!$S$2:$S$282,"T004",'Prácticas_Revisiones'!$T$2:$T$282,"SOFTWARE TESTING &gt; *")+COUNTIFS('Prácticas_Snowballing'!$AB$2:$AB$281,"T004",'Prácticas_Snowballing'!$AC$2:$AC$281,"SOFTWARE TESTING &gt; *")</f>
        <v>0</v>
      </c>
      <c r="H9" s="17">
        <f>COUNTIFS('Prácticas_Revisiones'!$S$2:$S$282,"T004",'Prácticas_Revisiones'!$T$2:$T$282,"SOFTWARE ENG. OPERATIONS &gt; *")+COUNTIFS('Prácticas_Snowballing'!$AB$2:$AB$281,"T004",'Prácticas_Snowballing'!$AC$2:$AC$281,"SOFTWARE ENG. OPERATIONS &gt; *")</f>
        <v>0</v>
      </c>
      <c r="I9" s="17">
        <f>COUNTIFS('Prácticas_Revisiones'!$S$2:$S$282,"T004",'Prácticas_Revisiones'!$T$2:$T$282,"MAINTENANCE &gt; *")+COUNTIFS('Prácticas_Snowballing'!$AB$2:$AB$281,"T004",'Prácticas_Snowballing'!$AC$2:$AC$281,"MAINTENANCE &gt; *")</f>
        <v>0</v>
      </c>
      <c r="J9" s="17">
        <f>COUNTIFS('Prácticas_Revisiones'!$S$2:$S$282,"T004",'Prácticas_Revisiones'!$T$2:$T$282,"SOFTWARE CONFIG. MGMT. &gt; *")+COUNTIFS('Prácticas_Snowballing'!$AB$2:$AB$281,"T004",'Prácticas_Snowballing'!$AC$2:$AC$281,"SOFTWARE CONFIG. MGMT. &gt; *")</f>
        <v>0</v>
      </c>
      <c r="K9" s="17">
        <f>COUNTIFS('Prácticas_Revisiones'!$S$2:$S$282,"T004",'Prácticas_Revisiones'!$T$2:$T$282,"SOFTWARE ENG. PROCESS &gt; *")+COUNTIFS('Prácticas_Snowballing'!$AB$2:$AB$281,"T004",'Prácticas_Snowballing'!$AC$2:$AC$281,"SOFTWARE ENG. PROCESS &gt; *")</f>
        <v>0</v>
      </c>
      <c r="L9" s="17">
        <f>COUNTIFS('Prácticas_Revisiones'!$S$2:$S$282,"T004",'Prácticas_Revisiones'!$T$2:$T$282,"SOFTWARE ENG. MODELS/METH. &gt; *")+COUNTIFS('Prácticas_Snowballing'!$AB$2:$AB$281,"T004",'Prácticas_Snowballing'!$AC$2:$AC$281,"SOFTWARE ENG. MODELS/METH. &gt; *")</f>
        <v>0</v>
      </c>
      <c r="M9" s="17">
        <f>COUNTIFS('Prácticas_Revisiones'!$S$2:$S$282,"T004",'Prácticas_Revisiones'!$T$2:$T$282,"SOFTWARE QUALITY &gt; *")+COUNTIFS('Prácticas_Snowballing'!$AB$2:$AB$281,"T004",'Prácticas_Snowballing'!$AC$2:$AC$281,"SOFTWARE QUALITY &gt; *")</f>
        <v>0</v>
      </c>
      <c r="N9" s="17">
        <f>COUNTIFS('Prácticas_Revisiones'!$S$2:$S$282,"T004",'Prácticas_Revisiones'!$T$2:$T$282,"SOFTWARE SECURITY &gt; *")+COUNTIFS('Prácticas_Snowballing'!$AB$2:$AB$281,"T004",'Prácticas_Snowballing'!$AC$2:$AC$281,"SOFTWARE SECURITY &gt; *")</f>
        <v>0</v>
      </c>
      <c r="O9" s="17">
        <f>COUNTIFS('Prácticas_Revisiones'!$S$2:$S$282,"T004",'Prácticas_Revisiones'!$T$2:$T$282,"PROFESSIONAL PRACTICE &gt; *")+COUNTIFS('Prácticas_Snowballing'!$AB$2:$AB$281,"T004",'Prácticas_Snowballing'!$AC$2:$AC$281,"PROFESSIONAL PRACTICE &gt; *")</f>
        <v>0</v>
      </c>
      <c r="P9" s="17">
        <f>COUNTIFS('Prácticas_Revisiones'!$S$2:$S$282,"T004",'Prácticas_Revisiones'!$T$2:$T$282,"SOFTWARE ENG. ECONOMICS &gt; *")+COUNTIFS('Prácticas_Snowballing'!$AB$2:$AB$281,"T004",'Prácticas_Snowballing'!$AC$2:$AC$281,"SOFTWARE ENG. ECONOMICS &gt; *")</f>
        <v>0</v>
      </c>
      <c r="Q9" s="17">
        <f>COUNTIFS('Prácticas_Revisiones'!$S$2:$S$282,"T004",'Prácticas_Revisiones'!$T$2:$T$282,"SOFTWARE ENG. MANAGEMENT &gt; *")+COUNTIFS('Prácticas_Snowballing'!$AB$2:$AB$281,"T004",'Prácticas_Snowballing'!$AC$2:$AC$281,"SOFTWARE ENG. MANAGEMENT &gt; *")</f>
        <v>0</v>
      </c>
      <c r="R9" s="17">
        <f>COUNTIFS('Prácticas_Revisiones'!$S$2:$S$282,"T004",'Prácticas_Revisiones'!$T$2:$T$282,"Sin área SWEBOK")+COUNTIFS('Prácticas_Snowballing'!$AB$2:$AB$281,"T004",'Prácticas_Snowballing'!$AC$2:$AC$281,"Sin área SWEBOK")</f>
        <v>0</v>
      </c>
      <c r="S9" s="27">
        <f t="shared" si="1"/>
        <v>2</v>
      </c>
    </row>
    <row r="10">
      <c r="A10" s="28"/>
      <c r="B10" s="16" t="s">
        <v>964</v>
      </c>
      <c r="C10" s="17">
        <f>COUNTIFS('Prácticas_Revisiones'!$S$2:$S$282,"T005",'Prácticas_Revisiones'!$T$2:$T$282,"REQUIREMENTS &gt; *")+COUNTIFS('Prácticas_Snowballing'!$AB$2:$AB$281,"T005",'Prácticas_Snowballing'!$AC$2:$AC$281,"REQUIREMENTS &gt; *")</f>
        <v>0</v>
      </c>
      <c r="D10" s="17">
        <f>COUNTIFS('Prácticas_Revisiones'!$S$2:$S$282,"T005",'Prácticas_Revisiones'!$T$2:$T$282,"ARCHITECTURE &gt; *")+COUNTIFS('Prácticas_Snowballing'!$AB$2:$AB$281,"T005",'Prácticas_Snowballing'!$AC$2:$AC$281,"ARCHITECTURE &gt; *")</f>
        <v>0</v>
      </c>
      <c r="E10" s="17">
        <f>COUNTIFS('Prácticas_Revisiones'!$S$2:$S$282,"T005",'Prácticas_Revisiones'!$T$2:$T$282,"DESIGN &gt; *")+COUNTIFS('Prácticas_Snowballing'!$AB$2:$AB$281,"T005",'Prácticas_Snowballing'!$AC$2:$AC$281,"DESIGN &gt; *")</f>
        <v>0</v>
      </c>
      <c r="F10" s="17">
        <f>COUNTIFS('Prácticas_Revisiones'!$S$2:$S$282,"T005",'Prácticas_Revisiones'!$T$2:$T$282,"CONSTRUCTION &gt; *")+COUNTIFS('Prácticas_Snowballing'!$AB$2:$AB$281,"T005",'Prácticas_Snowballing'!$AC$2:$AC$281,"CONSTRUCTION &gt; *")</f>
        <v>0</v>
      </c>
      <c r="G10" s="17">
        <f>COUNTIFS('Prácticas_Revisiones'!$S$2:$S$282,"T005",'Prácticas_Revisiones'!$T$2:$T$282,"SOFTWARE TESTING &gt; *")+COUNTIFS('Prácticas_Snowballing'!$AB$2:$AB$281,"T005",'Prácticas_Snowballing'!$AC$2:$AC$281,"SOFTWARE TESTING &gt; *")</f>
        <v>0</v>
      </c>
      <c r="H10" s="17">
        <f>COUNTIFS('Prácticas_Revisiones'!$S$2:$S$282,"T005",'Prácticas_Revisiones'!$T$2:$T$282,"SOFTWARE ENG. OPERATIONS &gt; *")+COUNTIFS('Prácticas_Snowballing'!$AB$2:$AB$281,"T005",'Prácticas_Snowballing'!$AC$2:$AC$281,"SOFTWARE ENG. OPERATIONS &gt; *")</f>
        <v>0</v>
      </c>
      <c r="I10" s="17">
        <f>COUNTIFS('Prácticas_Revisiones'!$S$2:$S$282,"T005",'Prácticas_Revisiones'!$T$2:$T$282,"MAINTENANCE &gt; *")+COUNTIFS('Prácticas_Snowballing'!$AB$2:$AB$281,"T005",'Prácticas_Snowballing'!$AC$2:$AC$281,"MAINTENANCE &gt; *")</f>
        <v>0</v>
      </c>
      <c r="J10" s="17">
        <f>COUNTIFS('Prácticas_Revisiones'!$S$2:$S$282,"T005",'Prácticas_Revisiones'!$T$2:$T$282,"SOFTWARE CONFIG. MGMT. &gt; *")+COUNTIFS('Prácticas_Snowballing'!$AB$2:$AB$281,"T005",'Prácticas_Snowballing'!$AC$2:$AC$281,"SOFTWARE CONFIG. MGMT. &gt; *")</f>
        <v>0</v>
      </c>
      <c r="K10" s="17">
        <f>COUNTIFS('Prácticas_Revisiones'!$S$2:$S$282,"T005",'Prácticas_Revisiones'!$T$2:$T$282,"SOFTWARE ENG. PROCESS &gt; *")+COUNTIFS('Prácticas_Snowballing'!$AB$2:$AB$281,"T005",'Prácticas_Snowballing'!$AC$2:$AC$281,"SOFTWARE ENG. PROCESS &gt; *")</f>
        <v>0</v>
      </c>
      <c r="L10" s="17">
        <f>COUNTIFS('Prácticas_Revisiones'!$S$2:$S$282,"T005",'Prácticas_Revisiones'!$T$2:$T$282,"SOFTWARE ENG. MODELS/METH. &gt; *")+COUNTIFS('Prácticas_Snowballing'!$AB$2:$AB$281,"T005",'Prácticas_Snowballing'!$AC$2:$AC$281,"SOFTWARE ENG. MODELS/METH. &gt; *")</f>
        <v>0</v>
      </c>
      <c r="M10" s="17">
        <f>COUNTIFS('Prácticas_Revisiones'!$S$2:$S$282,"T005",'Prácticas_Revisiones'!$T$2:$T$282,"SOFTWARE QUALITY &gt; *")+COUNTIFS('Prácticas_Snowballing'!$AB$2:$AB$281,"T005",'Prácticas_Snowballing'!$AC$2:$AC$281,"SOFTWARE QUALITY &gt; *")</f>
        <v>0</v>
      </c>
      <c r="N10" s="17">
        <f>COUNTIFS('Prácticas_Revisiones'!$S$2:$S$282,"T005",'Prácticas_Revisiones'!$T$2:$T$282,"SOFTWARE SECURITY &gt; *")+COUNTIFS('Prácticas_Snowballing'!$AB$2:$AB$281,"T005",'Prácticas_Snowballing'!$AC$2:$AC$281,"SOFTWARE SECURITY &gt; *")</f>
        <v>0</v>
      </c>
      <c r="O10" s="17">
        <f>COUNTIFS('Prácticas_Revisiones'!$S$2:$S$282,"T005",'Prácticas_Revisiones'!$T$2:$T$282,"PROFESSIONAL PRACTICE &gt; *")+COUNTIFS('Prácticas_Snowballing'!$AB$2:$AB$281,"T005",'Prácticas_Snowballing'!$AC$2:$AC$281,"PROFESSIONAL PRACTICE &gt; *")</f>
        <v>0</v>
      </c>
      <c r="P10" s="17">
        <f>COUNTIFS('Prácticas_Revisiones'!$S$2:$S$282,"T005",'Prácticas_Revisiones'!$T$2:$T$282,"SOFTWARE ENG. ECONOMICS &gt; *")+COUNTIFS('Prácticas_Snowballing'!$AB$2:$AB$281,"T005",'Prácticas_Snowballing'!$AC$2:$AC$281,"SOFTWARE ENG. ECONOMICS &gt; *")</f>
        <v>0</v>
      </c>
      <c r="Q10" s="17">
        <f>COUNTIFS('Prácticas_Revisiones'!$S$2:$S$282,"T005",'Prácticas_Revisiones'!$T$2:$T$282,"SOFTWARE ENG. MANAGEMENT &gt; *")+COUNTIFS('Prácticas_Snowballing'!$AB$2:$AB$281,"T005",'Prácticas_Snowballing'!$AC$2:$AC$281,"SOFTWARE ENG. MANAGEMENT &gt; *")</f>
        <v>0</v>
      </c>
      <c r="R10" s="17">
        <f>COUNTIFS('Prácticas_Revisiones'!$S$2:$S$282,"T005",'Prácticas_Revisiones'!$T$2:$T$282,"Sin área SWEBOK")+COUNTIFS('Prácticas_Snowballing'!$AB$2:$AB$281,"T005",'Prácticas_Snowballing'!$AC$2:$AC$281,"Sin área SWEBOK")</f>
        <v>0</v>
      </c>
      <c r="S10" s="27">
        <f t="shared" si="1"/>
        <v>0</v>
      </c>
    </row>
    <row r="11">
      <c r="A11" s="28"/>
      <c r="B11" s="16" t="s">
        <v>1134</v>
      </c>
      <c r="C11" s="17">
        <f>COUNTIFS('Prácticas_Revisiones'!$S$2:$S$282,"T006",'Prácticas_Revisiones'!$T$2:$T$282,"REQUIREMENTS &gt; *")+COUNTIFS('Prácticas_Snowballing'!$AB$2:$AB$281,"T006",'Prácticas_Snowballing'!$AC$2:$AC$281,"REQUIREMENTS &gt; *")</f>
        <v>0</v>
      </c>
      <c r="D11" s="17">
        <f>COUNTIFS('Prácticas_Revisiones'!$S$2:$S$282,"T006",'Prácticas_Revisiones'!$T$2:$T$282,"ARCHITECTURE &gt; *")+COUNTIFS('Prácticas_Snowballing'!$AB$2:$AB$281,"T006",'Prácticas_Snowballing'!$AC$2:$AC$281,"ARCHITECTURE &gt; *")</f>
        <v>0</v>
      </c>
      <c r="E11" s="17">
        <f>COUNTIFS('Prácticas_Revisiones'!$S$2:$S$282,"T006",'Prácticas_Revisiones'!$T$2:$T$282,"DESIGN &gt; *")+COUNTIFS('Prácticas_Snowballing'!$AB$2:$AB$281,"T006",'Prácticas_Snowballing'!$AC$2:$AC$281,"DESIGN &gt; *")</f>
        <v>1</v>
      </c>
      <c r="F11" s="17">
        <f>COUNTIFS('Prácticas_Revisiones'!$S$2:$S$282,"T006",'Prácticas_Revisiones'!$T$2:$T$282,"CONSTRUCTION &gt; *")+COUNTIFS('Prácticas_Snowballing'!$AB$2:$AB$281,"T006",'Prácticas_Snowballing'!$AC$2:$AC$281,"CONSTRUCTION &gt; *")</f>
        <v>0</v>
      </c>
      <c r="G11" s="17">
        <f>COUNTIFS('Prácticas_Revisiones'!$S$2:$S$282,"T006",'Prácticas_Revisiones'!$T$2:$T$282,"SOFTWARE TESTING &gt; *")+COUNTIFS('Prácticas_Snowballing'!$AB$2:$AB$281,"T006",'Prácticas_Snowballing'!$AC$2:$AC$281,"SOFTWARE TESTING &gt; *")</f>
        <v>0</v>
      </c>
      <c r="H11" s="17">
        <f>COUNTIFS('Prácticas_Revisiones'!$S$2:$S$282,"T006",'Prácticas_Revisiones'!$T$2:$T$282,"SOFTWARE ENG. OPERATIONS &gt; *")+COUNTIFS('Prácticas_Snowballing'!$AB$2:$AB$281,"T006",'Prácticas_Snowballing'!$AC$2:$AC$281,"SOFTWARE ENG. OPERATIONS &gt; *")</f>
        <v>0</v>
      </c>
      <c r="I11" s="17">
        <f>COUNTIFS('Prácticas_Revisiones'!$S$2:$S$282,"T006",'Prácticas_Revisiones'!$T$2:$T$282,"MAINTENANCE &gt; *")+COUNTIFS('Prácticas_Snowballing'!$AB$2:$AB$281,"T006",'Prácticas_Snowballing'!$AC$2:$AC$281,"MAINTENANCE &gt; *")</f>
        <v>0</v>
      </c>
      <c r="J11" s="17">
        <f>COUNTIFS('Prácticas_Revisiones'!$S$2:$S$282,"T006",'Prácticas_Revisiones'!$T$2:$T$282,"SOFTWARE CONFIG. MGMT. &gt; *")+COUNTIFS('Prácticas_Snowballing'!$AB$2:$AB$281,"T006",'Prácticas_Snowballing'!$AC$2:$AC$281,"SOFTWARE CONFIG. MGMT. &gt; *")</f>
        <v>0</v>
      </c>
      <c r="K11" s="17">
        <f>COUNTIFS('Prácticas_Revisiones'!$S$2:$S$282,"T006",'Prácticas_Revisiones'!$T$2:$T$282,"SOFTWARE ENG. PROCESS &gt; *")+COUNTIFS('Prácticas_Snowballing'!$AB$2:$AB$281,"T006",'Prácticas_Snowballing'!$AC$2:$AC$281,"SOFTWARE ENG. PROCESS &gt; *")</f>
        <v>0</v>
      </c>
      <c r="L11" s="17">
        <f>COUNTIFS('Prácticas_Revisiones'!$S$2:$S$282,"T006",'Prácticas_Revisiones'!$T$2:$T$282,"SOFTWARE ENG. MODELS/METH. &gt; *")+COUNTIFS('Prácticas_Snowballing'!$AB$2:$AB$281,"T006",'Prácticas_Snowballing'!$AC$2:$AC$281,"SOFTWARE ENG. MODELS/METH. &gt; *")</f>
        <v>0</v>
      </c>
      <c r="M11" s="17">
        <f>COUNTIFS('Prácticas_Revisiones'!$S$2:$S$282,"T006",'Prácticas_Revisiones'!$T$2:$T$282,"SOFTWARE QUALITY &gt; *")+COUNTIFS('Prácticas_Snowballing'!$AB$2:$AB$281,"T006",'Prácticas_Snowballing'!$AC$2:$AC$281,"SOFTWARE QUALITY &gt; *")</f>
        <v>0</v>
      </c>
      <c r="N11" s="17">
        <f>COUNTIFS('Prácticas_Revisiones'!$S$2:$S$282,"T006",'Prácticas_Revisiones'!$T$2:$T$282,"SOFTWARE SECURITY &gt; *")+COUNTIFS('Prácticas_Snowballing'!$AB$2:$AB$281,"T006",'Prácticas_Snowballing'!$AC$2:$AC$281,"SOFTWARE SECURITY &gt; *")</f>
        <v>0</v>
      </c>
      <c r="O11" s="17">
        <f>COUNTIFS('Prácticas_Revisiones'!$S$2:$S$282,"T006",'Prácticas_Revisiones'!$T$2:$T$282,"PROFESSIONAL PRACTICE &gt; *")+COUNTIFS('Prácticas_Snowballing'!$AB$2:$AB$281,"T006",'Prácticas_Snowballing'!$AC$2:$AC$281,"PROFESSIONAL PRACTICE &gt; *")</f>
        <v>0</v>
      </c>
      <c r="P11" s="17">
        <f>COUNTIFS('Prácticas_Revisiones'!$S$2:$S$282,"T006",'Prácticas_Revisiones'!$T$2:$T$282,"SOFTWARE ENG. ECONOMICS &gt; *")+COUNTIFS('Prácticas_Snowballing'!$AB$2:$AB$281,"T006",'Prácticas_Snowballing'!$AC$2:$AC$281,"SOFTWARE ENG. ECONOMICS &gt; *")</f>
        <v>0</v>
      </c>
      <c r="Q11" s="17">
        <f>COUNTIFS('Prácticas_Revisiones'!$S$2:$S$282,"T006",'Prácticas_Revisiones'!$T$2:$T$282,"SOFTWARE ENG. MANAGEMENT &gt; *")+COUNTIFS('Prácticas_Snowballing'!$AB$2:$AB$281,"T006",'Prácticas_Snowballing'!$AC$2:$AC$281,"SOFTWARE ENG. MANAGEMENT &gt; *")</f>
        <v>0</v>
      </c>
      <c r="R11" s="17">
        <f>COUNTIFS('Prácticas_Revisiones'!$S$2:$S$282,"T006",'Prácticas_Revisiones'!$T$2:$T$282,"Sin área SWEBOK")+COUNTIFS('Prácticas_Snowballing'!$AB$2:$AB$281,"T006",'Prácticas_Snowballing'!$AC$2:$AC$281,"Sin área SWEBOK")</f>
        <v>0</v>
      </c>
      <c r="S11" s="27">
        <f t="shared" si="1"/>
        <v>1</v>
      </c>
    </row>
    <row r="12">
      <c r="A12" s="28"/>
      <c r="B12" s="16" t="s">
        <v>1316</v>
      </c>
      <c r="C12" s="17">
        <f>COUNTIFS('Prácticas_Revisiones'!$S$2:$S$282,"T007",'Prácticas_Revisiones'!$T$2:$T$282,"REQUIREMENTS &gt; *")+COUNTIFS('Prácticas_Snowballing'!$AB$2:$AB$281,"T007",'Prácticas_Snowballing'!$AC$2:$AC$281,"REQUIREMENTS &gt; *")</f>
        <v>0</v>
      </c>
      <c r="D12" s="17">
        <f>COUNTIFS('Prácticas_Revisiones'!$S$2:$S$282,"T007",'Prácticas_Revisiones'!$T$2:$T$282,"ARCHITECTURE &gt; *")+COUNTIFS('Prácticas_Snowballing'!$AB$2:$AB$281,"T007",'Prácticas_Snowballing'!$AC$2:$AC$281,"ARCHITECTURE &gt; *")</f>
        <v>0</v>
      </c>
      <c r="E12" s="17">
        <f>COUNTIFS('Prácticas_Revisiones'!$S$2:$S$282,"T007",'Prácticas_Revisiones'!$T$2:$T$282,"DESIGN &gt; *")+COUNTIFS('Prácticas_Snowballing'!$AB$2:$AB$281,"T007",'Prácticas_Snowballing'!$AC$2:$AC$281,"DESIGN &gt; *")</f>
        <v>0</v>
      </c>
      <c r="F12" s="17">
        <f>COUNTIFS('Prácticas_Revisiones'!$S$2:$S$282,"T007",'Prácticas_Revisiones'!$T$2:$T$282,"CONSTRUCTION &gt; *")+COUNTIFS('Prácticas_Snowballing'!$AB$2:$AB$281,"T007",'Prácticas_Snowballing'!$AC$2:$AC$281,"CONSTRUCTION &gt; *")</f>
        <v>1</v>
      </c>
      <c r="G12" s="17">
        <f>COUNTIFS('Prácticas_Revisiones'!$S$2:$S$282,"T007",'Prácticas_Revisiones'!$T$2:$T$282,"SOFTWARE TESTING &gt; *")+COUNTIFS('Prácticas_Snowballing'!$AB$2:$AB$281,"T007",'Prácticas_Snowballing'!$AC$2:$AC$281,"SOFTWARE TESTING &gt; *")</f>
        <v>0</v>
      </c>
      <c r="H12" s="17">
        <f>COUNTIFS('Prácticas_Revisiones'!$S$2:$S$282,"T007",'Prácticas_Revisiones'!$T$2:$T$282,"SOFTWARE ENG. OPERATIONS &gt; *")+COUNTIFS('Prácticas_Snowballing'!$AB$2:$AB$281,"T007",'Prácticas_Snowballing'!$AC$2:$AC$281,"SOFTWARE ENG. OPERATIONS &gt; *")</f>
        <v>0</v>
      </c>
      <c r="I12" s="17">
        <f>COUNTIFS('Prácticas_Revisiones'!$S$2:$S$282,"T007",'Prácticas_Revisiones'!$T$2:$T$282,"MAINTENANCE &gt; *")+COUNTIFS('Prácticas_Snowballing'!$AB$2:$AB$281,"T007",'Prácticas_Snowballing'!$AC$2:$AC$281,"MAINTENANCE &gt; *")</f>
        <v>0</v>
      </c>
      <c r="J12" s="17">
        <f>COUNTIFS('Prácticas_Revisiones'!$S$2:$S$282,"T007",'Prácticas_Revisiones'!$T$2:$T$282,"SOFTWARE CONFIG. MGMT. &gt; *")+COUNTIFS('Prácticas_Snowballing'!$AB$2:$AB$281,"T007",'Prácticas_Snowballing'!$AC$2:$AC$281,"SOFTWARE CONFIG. MGMT. &gt; *")</f>
        <v>0</v>
      </c>
      <c r="K12" s="17">
        <f>COUNTIFS('Prácticas_Revisiones'!$S$2:$S$282,"T007",'Prácticas_Revisiones'!$T$2:$T$282,"SOFTWARE ENG. PROCESS &gt; *")+COUNTIFS('Prácticas_Snowballing'!$AB$2:$AB$281,"T007",'Prácticas_Snowballing'!$AC$2:$AC$281,"SOFTWARE ENG. PROCESS &gt; *")</f>
        <v>0</v>
      </c>
      <c r="L12" s="17">
        <f>COUNTIFS('Prácticas_Revisiones'!$S$2:$S$282,"T007",'Prácticas_Revisiones'!$T$2:$T$282,"SOFTWARE ENG. MODELS/METH. &gt; *")+COUNTIFS('Prácticas_Snowballing'!$AB$2:$AB$281,"T007",'Prácticas_Snowballing'!$AC$2:$AC$281,"SOFTWARE ENG. MODELS/METH. &gt; *")</f>
        <v>0</v>
      </c>
      <c r="M12" s="17">
        <f>COUNTIFS('Prácticas_Revisiones'!$S$2:$S$282,"T007",'Prácticas_Revisiones'!$T$2:$T$282,"SOFTWARE QUALITY &gt; *")+COUNTIFS('Prácticas_Snowballing'!$AB$2:$AB$281,"T007",'Prácticas_Snowballing'!$AC$2:$AC$281,"SOFTWARE QUALITY &gt; *")</f>
        <v>0</v>
      </c>
      <c r="N12" s="17">
        <f>COUNTIFS('Prácticas_Revisiones'!$S$2:$S$282,"T007",'Prácticas_Revisiones'!$T$2:$T$282,"SOFTWARE SECURITY &gt; *")+COUNTIFS('Prácticas_Snowballing'!$AB$2:$AB$281,"T007",'Prácticas_Snowballing'!$AC$2:$AC$281,"SOFTWARE SECURITY &gt; *")</f>
        <v>0</v>
      </c>
      <c r="O12" s="17">
        <f>COUNTIFS('Prácticas_Revisiones'!$S$2:$S$282,"T007",'Prácticas_Revisiones'!$T$2:$T$282,"PROFESSIONAL PRACTICE &gt; *")+COUNTIFS('Prácticas_Snowballing'!$AB$2:$AB$281,"T007",'Prácticas_Snowballing'!$AC$2:$AC$281,"PROFESSIONAL PRACTICE &gt; *")</f>
        <v>0</v>
      </c>
      <c r="P12" s="17">
        <f>COUNTIFS('Prácticas_Revisiones'!$S$2:$S$282,"T007",'Prácticas_Revisiones'!$T$2:$T$282,"SOFTWARE ENG. ECONOMICS &gt; *")+COUNTIFS('Prácticas_Snowballing'!$AB$2:$AB$281,"T007",'Prácticas_Snowballing'!$AC$2:$AC$281,"SOFTWARE ENG. ECONOMICS &gt; *")</f>
        <v>0</v>
      </c>
      <c r="Q12" s="17">
        <f>COUNTIFS('Prácticas_Revisiones'!$S$2:$S$282,"T007",'Prácticas_Revisiones'!$T$2:$T$282,"SOFTWARE ENG. MANAGEMENT &gt; *")+COUNTIFS('Prácticas_Snowballing'!$AB$2:$AB$281,"T007",'Prácticas_Snowballing'!$AC$2:$AC$281,"SOFTWARE ENG. MANAGEMENT &gt; *")</f>
        <v>0</v>
      </c>
      <c r="R12" s="17">
        <f>COUNTIFS('Prácticas_Revisiones'!$S$2:$S$282,"T007",'Prácticas_Revisiones'!$T$2:$T$282,"Sin área SWEBOK")+COUNTIFS('Prácticas_Snowballing'!$AB$2:$AB$281,"T007",'Prácticas_Snowballing'!$AC$2:$AC$281,"Sin área SWEBOK")</f>
        <v>0</v>
      </c>
      <c r="S12" s="27">
        <f t="shared" si="1"/>
        <v>1</v>
      </c>
    </row>
    <row r="13">
      <c r="A13" s="28"/>
      <c r="B13" s="16" t="s">
        <v>1483</v>
      </c>
      <c r="C13" s="17">
        <f>COUNTIFS('Prácticas_Revisiones'!$S$2:$S$282,"T008",'Prácticas_Revisiones'!$T$2:$T$282,"REQUIREMENTS &gt; *")+COUNTIFS('Prácticas_Snowballing'!$AB$2:$AB$281,"T008",'Prácticas_Snowballing'!$AC$2:$AC$281,"REQUIREMENTS &gt; *")</f>
        <v>0</v>
      </c>
      <c r="D13" s="17">
        <f>COUNTIFS('Prácticas_Revisiones'!$S$2:$S$282,"T008",'Prácticas_Revisiones'!$T$2:$T$282,"ARCHITECTURE &gt; *")+COUNTIFS('Prácticas_Snowballing'!$AB$2:$AB$281,"T008",'Prácticas_Snowballing'!$AC$2:$AC$281,"ARCHITECTURE &gt; *")</f>
        <v>0</v>
      </c>
      <c r="E13" s="17">
        <f>COUNTIFS('Prácticas_Revisiones'!$S$2:$S$282,"T008",'Prácticas_Revisiones'!$T$2:$T$282,"DESIGN &gt; *")+COUNTIFS('Prácticas_Snowballing'!$AB$2:$AB$281,"T008",'Prácticas_Snowballing'!$AC$2:$AC$281,"DESIGN &gt; *")</f>
        <v>0</v>
      </c>
      <c r="F13" s="17">
        <f>COUNTIFS('Prácticas_Revisiones'!$S$2:$S$282,"T008",'Prácticas_Revisiones'!$T$2:$T$282,"CONSTRUCTION &gt; *")+COUNTIFS('Prácticas_Snowballing'!$AB$2:$AB$281,"T008",'Prácticas_Snowballing'!$AC$2:$AC$281,"CONSTRUCTION &gt; *")</f>
        <v>1</v>
      </c>
      <c r="G13" s="17">
        <f>COUNTIFS('Prácticas_Revisiones'!$S$2:$S$282,"T008",'Prácticas_Revisiones'!$T$2:$T$282,"SOFTWARE TESTING &gt; *")+COUNTIFS('Prácticas_Snowballing'!$AB$2:$AB$281,"T008",'Prácticas_Snowballing'!$AC$2:$AC$281,"SOFTWARE TESTING &gt; *")</f>
        <v>0</v>
      </c>
      <c r="H13" s="17">
        <f>COUNTIFS('Prácticas_Revisiones'!$S$2:$S$282,"T008",'Prácticas_Revisiones'!$T$2:$T$282,"SOFTWARE ENG. OPERATIONS &gt; *")+COUNTIFS('Prácticas_Snowballing'!$AB$2:$AB$281,"T008",'Prácticas_Snowballing'!$AC$2:$AC$281,"SOFTWARE ENG. OPERATIONS &gt; *")</f>
        <v>0</v>
      </c>
      <c r="I13" s="17">
        <f>COUNTIFS('Prácticas_Revisiones'!$S$2:$S$282,"T008",'Prácticas_Revisiones'!$T$2:$T$282,"MAINTENANCE &gt; *")+COUNTIFS('Prácticas_Snowballing'!$AB$2:$AB$281,"T008",'Prácticas_Snowballing'!$AC$2:$AC$281,"MAINTENANCE &gt; *")</f>
        <v>0</v>
      </c>
      <c r="J13" s="17">
        <f>COUNTIFS('Prácticas_Revisiones'!$S$2:$S$282,"T008",'Prácticas_Revisiones'!$T$2:$T$282,"SOFTWARE CONFIG. MGMT. &gt; *")+COUNTIFS('Prácticas_Snowballing'!$AB$2:$AB$281,"T008",'Prácticas_Snowballing'!$AC$2:$AC$281,"SOFTWARE CONFIG. MGMT. &gt; *")</f>
        <v>0</v>
      </c>
      <c r="K13" s="17">
        <f>COUNTIFS('Prácticas_Revisiones'!$S$2:$S$282,"T008",'Prácticas_Revisiones'!$T$2:$T$282,"SOFTWARE ENG. PROCESS &gt; *")+COUNTIFS('Prácticas_Snowballing'!$AB$2:$AB$281,"T008",'Prácticas_Snowballing'!$AC$2:$AC$281,"SOFTWARE ENG. PROCESS &gt; *")</f>
        <v>0</v>
      </c>
      <c r="L13" s="17">
        <f>COUNTIFS('Prácticas_Revisiones'!$S$2:$S$282,"T008",'Prácticas_Revisiones'!$T$2:$T$282,"SOFTWARE ENG. MODELS/METH. &gt; *")+COUNTIFS('Prácticas_Snowballing'!$AB$2:$AB$281,"T008",'Prácticas_Snowballing'!$AC$2:$AC$281,"SOFTWARE ENG. MODELS/METH. &gt; *")</f>
        <v>0</v>
      </c>
      <c r="M13" s="17">
        <f>COUNTIFS('Prácticas_Revisiones'!$S$2:$S$282,"T008",'Prácticas_Revisiones'!$T$2:$T$282,"SOFTWARE QUALITY &gt; *")+COUNTIFS('Prácticas_Snowballing'!$AB$2:$AB$281,"T008",'Prácticas_Snowballing'!$AC$2:$AC$281,"SOFTWARE QUALITY &gt; *")</f>
        <v>0</v>
      </c>
      <c r="N13" s="17">
        <f>COUNTIFS('Prácticas_Revisiones'!$S$2:$S$282,"T008",'Prácticas_Revisiones'!$T$2:$T$282,"SOFTWARE SECURITY &gt; *")+COUNTIFS('Prácticas_Snowballing'!$AB$2:$AB$281,"T008",'Prácticas_Snowballing'!$AC$2:$AC$281,"SOFTWARE SECURITY &gt; *")</f>
        <v>0</v>
      </c>
      <c r="O13" s="17">
        <f>COUNTIFS('Prácticas_Revisiones'!$S$2:$S$282,"T008",'Prácticas_Revisiones'!$T$2:$T$282,"PROFESSIONAL PRACTICE &gt; *")+COUNTIFS('Prácticas_Snowballing'!$AB$2:$AB$281,"T008",'Prácticas_Snowballing'!$AC$2:$AC$281,"PROFESSIONAL PRACTICE &gt; *")</f>
        <v>0</v>
      </c>
      <c r="P13" s="17">
        <f>COUNTIFS('Prácticas_Revisiones'!$S$2:$S$282,"T008",'Prácticas_Revisiones'!$T$2:$T$282,"SOFTWARE ENG. ECONOMICS &gt; *")+COUNTIFS('Prácticas_Snowballing'!$AB$2:$AB$281,"T008",'Prácticas_Snowballing'!$AC$2:$AC$281,"SOFTWARE ENG. ECONOMICS &gt; *")</f>
        <v>0</v>
      </c>
      <c r="Q13" s="17">
        <f>COUNTIFS('Prácticas_Revisiones'!$S$2:$S$282,"T008",'Prácticas_Revisiones'!$T$2:$T$282,"SOFTWARE ENG. MANAGEMENT &gt; *")+COUNTIFS('Prácticas_Snowballing'!$AB$2:$AB$281,"T008",'Prácticas_Snowballing'!$AC$2:$AC$281,"SOFTWARE ENG. MANAGEMENT &gt; *")</f>
        <v>0</v>
      </c>
      <c r="R13" s="17">
        <f>COUNTIFS('Prácticas_Revisiones'!$S$2:$S$282,"T008",'Prácticas_Revisiones'!$T$2:$T$282,"Sin área SWEBOK")+COUNTIFS('Prácticas_Snowballing'!$AB$2:$AB$281,"T008",'Prácticas_Snowballing'!$AC$2:$AC$281,"Sin área SWEBOK")</f>
        <v>1</v>
      </c>
      <c r="S13" s="27">
        <f t="shared" si="1"/>
        <v>2</v>
      </c>
    </row>
    <row r="14">
      <c r="A14" s="28"/>
      <c r="B14" s="16" t="s">
        <v>1660</v>
      </c>
      <c r="C14" s="17">
        <f>COUNTIFS('Prácticas_Revisiones'!$S$2:$S$282,"T009",'Prácticas_Revisiones'!$T$2:$T$282,"REQUIREMENTS &gt; *")+COUNTIFS('Prácticas_Snowballing'!$AB$2:$AB$281,"T009",'Prácticas_Snowballing'!$AC$2:$AC$281,"REQUIREMENTS &gt; *")</f>
        <v>0</v>
      </c>
      <c r="D14" s="17">
        <f>COUNTIFS('Prácticas_Revisiones'!$S$2:$S$282,"T009",'Prácticas_Revisiones'!$T$2:$T$282,"ARCHITECTURE &gt; *")+COUNTIFS('Prácticas_Snowballing'!$AB$2:$AB$281,"T009",'Prácticas_Snowballing'!$AC$2:$AC$281,"ARCHITECTURE &gt; *")</f>
        <v>0</v>
      </c>
      <c r="E14" s="17">
        <f>COUNTIFS('Prácticas_Revisiones'!$S$2:$S$282,"T009",'Prácticas_Revisiones'!$T$2:$T$282,"DESIGN &gt; *")+COUNTIFS('Prácticas_Snowballing'!$AB$2:$AB$281,"T009",'Prácticas_Snowballing'!$AC$2:$AC$281,"DESIGN &gt; *")</f>
        <v>0</v>
      </c>
      <c r="F14" s="17">
        <f>COUNTIFS('Prácticas_Revisiones'!$S$2:$S$282,"T009",'Prácticas_Revisiones'!$T$2:$T$282,"CONSTRUCTION &gt; *")+COUNTIFS('Prácticas_Snowballing'!$AB$2:$AB$281,"T009",'Prácticas_Snowballing'!$AC$2:$AC$281,"CONSTRUCTION &gt; *")</f>
        <v>1</v>
      </c>
      <c r="G14" s="17">
        <f>COUNTIFS('Prácticas_Revisiones'!$S$2:$S$282,"T009",'Prácticas_Revisiones'!$T$2:$T$282,"SOFTWARE TESTING &gt; *")+COUNTIFS('Prácticas_Snowballing'!$AB$2:$AB$281,"T009",'Prácticas_Snowballing'!$AC$2:$AC$281,"SOFTWARE TESTING &gt; *")</f>
        <v>0</v>
      </c>
      <c r="H14" s="17">
        <f>COUNTIFS('Prácticas_Revisiones'!$S$2:$S$282,"T009",'Prácticas_Revisiones'!$T$2:$T$282,"SOFTWARE ENG. OPERATIONS &gt; *")+COUNTIFS('Prácticas_Snowballing'!$AB$2:$AB$281,"T009",'Prácticas_Snowballing'!$AC$2:$AC$281,"SOFTWARE ENG. OPERATIONS &gt; *")</f>
        <v>0</v>
      </c>
      <c r="I14" s="17">
        <f>COUNTIFS('Prácticas_Revisiones'!$S$2:$S$282,"T009",'Prácticas_Revisiones'!$T$2:$T$282,"MAINTENANCE &gt; *")+COUNTIFS('Prácticas_Snowballing'!$AB$2:$AB$281,"T009",'Prácticas_Snowballing'!$AC$2:$AC$281,"MAINTENANCE &gt; *")</f>
        <v>0</v>
      </c>
      <c r="J14" s="17">
        <f>COUNTIFS('Prácticas_Revisiones'!$S$2:$S$282,"T009",'Prácticas_Revisiones'!$T$2:$T$282,"SOFTWARE CONFIG. MGMT. &gt; *")+COUNTIFS('Prácticas_Snowballing'!$AB$2:$AB$281,"T009",'Prácticas_Snowballing'!$AC$2:$AC$281,"SOFTWARE CONFIG. MGMT. &gt; *")</f>
        <v>0</v>
      </c>
      <c r="K14" s="17">
        <f>COUNTIFS('Prácticas_Revisiones'!$S$2:$S$282,"T009",'Prácticas_Revisiones'!$T$2:$T$282,"SOFTWARE ENG. PROCESS &gt; *")+COUNTIFS('Prácticas_Snowballing'!$AB$2:$AB$281,"T009",'Prácticas_Snowballing'!$AC$2:$AC$281,"SOFTWARE ENG. PROCESS &gt; *")</f>
        <v>0</v>
      </c>
      <c r="L14" s="17">
        <f>COUNTIFS('Prácticas_Revisiones'!$S$2:$S$282,"T009",'Prácticas_Revisiones'!$T$2:$T$282,"SOFTWARE ENG. MODELS/METH. &gt; *")+COUNTIFS('Prácticas_Snowballing'!$AB$2:$AB$281,"T009",'Prácticas_Snowballing'!$AC$2:$AC$281,"SOFTWARE ENG. MODELS/METH. &gt; *")</f>
        <v>0</v>
      </c>
      <c r="M14" s="17">
        <f>COUNTIFS('Prácticas_Revisiones'!$S$2:$S$282,"T009",'Prácticas_Revisiones'!$T$2:$T$282,"SOFTWARE QUALITY &gt; *")+COUNTIFS('Prácticas_Snowballing'!$AB$2:$AB$281,"T009",'Prácticas_Snowballing'!$AC$2:$AC$281,"SOFTWARE QUALITY &gt; *")</f>
        <v>0</v>
      </c>
      <c r="N14" s="17">
        <f>COUNTIFS('Prácticas_Revisiones'!$S$2:$S$282,"T009",'Prácticas_Revisiones'!$T$2:$T$282,"SOFTWARE SECURITY &gt; *")+COUNTIFS('Prácticas_Snowballing'!$AB$2:$AB$281,"T009",'Prácticas_Snowballing'!$AC$2:$AC$281,"SOFTWARE SECURITY &gt; *")</f>
        <v>0</v>
      </c>
      <c r="O14" s="17">
        <f>COUNTIFS('Prácticas_Revisiones'!$S$2:$S$282,"T009",'Prácticas_Revisiones'!$T$2:$T$282,"PROFESSIONAL PRACTICE &gt; *")+COUNTIFS('Prácticas_Snowballing'!$AB$2:$AB$281,"T009",'Prácticas_Snowballing'!$AC$2:$AC$281,"PROFESSIONAL PRACTICE &gt; *")</f>
        <v>0</v>
      </c>
      <c r="P14" s="17">
        <f>COUNTIFS('Prácticas_Revisiones'!$S$2:$S$282,"T009",'Prácticas_Revisiones'!$T$2:$T$282,"SOFTWARE ENG. ECONOMICS &gt; *")+COUNTIFS('Prácticas_Snowballing'!$AB$2:$AB$281,"T009",'Prácticas_Snowballing'!$AC$2:$AC$281,"SOFTWARE ENG. ECONOMICS &gt; *")</f>
        <v>0</v>
      </c>
      <c r="Q14" s="17">
        <f>COUNTIFS('Prácticas_Revisiones'!$S$2:$S$282,"T009",'Prácticas_Revisiones'!$T$2:$T$282,"SOFTWARE ENG. MANAGEMENT &gt; *")+COUNTIFS('Prácticas_Snowballing'!$AB$2:$AB$281,"T009",'Prácticas_Snowballing'!$AC$2:$AC$281,"SOFTWARE ENG. MANAGEMENT &gt; *")</f>
        <v>0</v>
      </c>
      <c r="R14" s="17">
        <f>COUNTIFS('Prácticas_Revisiones'!$S$2:$S$282,"T009",'Prácticas_Revisiones'!$T$2:$T$282,"Sin área SWEBOK")+COUNTIFS('Prácticas_Snowballing'!$AB$2:$AB$281,"T009",'Prácticas_Snowballing'!$AC$2:$AC$281,"Sin área SWEBOK")</f>
        <v>0</v>
      </c>
      <c r="S14" s="27">
        <f t="shared" si="1"/>
        <v>1</v>
      </c>
    </row>
    <row r="15">
      <c r="A15" s="28"/>
      <c r="B15" s="16" t="s">
        <v>1872</v>
      </c>
      <c r="C15" s="17">
        <f>COUNTIFS('Prácticas_Revisiones'!$S$2:$S$282,"T010",'Prácticas_Revisiones'!$T$2:$T$282,"REQUIREMENTS &gt; *")+COUNTIFS('Prácticas_Snowballing'!$AB$2:$AB$281,"T010",'Prácticas_Snowballing'!$AC$2:$AC$281,"REQUIREMENTS &gt; *")</f>
        <v>0</v>
      </c>
      <c r="D15" s="17">
        <f>COUNTIFS('Prácticas_Revisiones'!$S$2:$S$282,"T010",'Prácticas_Revisiones'!$T$2:$T$282,"ARCHITECTURE &gt; *")+COUNTIFS('Prácticas_Snowballing'!$AB$2:$AB$281,"T010",'Prácticas_Snowballing'!$AC$2:$AC$281,"ARCHITECTURE &gt; *")</f>
        <v>0</v>
      </c>
      <c r="E15" s="17">
        <f>COUNTIFS('Prácticas_Revisiones'!$S$2:$S$282,"T010",'Prácticas_Revisiones'!$T$2:$T$282,"DESIGN &gt; *")+COUNTIFS('Prácticas_Snowballing'!$AB$2:$AB$281,"T010",'Prácticas_Snowballing'!$AC$2:$AC$281,"DESIGN &gt; *")</f>
        <v>0</v>
      </c>
      <c r="F15" s="17">
        <f>COUNTIFS('Prácticas_Revisiones'!$S$2:$S$282,"T010",'Prácticas_Revisiones'!$T$2:$T$282,"CONSTRUCTION &gt; *")+COUNTIFS('Prácticas_Snowballing'!$AB$2:$AB$281,"T010",'Prácticas_Snowballing'!$AC$2:$AC$281,"CONSTRUCTION &gt; *")</f>
        <v>0</v>
      </c>
      <c r="G15" s="17">
        <f>COUNTIFS('Prácticas_Revisiones'!$S$2:$S$282,"T010",'Prácticas_Revisiones'!$T$2:$T$282,"SOFTWARE TESTING &gt; *")+COUNTIFS('Prácticas_Snowballing'!$AB$2:$AB$281,"T010",'Prácticas_Snowballing'!$AC$2:$AC$281,"SOFTWARE TESTING &gt; *")</f>
        <v>0</v>
      </c>
      <c r="H15" s="17">
        <f>COUNTIFS('Prácticas_Revisiones'!$S$2:$S$282,"T010",'Prácticas_Revisiones'!$T$2:$T$282,"SOFTWARE ENG. OPERATIONS &gt; *")+COUNTIFS('Prácticas_Snowballing'!$AB$2:$AB$281,"T010",'Prácticas_Snowballing'!$AC$2:$AC$281,"SOFTWARE ENG. OPERATIONS &gt; *")</f>
        <v>0</v>
      </c>
      <c r="I15" s="17">
        <f>COUNTIFS('Prácticas_Revisiones'!$S$2:$S$282,"T010",'Prácticas_Revisiones'!$T$2:$T$282,"MAINTENANCE &gt; *")+COUNTIFS('Prácticas_Snowballing'!$AB$2:$AB$281,"T010",'Prácticas_Snowballing'!$AC$2:$AC$281,"MAINTENANCE &gt; *")</f>
        <v>0</v>
      </c>
      <c r="J15" s="17">
        <f>COUNTIFS('Prácticas_Revisiones'!$S$2:$S$282,"T010",'Prácticas_Revisiones'!$T$2:$T$282,"SOFTWARE CONFIG. MGMT. &gt; *")+COUNTIFS('Prácticas_Snowballing'!$AB$2:$AB$281,"T010",'Prácticas_Snowballing'!$AC$2:$AC$281,"SOFTWARE CONFIG. MGMT. &gt; *")</f>
        <v>0</v>
      </c>
      <c r="K15" s="17">
        <f>COUNTIFS('Prácticas_Revisiones'!$S$2:$S$282,"T010",'Prácticas_Revisiones'!$T$2:$T$282,"SOFTWARE ENG. PROCESS &gt; *")+COUNTIFS('Prácticas_Snowballing'!$AB$2:$AB$281,"T010",'Prácticas_Snowballing'!$AC$2:$AC$281,"SOFTWARE ENG. PROCESS &gt; *")</f>
        <v>0</v>
      </c>
      <c r="L15" s="17">
        <f>COUNTIFS('Prácticas_Revisiones'!$S$2:$S$282,"T010",'Prácticas_Revisiones'!$T$2:$T$282,"SOFTWARE ENG. MODELS/METH. &gt; *")+COUNTIFS('Prácticas_Snowballing'!$AB$2:$AB$281,"T010",'Prácticas_Snowballing'!$AC$2:$AC$281,"SOFTWARE ENG. MODELS/METH. &gt; *")</f>
        <v>0</v>
      </c>
      <c r="M15" s="17">
        <f>COUNTIFS('Prácticas_Revisiones'!$S$2:$S$282,"T010",'Prácticas_Revisiones'!$T$2:$T$282,"SOFTWARE QUALITY &gt; *")+COUNTIFS('Prácticas_Snowballing'!$AB$2:$AB$281,"T010",'Prácticas_Snowballing'!$AC$2:$AC$281,"SOFTWARE QUALITY &gt; *")</f>
        <v>0</v>
      </c>
      <c r="N15" s="17">
        <f>COUNTIFS('Prácticas_Revisiones'!$S$2:$S$282,"T010",'Prácticas_Revisiones'!$T$2:$T$282,"SOFTWARE SECURITY &gt; *")+COUNTIFS('Prácticas_Snowballing'!$AB$2:$AB$281,"T010",'Prácticas_Snowballing'!$AC$2:$AC$281,"SOFTWARE SECURITY &gt; *")</f>
        <v>0</v>
      </c>
      <c r="O15" s="17">
        <f>COUNTIFS('Prácticas_Revisiones'!$S$2:$S$282,"T010",'Prácticas_Revisiones'!$T$2:$T$282,"PROFESSIONAL PRACTICE &gt; *")+COUNTIFS('Prácticas_Snowballing'!$AB$2:$AB$281,"T010",'Prácticas_Snowballing'!$AC$2:$AC$281,"PROFESSIONAL PRACTICE &gt; *")</f>
        <v>0</v>
      </c>
      <c r="P15" s="17">
        <f>COUNTIFS('Prácticas_Revisiones'!$S$2:$S$282,"T010",'Prácticas_Revisiones'!$T$2:$T$282,"SOFTWARE ENG. ECONOMICS &gt; *")+COUNTIFS('Prácticas_Snowballing'!$AB$2:$AB$281,"T010",'Prácticas_Snowballing'!$AC$2:$AC$281,"SOFTWARE ENG. ECONOMICS &gt; *")</f>
        <v>0</v>
      </c>
      <c r="Q15" s="17">
        <f>COUNTIFS('Prácticas_Revisiones'!$S$2:$S$282,"T010",'Prácticas_Revisiones'!$T$2:$T$282,"SOFTWARE ENG. MANAGEMENT &gt; *")+COUNTIFS('Prácticas_Snowballing'!$AB$2:$AB$281,"T010",'Prácticas_Snowballing'!$AC$2:$AC$281,"SOFTWARE ENG. MANAGEMENT &gt; *")</f>
        <v>0</v>
      </c>
      <c r="R15" s="17">
        <f>COUNTIFS('Prácticas_Revisiones'!$S$2:$S$282,"T010",'Prácticas_Revisiones'!$T$2:$T$282,"Sin área SWEBOK")+COUNTIFS('Prácticas_Snowballing'!$AB$2:$AB$281,"T010",'Prácticas_Snowballing'!$AC$2:$AC$281,"Sin área SWEBOK")</f>
        <v>0</v>
      </c>
      <c r="S15" s="27">
        <f t="shared" si="1"/>
        <v>0</v>
      </c>
    </row>
    <row r="16">
      <c r="A16" s="28"/>
      <c r="B16" s="16" t="s">
        <v>2083</v>
      </c>
      <c r="C16" s="17">
        <f>COUNTIFS('Prácticas_Revisiones'!$S$2:$S$282,"T011",'Prácticas_Revisiones'!$T$2:$T$282,"REQUIREMENTS &gt; *")+COUNTIFS('Prácticas_Snowballing'!$AB$2:$AB$281,"T011",'Prácticas_Snowballing'!$AC$2:$AC$281,"REQUIREMENTS &gt; *")</f>
        <v>0</v>
      </c>
      <c r="D16" s="17">
        <f>COUNTIFS('Prácticas_Revisiones'!$S$2:$S$282,"T011",'Prácticas_Revisiones'!$T$2:$T$282,"ARCHITECTURE &gt; *")+COUNTIFS('Prácticas_Snowballing'!$AB$2:$AB$281,"T011",'Prácticas_Snowballing'!$AC$2:$AC$281,"ARCHITECTURE &gt; *")</f>
        <v>0</v>
      </c>
      <c r="E16" s="17">
        <f>COUNTIFS('Prácticas_Revisiones'!$S$2:$S$282,"T011",'Prácticas_Revisiones'!$T$2:$T$282,"DESIGN &gt; *")+COUNTIFS('Prácticas_Snowballing'!$AB$2:$AB$281,"T011",'Prácticas_Snowballing'!$AC$2:$AC$281,"DESIGN &gt; *")</f>
        <v>0</v>
      </c>
      <c r="F16" s="17">
        <f>COUNTIFS('Prácticas_Revisiones'!$S$2:$S$282,"T011",'Prácticas_Revisiones'!$T$2:$T$282,"CONSTRUCTION &gt; *")+COUNTIFS('Prácticas_Snowballing'!$AB$2:$AB$281,"T011",'Prácticas_Snowballing'!$AC$2:$AC$281,"CONSTRUCTION &gt; *")</f>
        <v>0</v>
      </c>
      <c r="G16" s="17">
        <f>COUNTIFS('Prácticas_Revisiones'!$S$2:$S$282,"T011",'Prácticas_Revisiones'!$T$2:$T$282,"SOFTWARE TESTING &gt; *")+COUNTIFS('Prácticas_Snowballing'!$AB$2:$AB$281,"T011",'Prácticas_Snowballing'!$AC$2:$AC$281,"SOFTWARE TESTING &gt; *")</f>
        <v>0</v>
      </c>
      <c r="H16" s="17">
        <f>COUNTIFS('Prácticas_Revisiones'!$S$2:$S$282,"T011",'Prácticas_Revisiones'!$T$2:$T$282,"SOFTWARE ENG. OPERATIONS &gt; *")+COUNTIFS('Prácticas_Snowballing'!$AB$2:$AB$281,"T011",'Prácticas_Snowballing'!$AC$2:$AC$281,"SOFTWARE ENG. OPERATIONS &gt; *")</f>
        <v>0</v>
      </c>
      <c r="I16" s="17">
        <f>COUNTIFS('Prácticas_Revisiones'!$S$2:$S$282,"T011",'Prácticas_Revisiones'!$T$2:$T$282,"MAINTENANCE &gt; *")+COUNTIFS('Prácticas_Snowballing'!$AB$2:$AB$281,"T011",'Prácticas_Snowballing'!$AC$2:$AC$281,"MAINTENANCE &gt; *")</f>
        <v>0</v>
      </c>
      <c r="J16" s="17">
        <f>COUNTIFS('Prácticas_Revisiones'!$S$2:$S$282,"T011",'Prácticas_Revisiones'!$T$2:$T$282,"SOFTWARE CONFIG. MGMT. &gt; *")+COUNTIFS('Prácticas_Snowballing'!$AB$2:$AB$281,"T011",'Prácticas_Snowballing'!$AC$2:$AC$281,"SOFTWARE CONFIG. MGMT. &gt; *")</f>
        <v>0</v>
      </c>
      <c r="K16" s="17">
        <f>COUNTIFS('Prácticas_Revisiones'!$S$2:$S$282,"T011",'Prácticas_Revisiones'!$T$2:$T$282,"SOFTWARE ENG. PROCESS &gt; *")+COUNTIFS('Prácticas_Snowballing'!$AB$2:$AB$281,"T011",'Prácticas_Snowballing'!$AC$2:$AC$281,"SOFTWARE ENG. PROCESS &gt; *")</f>
        <v>0</v>
      </c>
      <c r="L16" s="17">
        <f>COUNTIFS('Prácticas_Revisiones'!$S$2:$S$282,"T011",'Prácticas_Revisiones'!$T$2:$T$282,"SOFTWARE ENG. MODELS/METH. &gt; *")+COUNTIFS('Prácticas_Snowballing'!$AB$2:$AB$281,"T011",'Prácticas_Snowballing'!$AC$2:$AC$281,"SOFTWARE ENG. MODELS/METH. &gt; *")</f>
        <v>0</v>
      </c>
      <c r="M16" s="17">
        <f>COUNTIFS('Prácticas_Revisiones'!$S$2:$S$282,"T011",'Prácticas_Revisiones'!$T$2:$T$282,"SOFTWARE QUALITY &gt; *")+COUNTIFS('Prácticas_Snowballing'!$AB$2:$AB$281,"T011",'Prácticas_Snowballing'!$AC$2:$AC$281,"SOFTWARE QUALITY &gt; *")</f>
        <v>0</v>
      </c>
      <c r="N16" s="17">
        <f>COUNTIFS('Prácticas_Revisiones'!$S$2:$S$282,"T011",'Prácticas_Revisiones'!$T$2:$T$282,"SOFTWARE SECURITY &gt; *")+COUNTIFS('Prácticas_Snowballing'!$AB$2:$AB$281,"T011",'Prácticas_Snowballing'!$AC$2:$AC$281,"SOFTWARE SECURITY &gt; *")</f>
        <v>0</v>
      </c>
      <c r="O16" s="17">
        <f>COUNTIFS('Prácticas_Revisiones'!$S$2:$S$282,"T011",'Prácticas_Revisiones'!$T$2:$T$282,"PROFESSIONAL PRACTICE &gt; *")+COUNTIFS('Prácticas_Snowballing'!$AB$2:$AB$281,"T011",'Prácticas_Snowballing'!$AC$2:$AC$281,"PROFESSIONAL PRACTICE &gt; *")</f>
        <v>0</v>
      </c>
      <c r="P16" s="17">
        <f>COUNTIFS('Prácticas_Revisiones'!$S$2:$S$282,"T011",'Prácticas_Revisiones'!$T$2:$T$282,"SOFTWARE ENG. ECONOMICS &gt; *")+COUNTIFS('Prácticas_Snowballing'!$AB$2:$AB$281,"T011",'Prácticas_Snowballing'!$AC$2:$AC$281,"SOFTWARE ENG. ECONOMICS &gt; *")</f>
        <v>0</v>
      </c>
      <c r="Q16" s="17">
        <f>COUNTIFS('Prácticas_Revisiones'!$S$2:$S$282,"T011",'Prácticas_Revisiones'!$T$2:$T$282,"SOFTWARE ENG. MANAGEMENT &gt; *")+COUNTIFS('Prácticas_Snowballing'!$AB$2:$AB$281,"T011",'Prácticas_Snowballing'!$AC$2:$AC$281,"SOFTWARE ENG. MANAGEMENT &gt; *")</f>
        <v>0</v>
      </c>
      <c r="R16" s="17">
        <f>COUNTIFS('Prácticas_Revisiones'!$S$2:$S$282,"T011",'Prácticas_Revisiones'!$T$2:$T$282,"Sin área SWEBOK")+COUNTIFS('Prácticas_Snowballing'!$AB$2:$AB$281,"T011",'Prácticas_Snowballing'!$AC$2:$AC$281,"Sin área SWEBOK")</f>
        <v>0</v>
      </c>
      <c r="S16" s="27">
        <f t="shared" si="1"/>
        <v>0</v>
      </c>
    </row>
    <row r="17">
      <c r="A17" s="23"/>
      <c r="B17" s="9" t="s">
        <v>2199</v>
      </c>
      <c r="C17" s="17">
        <f>COUNTIFS('Prácticas_Revisiones'!$S$2:$S$282,"Sin equivalente en catálogo (RECORDAR)",'Prácticas_Revisiones'!$T$2:$T$282,"REQUIREMENTS &gt; *")+COUNTIFS('Prácticas_Snowballing'!$AB$2:$AB$281,"Sin equivalente en catálogo (RECORDAR)",'Prácticas_Snowballing'!$AC$2:$AC$281,"REQUIREMENTS &gt; *")</f>
        <v>0</v>
      </c>
      <c r="D17" s="17">
        <f>COUNTIFS('Prácticas_Revisiones'!$S$2:$S$282,"Sin equivalente en catálogo (RECORDAR)",'Prácticas_Revisiones'!$T$2:$T$282,"ARCHITECTURE &gt; *")+COUNTIFS('Prácticas_Snowballing'!$AB$2:$AB$281,"Sin equivalente en catálogo (RECORDAR)",'Prácticas_Snowballing'!$AC$2:$AC$281,"ARCHITECTURE &gt; *")</f>
        <v>0</v>
      </c>
      <c r="E17" s="17">
        <f>COUNTIFS('Prácticas_Revisiones'!$S$2:$S$282,"Sin equivalente en catálogo (RECORDAR)",'Prácticas_Revisiones'!$T$2:$T$282,"DESIGN &gt; *")+COUNTIFS('Prácticas_Snowballing'!$AB$2:$AB$281,"Sin equivalente en catálogo (RECORDAR)",'Prácticas_Snowballing'!$AC$2:$AC$281,"DESIGN &gt; *")</f>
        <v>0</v>
      </c>
      <c r="F17" s="17">
        <f>COUNTIFS('Prácticas_Revisiones'!$S$2:$S$282,"Sin equivalente en catálogo (RECORDAR)",'Prácticas_Revisiones'!$T$2:$T$282,"CONSTRUCTION &gt; *")+COUNTIFS('Prácticas_Snowballing'!$AB$2:$AB$281,"Sin equivalente en catálogo (RECORDAR)",'Prácticas_Snowballing'!$AC$2:$AC$281,"CONSTRUCTION &gt; *")</f>
        <v>0</v>
      </c>
      <c r="G17" s="17">
        <f>COUNTIFS('Prácticas_Revisiones'!$S$2:$S$282,"Sin equivalente en catálogo (RECORDAR)",'Prácticas_Revisiones'!$T$2:$T$282,"SOFTWARE TESTING &gt; *")+COUNTIFS('Prácticas_Snowballing'!$AB$2:$AB$281,"Sin equivalente en catálogo (RECORDAR)",'Prácticas_Snowballing'!$AC$2:$AC$281,"SOFTWARE TESTING &gt; *")</f>
        <v>0</v>
      </c>
      <c r="H17" s="17">
        <f>COUNTIFS('Prácticas_Revisiones'!$S$2:$S$282,"Sin equivalente en catálogo (RECORDAR)",'Prácticas_Revisiones'!$T$2:$T$282,"SOFTWARE ENG. OPERATIONS &gt; *")+COUNTIFS('Prácticas_Snowballing'!$AB$2:$AB$281,"Sin equivalente en catálogo (RECORDAR)",'Prácticas_Snowballing'!$AC$2:$AC$281,"SOFTWARE ENG. OPERATIONS &gt; *")</f>
        <v>0</v>
      </c>
      <c r="I17" s="17">
        <f>COUNTIFS('Prácticas_Revisiones'!$S$2:$S$282,"Sin equivalente en catálogo (RECORDAR)",'Prácticas_Revisiones'!$T$2:$T$282,"MAINTENANCE &gt; *")+COUNTIFS('Prácticas_Snowballing'!$AB$2:$AB$281,"Sin equivalente en catálogo (RECORDAR)",'Prácticas_Snowballing'!$AC$2:$AC$281,"MAINTENANCE &gt; *")</f>
        <v>0</v>
      </c>
      <c r="J17" s="17">
        <f>COUNTIFS('Prácticas_Revisiones'!$S$2:$S$282,"Sin equivalente en catálogo (RECORDAR)",'Prácticas_Revisiones'!$T$2:$T$282,"SOFTWARE CONFIG. MGMT. &gt; *")+COUNTIFS('Prácticas_Snowballing'!$AB$2:$AB$281,"Sin equivalente en catálogo (RECORDAR)",'Prácticas_Snowballing'!$AC$2:$AC$281,"SOFTWARE CONFIG. MGMT. &gt; *")</f>
        <v>0</v>
      </c>
      <c r="K17" s="17">
        <f>COUNTIFS('Prácticas_Revisiones'!$S$2:$S$282,"Sin equivalente en catálogo (RECORDAR)",'Prácticas_Revisiones'!$T$2:$T$282,"SOFTWARE ENG. PROCESS &gt; *")+COUNTIFS('Prácticas_Snowballing'!$AB$2:$AB$281,"Sin equivalente en catálogo (RECORDAR)",'Prácticas_Snowballing'!$AC$2:$AC$281,"SOFTWARE ENG. PROCESS &gt; *")</f>
        <v>0</v>
      </c>
      <c r="L17" s="17">
        <f>COUNTIFS('Prácticas_Revisiones'!$S$2:$S$282,"Sin equivalente en catálogo (RECORDAR)",'Prácticas_Revisiones'!$T$2:$T$282,"SOFTWARE ENG. MODELS/METH. &gt; *")+COUNTIFS('Prácticas_Snowballing'!$AB$2:$AB$281,"Sin equivalente en catálogo (RECORDAR)",'Prácticas_Snowballing'!$AC$2:$AC$281,"SOFTWARE ENG. MODELS/METH. &gt; *")</f>
        <v>0</v>
      </c>
      <c r="M17" s="17">
        <f>COUNTIFS('Prácticas_Revisiones'!$S$2:$S$282,"Sin equivalente en catálogo (RECORDAR)",'Prácticas_Revisiones'!$T$2:$T$282,"SOFTWARE QUALITY &gt; *")+COUNTIFS('Prácticas_Snowballing'!$AB$2:$AB$281,"Sin equivalente en catálogo (RECORDAR)",'Prácticas_Snowballing'!$AC$2:$AC$281,"SOFTWARE QUALITY &gt; *")</f>
        <v>0</v>
      </c>
      <c r="N17" s="17">
        <f>COUNTIFS('Prácticas_Revisiones'!$S$2:$S$282,"Sin equivalente en catálogo (RECORDAR)",'Prácticas_Revisiones'!$T$2:$T$282,"SOFTWARE SECURITY &gt; *")+COUNTIFS('Prácticas_Snowballing'!$AB$2:$AB$281,"Sin equivalente en catálogo (RECORDAR)",'Prácticas_Snowballing'!$AC$2:$AC$281,"SOFTWARE SECURITY &gt; *")</f>
        <v>0</v>
      </c>
      <c r="O17" s="17">
        <f>COUNTIFS('Prácticas_Revisiones'!$S$2:$S$282,"Sin equivalente en catálogo (RECORDAR)",'Prácticas_Revisiones'!$T$2:$T$282,"PROFESSIONAL PRACTICE &gt; *")+COUNTIFS('Prácticas_Snowballing'!$AB$2:$AB$281,"Sin equivalente en catálogo (RECORDAR)",'Prácticas_Snowballing'!$AC$2:$AC$281,"PROFESSIONAL PRACTICE &gt; *")</f>
        <v>0</v>
      </c>
      <c r="P17" s="17">
        <f>COUNTIFS('Prácticas_Revisiones'!$S$2:$S$282,"Sin equivalente en catálogo (RECORDAR)",'Prácticas_Revisiones'!$T$2:$T$282,"SOFTWARE ENG. ECONOMICS &gt; *")+COUNTIFS('Prácticas_Snowballing'!$AB$2:$AB$281,"Sin equivalente en catálogo (RECORDAR)",'Prácticas_Snowballing'!$AC$2:$AC$281,"SOFTWARE ENG. ECONOMICS &gt; *")</f>
        <v>0</v>
      </c>
      <c r="Q17" s="17">
        <f>COUNTIFS('Prácticas_Revisiones'!$S$2:$S$282,"Sin equivalente en catálogo (RECORDAR)",'Prácticas_Revisiones'!$T$2:$T$282,"SOFTWARE ENG. MANAGEMENT &gt; *")+COUNTIFS('Prácticas_Snowballing'!$AB$2:$AB$281,"Sin equivalente en catálogo (RECORDAR)",'Prácticas_Snowballing'!$AC$2:$AC$281,"SOFTWARE ENG. MANAGEMENT &gt; *")</f>
        <v>0</v>
      </c>
      <c r="R17" s="17">
        <f>COUNTIFS('Prácticas_Revisiones'!$S$2:$S$282,"Sin equivalente en catálogo (RECORDAR)",'Prácticas_Revisiones'!$T$2:$T$282,"Sin área SWEBOK")+COUNTIFS('Prácticas_Snowballing'!$AB$2:$AB$281,"Sin equivalente en catálogo (RECORDAR)",'Prácticas_Snowballing'!$AC$2:$AC$281,"Sin área SWEBOK")</f>
        <v>0</v>
      </c>
      <c r="S17" s="27">
        <f t="shared" si="1"/>
        <v>0</v>
      </c>
    </row>
    <row r="18">
      <c r="A18" s="35" t="s">
        <v>2293</v>
      </c>
      <c r="B18" s="20"/>
      <c r="C18" s="29">
        <f t="shared" ref="C18:S18" si="2">SUM(C6:C17)</f>
        <v>0</v>
      </c>
      <c r="D18" s="29">
        <f t="shared" si="2"/>
        <v>0</v>
      </c>
      <c r="E18" s="29">
        <f t="shared" si="2"/>
        <v>2</v>
      </c>
      <c r="F18" s="29">
        <f t="shared" si="2"/>
        <v>10</v>
      </c>
      <c r="G18" s="29">
        <f t="shared" si="2"/>
        <v>0</v>
      </c>
      <c r="H18" s="29">
        <f t="shared" si="2"/>
        <v>0</v>
      </c>
      <c r="I18" s="29">
        <f t="shared" si="2"/>
        <v>0</v>
      </c>
      <c r="J18" s="29">
        <f t="shared" si="2"/>
        <v>0</v>
      </c>
      <c r="K18" s="29">
        <f t="shared" si="2"/>
        <v>0</v>
      </c>
      <c r="L18" s="29">
        <f t="shared" si="2"/>
        <v>0</v>
      </c>
      <c r="M18" s="29">
        <f t="shared" si="2"/>
        <v>0</v>
      </c>
      <c r="N18" s="29">
        <f t="shared" si="2"/>
        <v>0</v>
      </c>
      <c r="O18" s="29">
        <f t="shared" si="2"/>
        <v>0</v>
      </c>
      <c r="P18" s="29">
        <f t="shared" si="2"/>
        <v>0</v>
      </c>
      <c r="Q18" s="29">
        <f t="shared" si="2"/>
        <v>0</v>
      </c>
      <c r="R18" s="29">
        <f t="shared" si="2"/>
        <v>2</v>
      </c>
      <c r="S18" s="29">
        <f t="shared" si="2"/>
        <v>14</v>
      </c>
    </row>
    <row r="19">
      <c r="A19" s="15" t="s">
        <v>232</v>
      </c>
      <c r="B19" s="16" t="s">
        <v>2330</v>
      </c>
      <c r="C19" s="17">
        <f>COUNTIFS('Prácticas_Revisiones'!$S$2:$S$282,"T012",'Prácticas_Revisiones'!$T$2:$T$282,"REQUIREMENTS &gt; *")+COUNTIFS('Prácticas_Snowballing'!$AB$2:$AB$281,"T012",'Prácticas_Snowballing'!$AC$2:$AC$281,"REQUIREMENTS &gt; *")</f>
        <v>0</v>
      </c>
      <c r="D19" s="17">
        <f>COUNTIFS('Prácticas_Revisiones'!$S$2:$S$282,"T012",'Prácticas_Revisiones'!$T$2:$T$282,"ARCHITECTURE &gt; *")+COUNTIFS('Prácticas_Snowballing'!$AB$2:$AB$281,"T012",'Prácticas_Snowballing'!$AC$2:$AC$281,"ARCHITECTURE &gt; *")</f>
        <v>0</v>
      </c>
      <c r="E19" s="17">
        <f>COUNTIFS('Prácticas_Revisiones'!$S$2:$S$282,"T012",'Prácticas_Revisiones'!$T$2:$T$282,"DESIGN &gt; *")+COUNTIFS('Prácticas_Snowballing'!$AB$2:$AB$281,"T012",'Prácticas_Snowballing'!$AC$2:$AC$281,"DESIGN &gt; *")</f>
        <v>0</v>
      </c>
      <c r="F19" s="17">
        <f>COUNTIFS('Prácticas_Revisiones'!$S$2:$S$282,"T012",'Prácticas_Revisiones'!$T$2:$T$282,"CONSTRUCTION &gt; *")+COUNTIFS('Prácticas_Snowballing'!$AB$2:$AB$281,"T012",'Prácticas_Snowballing'!$AC$2:$AC$281,"CONSTRUCTION &gt; *")</f>
        <v>0</v>
      </c>
      <c r="G19" s="17">
        <f>COUNTIFS('Prácticas_Revisiones'!$S$2:$S$282,"T012",'Prácticas_Revisiones'!$T$2:$T$282,"SOFTWARE TESTING &gt; *")+COUNTIFS('Prácticas_Snowballing'!$AB$2:$AB$281,"T012",'Prácticas_Snowballing'!$AC$2:$AC$281,"SOFTWARE TESTING &gt; *")</f>
        <v>0</v>
      </c>
      <c r="H19" s="17">
        <f>COUNTIFS('Prácticas_Revisiones'!$S$2:$S$282,"T012",'Prácticas_Revisiones'!$T$2:$T$282,"SOFTWARE ENG. OPERATIONS &gt; *")+COUNTIFS('Prácticas_Snowballing'!$AB$2:$AB$281,"T012",'Prácticas_Snowballing'!$AC$2:$AC$281,"SOFTWARE ENG. OPERATIONS &gt; *")</f>
        <v>0</v>
      </c>
      <c r="I19" s="17">
        <f>COUNTIFS('Prácticas_Revisiones'!$S$2:$S$282,"T012",'Prácticas_Revisiones'!$T$2:$T$282,"MAINTENANCE &gt; *")+COUNTIFS('Prácticas_Snowballing'!$AB$2:$AB$281,"T012",'Prácticas_Snowballing'!$AC$2:$AC$281,"MAINTENANCE &gt; *")</f>
        <v>0</v>
      </c>
      <c r="J19" s="17">
        <f>COUNTIFS('Prácticas_Revisiones'!$S$2:$S$282,"T012",'Prácticas_Revisiones'!$T$2:$T$282,"SOFTWARE CONFIG. MGMT. &gt; *")+COUNTIFS('Prácticas_Snowballing'!$AB$2:$AB$281,"T012",'Prácticas_Snowballing'!$AC$2:$AC$281,"SOFTWARE CONFIG. MGMT. &gt; *")</f>
        <v>0</v>
      </c>
      <c r="K19" s="17">
        <f>COUNTIFS('Prácticas_Revisiones'!$S$2:$S$282,"T012",'Prácticas_Revisiones'!$T$2:$T$282,"SOFTWARE ENG. PROCESS &gt; *")+COUNTIFS('Prácticas_Snowballing'!$AB$2:$AB$281,"T012",'Prácticas_Snowballing'!$AC$2:$AC$281,"SOFTWARE ENG. PROCESS &gt; *")</f>
        <v>0</v>
      </c>
      <c r="L19" s="17">
        <f>COUNTIFS('Prácticas_Revisiones'!$S$2:$S$282,"T012",'Prácticas_Revisiones'!$T$2:$T$282,"SOFTWARE ENG. MODELS/METH. &gt; *")+COUNTIFS('Prácticas_Snowballing'!$AB$2:$AB$281,"T012",'Prácticas_Snowballing'!$AC$2:$AC$281,"SOFTWARE ENG. MODELS/METH. &gt; *")</f>
        <v>0</v>
      </c>
      <c r="M19" s="17">
        <f>COUNTIFS('Prácticas_Revisiones'!$S$2:$S$282,"T012",'Prácticas_Revisiones'!$T$2:$T$282,"SOFTWARE QUALITY &gt; *")+COUNTIFS('Prácticas_Snowballing'!$AB$2:$AB$281,"T012",'Prácticas_Snowballing'!$AC$2:$AC$281,"SOFTWARE QUALITY &gt; *")</f>
        <v>0</v>
      </c>
      <c r="N19" s="17">
        <f>COUNTIFS('Prácticas_Revisiones'!$S$2:$S$282,"T012",'Prácticas_Revisiones'!$T$2:$T$282,"SOFTWARE SECURITY &gt; *")+COUNTIFS('Prácticas_Snowballing'!$AB$2:$AB$281,"T012",'Prácticas_Snowballing'!$AC$2:$AC$281,"SOFTWARE SECURITY &gt; *")</f>
        <v>0</v>
      </c>
      <c r="O19" s="17">
        <f>COUNTIFS('Prácticas_Revisiones'!$S$2:$S$282,"T012",'Prácticas_Revisiones'!$T$2:$T$282,"PROFESSIONAL PRACTICE &gt; *")+COUNTIFS('Prácticas_Snowballing'!$AB$2:$AB$281,"T012",'Prácticas_Snowballing'!$AC$2:$AC$281,"PROFESSIONAL PRACTICE &gt; *")</f>
        <v>0</v>
      </c>
      <c r="P19" s="17">
        <f>COUNTIFS('Prácticas_Revisiones'!$S$2:$S$282,"T012",'Prácticas_Revisiones'!$T$2:$T$282,"SOFTWARE ENG. ECONOMICS &gt; *")+COUNTIFS('Prácticas_Snowballing'!$AB$2:$AB$281,"T012",'Prácticas_Snowballing'!$AC$2:$AC$281,"SOFTWARE ENG. ECONOMICS &gt; *")</f>
        <v>0</v>
      </c>
      <c r="Q19" s="17">
        <f>COUNTIFS('Prácticas_Revisiones'!$S$2:$S$282,"T012",'Prácticas_Revisiones'!$T$2:$T$282,"SOFTWARE ENG. MANAGEMENT &gt; *")+COUNTIFS('Prácticas_Snowballing'!$AB$2:$AB$281,"T012",'Prácticas_Snowballing'!$AC$2:$AC$281,"SOFTWARE ENG. MANAGEMENT &gt; *")</f>
        <v>0</v>
      </c>
      <c r="R19" s="17">
        <f>COUNTIFS('Prácticas_Revisiones'!$S$2:$S$282,"T012",'Prácticas_Revisiones'!$T$2:$T$282,"Sin área SWEBOK")+COUNTIFS('Prácticas_Snowballing'!$AB$2:$AB$281,"T012",'Prácticas_Snowballing'!$AC$2:$AC$281,"Sin área SWEBOK")</f>
        <v>0</v>
      </c>
      <c r="S19" s="27">
        <f t="shared" ref="S19:S38" si="3">SUM(C19:R19)</f>
        <v>0</v>
      </c>
    </row>
    <row r="20">
      <c r="A20" s="28"/>
      <c r="B20" s="16" t="s">
        <v>2453</v>
      </c>
      <c r="C20" s="17">
        <f>COUNTIFS('Prácticas_Revisiones'!$S$2:$S$282,"T013",'Prácticas_Revisiones'!$T$2:$T$282,"REQUIREMENTS &gt; *")+COUNTIFS('Prácticas_Snowballing'!$AB$2:$AB$281,"T013",'Prácticas_Snowballing'!$AC$2:$AC$281,"REQUIREMENTS &gt; *")</f>
        <v>0</v>
      </c>
      <c r="D20" s="17">
        <f>COUNTIFS('Prácticas_Revisiones'!$S$2:$S$282,"T013",'Prácticas_Revisiones'!$T$2:$T$282,"ARCHITECTURE &gt; *")+COUNTIFS('Prácticas_Snowballing'!$AB$2:$AB$281,"T013",'Prácticas_Snowballing'!$AC$2:$AC$281,"ARCHITECTURE &gt; *")</f>
        <v>0</v>
      </c>
      <c r="E20" s="17">
        <f>COUNTIFS('Prácticas_Revisiones'!$S$2:$S$282,"T013",'Prácticas_Revisiones'!$T$2:$T$282,"DESIGN &gt; *")+COUNTIFS('Prácticas_Snowballing'!$AB$2:$AB$281,"T013",'Prácticas_Snowballing'!$AC$2:$AC$281,"DESIGN &gt; *")</f>
        <v>0</v>
      </c>
      <c r="F20" s="17">
        <f>COUNTIFS('Prácticas_Revisiones'!$S$2:$S$282,"T013",'Prácticas_Revisiones'!$T$2:$T$282,"CONSTRUCTION &gt; *")+COUNTIFS('Prácticas_Snowballing'!$AB$2:$AB$281,"T013",'Prácticas_Snowballing'!$AC$2:$AC$281,"CONSTRUCTION &gt; *")</f>
        <v>0</v>
      </c>
      <c r="G20" s="17">
        <f>COUNTIFS('Prácticas_Revisiones'!$S$2:$S$282,"T013",'Prácticas_Revisiones'!$T$2:$T$282,"SOFTWARE TESTING &gt; *")+COUNTIFS('Prácticas_Snowballing'!$AB$2:$AB$281,"T013",'Prácticas_Snowballing'!$AC$2:$AC$281,"SOFTWARE TESTING &gt; *")</f>
        <v>0</v>
      </c>
      <c r="H20" s="17">
        <f>COUNTIFS('Prácticas_Revisiones'!$S$2:$S$282,"T013",'Prácticas_Revisiones'!$T$2:$T$282,"SOFTWARE ENG. OPERATIONS &gt; *")+COUNTIFS('Prácticas_Snowballing'!$AB$2:$AB$281,"T013",'Prácticas_Snowballing'!$AC$2:$AC$281,"SOFTWARE ENG. OPERATIONS &gt; *")</f>
        <v>0</v>
      </c>
      <c r="I20" s="17">
        <f>COUNTIFS('Prácticas_Revisiones'!$S$2:$S$282,"T013",'Prácticas_Revisiones'!$T$2:$T$282,"MAINTENANCE &gt; *")+COUNTIFS('Prácticas_Snowballing'!$AB$2:$AB$281,"T013",'Prácticas_Snowballing'!$AC$2:$AC$281,"MAINTENANCE &gt; *")</f>
        <v>0</v>
      </c>
      <c r="J20" s="17">
        <f>COUNTIFS('Prácticas_Revisiones'!$S$2:$S$282,"T013",'Prácticas_Revisiones'!$T$2:$T$282,"SOFTWARE CONFIG. MGMT. &gt; *")+COUNTIFS('Prácticas_Snowballing'!$AB$2:$AB$281,"T013",'Prácticas_Snowballing'!$AC$2:$AC$281,"SOFTWARE CONFIG. MGMT. &gt; *")</f>
        <v>0</v>
      </c>
      <c r="K20" s="17">
        <f>COUNTIFS('Prácticas_Revisiones'!$S$2:$S$282,"T013",'Prácticas_Revisiones'!$T$2:$T$282,"SOFTWARE ENG. PROCESS &gt; *")+COUNTIFS('Prácticas_Snowballing'!$AB$2:$AB$281,"T013",'Prácticas_Snowballing'!$AC$2:$AC$281,"SOFTWARE ENG. PROCESS &gt; *")</f>
        <v>0</v>
      </c>
      <c r="L20" s="17">
        <f>COUNTIFS('Prácticas_Revisiones'!$S$2:$S$282,"T013",'Prácticas_Revisiones'!$T$2:$T$282,"SOFTWARE ENG. MODELS/METH. &gt; *")+COUNTIFS('Prácticas_Snowballing'!$AB$2:$AB$281,"T013",'Prácticas_Snowballing'!$AC$2:$AC$281,"SOFTWARE ENG. MODELS/METH. &gt; *")</f>
        <v>0</v>
      </c>
      <c r="M20" s="17">
        <f>COUNTIFS('Prácticas_Revisiones'!$S$2:$S$282,"T013",'Prácticas_Revisiones'!$T$2:$T$282,"SOFTWARE QUALITY &gt; *")+COUNTIFS('Prácticas_Snowballing'!$AB$2:$AB$281,"T013",'Prácticas_Snowballing'!$AC$2:$AC$281,"SOFTWARE QUALITY &gt; *")</f>
        <v>0</v>
      </c>
      <c r="N20" s="17">
        <f>COUNTIFS('Prácticas_Revisiones'!$S$2:$S$282,"T013",'Prácticas_Revisiones'!$T$2:$T$282,"SOFTWARE SECURITY &gt; *")+COUNTIFS('Prácticas_Snowballing'!$AB$2:$AB$281,"T013",'Prácticas_Snowballing'!$AC$2:$AC$281,"SOFTWARE SECURITY &gt; *")</f>
        <v>0</v>
      </c>
      <c r="O20" s="17">
        <f>COUNTIFS('Prácticas_Revisiones'!$S$2:$S$282,"T013",'Prácticas_Revisiones'!$T$2:$T$282,"PROFESSIONAL PRACTICE &gt; *")+COUNTIFS('Prácticas_Snowballing'!$AB$2:$AB$281,"T013",'Prácticas_Snowballing'!$AC$2:$AC$281,"PROFESSIONAL PRACTICE &gt; *")</f>
        <v>0</v>
      </c>
      <c r="P20" s="17">
        <f>COUNTIFS('Prácticas_Revisiones'!$S$2:$S$282,"T013",'Prácticas_Revisiones'!$T$2:$T$282,"SOFTWARE ENG. ECONOMICS &gt; *")+COUNTIFS('Prácticas_Snowballing'!$AB$2:$AB$281,"T013",'Prácticas_Snowballing'!$AC$2:$AC$281,"SOFTWARE ENG. ECONOMICS &gt; *")</f>
        <v>0</v>
      </c>
      <c r="Q20" s="17">
        <f>COUNTIFS('Prácticas_Revisiones'!$S$2:$S$282,"T013",'Prácticas_Revisiones'!$T$2:$T$282,"SOFTWARE ENG. MANAGEMENT &gt; *")+COUNTIFS('Prácticas_Snowballing'!$AB$2:$AB$281,"T013",'Prácticas_Snowballing'!$AC$2:$AC$281,"SOFTWARE ENG. MANAGEMENT &gt; *")</f>
        <v>0</v>
      </c>
      <c r="R20" s="17">
        <f>COUNTIFS('Prácticas_Revisiones'!$S$2:$S$282,"T013",'Prácticas_Revisiones'!$T$2:$T$282,"Sin área SWEBOK")+COUNTIFS('Prácticas_Snowballing'!$AB$2:$AB$281,"T013",'Prácticas_Snowballing'!$AC$2:$AC$281,"Sin área SWEBOK")</f>
        <v>0</v>
      </c>
      <c r="S20" s="27">
        <f t="shared" si="3"/>
        <v>0</v>
      </c>
    </row>
    <row r="21" ht="15.75" customHeight="1">
      <c r="A21" s="28"/>
      <c r="B21" s="16" t="s">
        <v>2497</v>
      </c>
      <c r="C21" s="17">
        <f>COUNTIFS('Prácticas_Revisiones'!$S$2:$S$282,"T014",'Prácticas_Revisiones'!$T$2:$T$282,"REQUIREMENTS &gt; *")+COUNTIFS('Prácticas_Snowballing'!$AB$2:$AB$281,"T014",'Prácticas_Snowballing'!$AC$2:$AC$281,"REQUIREMENTS &gt; *")</f>
        <v>0</v>
      </c>
      <c r="D21" s="17">
        <f>COUNTIFS('Prácticas_Revisiones'!$S$2:$S$282,"T014",'Prácticas_Revisiones'!$T$2:$T$282,"ARCHITECTURE &gt; *")+COUNTIFS('Prácticas_Snowballing'!$AB$2:$AB$281,"T014",'Prácticas_Snowballing'!$AC$2:$AC$281,"ARCHITECTURE &gt; *")</f>
        <v>0</v>
      </c>
      <c r="E21" s="17">
        <f>COUNTIFS('Prácticas_Revisiones'!$S$2:$S$282,"T014",'Prácticas_Revisiones'!$T$2:$T$282,"DESIGN &gt; *")+COUNTIFS('Prácticas_Snowballing'!$AB$2:$AB$281,"T014",'Prácticas_Snowballing'!$AC$2:$AC$281,"DESIGN &gt; *")</f>
        <v>0</v>
      </c>
      <c r="F21" s="17">
        <f>COUNTIFS('Prácticas_Revisiones'!$S$2:$S$282,"T014",'Prácticas_Revisiones'!$T$2:$T$282,"CONSTRUCTION &gt; *")+COUNTIFS('Prácticas_Snowballing'!$AB$2:$AB$281,"T014",'Prácticas_Snowballing'!$AC$2:$AC$281,"CONSTRUCTION &gt; *")</f>
        <v>0</v>
      </c>
      <c r="G21" s="17">
        <f>COUNTIFS('Prácticas_Revisiones'!$S$2:$S$282,"T014",'Prácticas_Revisiones'!$T$2:$T$282,"SOFTWARE TESTING &gt; *")+COUNTIFS('Prácticas_Snowballing'!$AB$2:$AB$281,"T014",'Prácticas_Snowballing'!$AC$2:$AC$281,"SOFTWARE TESTING &gt; *")</f>
        <v>0</v>
      </c>
      <c r="H21" s="17">
        <f>COUNTIFS('Prácticas_Revisiones'!$S$2:$S$282,"T014",'Prácticas_Revisiones'!$T$2:$T$282,"SOFTWARE ENG. OPERATIONS &gt; *")+COUNTIFS('Prácticas_Snowballing'!$AB$2:$AB$281,"T014",'Prácticas_Snowballing'!$AC$2:$AC$281,"SOFTWARE ENG. OPERATIONS &gt; *")</f>
        <v>0</v>
      </c>
      <c r="I21" s="17">
        <f>COUNTIFS('Prácticas_Revisiones'!$S$2:$S$282,"T014",'Prácticas_Revisiones'!$T$2:$T$282,"MAINTENANCE &gt; *")+COUNTIFS('Prácticas_Snowballing'!$AB$2:$AB$281,"T014",'Prácticas_Snowballing'!$AC$2:$AC$281,"MAINTENANCE &gt; *")</f>
        <v>0</v>
      </c>
      <c r="J21" s="17">
        <f>COUNTIFS('Prácticas_Revisiones'!$S$2:$S$282,"T014",'Prácticas_Revisiones'!$T$2:$T$282,"SOFTWARE CONFIG. MGMT. &gt; *")+COUNTIFS('Prácticas_Snowballing'!$AB$2:$AB$281,"T014",'Prácticas_Snowballing'!$AC$2:$AC$281,"SOFTWARE CONFIG. MGMT. &gt; *")</f>
        <v>0</v>
      </c>
      <c r="K21" s="17">
        <f>COUNTIFS('Prácticas_Revisiones'!$S$2:$S$282,"T014",'Prácticas_Revisiones'!$T$2:$T$282,"SOFTWARE ENG. PROCESS &gt; *")+COUNTIFS('Prácticas_Snowballing'!$AB$2:$AB$281,"T014",'Prácticas_Snowballing'!$AC$2:$AC$281,"SOFTWARE ENG. PROCESS &gt; *")</f>
        <v>0</v>
      </c>
      <c r="L21" s="17">
        <f>COUNTIFS('Prácticas_Revisiones'!$S$2:$S$282,"T014",'Prácticas_Revisiones'!$T$2:$T$282,"SOFTWARE ENG. MODELS/METH. &gt; *")+COUNTIFS('Prácticas_Snowballing'!$AB$2:$AB$281,"T014",'Prácticas_Snowballing'!$AC$2:$AC$281,"SOFTWARE ENG. MODELS/METH. &gt; *")</f>
        <v>0</v>
      </c>
      <c r="M21" s="17">
        <f>COUNTIFS('Prácticas_Revisiones'!$S$2:$S$282,"T014",'Prácticas_Revisiones'!$T$2:$T$282,"SOFTWARE QUALITY &gt; *")+COUNTIFS('Prácticas_Snowballing'!$AB$2:$AB$281,"T014",'Prácticas_Snowballing'!$AC$2:$AC$281,"SOFTWARE QUALITY &gt; *")</f>
        <v>0</v>
      </c>
      <c r="N21" s="17">
        <f>COUNTIFS('Prácticas_Revisiones'!$S$2:$S$282,"T014",'Prácticas_Revisiones'!$T$2:$T$282,"SOFTWARE SECURITY &gt; *")+COUNTIFS('Prácticas_Snowballing'!$AB$2:$AB$281,"T014",'Prácticas_Snowballing'!$AC$2:$AC$281,"SOFTWARE SECURITY &gt; *")</f>
        <v>0</v>
      </c>
      <c r="O21" s="17">
        <f>COUNTIFS('Prácticas_Revisiones'!$S$2:$S$282,"T014",'Prácticas_Revisiones'!$T$2:$T$282,"PROFESSIONAL PRACTICE &gt; *")+COUNTIFS('Prácticas_Snowballing'!$AB$2:$AB$281,"T014",'Prácticas_Snowballing'!$AC$2:$AC$281,"PROFESSIONAL PRACTICE &gt; *")</f>
        <v>0</v>
      </c>
      <c r="P21" s="17">
        <f>COUNTIFS('Prácticas_Revisiones'!$S$2:$S$282,"T014",'Prácticas_Revisiones'!$T$2:$T$282,"SOFTWARE ENG. ECONOMICS &gt; *")+COUNTIFS('Prácticas_Snowballing'!$AB$2:$AB$281,"T014",'Prácticas_Snowballing'!$AC$2:$AC$281,"SOFTWARE ENG. ECONOMICS &gt; *")</f>
        <v>0</v>
      </c>
      <c r="Q21" s="17">
        <f>COUNTIFS('Prácticas_Revisiones'!$S$2:$S$282,"T014",'Prácticas_Revisiones'!$T$2:$T$282,"SOFTWARE ENG. MANAGEMENT &gt; *")+COUNTIFS('Prácticas_Snowballing'!$AB$2:$AB$281,"T014",'Prácticas_Snowballing'!$AC$2:$AC$281,"SOFTWARE ENG. MANAGEMENT &gt; *")</f>
        <v>0</v>
      </c>
      <c r="R21" s="17">
        <f>COUNTIFS('Prácticas_Revisiones'!$S$2:$S$282,"T014",'Prácticas_Revisiones'!$T$2:$T$282,"Sin área SWEBOK")+COUNTIFS('Prácticas_Snowballing'!$AB$2:$AB$281,"T014",'Prácticas_Snowballing'!$AC$2:$AC$281,"Sin área SWEBOK")</f>
        <v>0</v>
      </c>
      <c r="S21" s="27">
        <f t="shared" si="3"/>
        <v>0</v>
      </c>
    </row>
    <row r="22" ht="15.75" customHeight="1">
      <c r="A22" s="28"/>
      <c r="B22" s="16" t="s">
        <v>2636</v>
      </c>
      <c r="C22" s="17">
        <f>COUNTIFS('Prácticas_Revisiones'!$S$2:$S$282,"T015",'Prácticas_Revisiones'!$T$2:$T$282,"REQUIREMENTS &gt; *")+COUNTIFS('Prácticas_Snowballing'!$AB$2:$AB$281,"T015",'Prácticas_Snowballing'!$AC$2:$AC$281,"REQUIREMENTS &gt; *")</f>
        <v>0</v>
      </c>
      <c r="D22" s="17">
        <f>COUNTIFS('Prácticas_Revisiones'!$S$2:$S$282,"T015",'Prácticas_Revisiones'!$T$2:$T$282,"ARCHITECTURE &gt; *")+COUNTIFS('Prácticas_Snowballing'!$AB$2:$AB$281,"T015",'Prácticas_Snowballing'!$AC$2:$AC$281,"ARCHITECTURE &gt; *")</f>
        <v>0</v>
      </c>
      <c r="E22" s="17">
        <f>COUNTIFS('Prácticas_Revisiones'!$S$2:$S$282,"T015",'Prácticas_Revisiones'!$T$2:$T$282,"DESIGN &gt; *")+COUNTIFS('Prácticas_Snowballing'!$AB$2:$AB$281,"T015",'Prácticas_Snowballing'!$AC$2:$AC$281,"DESIGN &gt; *")</f>
        <v>0</v>
      </c>
      <c r="F22" s="17">
        <f>COUNTIFS('Prácticas_Revisiones'!$S$2:$S$282,"T015",'Prácticas_Revisiones'!$T$2:$T$282,"CONSTRUCTION &gt; *")+COUNTIFS('Prácticas_Snowballing'!$AB$2:$AB$281,"T015",'Prácticas_Snowballing'!$AC$2:$AC$281,"CONSTRUCTION &gt; *")</f>
        <v>0</v>
      </c>
      <c r="G22" s="17">
        <f>COUNTIFS('Prácticas_Revisiones'!$S$2:$S$282,"T015",'Prácticas_Revisiones'!$T$2:$T$282,"SOFTWARE TESTING &gt; *")+COUNTIFS('Prácticas_Snowballing'!$AB$2:$AB$281,"T015",'Prácticas_Snowballing'!$AC$2:$AC$281,"SOFTWARE TESTING &gt; *")</f>
        <v>0</v>
      </c>
      <c r="H22" s="17">
        <f>COUNTIFS('Prácticas_Revisiones'!$S$2:$S$282,"T015",'Prácticas_Revisiones'!$T$2:$T$282,"SOFTWARE ENG. OPERATIONS &gt; *")+COUNTIFS('Prácticas_Snowballing'!$AB$2:$AB$281,"T015",'Prácticas_Snowballing'!$AC$2:$AC$281,"SOFTWARE ENG. OPERATIONS &gt; *")</f>
        <v>0</v>
      </c>
      <c r="I22" s="17">
        <f>COUNTIFS('Prácticas_Revisiones'!$S$2:$S$282,"T015",'Prácticas_Revisiones'!$T$2:$T$282,"MAINTENANCE &gt; *")+COUNTIFS('Prácticas_Snowballing'!$AB$2:$AB$281,"T015",'Prácticas_Snowballing'!$AC$2:$AC$281,"MAINTENANCE &gt; *")</f>
        <v>0</v>
      </c>
      <c r="J22" s="17">
        <f>COUNTIFS('Prácticas_Revisiones'!$S$2:$S$282,"T015",'Prácticas_Revisiones'!$T$2:$T$282,"SOFTWARE CONFIG. MGMT. &gt; *")+COUNTIFS('Prácticas_Snowballing'!$AB$2:$AB$281,"T015",'Prácticas_Snowballing'!$AC$2:$AC$281,"SOFTWARE CONFIG. MGMT. &gt; *")</f>
        <v>0</v>
      </c>
      <c r="K22" s="17">
        <f>COUNTIFS('Prácticas_Revisiones'!$S$2:$S$282,"T015",'Prácticas_Revisiones'!$T$2:$T$282,"SOFTWARE ENG. PROCESS &gt; *")+COUNTIFS('Prácticas_Snowballing'!$AB$2:$AB$281,"T015",'Prácticas_Snowballing'!$AC$2:$AC$281,"SOFTWARE ENG. PROCESS &gt; *")</f>
        <v>0</v>
      </c>
      <c r="L22" s="17">
        <f>COUNTIFS('Prácticas_Revisiones'!$S$2:$S$282,"T015",'Prácticas_Revisiones'!$T$2:$T$282,"SOFTWARE ENG. MODELS/METH. &gt; *")+COUNTIFS('Prácticas_Snowballing'!$AB$2:$AB$281,"T015",'Prácticas_Snowballing'!$AC$2:$AC$281,"SOFTWARE ENG. MODELS/METH. &gt; *")</f>
        <v>0</v>
      </c>
      <c r="M22" s="17">
        <f>COUNTIFS('Prácticas_Revisiones'!$S$2:$S$282,"T015",'Prácticas_Revisiones'!$T$2:$T$282,"SOFTWARE QUALITY &gt; *")+COUNTIFS('Prácticas_Snowballing'!$AB$2:$AB$281,"T015",'Prácticas_Snowballing'!$AC$2:$AC$281,"SOFTWARE QUALITY &gt; *")</f>
        <v>0</v>
      </c>
      <c r="N22" s="17">
        <f>COUNTIFS('Prácticas_Revisiones'!$S$2:$S$282,"T015",'Prácticas_Revisiones'!$T$2:$T$282,"SOFTWARE SECURITY &gt; *")+COUNTIFS('Prácticas_Snowballing'!$AB$2:$AB$281,"T015",'Prácticas_Snowballing'!$AC$2:$AC$281,"SOFTWARE SECURITY &gt; *")</f>
        <v>0</v>
      </c>
      <c r="O22" s="17">
        <f>COUNTIFS('Prácticas_Revisiones'!$S$2:$S$282,"T015",'Prácticas_Revisiones'!$T$2:$T$282,"PROFESSIONAL PRACTICE &gt; *")+COUNTIFS('Prácticas_Snowballing'!$AB$2:$AB$281,"T015",'Prácticas_Snowballing'!$AC$2:$AC$281,"PROFESSIONAL PRACTICE &gt; *")</f>
        <v>0</v>
      </c>
      <c r="P22" s="17">
        <f>COUNTIFS('Prácticas_Revisiones'!$S$2:$S$282,"T015",'Prácticas_Revisiones'!$T$2:$T$282,"SOFTWARE ENG. ECONOMICS &gt; *")+COUNTIFS('Prácticas_Snowballing'!$AB$2:$AB$281,"T015",'Prácticas_Snowballing'!$AC$2:$AC$281,"SOFTWARE ENG. ECONOMICS &gt; *")</f>
        <v>0</v>
      </c>
      <c r="Q22" s="17">
        <f>COUNTIFS('Prácticas_Revisiones'!$S$2:$S$282,"T015",'Prácticas_Revisiones'!$T$2:$T$282,"SOFTWARE ENG. MANAGEMENT &gt; *")+COUNTIFS('Prácticas_Snowballing'!$AB$2:$AB$281,"T015",'Prácticas_Snowballing'!$AC$2:$AC$281,"SOFTWARE ENG. MANAGEMENT &gt; *")</f>
        <v>0</v>
      </c>
      <c r="R22" s="17">
        <f>COUNTIFS('Prácticas_Revisiones'!$S$2:$S$282,"T015",'Prácticas_Revisiones'!$T$2:$T$282,"Sin área SWEBOK")+COUNTIFS('Prácticas_Snowballing'!$AB$2:$AB$281,"T015",'Prácticas_Snowballing'!$AC$2:$AC$281,"Sin área SWEBOK")</f>
        <v>0</v>
      </c>
      <c r="S22" s="27">
        <f t="shared" si="3"/>
        <v>0</v>
      </c>
    </row>
    <row r="23" ht="15.75" customHeight="1">
      <c r="A23" s="28"/>
      <c r="B23" s="16" t="s">
        <v>2729</v>
      </c>
      <c r="C23" s="17">
        <f>COUNTIFS('Prácticas_Revisiones'!$S$2:$S$282,"T016",'Prácticas_Revisiones'!$T$2:$T$282,"REQUIREMENTS &gt; *")+COUNTIFS('Prácticas_Snowballing'!$AB$2:$AB$281,"T016",'Prácticas_Snowballing'!$AC$2:$AC$281,"REQUIREMENTS &gt; *")</f>
        <v>0</v>
      </c>
      <c r="D23" s="17">
        <f>COUNTIFS('Prácticas_Revisiones'!$S$2:$S$282,"T016",'Prácticas_Revisiones'!$T$2:$T$282,"ARCHITECTURE &gt; *")+COUNTIFS('Prácticas_Snowballing'!$AB$2:$AB$281,"T016",'Prácticas_Snowballing'!$AC$2:$AC$281,"ARCHITECTURE &gt; *")</f>
        <v>0</v>
      </c>
      <c r="E23" s="17">
        <f>COUNTIFS('Prácticas_Revisiones'!$S$2:$S$282,"T016",'Prácticas_Revisiones'!$T$2:$T$282,"DESIGN &gt; *")+COUNTIFS('Prácticas_Snowballing'!$AB$2:$AB$281,"T016",'Prácticas_Snowballing'!$AC$2:$AC$281,"DESIGN &gt; *")</f>
        <v>0</v>
      </c>
      <c r="F23" s="17">
        <f>COUNTIFS('Prácticas_Revisiones'!$S$2:$S$282,"T016",'Prácticas_Revisiones'!$T$2:$T$282,"CONSTRUCTION &gt; *")+COUNTIFS('Prácticas_Snowballing'!$AB$2:$AB$281,"T016",'Prácticas_Snowballing'!$AC$2:$AC$281,"CONSTRUCTION &gt; *")</f>
        <v>9</v>
      </c>
      <c r="G23" s="17">
        <f>COUNTIFS('Prácticas_Revisiones'!$S$2:$S$282,"T016",'Prácticas_Revisiones'!$T$2:$T$282,"SOFTWARE TESTING &gt; *")+COUNTIFS('Prácticas_Snowballing'!$AB$2:$AB$281,"T016",'Prácticas_Snowballing'!$AC$2:$AC$281,"SOFTWARE TESTING &gt; *")</f>
        <v>0</v>
      </c>
      <c r="H23" s="17">
        <f>COUNTIFS('Prácticas_Revisiones'!$S$2:$S$282,"T016",'Prácticas_Revisiones'!$T$2:$T$282,"SOFTWARE ENG. OPERATIONS &gt; *")+COUNTIFS('Prácticas_Snowballing'!$AB$2:$AB$281,"T016",'Prácticas_Snowballing'!$AC$2:$AC$281,"SOFTWARE ENG. OPERATIONS &gt; *")</f>
        <v>0</v>
      </c>
      <c r="I23" s="17">
        <f>COUNTIFS('Prácticas_Revisiones'!$S$2:$S$282,"T016",'Prácticas_Revisiones'!$T$2:$T$282,"MAINTENANCE &gt; *")+COUNTIFS('Prácticas_Snowballing'!$AB$2:$AB$281,"T016",'Prácticas_Snowballing'!$AC$2:$AC$281,"MAINTENANCE &gt; *")</f>
        <v>1</v>
      </c>
      <c r="J23" s="17">
        <f>COUNTIFS('Prácticas_Revisiones'!$S$2:$S$282,"T016",'Prácticas_Revisiones'!$T$2:$T$282,"SOFTWARE CONFIG. MGMT. &gt; *")+COUNTIFS('Prácticas_Snowballing'!$AB$2:$AB$281,"T016",'Prácticas_Snowballing'!$AC$2:$AC$281,"SOFTWARE CONFIG. MGMT. &gt; *")</f>
        <v>0</v>
      </c>
      <c r="K23" s="17">
        <f>COUNTIFS('Prácticas_Revisiones'!$S$2:$S$282,"T016",'Prácticas_Revisiones'!$T$2:$T$282,"SOFTWARE ENG. PROCESS &gt; *")+COUNTIFS('Prácticas_Snowballing'!$AB$2:$AB$281,"T016",'Prácticas_Snowballing'!$AC$2:$AC$281,"SOFTWARE ENG. PROCESS &gt; *")</f>
        <v>0</v>
      </c>
      <c r="L23" s="17">
        <f>COUNTIFS('Prácticas_Revisiones'!$S$2:$S$282,"T016",'Prácticas_Revisiones'!$T$2:$T$282,"SOFTWARE ENG. MODELS/METH. &gt; *")+COUNTIFS('Prácticas_Snowballing'!$AB$2:$AB$281,"T016",'Prácticas_Snowballing'!$AC$2:$AC$281,"SOFTWARE ENG. MODELS/METH. &gt; *")</f>
        <v>0</v>
      </c>
      <c r="M23" s="17">
        <f>COUNTIFS('Prácticas_Revisiones'!$S$2:$S$282,"T016",'Prácticas_Revisiones'!$T$2:$T$282,"SOFTWARE QUALITY &gt; *")+COUNTIFS('Prácticas_Snowballing'!$AB$2:$AB$281,"T016",'Prácticas_Snowballing'!$AC$2:$AC$281,"SOFTWARE QUALITY &gt; *")</f>
        <v>0</v>
      </c>
      <c r="N23" s="17">
        <f>COUNTIFS('Prácticas_Revisiones'!$S$2:$S$282,"T016",'Prácticas_Revisiones'!$T$2:$T$282,"SOFTWARE SECURITY &gt; *")+COUNTIFS('Prácticas_Snowballing'!$AB$2:$AB$281,"T016",'Prácticas_Snowballing'!$AC$2:$AC$281,"SOFTWARE SECURITY &gt; *")</f>
        <v>0</v>
      </c>
      <c r="O23" s="17">
        <f>COUNTIFS('Prácticas_Revisiones'!$S$2:$S$282,"T016",'Prácticas_Revisiones'!$T$2:$T$282,"PROFESSIONAL PRACTICE &gt; *")+COUNTIFS('Prácticas_Snowballing'!$AB$2:$AB$281,"T016",'Prácticas_Snowballing'!$AC$2:$AC$281,"PROFESSIONAL PRACTICE &gt; *")</f>
        <v>0</v>
      </c>
      <c r="P23" s="17">
        <f>COUNTIFS('Prácticas_Revisiones'!$S$2:$S$282,"T016",'Prácticas_Revisiones'!$T$2:$T$282,"SOFTWARE ENG. ECONOMICS &gt; *")+COUNTIFS('Prácticas_Snowballing'!$AB$2:$AB$281,"T016",'Prácticas_Snowballing'!$AC$2:$AC$281,"SOFTWARE ENG. ECONOMICS &gt; *")</f>
        <v>0</v>
      </c>
      <c r="Q23" s="17">
        <f>COUNTIFS('Prácticas_Revisiones'!$S$2:$S$282,"T016",'Prácticas_Revisiones'!$T$2:$T$282,"SOFTWARE ENG. MANAGEMENT &gt; *")+COUNTIFS('Prácticas_Snowballing'!$AB$2:$AB$281,"T016",'Prácticas_Snowballing'!$AC$2:$AC$281,"SOFTWARE ENG. MANAGEMENT &gt; *")</f>
        <v>0</v>
      </c>
      <c r="R23" s="17">
        <f>COUNTIFS('Prácticas_Revisiones'!$S$2:$S$282,"T016",'Prácticas_Revisiones'!$T$2:$T$282,"Sin área SWEBOK")+COUNTIFS('Prácticas_Snowballing'!$AB$2:$AB$281,"T016",'Prácticas_Snowballing'!$AC$2:$AC$281,"Sin área SWEBOK")</f>
        <v>0</v>
      </c>
      <c r="S23" s="27">
        <f t="shared" si="3"/>
        <v>10</v>
      </c>
    </row>
    <row r="24" ht="15.75" customHeight="1">
      <c r="A24" s="28"/>
      <c r="B24" s="16" t="s">
        <v>2750</v>
      </c>
      <c r="C24" s="17">
        <f>COUNTIFS('Prácticas_Revisiones'!$S$2:$S$282,"T017",'Prácticas_Revisiones'!$T$2:$T$282,"REQUIREMENTS &gt; *")+COUNTIFS('Prácticas_Snowballing'!$AB$2:$AB$281,"T017",'Prácticas_Snowballing'!$AC$2:$AC$281,"REQUIREMENTS &gt; *")</f>
        <v>0</v>
      </c>
      <c r="D24" s="17">
        <f>COUNTIFS('Prácticas_Revisiones'!$S$2:$S$282,"T017",'Prácticas_Revisiones'!$T$2:$T$282,"ARCHITECTURE &gt; *")+COUNTIFS('Prácticas_Snowballing'!$AB$2:$AB$281,"T017",'Prácticas_Snowballing'!$AC$2:$AC$281,"ARCHITECTURE &gt; *")</f>
        <v>0</v>
      </c>
      <c r="E24" s="17">
        <f>COUNTIFS('Prácticas_Revisiones'!$S$2:$S$282,"T017",'Prácticas_Revisiones'!$T$2:$T$282,"DESIGN &gt; *")+COUNTIFS('Prácticas_Snowballing'!$AB$2:$AB$281,"T017",'Prácticas_Snowballing'!$AC$2:$AC$281,"DESIGN &gt; *")</f>
        <v>0</v>
      </c>
      <c r="F24" s="17">
        <f>COUNTIFS('Prácticas_Revisiones'!$S$2:$S$282,"T017",'Prácticas_Revisiones'!$T$2:$T$282,"CONSTRUCTION &gt; *")+COUNTIFS('Prácticas_Snowballing'!$AB$2:$AB$281,"T017",'Prácticas_Snowballing'!$AC$2:$AC$281,"CONSTRUCTION &gt; *")</f>
        <v>0</v>
      </c>
      <c r="G24" s="17">
        <f>COUNTIFS('Prácticas_Revisiones'!$S$2:$S$282,"T017",'Prácticas_Revisiones'!$T$2:$T$282,"SOFTWARE TESTING &gt; *")+COUNTIFS('Prácticas_Snowballing'!$AB$2:$AB$281,"T017",'Prácticas_Snowballing'!$AC$2:$AC$281,"SOFTWARE TESTING &gt; *")</f>
        <v>0</v>
      </c>
      <c r="H24" s="17">
        <f>COUNTIFS('Prácticas_Revisiones'!$S$2:$S$282,"T017",'Prácticas_Revisiones'!$T$2:$T$282,"SOFTWARE ENG. OPERATIONS &gt; *")+COUNTIFS('Prácticas_Snowballing'!$AB$2:$AB$281,"T017",'Prácticas_Snowballing'!$AC$2:$AC$281,"SOFTWARE ENG. OPERATIONS &gt; *")</f>
        <v>0</v>
      </c>
      <c r="I24" s="17">
        <f>COUNTIFS('Prácticas_Revisiones'!$S$2:$S$282,"T017",'Prácticas_Revisiones'!$T$2:$T$282,"MAINTENANCE &gt; *")+COUNTIFS('Prácticas_Snowballing'!$AB$2:$AB$281,"T017",'Prácticas_Snowballing'!$AC$2:$AC$281,"MAINTENANCE &gt; *")</f>
        <v>0</v>
      </c>
      <c r="J24" s="17">
        <f>COUNTIFS('Prácticas_Revisiones'!$S$2:$S$282,"T017",'Prácticas_Revisiones'!$T$2:$T$282,"SOFTWARE CONFIG. MGMT. &gt; *")+COUNTIFS('Prácticas_Snowballing'!$AB$2:$AB$281,"T017",'Prácticas_Snowballing'!$AC$2:$AC$281,"SOFTWARE CONFIG. MGMT. &gt; *")</f>
        <v>0</v>
      </c>
      <c r="K24" s="17">
        <f>COUNTIFS('Prácticas_Revisiones'!$S$2:$S$282,"T017",'Prácticas_Revisiones'!$T$2:$T$282,"SOFTWARE ENG. PROCESS &gt; *")+COUNTIFS('Prácticas_Snowballing'!$AB$2:$AB$281,"T017",'Prácticas_Snowballing'!$AC$2:$AC$281,"SOFTWARE ENG. PROCESS &gt; *")</f>
        <v>0</v>
      </c>
      <c r="L24" s="17">
        <f>COUNTIFS('Prácticas_Revisiones'!$S$2:$S$282,"T017",'Prácticas_Revisiones'!$T$2:$T$282,"SOFTWARE ENG. MODELS/METH. &gt; *")+COUNTIFS('Prácticas_Snowballing'!$AB$2:$AB$281,"T017",'Prácticas_Snowballing'!$AC$2:$AC$281,"SOFTWARE ENG. MODELS/METH. &gt; *")</f>
        <v>0</v>
      </c>
      <c r="M24" s="17">
        <f>COUNTIFS('Prácticas_Revisiones'!$S$2:$S$282,"T017",'Prácticas_Revisiones'!$T$2:$T$282,"SOFTWARE QUALITY &gt; *")+COUNTIFS('Prácticas_Snowballing'!$AB$2:$AB$281,"T017",'Prácticas_Snowballing'!$AC$2:$AC$281,"SOFTWARE QUALITY &gt; *")</f>
        <v>0</v>
      </c>
      <c r="N24" s="17">
        <f>COUNTIFS('Prácticas_Revisiones'!$S$2:$S$282,"T017",'Prácticas_Revisiones'!$T$2:$T$282,"SOFTWARE SECURITY &gt; *")+COUNTIFS('Prácticas_Snowballing'!$AB$2:$AB$281,"T017",'Prácticas_Snowballing'!$AC$2:$AC$281,"SOFTWARE SECURITY &gt; *")</f>
        <v>0</v>
      </c>
      <c r="O24" s="17">
        <f>COUNTIFS('Prácticas_Revisiones'!$S$2:$S$282,"T017",'Prácticas_Revisiones'!$T$2:$T$282,"PROFESSIONAL PRACTICE &gt; *")+COUNTIFS('Prácticas_Snowballing'!$AB$2:$AB$281,"T017",'Prácticas_Snowballing'!$AC$2:$AC$281,"PROFESSIONAL PRACTICE &gt; *")</f>
        <v>0</v>
      </c>
      <c r="P24" s="17">
        <f>COUNTIFS('Prácticas_Revisiones'!$S$2:$S$282,"T017",'Prácticas_Revisiones'!$T$2:$T$282,"SOFTWARE ENG. ECONOMICS &gt; *")+COUNTIFS('Prácticas_Snowballing'!$AB$2:$AB$281,"T017",'Prácticas_Snowballing'!$AC$2:$AC$281,"SOFTWARE ENG. ECONOMICS &gt; *")</f>
        <v>0</v>
      </c>
      <c r="Q24" s="17">
        <f>COUNTIFS('Prácticas_Revisiones'!$S$2:$S$282,"T017",'Prácticas_Revisiones'!$T$2:$T$282,"SOFTWARE ENG. MANAGEMENT &gt; *")+COUNTIFS('Prácticas_Snowballing'!$AB$2:$AB$281,"T017",'Prácticas_Snowballing'!$AC$2:$AC$281,"SOFTWARE ENG. MANAGEMENT &gt; *")</f>
        <v>0</v>
      </c>
      <c r="R24" s="17">
        <f>COUNTIFS('Prácticas_Revisiones'!$S$2:$S$282,"T017",'Prácticas_Revisiones'!$T$2:$T$282,"Sin área SWEBOK")+COUNTIFS('Prácticas_Snowballing'!$AB$2:$AB$281,"T017",'Prácticas_Snowballing'!$AC$2:$AC$281,"Sin área SWEBOK")</f>
        <v>0</v>
      </c>
      <c r="S24" s="27">
        <f t="shared" si="3"/>
        <v>0</v>
      </c>
    </row>
    <row r="25" ht="15.75" customHeight="1">
      <c r="A25" s="28"/>
      <c r="B25" s="16" t="s">
        <v>2752</v>
      </c>
      <c r="C25" s="17">
        <f>COUNTIFS('Prácticas_Revisiones'!$S$2:$S$282,"T018",'Prácticas_Revisiones'!$T$2:$T$282,"REQUIREMENTS &gt; *")+COUNTIFS('Prácticas_Snowballing'!$AB$2:$AB$281,"T018",'Prácticas_Snowballing'!$AC$2:$AC$281,"REQUIREMENTS &gt; *")</f>
        <v>0</v>
      </c>
      <c r="D25" s="17">
        <f>COUNTIFS('Prácticas_Revisiones'!$S$2:$S$282,"T018",'Prácticas_Revisiones'!$T$2:$T$282,"ARCHITECTURE &gt; *")+COUNTIFS('Prácticas_Snowballing'!$AB$2:$AB$281,"T018",'Prácticas_Snowballing'!$AC$2:$AC$281,"ARCHITECTURE &gt; *")</f>
        <v>0</v>
      </c>
      <c r="E25" s="17">
        <f>COUNTIFS('Prácticas_Revisiones'!$S$2:$S$282,"T018",'Prácticas_Revisiones'!$T$2:$T$282,"DESIGN &gt; *")+COUNTIFS('Prácticas_Snowballing'!$AB$2:$AB$281,"T018",'Prácticas_Snowballing'!$AC$2:$AC$281,"DESIGN &gt; *")</f>
        <v>0</v>
      </c>
      <c r="F25" s="17">
        <f>COUNTIFS('Prácticas_Revisiones'!$S$2:$S$282,"T018",'Prácticas_Revisiones'!$T$2:$T$282,"CONSTRUCTION &gt; *")+COUNTIFS('Prácticas_Snowballing'!$AB$2:$AB$281,"T018",'Prácticas_Snowballing'!$AC$2:$AC$281,"CONSTRUCTION &gt; *")</f>
        <v>0</v>
      </c>
      <c r="G25" s="17">
        <f>COUNTIFS('Prácticas_Revisiones'!$S$2:$S$282,"T018",'Prácticas_Revisiones'!$T$2:$T$282,"SOFTWARE TESTING &gt; *")+COUNTIFS('Prácticas_Snowballing'!$AB$2:$AB$281,"T018",'Prácticas_Snowballing'!$AC$2:$AC$281,"SOFTWARE TESTING &gt; *")</f>
        <v>0</v>
      </c>
      <c r="H25" s="17">
        <f>COUNTIFS('Prácticas_Revisiones'!$S$2:$S$282,"T018",'Prácticas_Revisiones'!$T$2:$T$282,"SOFTWARE ENG. OPERATIONS &gt; *")+COUNTIFS('Prácticas_Snowballing'!$AB$2:$AB$281,"T018",'Prácticas_Snowballing'!$AC$2:$AC$281,"SOFTWARE ENG. OPERATIONS &gt; *")</f>
        <v>0</v>
      </c>
      <c r="I25" s="17">
        <f>COUNTIFS('Prácticas_Revisiones'!$S$2:$S$282,"T018",'Prácticas_Revisiones'!$T$2:$T$282,"MAINTENANCE &gt; *")+COUNTIFS('Prácticas_Snowballing'!$AB$2:$AB$281,"T018",'Prácticas_Snowballing'!$AC$2:$AC$281,"MAINTENANCE &gt; *")</f>
        <v>0</v>
      </c>
      <c r="J25" s="17">
        <f>COUNTIFS('Prácticas_Revisiones'!$S$2:$S$282,"T018",'Prácticas_Revisiones'!$T$2:$T$282,"SOFTWARE CONFIG. MGMT. &gt; *")+COUNTIFS('Prácticas_Snowballing'!$AB$2:$AB$281,"T018",'Prácticas_Snowballing'!$AC$2:$AC$281,"SOFTWARE CONFIG. MGMT. &gt; *")</f>
        <v>0</v>
      </c>
      <c r="K25" s="17">
        <f>COUNTIFS('Prácticas_Revisiones'!$S$2:$S$282,"T018",'Prácticas_Revisiones'!$T$2:$T$282,"SOFTWARE ENG. PROCESS &gt; *")+COUNTIFS('Prácticas_Snowballing'!$AB$2:$AB$281,"T018",'Prácticas_Snowballing'!$AC$2:$AC$281,"SOFTWARE ENG. PROCESS &gt; *")</f>
        <v>0</v>
      </c>
      <c r="L25" s="17">
        <f>COUNTIFS('Prácticas_Revisiones'!$S$2:$S$282,"T018",'Prácticas_Revisiones'!$T$2:$T$282,"SOFTWARE ENG. MODELS/METH. &gt; *")+COUNTIFS('Prácticas_Snowballing'!$AB$2:$AB$281,"T018",'Prácticas_Snowballing'!$AC$2:$AC$281,"SOFTWARE ENG. MODELS/METH. &gt; *")</f>
        <v>0</v>
      </c>
      <c r="M25" s="17">
        <f>COUNTIFS('Prácticas_Revisiones'!$S$2:$S$282,"T018",'Prácticas_Revisiones'!$T$2:$T$282,"SOFTWARE QUALITY &gt; *")+COUNTIFS('Prácticas_Snowballing'!$AB$2:$AB$281,"T018",'Prácticas_Snowballing'!$AC$2:$AC$281,"SOFTWARE QUALITY &gt; *")</f>
        <v>0</v>
      </c>
      <c r="N25" s="17">
        <f>COUNTIFS('Prácticas_Revisiones'!$S$2:$S$282,"T018",'Prácticas_Revisiones'!$T$2:$T$282,"SOFTWARE SECURITY &gt; *")+COUNTIFS('Prácticas_Snowballing'!$AB$2:$AB$281,"T018",'Prácticas_Snowballing'!$AC$2:$AC$281,"SOFTWARE SECURITY &gt; *")</f>
        <v>0</v>
      </c>
      <c r="O25" s="17">
        <f>COUNTIFS('Prácticas_Revisiones'!$S$2:$S$282,"T018",'Prácticas_Revisiones'!$T$2:$T$282,"PROFESSIONAL PRACTICE &gt; *")+COUNTIFS('Prácticas_Snowballing'!$AB$2:$AB$281,"T018",'Prácticas_Snowballing'!$AC$2:$AC$281,"PROFESSIONAL PRACTICE &gt; *")</f>
        <v>0</v>
      </c>
      <c r="P25" s="17">
        <f>COUNTIFS('Prácticas_Revisiones'!$S$2:$S$282,"T018",'Prácticas_Revisiones'!$T$2:$T$282,"SOFTWARE ENG. ECONOMICS &gt; *")+COUNTIFS('Prácticas_Snowballing'!$AB$2:$AB$281,"T018",'Prácticas_Snowballing'!$AC$2:$AC$281,"SOFTWARE ENG. ECONOMICS &gt; *")</f>
        <v>0</v>
      </c>
      <c r="Q25" s="17">
        <f>COUNTIFS('Prácticas_Revisiones'!$S$2:$S$282,"T018",'Prácticas_Revisiones'!$T$2:$T$282,"SOFTWARE ENG. MANAGEMENT &gt; *")+COUNTIFS('Prácticas_Snowballing'!$AB$2:$AB$281,"T018",'Prácticas_Snowballing'!$AC$2:$AC$281,"SOFTWARE ENG. MANAGEMENT &gt; *")</f>
        <v>0</v>
      </c>
      <c r="R25" s="17">
        <f>COUNTIFS('Prácticas_Revisiones'!$S$2:$S$282,"T018",'Prácticas_Revisiones'!$T$2:$T$282,"Sin área SWEBOK")+COUNTIFS('Prácticas_Snowballing'!$AB$2:$AB$281,"T018",'Prácticas_Snowballing'!$AC$2:$AC$281,"Sin área SWEBOK")</f>
        <v>0</v>
      </c>
      <c r="S25" s="27">
        <f t="shared" si="3"/>
        <v>0</v>
      </c>
    </row>
    <row r="26" ht="15.75" customHeight="1">
      <c r="A26" s="28"/>
      <c r="B26" s="16" t="s">
        <v>2735</v>
      </c>
      <c r="C26" s="17">
        <f>COUNTIFS('Prácticas_Revisiones'!$S$2:$S$282,"T019",'Prácticas_Revisiones'!$T$2:$T$282,"REQUIREMENTS &gt; *")+COUNTIFS('Prácticas_Snowballing'!$AB$2:$AB$281,"T019",'Prácticas_Snowballing'!$AC$2:$AC$281,"REQUIREMENTS &gt; *")</f>
        <v>0</v>
      </c>
      <c r="D26" s="17">
        <f>COUNTIFS('Prácticas_Revisiones'!$S$2:$S$282,"T019",'Prácticas_Revisiones'!$T$2:$T$282,"ARCHITECTURE &gt; *")+COUNTIFS('Prácticas_Snowballing'!$AB$2:$AB$281,"T019",'Prácticas_Snowballing'!$AC$2:$AC$281,"ARCHITECTURE &gt; *")</f>
        <v>0</v>
      </c>
      <c r="E26" s="17">
        <f>COUNTIFS('Prácticas_Revisiones'!$S$2:$S$282,"T019",'Prácticas_Revisiones'!$T$2:$T$282,"DESIGN &gt; *")+COUNTIFS('Prácticas_Snowballing'!$AB$2:$AB$281,"T019",'Prácticas_Snowballing'!$AC$2:$AC$281,"DESIGN &gt; *")</f>
        <v>0</v>
      </c>
      <c r="F26" s="17">
        <f>COUNTIFS('Prácticas_Revisiones'!$S$2:$S$282,"T019",'Prácticas_Revisiones'!$T$2:$T$282,"CONSTRUCTION &gt; *")+COUNTIFS('Prácticas_Snowballing'!$AB$2:$AB$281,"T019",'Prácticas_Snowballing'!$AC$2:$AC$281,"CONSTRUCTION &gt; *")</f>
        <v>22</v>
      </c>
      <c r="G26" s="17">
        <f>COUNTIFS('Prácticas_Revisiones'!$S$2:$S$282,"T019",'Prácticas_Revisiones'!$T$2:$T$282,"SOFTWARE TESTING &gt; *")+COUNTIFS('Prácticas_Snowballing'!$AB$2:$AB$281,"T019",'Prácticas_Snowballing'!$AC$2:$AC$281,"SOFTWARE TESTING &gt; *")</f>
        <v>0</v>
      </c>
      <c r="H26" s="17">
        <f>COUNTIFS('Prácticas_Revisiones'!$S$2:$S$282,"T019",'Prácticas_Revisiones'!$T$2:$T$282,"SOFTWARE ENG. OPERATIONS &gt; *")+COUNTIFS('Prácticas_Snowballing'!$AB$2:$AB$281,"T019",'Prácticas_Snowballing'!$AC$2:$AC$281,"SOFTWARE ENG. OPERATIONS &gt; *")</f>
        <v>0</v>
      </c>
      <c r="I26" s="17">
        <f>COUNTIFS('Prácticas_Revisiones'!$S$2:$S$282,"T019",'Prácticas_Revisiones'!$T$2:$T$282,"MAINTENANCE &gt; *")+COUNTIFS('Prácticas_Snowballing'!$AB$2:$AB$281,"T019",'Prácticas_Snowballing'!$AC$2:$AC$281,"MAINTENANCE &gt; *")</f>
        <v>0</v>
      </c>
      <c r="J26" s="17">
        <f>COUNTIFS('Prácticas_Revisiones'!$S$2:$S$282,"T019",'Prácticas_Revisiones'!$T$2:$T$282,"SOFTWARE CONFIG. MGMT. &gt; *")+COUNTIFS('Prácticas_Snowballing'!$AB$2:$AB$281,"T019",'Prácticas_Snowballing'!$AC$2:$AC$281,"SOFTWARE CONFIG. MGMT. &gt; *")</f>
        <v>0</v>
      </c>
      <c r="K26" s="17">
        <f>COUNTIFS('Prácticas_Revisiones'!$S$2:$S$282,"T019",'Prácticas_Revisiones'!$T$2:$T$282,"SOFTWARE ENG. PROCESS &gt; *")+COUNTIFS('Prácticas_Snowballing'!$AB$2:$AB$281,"T019",'Prácticas_Snowballing'!$AC$2:$AC$281,"SOFTWARE ENG. PROCESS &gt; *")</f>
        <v>0</v>
      </c>
      <c r="L26" s="17">
        <f>COUNTIFS('Prácticas_Revisiones'!$S$2:$S$282,"T019",'Prácticas_Revisiones'!$T$2:$T$282,"SOFTWARE ENG. MODELS/METH. &gt; *")+COUNTIFS('Prácticas_Snowballing'!$AB$2:$AB$281,"T019",'Prácticas_Snowballing'!$AC$2:$AC$281,"SOFTWARE ENG. MODELS/METH. &gt; *")</f>
        <v>0</v>
      </c>
      <c r="M26" s="17">
        <f>COUNTIFS('Prácticas_Revisiones'!$S$2:$S$282,"T019",'Prácticas_Revisiones'!$T$2:$T$282,"SOFTWARE QUALITY &gt; *")+COUNTIFS('Prácticas_Snowballing'!$AB$2:$AB$281,"T019",'Prácticas_Snowballing'!$AC$2:$AC$281,"SOFTWARE QUALITY &gt; *")</f>
        <v>1</v>
      </c>
      <c r="N26" s="17">
        <f>COUNTIFS('Prácticas_Revisiones'!$S$2:$S$282,"T019",'Prácticas_Revisiones'!$T$2:$T$282,"SOFTWARE SECURITY &gt; *")+COUNTIFS('Prácticas_Snowballing'!$AB$2:$AB$281,"T019",'Prácticas_Snowballing'!$AC$2:$AC$281,"SOFTWARE SECURITY &gt; *")</f>
        <v>0</v>
      </c>
      <c r="O26" s="17">
        <f>COUNTIFS('Prácticas_Revisiones'!$S$2:$S$282,"T019",'Prácticas_Revisiones'!$T$2:$T$282,"PROFESSIONAL PRACTICE &gt; *")+COUNTIFS('Prácticas_Snowballing'!$AB$2:$AB$281,"T019",'Prácticas_Snowballing'!$AC$2:$AC$281,"PROFESSIONAL PRACTICE &gt; *")</f>
        <v>0</v>
      </c>
      <c r="P26" s="17">
        <f>COUNTIFS('Prácticas_Revisiones'!$S$2:$S$282,"T019",'Prácticas_Revisiones'!$T$2:$T$282,"SOFTWARE ENG. ECONOMICS &gt; *")+COUNTIFS('Prácticas_Snowballing'!$AB$2:$AB$281,"T019",'Prácticas_Snowballing'!$AC$2:$AC$281,"SOFTWARE ENG. ECONOMICS &gt; *")</f>
        <v>0</v>
      </c>
      <c r="Q26" s="17">
        <f>COUNTIFS('Prácticas_Revisiones'!$S$2:$S$282,"T019",'Prácticas_Revisiones'!$T$2:$T$282,"SOFTWARE ENG. MANAGEMENT &gt; *")+COUNTIFS('Prácticas_Snowballing'!$AB$2:$AB$281,"T019",'Prácticas_Snowballing'!$AC$2:$AC$281,"SOFTWARE ENG. MANAGEMENT &gt; *")</f>
        <v>0</v>
      </c>
      <c r="R26" s="17">
        <f>COUNTIFS('Prácticas_Revisiones'!$S$2:$S$282,"T019",'Prácticas_Revisiones'!$T$2:$T$282,"Sin área SWEBOK")+COUNTIFS('Prácticas_Snowballing'!$AB$2:$AB$281,"T019",'Prácticas_Snowballing'!$AC$2:$AC$281,"Sin área SWEBOK")</f>
        <v>0</v>
      </c>
      <c r="S26" s="27">
        <f t="shared" si="3"/>
        <v>23</v>
      </c>
    </row>
    <row r="27" ht="15.75" customHeight="1">
      <c r="A27" s="28"/>
      <c r="B27" s="16" t="s">
        <v>2749</v>
      </c>
      <c r="C27" s="17">
        <f>COUNTIFS('Prácticas_Revisiones'!$S$2:$S$282,"T020",'Prácticas_Revisiones'!$T$2:$T$282,"REQUIREMENTS &gt; *")+COUNTIFS('Prácticas_Snowballing'!$AB$2:$AB$281,"T020",'Prácticas_Snowballing'!$AC$2:$AC$281,"REQUIREMENTS &gt; *")</f>
        <v>0</v>
      </c>
      <c r="D27" s="17">
        <f>COUNTIFS('Prácticas_Revisiones'!$S$2:$S$282,"T020",'Prácticas_Revisiones'!$T$2:$T$282,"ARCHITECTURE &gt; *")+COUNTIFS('Prácticas_Snowballing'!$AB$2:$AB$281,"T020",'Prácticas_Snowballing'!$AC$2:$AC$281,"ARCHITECTURE &gt; *")</f>
        <v>0</v>
      </c>
      <c r="E27" s="17">
        <f>COUNTIFS('Prácticas_Revisiones'!$S$2:$S$282,"T020",'Prácticas_Revisiones'!$T$2:$T$282,"DESIGN &gt; *")+COUNTIFS('Prácticas_Snowballing'!$AB$2:$AB$281,"T020",'Prácticas_Snowballing'!$AC$2:$AC$281,"DESIGN &gt; *")</f>
        <v>0</v>
      </c>
      <c r="F27" s="17">
        <f>COUNTIFS('Prácticas_Revisiones'!$S$2:$S$282,"T020",'Prácticas_Revisiones'!$T$2:$T$282,"CONSTRUCTION &gt; *")+COUNTIFS('Prácticas_Snowballing'!$AB$2:$AB$281,"T020",'Prácticas_Snowballing'!$AC$2:$AC$281,"CONSTRUCTION &gt; *")</f>
        <v>1</v>
      </c>
      <c r="G27" s="17">
        <f>COUNTIFS('Prácticas_Revisiones'!$S$2:$S$282,"T020",'Prácticas_Revisiones'!$T$2:$T$282,"SOFTWARE TESTING &gt; *")+COUNTIFS('Prácticas_Snowballing'!$AB$2:$AB$281,"T020",'Prácticas_Snowballing'!$AC$2:$AC$281,"SOFTWARE TESTING &gt; *")</f>
        <v>0</v>
      </c>
      <c r="H27" s="17">
        <f>COUNTIFS('Prácticas_Revisiones'!$S$2:$S$282,"T020",'Prácticas_Revisiones'!$T$2:$T$282,"SOFTWARE ENG. OPERATIONS &gt; *")+COUNTIFS('Prácticas_Snowballing'!$AB$2:$AB$281,"T020",'Prácticas_Snowballing'!$AC$2:$AC$281,"SOFTWARE ENG. OPERATIONS &gt; *")</f>
        <v>0</v>
      </c>
      <c r="I27" s="17">
        <f>COUNTIFS('Prácticas_Revisiones'!$S$2:$S$282,"T020",'Prácticas_Revisiones'!$T$2:$T$282,"MAINTENANCE &gt; *")+COUNTIFS('Prácticas_Snowballing'!$AB$2:$AB$281,"T020",'Prácticas_Snowballing'!$AC$2:$AC$281,"MAINTENANCE &gt; *")</f>
        <v>0</v>
      </c>
      <c r="J27" s="17">
        <f>COUNTIFS('Prácticas_Revisiones'!$S$2:$S$282,"T020",'Prácticas_Revisiones'!$T$2:$T$282,"SOFTWARE CONFIG. MGMT. &gt; *")+COUNTIFS('Prácticas_Snowballing'!$AB$2:$AB$281,"T020",'Prácticas_Snowballing'!$AC$2:$AC$281,"SOFTWARE CONFIG. MGMT. &gt; *")</f>
        <v>0</v>
      </c>
      <c r="K27" s="17">
        <f>COUNTIFS('Prácticas_Revisiones'!$S$2:$S$282,"T020",'Prácticas_Revisiones'!$T$2:$T$282,"SOFTWARE ENG. PROCESS &gt; *")+COUNTIFS('Prácticas_Snowballing'!$AB$2:$AB$281,"T020",'Prácticas_Snowballing'!$AC$2:$AC$281,"SOFTWARE ENG. PROCESS &gt; *")</f>
        <v>0</v>
      </c>
      <c r="L27" s="17">
        <f>COUNTIFS('Prácticas_Revisiones'!$S$2:$S$282,"T020",'Prácticas_Revisiones'!$T$2:$T$282,"SOFTWARE ENG. MODELS/METH. &gt; *")+COUNTIFS('Prácticas_Snowballing'!$AB$2:$AB$281,"T020",'Prácticas_Snowballing'!$AC$2:$AC$281,"SOFTWARE ENG. MODELS/METH. &gt; *")</f>
        <v>0</v>
      </c>
      <c r="M27" s="17">
        <f>COUNTIFS('Prácticas_Revisiones'!$S$2:$S$282,"T020",'Prácticas_Revisiones'!$T$2:$T$282,"SOFTWARE QUALITY &gt; *")+COUNTIFS('Prácticas_Snowballing'!$AB$2:$AB$281,"T020",'Prácticas_Snowballing'!$AC$2:$AC$281,"SOFTWARE QUALITY &gt; *")</f>
        <v>0</v>
      </c>
      <c r="N27" s="17">
        <f>COUNTIFS('Prácticas_Revisiones'!$S$2:$S$282,"T020",'Prácticas_Revisiones'!$T$2:$T$282,"SOFTWARE SECURITY &gt; *")+COUNTIFS('Prácticas_Snowballing'!$AB$2:$AB$281,"T020",'Prácticas_Snowballing'!$AC$2:$AC$281,"SOFTWARE SECURITY &gt; *")</f>
        <v>0</v>
      </c>
      <c r="O27" s="17">
        <f>COUNTIFS('Prácticas_Revisiones'!$S$2:$S$282,"T020",'Prácticas_Revisiones'!$T$2:$T$282,"PROFESSIONAL PRACTICE &gt; *")+COUNTIFS('Prácticas_Snowballing'!$AB$2:$AB$281,"T020",'Prácticas_Snowballing'!$AC$2:$AC$281,"PROFESSIONAL PRACTICE &gt; *")</f>
        <v>0</v>
      </c>
      <c r="P27" s="17">
        <f>COUNTIFS('Prácticas_Revisiones'!$S$2:$S$282,"T020",'Prácticas_Revisiones'!$T$2:$T$282,"SOFTWARE ENG. ECONOMICS &gt; *")+COUNTIFS('Prácticas_Snowballing'!$AB$2:$AB$281,"T020",'Prácticas_Snowballing'!$AC$2:$AC$281,"SOFTWARE ENG. ECONOMICS &gt; *")</f>
        <v>0</v>
      </c>
      <c r="Q27" s="17">
        <f>COUNTIFS('Prácticas_Revisiones'!$S$2:$S$282,"T020",'Prácticas_Revisiones'!$T$2:$T$282,"SOFTWARE ENG. MANAGEMENT &gt; *")+COUNTIFS('Prácticas_Snowballing'!$AB$2:$AB$281,"T020",'Prácticas_Snowballing'!$AC$2:$AC$281,"SOFTWARE ENG. MANAGEMENT &gt; *")</f>
        <v>0</v>
      </c>
      <c r="R27" s="17">
        <f>COUNTIFS('Prácticas_Revisiones'!$S$2:$S$282,"T020",'Prácticas_Revisiones'!$T$2:$T$282,"Sin área SWEBOK")+COUNTIFS('Prácticas_Snowballing'!$AB$2:$AB$281,"T020",'Prácticas_Snowballing'!$AC$2:$AC$281,"Sin área SWEBOK")</f>
        <v>0</v>
      </c>
      <c r="S27" s="27">
        <f t="shared" si="3"/>
        <v>1</v>
      </c>
    </row>
    <row r="28" ht="15.75" customHeight="1">
      <c r="A28" s="28"/>
      <c r="B28" s="16" t="s">
        <v>2738</v>
      </c>
      <c r="C28" s="17">
        <f>COUNTIFS('Prácticas_Revisiones'!$S$2:$S$282,"T021",'Prácticas_Revisiones'!$T$2:$T$282,"REQUIREMENTS &gt; *")+COUNTIFS('Prácticas_Snowballing'!$AB$2:$AB$281,"T021",'Prácticas_Snowballing'!$AC$2:$AC$281,"REQUIREMENTS &gt; *")</f>
        <v>0</v>
      </c>
      <c r="D28" s="17">
        <f>COUNTIFS('Prácticas_Revisiones'!$S$2:$S$282,"T021",'Prácticas_Revisiones'!$T$2:$T$282,"ARCHITECTURE &gt; *")+COUNTIFS('Prácticas_Snowballing'!$AB$2:$AB$281,"T021",'Prácticas_Snowballing'!$AC$2:$AC$281,"ARCHITECTURE &gt; *")</f>
        <v>0</v>
      </c>
      <c r="E28" s="17">
        <f>COUNTIFS('Prácticas_Revisiones'!$S$2:$S$282,"T021",'Prácticas_Revisiones'!$T$2:$T$282,"DESIGN &gt; *")+COUNTIFS('Prácticas_Snowballing'!$AB$2:$AB$281,"T021",'Prácticas_Snowballing'!$AC$2:$AC$281,"DESIGN &gt; *")</f>
        <v>1</v>
      </c>
      <c r="F28" s="17">
        <f>COUNTIFS('Prácticas_Revisiones'!$S$2:$S$282,"T021",'Prácticas_Revisiones'!$T$2:$T$282,"CONSTRUCTION &gt; *")+COUNTIFS('Prácticas_Snowballing'!$AB$2:$AB$281,"T021",'Prácticas_Snowballing'!$AC$2:$AC$281,"CONSTRUCTION &gt; *")</f>
        <v>5</v>
      </c>
      <c r="G28" s="17">
        <f>COUNTIFS('Prácticas_Revisiones'!$S$2:$S$282,"T021",'Prácticas_Revisiones'!$T$2:$T$282,"SOFTWARE TESTING &gt; *")+COUNTIFS('Prácticas_Snowballing'!$AB$2:$AB$281,"T021",'Prácticas_Snowballing'!$AC$2:$AC$281,"SOFTWARE TESTING &gt; *")</f>
        <v>0</v>
      </c>
      <c r="H28" s="17">
        <f>COUNTIFS('Prácticas_Revisiones'!$S$2:$S$282,"T021",'Prácticas_Revisiones'!$T$2:$T$282,"SOFTWARE ENG. OPERATIONS &gt; *")+COUNTIFS('Prácticas_Snowballing'!$AB$2:$AB$281,"T021",'Prácticas_Snowballing'!$AC$2:$AC$281,"SOFTWARE ENG. OPERATIONS &gt; *")</f>
        <v>0</v>
      </c>
      <c r="I28" s="17">
        <f>COUNTIFS('Prácticas_Revisiones'!$S$2:$S$282,"T021",'Prácticas_Revisiones'!$T$2:$T$282,"MAINTENANCE &gt; *")+COUNTIFS('Prácticas_Snowballing'!$AB$2:$AB$281,"T021",'Prácticas_Snowballing'!$AC$2:$AC$281,"MAINTENANCE &gt; *")</f>
        <v>0</v>
      </c>
      <c r="J28" s="17">
        <f>COUNTIFS('Prácticas_Revisiones'!$S$2:$S$282,"T021",'Prácticas_Revisiones'!$T$2:$T$282,"SOFTWARE CONFIG. MGMT. &gt; *")+COUNTIFS('Prácticas_Snowballing'!$AB$2:$AB$281,"T021",'Prácticas_Snowballing'!$AC$2:$AC$281,"SOFTWARE CONFIG. MGMT. &gt; *")</f>
        <v>0</v>
      </c>
      <c r="K28" s="17">
        <f>COUNTIFS('Prácticas_Revisiones'!$S$2:$S$282,"T021",'Prácticas_Revisiones'!$T$2:$T$282,"SOFTWARE ENG. PROCESS &gt; *")+COUNTIFS('Prácticas_Snowballing'!$AB$2:$AB$281,"T021",'Prácticas_Snowballing'!$AC$2:$AC$281,"SOFTWARE ENG. PROCESS &gt; *")</f>
        <v>0</v>
      </c>
      <c r="L28" s="17">
        <f>COUNTIFS('Prácticas_Revisiones'!$S$2:$S$282,"T021",'Prácticas_Revisiones'!$T$2:$T$282,"SOFTWARE ENG. MODELS/METH. &gt; *")+COUNTIFS('Prácticas_Snowballing'!$AB$2:$AB$281,"T021",'Prácticas_Snowballing'!$AC$2:$AC$281,"SOFTWARE ENG. MODELS/METH. &gt; *")</f>
        <v>0</v>
      </c>
      <c r="M28" s="17">
        <f>COUNTIFS('Prácticas_Revisiones'!$S$2:$S$282,"T021",'Prácticas_Revisiones'!$T$2:$T$282,"SOFTWARE QUALITY &gt; *")+COUNTIFS('Prácticas_Snowballing'!$AB$2:$AB$281,"T021",'Prácticas_Snowballing'!$AC$2:$AC$281,"SOFTWARE QUALITY &gt; *")</f>
        <v>0</v>
      </c>
      <c r="N28" s="17">
        <f>COUNTIFS('Prácticas_Revisiones'!$S$2:$S$282,"T021",'Prácticas_Revisiones'!$T$2:$T$282,"SOFTWARE SECURITY &gt; *")+COUNTIFS('Prácticas_Snowballing'!$AB$2:$AB$281,"T021",'Prácticas_Snowballing'!$AC$2:$AC$281,"SOFTWARE SECURITY &gt; *")</f>
        <v>0</v>
      </c>
      <c r="O28" s="17">
        <f>COUNTIFS('Prácticas_Revisiones'!$S$2:$S$282,"T021",'Prácticas_Revisiones'!$T$2:$T$282,"PROFESSIONAL PRACTICE &gt; *")+COUNTIFS('Prácticas_Snowballing'!$AB$2:$AB$281,"T021",'Prácticas_Snowballing'!$AC$2:$AC$281,"PROFESSIONAL PRACTICE &gt; *")</f>
        <v>0</v>
      </c>
      <c r="P28" s="17">
        <f>COUNTIFS('Prácticas_Revisiones'!$S$2:$S$282,"T021",'Prácticas_Revisiones'!$T$2:$T$282,"SOFTWARE ENG. ECONOMICS &gt; *")+COUNTIFS('Prácticas_Snowballing'!$AB$2:$AB$281,"T021",'Prácticas_Snowballing'!$AC$2:$AC$281,"SOFTWARE ENG. ECONOMICS &gt; *")</f>
        <v>0</v>
      </c>
      <c r="Q28" s="17">
        <f>COUNTIFS('Prácticas_Revisiones'!$S$2:$S$282,"T021",'Prácticas_Revisiones'!$T$2:$T$282,"SOFTWARE ENG. MANAGEMENT &gt; *")+COUNTIFS('Prácticas_Snowballing'!$AB$2:$AB$281,"T021",'Prácticas_Snowballing'!$AC$2:$AC$281,"SOFTWARE ENG. MANAGEMENT &gt; *")</f>
        <v>0</v>
      </c>
      <c r="R28" s="17">
        <f>COUNTIFS('Prácticas_Revisiones'!$S$2:$S$282,"T021",'Prácticas_Revisiones'!$T$2:$T$282,"Sin área SWEBOK")+COUNTIFS('Prácticas_Snowballing'!$AB$2:$AB$281,"T021",'Prácticas_Snowballing'!$AC$2:$AC$281,"Sin área SWEBOK")</f>
        <v>0</v>
      </c>
      <c r="S28" s="27">
        <f t="shared" si="3"/>
        <v>6</v>
      </c>
    </row>
    <row r="29" ht="15.75" customHeight="1">
      <c r="A29" s="28"/>
      <c r="B29" s="16" t="s">
        <v>2754</v>
      </c>
      <c r="C29" s="17">
        <f>COUNTIFS('Prácticas_Revisiones'!$S$2:$S$282,"T022",'Prácticas_Revisiones'!$T$2:$T$282,"REQUIREMENTS &gt; *")+COUNTIFS('Prácticas_Snowballing'!$AB$2:$AB$281,"T022",'Prácticas_Snowballing'!$AC$2:$AC$281,"REQUIREMENTS &gt; *")</f>
        <v>0</v>
      </c>
      <c r="D29" s="17">
        <f>COUNTIFS('Prácticas_Revisiones'!$S$2:$S$282,"T022",'Prácticas_Revisiones'!$T$2:$T$282,"ARCHITECTURE &gt; *")+COUNTIFS('Prácticas_Snowballing'!$AB$2:$AB$281,"T022",'Prácticas_Snowballing'!$AC$2:$AC$281,"ARCHITECTURE &gt; *")</f>
        <v>0</v>
      </c>
      <c r="E29" s="17">
        <f>COUNTIFS('Prácticas_Revisiones'!$S$2:$S$282,"T022",'Prácticas_Revisiones'!$T$2:$T$282,"DESIGN &gt; *")+COUNTIFS('Prácticas_Snowballing'!$AB$2:$AB$281,"T022",'Prácticas_Snowballing'!$AC$2:$AC$281,"DESIGN &gt; *")</f>
        <v>0</v>
      </c>
      <c r="F29" s="17">
        <f>COUNTIFS('Prácticas_Revisiones'!$S$2:$S$282,"T022",'Prácticas_Revisiones'!$T$2:$T$282,"CONSTRUCTION &gt; *")+COUNTIFS('Prácticas_Snowballing'!$AB$2:$AB$281,"T022",'Prácticas_Snowballing'!$AC$2:$AC$281,"CONSTRUCTION &gt; *")</f>
        <v>0</v>
      </c>
      <c r="G29" s="17">
        <f>COUNTIFS('Prácticas_Revisiones'!$S$2:$S$282,"T022",'Prácticas_Revisiones'!$T$2:$T$282,"SOFTWARE TESTING &gt; *")+COUNTIFS('Prácticas_Snowballing'!$AB$2:$AB$281,"T022",'Prácticas_Snowballing'!$AC$2:$AC$281,"SOFTWARE TESTING &gt; *")</f>
        <v>0</v>
      </c>
      <c r="H29" s="17">
        <f>COUNTIFS('Prácticas_Revisiones'!$S$2:$S$282,"T022",'Prácticas_Revisiones'!$T$2:$T$282,"SOFTWARE ENG. OPERATIONS &gt; *")+COUNTIFS('Prácticas_Snowballing'!$AB$2:$AB$281,"T022",'Prácticas_Snowballing'!$AC$2:$AC$281,"SOFTWARE ENG. OPERATIONS &gt; *")</f>
        <v>0</v>
      </c>
      <c r="I29" s="17">
        <f>COUNTIFS('Prácticas_Revisiones'!$S$2:$S$282,"T022",'Prácticas_Revisiones'!$T$2:$T$282,"MAINTENANCE &gt; *")+COUNTIFS('Prácticas_Snowballing'!$AB$2:$AB$281,"T022",'Prácticas_Snowballing'!$AC$2:$AC$281,"MAINTENANCE &gt; *")</f>
        <v>0</v>
      </c>
      <c r="J29" s="17">
        <f>COUNTIFS('Prácticas_Revisiones'!$S$2:$S$282,"T022",'Prácticas_Revisiones'!$T$2:$T$282,"SOFTWARE CONFIG. MGMT. &gt; *")+COUNTIFS('Prácticas_Snowballing'!$AB$2:$AB$281,"T022",'Prácticas_Snowballing'!$AC$2:$AC$281,"SOFTWARE CONFIG. MGMT. &gt; *")</f>
        <v>0</v>
      </c>
      <c r="K29" s="17">
        <f>COUNTIFS('Prácticas_Revisiones'!$S$2:$S$282,"T022",'Prácticas_Revisiones'!$T$2:$T$282,"SOFTWARE ENG. PROCESS &gt; *")+COUNTIFS('Prácticas_Snowballing'!$AB$2:$AB$281,"T022",'Prácticas_Snowballing'!$AC$2:$AC$281,"SOFTWARE ENG. PROCESS &gt; *")</f>
        <v>0</v>
      </c>
      <c r="L29" s="17">
        <f>COUNTIFS('Prácticas_Revisiones'!$S$2:$S$282,"T022",'Prácticas_Revisiones'!$T$2:$T$282,"SOFTWARE ENG. MODELS/METH. &gt; *")+COUNTIFS('Prácticas_Snowballing'!$AB$2:$AB$281,"T022",'Prácticas_Snowballing'!$AC$2:$AC$281,"SOFTWARE ENG. MODELS/METH. &gt; *")</f>
        <v>0</v>
      </c>
      <c r="M29" s="17">
        <f>COUNTIFS('Prácticas_Revisiones'!$S$2:$S$282,"T022",'Prácticas_Revisiones'!$T$2:$T$282,"SOFTWARE QUALITY &gt; *")+COUNTIFS('Prácticas_Snowballing'!$AB$2:$AB$281,"T022",'Prácticas_Snowballing'!$AC$2:$AC$281,"SOFTWARE QUALITY &gt; *")</f>
        <v>0</v>
      </c>
      <c r="N29" s="17">
        <f>COUNTIFS('Prácticas_Revisiones'!$S$2:$S$282,"T022",'Prácticas_Revisiones'!$T$2:$T$282,"SOFTWARE SECURITY &gt; *")+COUNTIFS('Prácticas_Snowballing'!$AB$2:$AB$281,"T022",'Prácticas_Snowballing'!$AC$2:$AC$281,"SOFTWARE SECURITY &gt; *")</f>
        <v>0</v>
      </c>
      <c r="O29" s="17">
        <f>COUNTIFS('Prácticas_Revisiones'!$S$2:$S$282,"T022",'Prácticas_Revisiones'!$T$2:$T$282,"PROFESSIONAL PRACTICE &gt; *")+COUNTIFS('Prácticas_Snowballing'!$AB$2:$AB$281,"T022",'Prácticas_Snowballing'!$AC$2:$AC$281,"PROFESSIONAL PRACTICE &gt; *")</f>
        <v>0</v>
      </c>
      <c r="P29" s="17">
        <f>COUNTIFS('Prácticas_Revisiones'!$S$2:$S$282,"T022",'Prácticas_Revisiones'!$T$2:$T$282,"SOFTWARE ENG. ECONOMICS &gt; *")+COUNTIFS('Prácticas_Snowballing'!$AB$2:$AB$281,"T022",'Prácticas_Snowballing'!$AC$2:$AC$281,"SOFTWARE ENG. ECONOMICS &gt; *")</f>
        <v>0</v>
      </c>
      <c r="Q29" s="17">
        <f>COUNTIFS('Prácticas_Revisiones'!$S$2:$S$282,"T022",'Prácticas_Revisiones'!$T$2:$T$282,"SOFTWARE ENG. MANAGEMENT &gt; *")+COUNTIFS('Prácticas_Snowballing'!$AB$2:$AB$281,"T022",'Prácticas_Snowballing'!$AC$2:$AC$281,"SOFTWARE ENG. MANAGEMENT &gt; *")</f>
        <v>0</v>
      </c>
      <c r="R29" s="17">
        <f>COUNTIFS('Prácticas_Revisiones'!$S$2:$S$282,"T022",'Prácticas_Revisiones'!$T$2:$T$282,"Sin área SWEBOK")+COUNTIFS('Prácticas_Snowballing'!$AB$2:$AB$281,"T022",'Prácticas_Snowballing'!$AC$2:$AC$281,"Sin área SWEBOK")</f>
        <v>0</v>
      </c>
      <c r="S29" s="27">
        <f t="shared" si="3"/>
        <v>0</v>
      </c>
    </row>
    <row r="30" ht="15.75" customHeight="1">
      <c r="A30" s="28"/>
      <c r="B30" s="16" t="s">
        <v>2756</v>
      </c>
      <c r="C30" s="17">
        <f>COUNTIFS('Prácticas_Revisiones'!$S$2:$S$282,"T023",'Prácticas_Revisiones'!$T$2:$T$282,"REQUIREMENTS &gt; *")+COUNTIFS('Prácticas_Snowballing'!$AB$2:$AB$281,"T023",'Prácticas_Snowballing'!$AC$2:$AC$281,"REQUIREMENTS &gt; *")</f>
        <v>0</v>
      </c>
      <c r="D30" s="17">
        <f>COUNTIFS('Prácticas_Revisiones'!$S$2:$S$282,"T023",'Prácticas_Revisiones'!$T$2:$T$282,"ARCHITECTURE &gt; *")+COUNTIFS('Prácticas_Snowballing'!$AB$2:$AB$281,"T023",'Prácticas_Snowballing'!$AC$2:$AC$281,"ARCHITECTURE &gt; *")</f>
        <v>0</v>
      </c>
      <c r="E30" s="17">
        <f>COUNTIFS('Prácticas_Revisiones'!$S$2:$S$282,"T023",'Prácticas_Revisiones'!$T$2:$T$282,"DESIGN &gt; *")+COUNTIFS('Prácticas_Snowballing'!$AB$2:$AB$281,"T023",'Prácticas_Snowballing'!$AC$2:$AC$281,"DESIGN &gt; *")</f>
        <v>0</v>
      </c>
      <c r="F30" s="17">
        <f>COUNTIFS('Prácticas_Revisiones'!$S$2:$S$282,"T023",'Prácticas_Revisiones'!$T$2:$T$282,"CONSTRUCTION &gt; *")+COUNTIFS('Prácticas_Snowballing'!$AB$2:$AB$281,"T023",'Prácticas_Snowballing'!$AC$2:$AC$281,"CONSTRUCTION &gt; *")</f>
        <v>0</v>
      </c>
      <c r="G30" s="17">
        <f>COUNTIFS('Prácticas_Revisiones'!$S$2:$S$282,"T023",'Prácticas_Revisiones'!$T$2:$T$282,"SOFTWARE TESTING &gt; *")+COUNTIFS('Prácticas_Snowballing'!$AB$2:$AB$281,"T023",'Prácticas_Snowballing'!$AC$2:$AC$281,"SOFTWARE TESTING &gt; *")</f>
        <v>0</v>
      </c>
      <c r="H30" s="17">
        <f>COUNTIFS('Prácticas_Revisiones'!$S$2:$S$282,"T023",'Prácticas_Revisiones'!$T$2:$T$282,"SOFTWARE ENG. OPERATIONS &gt; *")+COUNTIFS('Prácticas_Snowballing'!$AB$2:$AB$281,"T023",'Prácticas_Snowballing'!$AC$2:$AC$281,"SOFTWARE ENG. OPERATIONS &gt; *")</f>
        <v>0</v>
      </c>
      <c r="I30" s="17">
        <f>COUNTIFS('Prácticas_Revisiones'!$S$2:$S$282,"T023",'Prácticas_Revisiones'!$T$2:$T$282,"MAINTENANCE &gt; *")+COUNTIFS('Prácticas_Snowballing'!$AB$2:$AB$281,"T023",'Prácticas_Snowballing'!$AC$2:$AC$281,"MAINTENANCE &gt; *")</f>
        <v>0</v>
      </c>
      <c r="J30" s="17">
        <f>COUNTIFS('Prácticas_Revisiones'!$S$2:$S$282,"T023",'Prácticas_Revisiones'!$T$2:$T$282,"SOFTWARE CONFIG. MGMT. &gt; *")+COUNTIFS('Prácticas_Snowballing'!$AB$2:$AB$281,"T023",'Prácticas_Snowballing'!$AC$2:$AC$281,"SOFTWARE CONFIG. MGMT. &gt; *")</f>
        <v>0</v>
      </c>
      <c r="K30" s="17">
        <f>COUNTIFS('Prácticas_Revisiones'!$S$2:$S$282,"T023",'Prácticas_Revisiones'!$T$2:$T$282,"SOFTWARE ENG. PROCESS &gt; *")+COUNTIFS('Prácticas_Snowballing'!$AB$2:$AB$281,"T023",'Prácticas_Snowballing'!$AC$2:$AC$281,"SOFTWARE ENG. PROCESS &gt; *")</f>
        <v>0</v>
      </c>
      <c r="L30" s="17">
        <f>COUNTIFS('Prácticas_Revisiones'!$S$2:$S$282,"T023",'Prácticas_Revisiones'!$T$2:$T$282,"SOFTWARE ENG. MODELS/METH. &gt; *")+COUNTIFS('Prácticas_Snowballing'!$AB$2:$AB$281,"T023",'Prácticas_Snowballing'!$AC$2:$AC$281,"SOFTWARE ENG. MODELS/METH. &gt; *")</f>
        <v>0</v>
      </c>
      <c r="M30" s="17">
        <f>COUNTIFS('Prácticas_Revisiones'!$S$2:$S$282,"T023",'Prácticas_Revisiones'!$T$2:$T$282,"SOFTWARE QUALITY &gt; *")+COUNTIFS('Prácticas_Snowballing'!$AB$2:$AB$281,"T023",'Prácticas_Snowballing'!$AC$2:$AC$281,"SOFTWARE QUALITY &gt; *")</f>
        <v>0</v>
      </c>
      <c r="N30" s="17">
        <f>COUNTIFS('Prácticas_Revisiones'!$S$2:$S$282,"T023",'Prácticas_Revisiones'!$T$2:$T$282,"SOFTWARE SECURITY &gt; *")+COUNTIFS('Prácticas_Snowballing'!$AB$2:$AB$281,"T023",'Prácticas_Snowballing'!$AC$2:$AC$281,"SOFTWARE SECURITY &gt; *")</f>
        <v>0</v>
      </c>
      <c r="O30" s="17">
        <f>COUNTIFS('Prácticas_Revisiones'!$S$2:$S$282,"T023",'Prácticas_Revisiones'!$T$2:$T$282,"PROFESSIONAL PRACTICE &gt; *")+COUNTIFS('Prácticas_Snowballing'!$AB$2:$AB$281,"T023",'Prácticas_Snowballing'!$AC$2:$AC$281,"PROFESSIONAL PRACTICE &gt; *")</f>
        <v>0</v>
      </c>
      <c r="P30" s="17">
        <f>COUNTIFS('Prácticas_Revisiones'!$S$2:$S$282,"T023",'Prácticas_Revisiones'!$T$2:$T$282,"SOFTWARE ENG. ECONOMICS &gt; *")+COUNTIFS('Prácticas_Snowballing'!$AB$2:$AB$281,"T023",'Prácticas_Snowballing'!$AC$2:$AC$281,"SOFTWARE ENG. ECONOMICS &gt; *")</f>
        <v>0</v>
      </c>
      <c r="Q30" s="17">
        <f>COUNTIFS('Prácticas_Revisiones'!$S$2:$S$282,"T023",'Prácticas_Revisiones'!$T$2:$T$282,"SOFTWARE ENG. MANAGEMENT &gt; *")+COUNTIFS('Prácticas_Snowballing'!$AB$2:$AB$281,"T023",'Prácticas_Snowballing'!$AC$2:$AC$281,"SOFTWARE ENG. MANAGEMENT &gt; *")</f>
        <v>0</v>
      </c>
      <c r="R30" s="17">
        <f>COUNTIFS('Prácticas_Revisiones'!$S$2:$S$282,"T023",'Prácticas_Revisiones'!$T$2:$T$282,"Sin área SWEBOK")+COUNTIFS('Prácticas_Snowballing'!$AB$2:$AB$281,"T023",'Prácticas_Snowballing'!$AC$2:$AC$281,"Sin área SWEBOK")</f>
        <v>0</v>
      </c>
      <c r="S30" s="27">
        <f t="shared" si="3"/>
        <v>0</v>
      </c>
    </row>
    <row r="31" ht="15.75" customHeight="1">
      <c r="A31" s="28"/>
      <c r="B31" s="16" t="s">
        <v>2747</v>
      </c>
      <c r="C31" s="17">
        <f>COUNTIFS('Prácticas_Revisiones'!$S$2:$S$282,"T024",'Prácticas_Revisiones'!$T$2:$T$282,"REQUIREMENTS &gt; *")+COUNTIFS('Prácticas_Snowballing'!$AB$2:$AB$281,"T024",'Prácticas_Snowballing'!$AC$2:$AC$281,"REQUIREMENTS &gt; *")</f>
        <v>0</v>
      </c>
      <c r="D31" s="17">
        <f>COUNTIFS('Prácticas_Revisiones'!$S$2:$S$282,"T024",'Prácticas_Revisiones'!$T$2:$T$282,"ARCHITECTURE &gt; *")+COUNTIFS('Prácticas_Snowballing'!$AB$2:$AB$281,"T024",'Prácticas_Snowballing'!$AC$2:$AC$281,"ARCHITECTURE &gt; *")</f>
        <v>0</v>
      </c>
      <c r="E31" s="17">
        <f>COUNTIFS('Prácticas_Revisiones'!$S$2:$S$282,"T024",'Prácticas_Revisiones'!$T$2:$T$282,"DESIGN &gt; *")+COUNTIFS('Prácticas_Snowballing'!$AB$2:$AB$281,"T024",'Prácticas_Snowballing'!$AC$2:$AC$281,"DESIGN &gt; *")</f>
        <v>0</v>
      </c>
      <c r="F31" s="17">
        <f>COUNTIFS('Prácticas_Revisiones'!$S$2:$S$282,"T024",'Prácticas_Revisiones'!$T$2:$T$282,"CONSTRUCTION &gt; *")+COUNTIFS('Prácticas_Snowballing'!$AB$2:$AB$281,"T024",'Prácticas_Snowballing'!$AC$2:$AC$281,"CONSTRUCTION &gt; *")</f>
        <v>1</v>
      </c>
      <c r="G31" s="17">
        <f>COUNTIFS('Prácticas_Revisiones'!$S$2:$S$282,"T024",'Prácticas_Revisiones'!$T$2:$T$282,"SOFTWARE TESTING &gt; *")+COUNTIFS('Prácticas_Snowballing'!$AB$2:$AB$281,"T024",'Prácticas_Snowballing'!$AC$2:$AC$281,"SOFTWARE TESTING &gt; *")</f>
        <v>0</v>
      </c>
      <c r="H31" s="17">
        <f>COUNTIFS('Prácticas_Revisiones'!$S$2:$S$282,"T024",'Prácticas_Revisiones'!$T$2:$T$282,"SOFTWARE ENG. OPERATIONS &gt; *")+COUNTIFS('Prácticas_Snowballing'!$AB$2:$AB$281,"T024",'Prácticas_Snowballing'!$AC$2:$AC$281,"SOFTWARE ENG. OPERATIONS &gt; *")</f>
        <v>0</v>
      </c>
      <c r="I31" s="17">
        <f>COUNTIFS('Prácticas_Revisiones'!$S$2:$S$282,"T024",'Prácticas_Revisiones'!$T$2:$T$282,"MAINTENANCE &gt; *")+COUNTIFS('Prácticas_Snowballing'!$AB$2:$AB$281,"T024",'Prácticas_Snowballing'!$AC$2:$AC$281,"MAINTENANCE &gt; *")</f>
        <v>0</v>
      </c>
      <c r="J31" s="17">
        <f>COUNTIFS('Prácticas_Revisiones'!$S$2:$S$282,"T024",'Prácticas_Revisiones'!$T$2:$T$282,"SOFTWARE CONFIG. MGMT. &gt; *")+COUNTIFS('Prácticas_Snowballing'!$AB$2:$AB$281,"T024",'Prácticas_Snowballing'!$AC$2:$AC$281,"SOFTWARE CONFIG. MGMT. &gt; *")</f>
        <v>0</v>
      </c>
      <c r="K31" s="17">
        <f>COUNTIFS('Prácticas_Revisiones'!$S$2:$S$282,"T024",'Prácticas_Revisiones'!$T$2:$T$282,"SOFTWARE ENG. PROCESS &gt; *")+COUNTIFS('Prácticas_Snowballing'!$AB$2:$AB$281,"T024",'Prácticas_Snowballing'!$AC$2:$AC$281,"SOFTWARE ENG. PROCESS &gt; *")</f>
        <v>0</v>
      </c>
      <c r="L31" s="17">
        <f>COUNTIFS('Prácticas_Revisiones'!$S$2:$S$282,"T024",'Prácticas_Revisiones'!$T$2:$T$282,"SOFTWARE ENG. MODELS/METH. &gt; *")+COUNTIFS('Prácticas_Snowballing'!$AB$2:$AB$281,"T024",'Prácticas_Snowballing'!$AC$2:$AC$281,"SOFTWARE ENG. MODELS/METH. &gt; *")</f>
        <v>0</v>
      </c>
      <c r="M31" s="17">
        <f>COUNTIFS('Prácticas_Revisiones'!$S$2:$S$282,"T024",'Prácticas_Revisiones'!$T$2:$T$282,"SOFTWARE QUALITY &gt; *")+COUNTIFS('Prácticas_Snowballing'!$AB$2:$AB$281,"T024",'Prácticas_Snowballing'!$AC$2:$AC$281,"SOFTWARE QUALITY &gt; *")</f>
        <v>0</v>
      </c>
      <c r="N31" s="17">
        <f>COUNTIFS('Prácticas_Revisiones'!$S$2:$S$282,"T024",'Prácticas_Revisiones'!$T$2:$T$282,"SOFTWARE SECURITY &gt; *")+COUNTIFS('Prácticas_Snowballing'!$AB$2:$AB$281,"T024",'Prácticas_Snowballing'!$AC$2:$AC$281,"SOFTWARE SECURITY &gt; *")</f>
        <v>0</v>
      </c>
      <c r="O31" s="17">
        <f>COUNTIFS('Prácticas_Revisiones'!$S$2:$S$282,"T024",'Prácticas_Revisiones'!$T$2:$T$282,"PROFESSIONAL PRACTICE &gt; *")+COUNTIFS('Prácticas_Snowballing'!$AB$2:$AB$281,"T024",'Prácticas_Snowballing'!$AC$2:$AC$281,"PROFESSIONAL PRACTICE &gt; *")</f>
        <v>0</v>
      </c>
      <c r="P31" s="17">
        <f>COUNTIFS('Prácticas_Revisiones'!$S$2:$S$282,"T024",'Prácticas_Revisiones'!$T$2:$T$282,"SOFTWARE ENG. ECONOMICS &gt; *")+COUNTIFS('Prácticas_Snowballing'!$AB$2:$AB$281,"T024",'Prácticas_Snowballing'!$AC$2:$AC$281,"SOFTWARE ENG. ECONOMICS &gt; *")</f>
        <v>0</v>
      </c>
      <c r="Q31" s="17">
        <f>COUNTIFS('Prácticas_Revisiones'!$S$2:$S$282,"T024",'Prácticas_Revisiones'!$T$2:$T$282,"SOFTWARE ENG. MANAGEMENT &gt; *")+COUNTIFS('Prácticas_Snowballing'!$AB$2:$AB$281,"T024",'Prácticas_Snowballing'!$AC$2:$AC$281,"SOFTWARE ENG. MANAGEMENT &gt; *")</f>
        <v>0</v>
      </c>
      <c r="R31" s="17">
        <f>COUNTIFS('Prácticas_Revisiones'!$S$2:$S$282,"T024",'Prácticas_Revisiones'!$T$2:$T$282,"Sin área SWEBOK")+COUNTIFS('Prácticas_Snowballing'!$AB$2:$AB$281,"T024",'Prácticas_Snowballing'!$AC$2:$AC$281,"Sin área SWEBOK")</f>
        <v>0</v>
      </c>
      <c r="S31" s="27">
        <f t="shared" si="3"/>
        <v>1</v>
      </c>
    </row>
    <row r="32" ht="15.75" customHeight="1">
      <c r="A32" s="28"/>
      <c r="B32" s="16" t="s">
        <v>2740</v>
      </c>
      <c r="C32" s="17">
        <f>COUNTIFS('Prácticas_Revisiones'!$S$2:$S$282,"T025",'Prácticas_Revisiones'!$T$2:$T$282,"REQUIREMENTS &gt; *")+COUNTIFS('Prácticas_Snowballing'!$AB$2:$AB$281,"T025",'Prácticas_Snowballing'!$AC$2:$AC$281,"REQUIREMENTS &gt; *")</f>
        <v>0</v>
      </c>
      <c r="D32" s="17">
        <f>COUNTIFS('Prácticas_Revisiones'!$S$2:$S$282,"T025",'Prácticas_Revisiones'!$T$2:$T$282,"ARCHITECTURE &gt; *")+COUNTIFS('Prácticas_Snowballing'!$AB$2:$AB$281,"T025",'Prácticas_Snowballing'!$AC$2:$AC$281,"ARCHITECTURE &gt; *")</f>
        <v>0</v>
      </c>
      <c r="E32" s="17">
        <f>COUNTIFS('Prácticas_Revisiones'!$S$2:$S$282,"T025",'Prácticas_Revisiones'!$T$2:$T$282,"DESIGN &gt; *")+COUNTIFS('Prácticas_Snowballing'!$AB$2:$AB$281,"T025",'Prácticas_Snowballing'!$AC$2:$AC$281,"DESIGN &gt; *")</f>
        <v>1</v>
      </c>
      <c r="F32" s="17">
        <f>COUNTIFS('Prácticas_Revisiones'!$S$2:$S$282,"T025",'Prácticas_Revisiones'!$T$2:$T$282,"CONSTRUCTION &gt; *")+COUNTIFS('Prácticas_Snowballing'!$AB$2:$AB$281,"T025",'Prácticas_Snowballing'!$AC$2:$AC$281,"CONSTRUCTION &gt; *")</f>
        <v>1</v>
      </c>
      <c r="G32" s="17">
        <f>COUNTIFS('Prácticas_Revisiones'!$S$2:$S$282,"T025",'Prácticas_Revisiones'!$T$2:$T$282,"SOFTWARE TESTING &gt; *")+COUNTIFS('Prácticas_Snowballing'!$AB$2:$AB$281,"T025",'Prácticas_Snowballing'!$AC$2:$AC$281,"SOFTWARE TESTING &gt; *")</f>
        <v>0</v>
      </c>
      <c r="H32" s="17">
        <f>COUNTIFS('Prácticas_Revisiones'!$S$2:$S$282,"T025",'Prácticas_Revisiones'!$T$2:$T$282,"SOFTWARE ENG. OPERATIONS &gt; *")+COUNTIFS('Prácticas_Snowballing'!$AB$2:$AB$281,"T025",'Prácticas_Snowballing'!$AC$2:$AC$281,"SOFTWARE ENG. OPERATIONS &gt; *")</f>
        <v>0</v>
      </c>
      <c r="I32" s="17">
        <f>COUNTIFS('Prácticas_Revisiones'!$S$2:$S$282,"T025",'Prácticas_Revisiones'!$T$2:$T$282,"MAINTENANCE &gt; *")+COUNTIFS('Prácticas_Snowballing'!$AB$2:$AB$281,"T025",'Prácticas_Snowballing'!$AC$2:$AC$281,"MAINTENANCE &gt; *")</f>
        <v>0</v>
      </c>
      <c r="J32" s="17">
        <f>COUNTIFS('Prácticas_Revisiones'!$S$2:$S$282,"T025",'Prácticas_Revisiones'!$T$2:$T$282,"SOFTWARE CONFIG. MGMT. &gt; *")+COUNTIFS('Prácticas_Snowballing'!$AB$2:$AB$281,"T025",'Prácticas_Snowballing'!$AC$2:$AC$281,"SOFTWARE CONFIG. MGMT. &gt; *")</f>
        <v>0</v>
      </c>
      <c r="K32" s="17">
        <f>COUNTIFS('Prácticas_Revisiones'!$S$2:$S$282,"T025",'Prácticas_Revisiones'!$T$2:$T$282,"SOFTWARE ENG. PROCESS &gt; *")+COUNTIFS('Prácticas_Snowballing'!$AB$2:$AB$281,"T025",'Prácticas_Snowballing'!$AC$2:$AC$281,"SOFTWARE ENG. PROCESS &gt; *")</f>
        <v>0</v>
      </c>
      <c r="L32" s="17">
        <f>COUNTIFS('Prácticas_Revisiones'!$S$2:$S$282,"T025",'Prácticas_Revisiones'!$T$2:$T$282,"SOFTWARE ENG. MODELS/METH. &gt; *")+COUNTIFS('Prácticas_Snowballing'!$AB$2:$AB$281,"T025",'Prácticas_Snowballing'!$AC$2:$AC$281,"SOFTWARE ENG. MODELS/METH. &gt; *")</f>
        <v>0</v>
      </c>
      <c r="M32" s="17">
        <f>COUNTIFS('Prácticas_Revisiones'!$S$2:$S$282,"T025",'Prácticas_Revisiones'!$T$2:$T$282,"SOFTWARE QUALITY &gt; *")+COUNTIFS('Prácticas_Snowballing'!$AB$2:$AB$281,"T025",'Prácticas_Snowballing'!$AC$2:$AC$281,"SOFTWARE QUALITY &gt; *")</f>
        <v>0</v>
      </c>
      <c r="N32" s="17">
        <f>COUNTIFS('Prácticas_Revisiones'!$S$2:$S$282,"T025",'Prácticas_Revisiones'!$T$2:$T$282,"SOFTWARE SECURITY &gt; *")+COUNTIFS('Prácticas_Snowballing'!$AB$2:$AB$281,"T025",'Prácticas_Snowballing'!$AC$2:$AC$281,"SOFTWARE SECURITY &gt; *")</f>
        <v>0</v>
      </c>
      <c r="O32" s="17">
        <f>COUNTIFS('Prácticas_Revisiones'!$S$2:$S$282,"T025",'Prácticas_Revisiones'!$T$2:$T$282,"PROFESSIONAL PRACTICE &gt; *")+COUNTIFS('Prácticas_Snowballing'!$AB$2:$AB$281,"T025",'Prácticas_Snowballing'!$AC$2:$AC$281,"PROFESSIONAL PRACTICE &gt; *")</f>
        <v>0</v>
      </c>
      <c r="P32" s="17">
        <f>COUNTIFS('Prácticas_Revisiones'!$S$2:$S$282,"T025",'Prácticas_Revisiones'!$T$2:$T$282,"SOFTWARE ENG. ECONOMICS &gt; *")+COUNTIFS('Prácticas_Snowballing'!$AB$2:$AB$281,"T025",'Prácticas_Snowballing'!$AC$2:$AC$281,"SOFTWARE ENG. ECONOMICS &gt; *")</f>
        <v>0</v>
      </c>
      <c r="Q32" s="17">
        <f>COUNTIFS('Prácticas_Revisiones'!$S$2:$S$282,"T025",'Prácticas_Revisiones'!$T$2:$T$282,"SOFTWARE ENG. MANAGEMENT &gt; *")+COUNTIFS('Prácticas_Snowballing'!$AB$2:$AB$281,"T025",'Prácticas_Snowballing'!$AC$2:$AC$281,"SOFTWARE ENG. MANAGEMENT &gt; *")</f>
        <v>0</v>
      </c>
      <c r="R32" s="17">
        <f>COUNTIFS('Prácticas_Revisiones'!$S$2:$S$282,"T025",'Prácticas_Revisiones'!$T$2:$T$282,"Sin área SWEBOK")+COUNTIFS('Prácticas_Snowballing'!$AB$2:$AB$281,"T025",'Prácticas_Snowballing'!$AC$2:$AC$281,"Sin área SWEBOK")</f>
        <v>2</v>
      </c>
      <c r="S32" s="27">
        <f t="shared" si="3"/>
        <v>4</v>
      </c>
    </row>
    <row r="33" ht="15.75" customHeight="1">
      <c r="A33" s="28"/>
      <c r="B33" s="16" t="s">
        <v>2741</v>
      </c>
      <c r="C33" s="17">
        <f>COUNTIFS('Prácticas_Revisiones'!$S$2:$S$282,"T026",'Prácticas_Revisiones'!$T$2:$T$282,"REQUIREMENTS &gt; *")+COUNTIFS('Prácticas_Snowballing'!$AB$2:$AB$281,"T026",'Prácticas_Snowballing'!$AC$2:$AC$281,"REQUIREMENTS &gt; *")</f>
        <v>0</v>
      </c>
      <c r="D33" s="17">
        <f>COUNTIFS('Prácticas_Revisiones'!$S$2:$S$282,"T026",'Prácticas_Revisiones'!$T$2:$T$282,"ARCHITECTURE &gt; *")+COUNTIFS('Prácticas_Snowballing'!$AB$2:$AB$281,"T026",'Prácticas_Snowballing'!$AC$2:$AC$281,"ARCHITECTURE &gt; *")</f>
        <v>0</v>
      </c>
      <c r="E33" s="17">
        <f>COUNTIFS('Prácticas_Revisiones'!$S$2:$S$282,"T026",'Prácticas_Revisiones'!$T$2:$T$282,"DESIGN &gt; *")+COUNTIFS('Prácticas_Snowballing'!$AB$2:$AB$281,"T026",'Prácticas_Snowballing'!$AC$2:$AC$281,"DESIGN &gt; *")</f>
        <v>2</v>
      </c>
      <c r="F33" s="17">
        <f>COUNTIFS('Prácticas_Revisiones'!$S$2:$S$282,"T026",'Prácticas_Revisiones'!$T$2:$T$282,"CONSTRUCTION &gt; *")+COUNTIFS('Prácticas_Snowballing'!$AB$2:$AB$281,"T026",'Prácticas_Snowballing'!$AC$2:$AC$281,"CONSTRUCTION &gt; *")</f>
        <v>0</v>
      </c>
      <c r="G33" s="17">
        <f>COUNTIFS('Prácticas_Revisiones'!$S$2:$S$282,"T026",'Prácticas_Revisiones'!$T$2:$T$282,"SOFTWARE TESTING &gt; *")+COUNTIFS('Prácticas_Snowballing'!$AB$2:$AB$281,"T026",'Prácticas_Snowballing'!$AC$2:$AC$281,"SOFTWARE TESTING &gt; *")</f>
        <v>0</v>
      </c>
      <c r="H33" s="17">
        <f>COUNTIFS('Prácticas_Revisiones'!$S$2:$S$282,"T026",'Prácticas_Revisiones'!$T$2:$T$282,"SOFTWARE ENG. OPERATIONS &gt; *")+COUNTIFS('Prácticas_Snowballing'!$AB$2:$AB$281,"T026",'Prácticas_Snowballing'!$AC$2:$AC$281,"SOFTWARE ENG. OPERATIONS &gt; *")</f>
        <v>0</v>
      </c>
      <c r="I33" s="17">
        <f>COUNTIFS('Prácticas_Revisiones'!$S$2:$S$282,"T026",'Prácticas_Revisiones'!$T$2:$T$282,"MAINTENANCE &gt; *")+COUNTIFS('Prácticas_Snowballing'!$AB$2:$AB$281,"T026",'Prácticas_Snowballing'!$AC$2:$AC$281,"MAINTENANCE &gt; *")</f>
        <v>0</v>
      </c>
      <c r="J33" s="17">
        <f>COUNTIFS('Prácticas_Revisiones'!$S$2:$S$282,"T026",'Prácticas_Revisiones'!$T$2:$T$282,"SOFTWARE CONFIG. MGMT. &gt; *")+COUNTIFS('Prácticas_Snowballing'!$AB$2:$AB$281,"T026",'Prácticas_Snowballing'!$AC$2:$AC$281,"SOFTWARE CONFIG. MGMT. &gt; *")</f>
        <v>0</v>
      </c>
      <c r="K33" s="17">
        <f>COUNTIFS('Prácticas_Revisiones'!$S$2:$S$282,"T026",'Prácticas_Revisiones'!$T$2:$T$282,"SOFTWARE ENG. PROCESS &gt; *")+COUNTIFS('Prácticas_Snowballing'!$AB$2:$AB$281,"T026",'Prácticas_Snowballing'!$AC$2:$AC$281,"SOFTWARE ENG. PROCESS &gt; *")</f>
        <v>0</v>
      </c>
      <c r="L33" s="17">
        <f>COUNTIFS('Prácticas_Revisiones'!$S$2:$S$282,"T026",'Prácticas_Revisiones'!$T$2:$T$282,"SOFTWARE ENG. MODELS/METH. &gt; *")+COUNTIFS('Prácticas_Snowballing'!$AB$2:$AB$281,"T026",'Prácticas_Snowballing'!$AC$2:$AC$281,"SOFTWARE ENG. MODELS/METH. &gt; *")</f>
        <v>0</v>
      </c>
      <c r="M33" s="17">
        <f>COUNTIFS('Prácticas_Revisiones'!$S$2:$S$282,"T026",'Prácticas_Revisiones'!$T$2:$T$282,"SOFTWARE QUALITY &gt; *")+COUNTIFS('Prácticas_Snowballing'!$AB$2:$AB$281,"T026",'Prácticas_Snowballing'!$AC$2:$AC$281,"SOFTWARE QUALITY &gt; *")</f>
        <v>0</v>
      </c>
      <c r="N33" s="17">
        <f>COUNTIFS('Prácticas_Revisiones'!$S$2:$S$282,"T026",'Prácticas_Revisiones'!$T$2:$T$282,"SOFTWARE SECURITY &gt; *")+COUNTIFS('Prácticas_Snowballing'!$AB$2:$AB$281,"T026",'Prácticas_Snowballing'!$AC$2:$AC$281,"SOFTWARE SECURITY &gt; *")</f>
        <v>0</v>
      </c>
      <c r="O33" s="17">
        <f>COUNTIFS('Prácticas_Revisiones'!$S$2:$S$282,"T026",'Prácticas_Revisiones'!$T$2:$T$282,"PROFESSIONAL PRACTICE &gt; *")+COUNTIFS('Prácticas_Snowballing'!$AB$2:$AB$281,"T026",'Prácticas_Snowballing'!$AC$2:$AC$281,"PROFESSIONAL PRACTICE &gt; *")</f>
        <v>0</v>
      </c>
      <c r="P33" s="17">
        <f>COUNTIFS('Prácticas_Revisiones'!$S$2:$S$282,"T026",'Prácticas_Revisiones'!$T$2:$T$282,"SOFTWARE ENG. ECONOMICS &gt; *")+COUNTIFS('Prácticas_Snowballing'!$AB$2:$AB$281,"T026",'Prácticas_Snowballing'!$AC$2:$AC$281,"SOFTWARE ENG. ECONOMICS &gt; *")</f>
        <v>0</v>
      </c>
      <c r="Q33" s="17">
        <f>COUNTIFS('Prácticas_Revisiones'!$S$2:$S$282,"T026",'Prácticas_Revisiones'!$T$2:$T$282,"SOFTWARE ENG. MANAGEMENT &gt; *")+COUNTIFS('Prácticas_Snowballing'!$AB$2:$AB$281,"T026",'Prácticas_Snowballing'!$AC$2:$AC$281,"SOFTWARE ENG. MANAGEMENT &gt; *")</f>
        <v>0</v>
      </c>
      <c r="R33" s="17">
        <f>COUNTIFS('Prácticas_Revisiones'!$S$2:$S$282,"T026",'Prácticas_Revisiones'!$T$2:$T$282,"Sin área SWEBOK")+COUNTIFS('Prácticas_Snowballing'!$AB$2:$AB$281,"T026",'Prácticas_Snowballing'!$AC$2:$AC$281,"Sin área SWEBOK")</f>
        <v>0</v>
      </c>
      <c r="S33" s="27">
        <f t="shared" si="3"/>
        <v>2</v>
      </c>
    </row>
    <row r="34" ht="15.75" customHeight="1">
      <c r="A34" s="28"/>
      <c r="B34" s="16" t="s">
        <v>2758</v>
      </c>
      <c r="C34" s="17">
        <f>COUNTIFS('Prácticas_Revisiones'!$S$2:$S$282,"T027",'Prácticas_Revisiones'!$T$2:$T$282,"REQUIREMENTS &gt; *")+COUNTIFS('Prácticas_Snowballing'!$AB$2:$AB$281,"T027",'Prácticas_Snowballing'!$AC$2:$AC$281,"REQUIREMENTS &gt; *")</f>
        <v>0</v>
      </c>
      <c r="D34" s="17">
        <f>COUNTIFS('Prácticas_Revisiones'!$S$2:$S$282,"T027",'Prácticas_Revisiones'!$T$2:$T$282,"ARCHITECTURE &gt; *")+COUNTIFS('Prácticas_Snowballing'!$AB$2:$AB$281,"T027",'Prácticas_Snowballing'!$AC$2:$AC$281,"ARCHITECTURE &gt; *")</f>
        <v>0</v>
      </c>
      <c r="E34" s="17">
        <f>COUNTIFS('Prácticas_Revisiones'!$S$2:$S$282,"T027",'Prácticas_Revisiones'!$T$2:$T$282,"DESIGN &gt; *")+COUNTIFS('Prácticas_Snowballing'!$AB$2:$AB$281,"T027",'Prácticas_Snowballing'!$AC$2:$AC$281,"DESIGN &gt; *")</f>
        <v>0</v>
      </c>
      <c r="F34" s="17">
        <f>COUNTIFS('Prácticas_Revisiones'!$S$2:$S$282,"T027",'Prácticas_Revisiones'!$T$2:$T$282,"CONSTRUCTION &gt; *")+COUNTIFS('Prácticas_Snowballing'!$AB$2:$AB$281,"T027",'Prácticas_Snowballing'!$AC$2:$AC$281,"CONSTRUCTION &gt; *")</f>
        <v>0</v>
      </c>
      <c r="G34" s="17">
        <f>COUNTIFS('Prácticas_Revisiones'!$S$2:$S$282,"T027",'Prácticas_Revisiones'!$T$2:$T$282,"SOFTWARE TESTING &gt; *")+COUNTIFS('Prácticas_Snowballing'!$AB$2:$AB$281,"T027",'Prácticas_Snowballing'!$AC$2:$AC$281,"SOFTWARE TESTING &gt; *")</f>
        <v>0</v>
      </c>
      <c r="H34" s="17">
        <f>COUNTIFS('Prácticas_Revisiones'!$S$2:$S$282,"T027",'Prácticas_Revisiones'!$T$2:$T$282,"SOFTWARE ENG. OPERATIONS &gt; *")+COUNTIFS('Prácticas_Snowballing'!$AB$2:$AB$281,"T027",'Prácticas_Snowballing'!$AC$2:$AC$281,"SOFTWARE ENG. OPERATIONS &gt; *")</f>
        <v>0</v>
      </c>
      <c r="I34" s="17">
        <f>COUNTIFS('Prácticas_Revisiones'!$S$2:$S$282,"T027",'Prácticas_Revisiones'!$T$2:$T$282,"MAINTENANCE &gt; *")+COUNTIFS('Prácticas_Snowballing'!$AB$2:$AB$281,"T027",'Prácticas_Snowballing'!$AC$2:$AC$281,"MAINTENANCE &gt; *")</f>
        <v>0</v>
      </c>
      <c r="J34" s="17">
        <f>COUNTIFS('Prácticas_Revisiones'!$S$2:$S$282,"T027",'Prácticas_Revisiones'!$T$2:$T$282,"SOFTWARE CONFIG. MGMT. &gt; *")+COUNTIFS('Prácticas_Snowballing'!$AB$2:$AB$281,"T027",'Prácticas_Snowballing'!$AC$2:$AC$281,"SOFTWARE CONFIG. MGMT. &gt; *")</f>
        <v>0</v>
      </c>
      <c r="K34" s="17">
        <f>COUNTIFS('Prácticas_Revisiones'!$S$2:$S$282,"T027",'Prácticas_Revisiones'!$T$2:$T$282,"SOFTWARE ENG. PROCESS &gt; *")+COUNTIFS('Prácticas_Snowballing'!$AB$2:$AB$281,"T027",'Prácticas_Snowballing'!$AC$2:$AC$281,"SOFTWARE ENG. PROCESS &gt; *")</f>
        <v>0</v>
      </c>
      <c r="L34" s="17">
        <f>COUNTIFS('Prácticas_Revisiones'!$S$2:$S$282,"T027",'Prácticas_Revisiones'!$T$2:$T$282,"SOFTWARE ENG. MODELS/METH. &gt; *")+COUNTIFS('Prácticas_Snowballing'!$AB$2:$AB$281,"T027",'Prácticas_Snowballing'!$AC$2:$AC$281,"SOFTWARE ENG. MODELS/METH. &gt; *")</f>
        <v>0</v>
      </c>
      <c r="M34" s="17">
        <f>COUNTIFS('Prácticas_Revisiones'!$S$2:$S$282,"T027",'Prácticas_Revisiones'!$T$2:$T$282,"SOFTWARE QUALITY &gt; *")+COUNTIFS('Prácticas_Snowballing'!$AB$2:$AB$281,"T027",'Prácticas_Snowballing'!$AC$2:$AC$281,"SOFTWARE QUALITY &gt; *")</f>
        <v>0</v>
      </c>
      <c r="N34" s="17">
        <f>COUNTIFS('Prácticas_Revisiones'!$S$2:$S$282,"T027",'Prácticas_Revisiones'!$T$2:$T$282,"SOFTWARE SECURITY &gt; *")+COUNTIFS('Prácticas_Snowballing'!$AB$2:$AB$281,"T027",'Prácticas_Snowballing'!$AC$2:$AC$281,"SOFTWARE SECURITY &gt; *")</f>
        <v>0</v>
      </c>
      <c r="O34" s="17">
        <f>COUNTIFS('Prácticas_Revisiones'!$S$2:$S$282,"T027",'Prácticas_Revisiones'!$T$2:$T$282,"PROFESSIONAL PRACTICE &gt; *")+COUNTIFS('Prácticas_Snowballing'!$AB$2:$AB$281,"T027",'Prácticas_Snowballing'!$AC$2:$AC$281,"PROFESSIONAL PRACTICE &gt; *")</f>
        <v>0</v>
      </c>
      <c r="P34" s="17">
        <f>COUNTIFS('Prácticas_Revisiones'!$S$2:$S$282,"T027",'Prácticas_Revisiones'!$T$2:$T$282,"SOFTWARE ENG. ECONOMICS &gt; *")+COUNTIFS('Prácticas_Snowballing'!$AB$2:$AB$281,"T027",'Prácticas_Snowballing'!$AC$2:$AC$281,"SOFTWARE ENG. ECONOMICS &gt; *")</f>
        <v>0</v>
      </c>
      <c r="Q34" s="17">
        <f>COUNTIFS('Prácticas_Revisiones'!$S$2:$S$282,"T027",'Prácticas_Revisiones'!$T$2:$T$282,"SOFTWARE ENG. MANAGEMENT &gt; *")+COUNTIFS('Prácticas_Snowballing'!$AB$2:$AB$281,"T027",'Prácticas_Snowballing'!$AC$2:$AC$281,"SOFTWARE ENG. MANAGEMENT &gt; *")</f>
        <v>0</v>
      </c>
      <c r="R34" s="17">
        <f>COUNTIFS('Prácticas_Revisiones'!$S$2:$S$282,"T027",'Prácticas_Revisiones'!$T$2:$T$282,"Sin área SWEBOK")+COUNTIFS('Prácticas_Snowballing'!$AB$2:$AB$281,"T027",'Prácticas_Snowballing'!$AC$2:$AC$281,"Sin área SWEBOK")</f>
        <v>0</v>
      </c>
      <c r="S34" s="27">
        <f t="shared" si="3"/>
        <v>0</v>
      </c>
    </row>
    <row r="35" ht="15.75" customHeight="1">
      <c r="A35" s="28"/>
      <c r="B35" s="16" t="s">
        <v>2760</v>
      </c>
      <c r="C35" s="17">
        <f>COUNTIFS('Prácticas_Revisiones'!$S$2:$S$282,"T028",'Prácticas_Revisiones'!$T$2:$T$282,"REQUIREMENTS &gt; *")+COUNTIFS('Prácticas_Snowballing'!$AB$2:$AB$281,"T028",'Prácticas_Snowballing'!$AC$2:$AC$281,"REQUIREMENTS &gt; *")</f>
        <v>0</v>
      </c>
      <c r="D35" s="17">
        <f>COUNTIFS('Prácticas_Revisiones'!$S$2:$S$282,"T028",'Prácticas_Revisiones'!$T$2:$T$282,"ARCHITECTURE &gt; *")+COUNTIFS('Prácticas_Snowballing'!$AB$2:$AB$281,"T028",'Prácticas_Snowballing'!$AC$2:$AC$281,"ARCHITECTURE &gt; *")</f>
        <v>0</v>
      </c>
      <c r="E35" s="17">
        <f>COUNTIFS('Prácticas_Revisiones'!$S$2:$S$282,"T028",'Prácticas_Revisiones'!$T$2:$T$282,"DESIGN &gt; *")+COUNTIFS('Prácticas_Snowballing'!$AB$2:$AB$281,"T028",'Prácticas_Snowballing'!$AC$2:$AC$281,"DESIGN &gt; *")</f>
        <v>0</v>
      </c>
      <c r="F35" s="17">
        <f>COUNTIFS('Prácticas_Revisiones'!$S$2:$S$282,"T028",'Prácticas_Revisiones'!$T$2:$T$282,"CONSTRUCTION &gt; *")+COUNTIFS('Prácticas_Snowballing'!$AB$2:$AB$281,"T028",'Prácticas_Snowballing'!$AC$2:$AC$281,"CONSTRUCTION &gt; *")</f>
        <v>0</v>
      </c>
      <c r="G35" s="17">
        <f>COUNTIFS('Prácticas_Revisiones'!$S$2:$S$282,"T028",'Prácticas_Revisiones'!$T$2:$T$282,"SOFTWARE TESTING &gt; *")+COUNTIFS('Prácticas_Snowballing'!$AB$2:$AB$281,"T028",'Prácticas_Snowballing'!$AC$2:$AC$281,"SOFTWARE TESTING &gt; *")</f>
        <v>0</v>
      </c>
      <c r="H35" s="17">
        <f>COUNTIFS('Prácticas_Revisiones'!$S$2:$S$282,"T028",'Prácticas_Revisiones'!$T$2:$T$282,"SOFTWARE ENG. OPERATIONS &gt; *")+COUNTIFS('Prácticas_Snowballing'!$AB$2:$AB$281,"T028",'Prácticas_Snowballing'!$AC$2:$AC$281,"SOFTWARE ENG. OPERATIONS &gt; *")</f>
        <v>0</v>
      </c>
      <c r="I35" s="17">
        <f>COUNTIFS('Prácticas_Revisiones'!$S$2:$S$282,"T028",'Prácticas_Revisiones'!$T$2:$T$282,"MAINTENANCE &gt; *")+COUNTIFS('Prácticas_Snowballing'!$AB$2:$AB$281,"T028",'Prácticas_Snowballing'!$AC$2:$AC$281,"MAINTENANCE &gt; *")</f>
        <v>0</v>
      </c>
      <c r="J35" s="17">
        <f>COUNTIFS('Prácticas_Revisiones'!$S$2:$S$282,"T028",'Prácticas_Revisiones'!$T$2:$T$282,"SOFTWARE CONFIG. MGMT. &gt; *")+COUNTIFS('Prácticas_Snowballing'!$AB$2:$AB$281,"T028",'Prácticas_Snowballing'!$AC$2:$AC$281,"SOFTWARE CONFIG. MGMT. &gt; *")</f>
        <v>0</v>
      </c>
      <c r="K35" s="17">
        <f>COUNTIFS('Prácticas_Revisiones'!$S$2:$S$282,"T028",'Prácticas_Revisiones'!$T$2:$T$282,"SOFTWARE ENG. PROCESS &gt; *")+COUNTIFS('Prácticas_Snowballing'!$AB$2:$AB$281,"T028",'Prácticas_Snowballing'!$AC$2:$AC$281,"SOFTWARE ENG. PROCESS &gt; *")</f>
        <v>0</v>
      </c>
      <c r="L35" s="17">
        <f>COUNTIFS('Prácticas_Revisiones'!$S$2:$S$282,"T028",'Prácticas_Revisiones'!$T$2:$T$282,"SOFTWARE ENG. MODELS/METH. &gt; *")+COUNTIFS('Prácticas_Snowballing'!$AB$2:$AB$281,"T028",'Prácticas_Snowballing'!$AC$2:$AC$281,"SOFTWARE ENG. MODELS/METH. &gt; *")</f>
        <v>0</v>
      </c>
      <c r="M35" s="17">
        <f>COUNTIFS('Prácticas_Revisiones'!$S$2:$S$282,"T028",'Prácticas_Revisiones'!$T$2:$T$282,"SOFTWARE QUALITY &gt; *")+COUNTIFS('Prácticas_Snowballing'!$AB$2:$AB$281,"T028",'Prácticas_Snowballing'!$AC$2:$AC$281,"SOFTWARE QUALITY &gt; *")</f>
        <v>0</v>
      </c>
      <c r="N35" s="17">
        <f>COUNTIFS('Prácticas_Revisiones'!$S$2:$S$282,"T028",'Prácticas_Revisiones'!$T$2:$T$282,"SOFTWARE SECURITY &gt; *")+COUNTIFS('Prácticas_Snowballing'!$AB$2:$AB$281,"T028",'Prácticas_Snowballing'!$AC$2:$AC$281,"SOFTWARE SECURITY &gt; *")</f>
        <v>0</v>
      </c>
      <c r="O35" s="17">
        <f>COUNTIFS('Prácticas_Revisiones'!$S$2:$S$282,"T028",'Prácticas_Revisiones'!$T$2:$T$282,"PROFESSIONAL PRACTICE &gt; *")+COUNTIFS('Prácticas_Snowballing'!$AB$2:$AB$281,"T028",'Prácticas_Snowballing'!$AC$2:$AC$281,"PROFESSIONAL PRACTICE &gt; *")</f>
        <v>0</v>
      </c>
      <c r="P35" s="17">
        <f>COUNTIFS('Prácticas_Revisiones'!$S$2:$S$282,"T028",'Prácticas_Revisiones'!$T$2:$T$282,"SOFTWARE ENG. ECONOMICS &gt; *")+COUNTIFS('Prácticas_Snowballing'!$AB$2:$AB$281,"T028",'Prácticas_Snowballing'!$AC$2:$AC$281,"SOFTWARE ENG. ECONOMICS &gt; *")</f>
        <v>0</v>
      </c>
      <c r="Q35" s="17">
        <f>COUNTIFS('Prácticas_Revisiones'!$S$2:$S$282,"T028",'Prácticas_Revisiones'!$T$2:$T$282,"SOFTWARE ENG. MANAGEMENT &gt; *")+COUNTIFS('Prácticas_Snowballing'!$AB$2:$AB$281,"T028",'Prácticas_Snowballing'!$AC$2:$AC$281,"SOFTWARE ENG. MANAGEMENT &gt; *")</f>
        <v>0</v>
      </c>
      <c r="R35" s="17">
        <f>COUNTIFS('Prácticas_Revisiones'!$S$2:$S$282,"T028",'Prácticas_Revisiones'!$T$2:$T$282,"Sin área SWEBOK")+COUNTIFS('Prácticas_Snowballing'!$AB$2:$AB$281,"T028",'Prácticas_Snowballing'!$AC$2:$AC$281,"Sin área SWEBOK")</f>
        <v>0</v>
      </c>
      <c r="S35" s="27">
        <f t="shared" si="3"/>
        <v>0</v>
      </c>
    </row>
    <row r="36" ht="15.75" customHeight="1">
      <c r="A36" s="28"/>
      <c r="B36" s="16" t="s">
        <v>2746</v>
      </c>
      <c r="C36" s="17">
        <f>COUNTIFS('Prácticas_Revisiones'!$S$2:$S$282,"T029",'Prácticas_Revisiones'!$T$2:$T$282,"REQUIREMENTS &gt; *")+COUNTIFS('Prácticas_Snowballing'!$AB$2:$AB$281,"T029",'Prácticas_Snowballing'!$AC$2:$AC$281,"REQUIREMENTS &gt; *")</f>
        <v>0</v>
      </c>
      <c r="D36" s="17">
        <f>COUNTIFS('Prácticas_Revisiones'!$S$2:$S$282,"T029",'Prácticas_Revisiones'!$T$2:$T$282,"ARCHITECTURE &gt; *")+COUNTIFS('Prácticas_Snowballing'!$AB$2:$AB$281,"T029",'Prácticas_Snowballing'!$AC$2:$AC$281,"ARCHITECTURE &gt; *")</f>
        <v>0</v>
      </c>
      <c r="E36" s="17">
        <f>COUNTIFS('Prácticas_Revisiones'!$S$2:$S$282,"T029",'Prácticas_Revisiones'!$T$2:$T$282,"DESIGN &gt; *")+COUNTIFS('Prácticas_Snowballing'!$AB$2:$AB$281,"T029",'Prácticas_Snowballing'!$AC$2:$AC$281,"DESIGN &gt; *")</f>
        <v>0</v>
      </c>
      <c r="F36" s="17">
        <f>COUNTIFS('Prácticas_Revisiones'!$S$2:$S$282,"T029",'Prácticas_Revisiones'!$T$2:$T$282,"CONSTRUCTION &gt; *")+COUNTIFS('Prácticas_Snowballing'!$AB$2:$AB$281,"T029",'Prácticas_Snowballing'!$AC$2:$AC$281,"CONSTRUCTION &gt; *")</f>
        <v>0</v>
      </c>
      <c r="G36" s="17">
        <f>COUNTIFS('Prácticas_Revisiones'!$S$2:$S$282,"T029",'Prácticas_Revisiones'!$T$2:$T$282,"SOFTWARE TESTING &gt; *")+COUNTIFS('Prácticas_Snowballing'!$AB$2:$AB$281,"T029",'Prácticas_Snowballing'!$AC$2:$AC$281,"SOFTWARE TESTING &gt; *")</f>
        <v>0</v>
      </c>
      <c r="H36" s="17">
        <f>COUNTIFS('Prácticas_Revisiones'!$S$2:$S$282,"T029",'Prácticas_Revisiones'!$T$2:$T$282,"SOFTWARE ENG. OPERATIONS &gt; *")+COUNTIFS('Prácticas_Snowballing'!$AB$2:$AB$281,"T029",'Prácticas_Snowballing'!$AC$2:$AC$281,"SOFTWARE ENG. OPERATIONS &gt; *")</f>
        <v>0</v>
      </c>
      <c r="I36" s="17">
        <f>COUNTIFS('Prácticas_Revisiones'!$S$2:$S$282,"T029",'Prácticas_Revisiones'!$T$2:$T$282,"MAINTENANCE &gt; *")+COUNTIFS('Prácticas_Snowballing'!$AB$2:$AB$281,"T029",'Prácticas_Snowballing'!$AC$2:$AC$281,"MAINTENANCE &gt; *")</f>
        <v>0</v>
      </c>
      <c r="J36" s="17">
        <f>COUNTIFS('Prácticas_Revisiones'!$S$2:$S$282,"T029",'Prácticas_Revisiones'!$T$2:$T$282,"SOFTWARE CONFIG. MGMT. &gt; *")+COUNTIFS('Prácticas_Snowballing'!$AB$2:$AB$281,"T029",'Prácticas_Snowballing'!$AC$2:$AC$281,"SOFTWARE CONFIG. MGMT. &gt; *")</f>
        <v>0</v>
      </c>
      <c r="K36" s="17">
        <f>COUNTIFS('Prácticas_Revisiones'!$S$2:$S$282,"T029",'Prácticas_Revisiones'!$T$2:$T$282,"SOFTWARE ENG. PROCESS &gt; *")+COUNTIFS('Prácticas_Snowballing'!$AB$2:$AB$281,"T029",'Prácticas_Snowballing'!$AC$2:$AC$281,"SOFTWARE ENG. PROCESS &gt; *")</f>
        <v>0</v>
      </c>
      <c r="L36" s="17">
        <f>COUNTIFS('Prácticas_Revisiones'!$S$2:$S$282,"T029",'Prácticas_Revisiones'!$T$2:$T$282,"SOFTWARE ENG. MODELS/METH. &gt; *")+COUNTIFS('Prácticas_Snowballing'!$AB$2:$AB$281,"T029",'Prácticas_Snowballing'!$AC$2:$AC$281,"SOFTWARE ENG. MODELS/METH. &gt; *")</f>
        <v>0</v>
      </c>
      <c r="M36" s="17">
        <f>COUNTIFS('Prácticas_Revisiones'!$S$2:$S$282,"T029",'Prácticas_Revisiones'!$T$2:$T$282,"SOFTWARE QUALITY &gt; *")+COUNTIFS('Prácticas_Snowballing'!$AB$2:$AB$281,"T029",'Prácticas_Snowballing'!$AC$2:$AC$281,"SOFTWARE QUALITY &gt; *")</f>
        <v>0</v>
      </c>
      <c r="N36" s="17">
        <f>COUNTIFS('Prácticas_Revisiones'!$S$2:$S$282,"T029",'Prácticas_Revisiones'!$T$2:$T$282,"SOFTWARE SECURITY &gt; *")+COUNTIFS('Prácticas_Snowballing'!$AB$2:$AB$281,"T029",'Prácticas_Snowballing'!$AC$2:$AC$281,"SOFTWARE SECURITY &gt; *")</f>
        <v>0</v>
      </c>
      <c r="O36" s="17">
        <f>COUNTIFS('Prácticas_Revisiones'!$S$2:$S$282,"T029",'Prácticas_Revisiones'!$T$2:$T$282,"PROFESSIONAL PRACTICE &gt; *")+COUNTIFS('Prácticas_Snowballing'!$AB$2:$AB$281,"T029",'Prácticas_Snowballing'!$AC$2:$AC$281,"PROFESSIONAL PRACTICE &gt; *")</f>
        <v>0</v>
      </c>
      <c r="P36" s="17">
        <f>COUNTIFS('Prácticas_Revisiones'!$S$2:$S$282,"T029",'Prácticas_Revisiones'!$T$2:$T$282,"SOFTWARE ENG. ECONOMICS &gt; *")+COUNTIFS('Prácticas_Snowballing'!$AB$2:$AB$281,"T029",'Prácticas_Snowballing'!$AC$2:$AC$281,"SOFTWARE ENG. ECONOMICS &gt; *")</f>
        <v>0</v>
      </c>
      <c r="Q36" s="17">
        <f>COUNTIFS('Prácticas_Revisiones'!$S$2:$S$282,"T029",'Prácticas_Revisiones'!$T$2:$T$282,"SOFTWARE ENG. MANAGEMENT &gt; *")+COUNTIFS('Prácticas_Snowballing'!$AB$2:$AB$281,"T029",'Prácticas_Snowballing'!$AC$2:$AC$281,"SOFTWARE ENG. MANAGEMENT &gt; *")</f>
        <v>0</v>
      </c>
      <c r="R36" s="17">
        <f>COUNTIFS('Prácticas_Revisiones'!$S$2:$S$282,"T029",'Prácticas_Revisiones'!$T$2:$T$282,"Sin área SWEBOK")+COUNTIFS('Prácticas_Snowballing'!$AB$2:$AB$281,"T029",'Prácticas_Snowballing'!$AC$2:$AC$281,"Sin área SWEBOK")</f>
        <v>1</v>
      </c>
      <c r="S36" s="27">
        <f t="shared" si="3"/>
        <v>1</v>
      </c>
    </row>
    <row r="37" ht="15.75" customHeight="1">
      <c r="A37" s="28"/>
      <c r="B37" s="16" t="s">
        <v>2762</v>
      </c>
      <c r="C37" s="17">
        <f>COUNTIFS('Prácticas_Revisiones'!$S$2:$S$282,"T030",'Prácticas_Revisiones'!$T$2:$T$282,"REQUIREMENTS &gt; *")+COUNTIFS('Prácticas_Snowballing'!$AB$2:$AB$281,"T030",'Prácticas_Snowballing'!$AC$2:$AC$281,"REQUIREMENTS &gt; *")</f>
        <v>0</v>
      </c>
      <c r="D37" s="17">
        <f>COUNTIFS('Prácticas_Revisiones'!$S$2:$S$282,"T030",'Prácticas_Revisiones'!$T$2:$T$282,"ARCHITECTURE &gt; *")+COUNTIFS('Prácticas_Snowballing'!$AB$2:$AB$281,"T030",'Prácticas_Snowballing'!$AC$2:$AC$281,"ARCHITECTURE &gt; *")</f>
        <v>0</v>
      </c>
      <c r="E37" s="17">
        <f>COUNTIFS('Prácticas_Revisiones'!$S$2:$S$282,"T030",'Prácticas_Revisiones'!$T$2:$T$282,"DESIGN &gt; *")+COUNTIFS('Prácticas_Snowballing'!$AB$2:$AB$281,"T030",'Prácticas_Snowballing'!$AC$2:$AC$281,"DESIGN &gt; *")</f>
        <v>0</v>
      </c>
      <c r="F37" s="17">
        <f>COUNTIFS('Prácticas_Revisiones'!$S$2:$S$282,"T030",'Prácticas_Revisiones'!$T$2:$T$282,"CONSTRUCTION &gt; *")+COUNTIFS('Prácticas_Snowballing'!$AB$2:$AB$281,"T030",'Prácticas_Snowballing'!$AC$2:$AC$281,"CONSTRUCTION &gt; *")</f>
        <v>0</v>
      </c>
      <c r="G37" s="17">
        <f>COUNTIFS('Prácticas_Revisiones'!$S$2:$S$282,"T030",'Prácticas_Revisiones'!$T$2:$T$282,"SOFTWARE TESTING &gt; *")+COUNTIFS('Prácticas_Snowballing'!$AB$2:$AB$281,"T030",'Prácticas_Snowballing'!$AC$2:$AC$281,"SOFTWARE TESTING &gt; *")</f>
        <v>0</v>
      </c>
      <c r="H37" s="17">
        <f>COUNTIFS('Prácticas_Revisiones'!$S$2:$S$282,"T030",'Prácticas_Revisiones'!$T$2:$T$282,"SOFTWARE ENG. OPERATIONS &gt; *")+COUNTIFS('Prácticas_Snowballing'!$AB$2:$AB$281,"T030",'Prácticas_Snowballing'!$AC$2:$AC$281,"SOFTWARE ENG. OPERATIONS &gt; *")</f>
        <v>0</v>
      </c>
      <c r="I37" s="17">
        <f>COUNTIFS('Prácticas_Revisiones'!$S$2:$S$282,"T030",'Prácticas_Revisiones'!$T$2:$T$282,"MAINTENANCE &gt; *")+COUNTIFS('Prácticas_Snowballing'!$AB$2:$AB$281,"T030",'Prácticas_Snowballing'!$AC$2:$AC$281,"MAINTENANCE &gt; *")</f>
        <v>0</v>
      </c>
      <c r="J37" s="17">
        <f>COUNTIFS('Prácticas_Revisiones'!$S$2:$S$282,"T030",'Prácticas_Revisiones'!$T$2:$T$282,"SOFTWARE CONFIG. MGMT. &gt; *")+COUNTIFS('Prácticas_Snowballing'!$AB$2:$AB$281,"T030",'Prácticas_Snowballing'!$AC$2:$AC$281,"SOFTWARE CONFIG. MGMT. &gt; *")</f>
        <v>0</v>
      </c>
      <c r="K37" s="17">
        <f>COUNTIFS('Prácticas_Revisiones'!$S$2:$S$282,"T030",'Prácticas_Revisiones'!$T$2:$T$282,"SOFTWARE ENG. PROCESS &gt; *")+COUNTIFS('Prácticas_Snowballing'!$AB$2:$AB$281,"T030",'Prácticas_Snowballing'!$AC$2:$AC$281,"SOFTWARE ENG. PROCESS &gt; *")</f>
        <v>0</v>
      </c>
      <c r="L37" s="17">
        <f>COUNTIFS('Prácticas_Revisiones'!$S$2:$S$282,"T030",'Prácticas_Revisiones'!$T$2:$T$282,"SOFTWARE ENG. MODELS/METH. &gt; *")+COUNTIFS('Prácticas_Snowballing'!$AB$2:$AB$281,"T030",'Prácticas_Snowballing'!$AC$2:$AC$281,"SOFTWARE ENG. MODELS/METH. &gt; *")</f>
        <v>0</v>
      </c>
      <c r="M37" s="17">
        <f>COUNTIFS('Prácticas_Revisiones'!$S$2:$S$282,"T030",'Prácticas_Revisiones'!$T$2:$T$282,"SOFTWARE QUALITY &gt; *")+COUNTIFS('Prácticas_Snowballing'!$AB$2:$AB$281,"T030",'Prácticas_Snowballing'!$AC$2:$AC$281,"SOFTWARE QUALITY &gt; *")</f>
        <v>0</v>
      </c>
      <c r="N37" s="17">
        <f>COUNTIFS('Prácticas_Revisiones'!$S$2:$S$282,"T030",'Prácticas_Revisiones'!$T$2:$T$282,"SOFTWARE SECURITY &gt; *")+COUNTIFS('Prácticas_Snowballing'!$AB$2:$AB$281,"T030",'Prácticas_Snowballing'!$AC$2:$AC$281,"SOFTWARE SECURITY &gt; *")</f>
        <v>0</v>
      </c>
      <c r="O37" s="17">
        <f>COUNTIFS('Prácticas_Revisiones'!$S$2:$S$282,"T030",'Prácticas_Revisiones'!$T$2:$T$282,"PROFESSIONAL PRACTICE &gt; *")+COUNTIFS('Prácticas_Snowballing'!$AB$2:$AB$281,"T030",'Prácticas_Snowballing'!$AC$2:$AC$281,"PROFESSIONAL PRACTICE &gt; *")</f>
        <v>0</v>
      </c>
      <c r="P37" s="17">
        <f>COUNTIFS('Prácticas_Revisiones'!$S$2:$S$282,"T030",'Prácticas_Revisiones'!$T$2:$T$282,"SOFTWARE ENG. ECONOMICS &gt; *")+COUNTIFS('Prácticas_Snowballing'!$AB$2:$AB$281,"T030",'Prácticas_Snowballing'!$AC$2:$AC$281,"SOFTWARE ENG. ECONOMICS &gt; *")</f>
        <v>0</v>
      </c>
      <c r="Q37" s="17">
        <f>COUNTIFS('Prácticas_Revisiones'!$S$2:$S$282,"T030",'Prácticas_Revisiones'!$T$2:$T$282,"SOFTWARE ENG. MANAGEMENT &gt; *")+COUNTIFS('Prácticas_Snowballing'!$AB$2:$AB$281,"T030",'Prácticas_Snowballing'!$AC$2:$AC$281,"SOFTWARE ENG. MANAGEMENT &gt; *")</f>
        <v>0</v>
      </c>
      <c r="R37" s="17">
        <f>COUNTIFS('Prácticas_Revisiones'!$S$2:$S$282,"T030",'Prácticas_Revisiones'!$T$2:$T$282,"Sin área SWEBOK")+COUNTIFS('Prácticas_Snowballing'!$AB$2:$AB$281,"T030",'Prácticas_Snowballing'!$AC$2:$AC$281,"Sin área SWEBOK")</f>
        <v>0</v>
      </c>
      <c r="S37" s="27">
        <f t="shared" si="3"/>
        <v>0</v>
      </c>
    </row>
    <row r="38" ht="15.75" customHeight="1">
      <c r="A38" s="23"/>
      <c r="B38" s="9" t="s">
        <v>2199</v>
      </c>
      <c r="C38" s="17">
        <f>COUNTIFS('Prácticas_Revisiones'!$S$2:$S$282,"Sin equivalente en catálogo (EXPLICAR)",'Prácticas_Revisiones'!$T$2:$T$282,"REQUIREMENTS &gt; *")+COUNTIFS('Prácticas_Snowballing'!$AB$2:$AB$281,"Sin equivalente en catálogo (EXPLICAR)",'Prácticas_Snowballing'!$AC$2:$AC$281,"REQUIREMENTS &gt; *")</f>
        <v>0</v>
      </c>
      <c r="D38" s="17">
        <f>COUNTIFS('Prácticas_Revisiones'!$S$2:$S$282,"Sin equivalente en catálogo (EXPLICAR)",'Prácticas_Revisiones'!$T$2:$T$282,"ARCHITECTURE &gt; *")+COUNTIFS('Prácticas_Snowballing'!$AB$2:$AB$281,"Sin equivalente en catálogo (EXPLICAR)",'Prácticas_Snowballing'!$AC$2:$AC$281,"ARCHITECTURE &gt; *")</f>
        <v>0</v>
      </c>
      <c r="E38" s="17">
        <f>COUNTIFS('Prácticas_Revisiones'!$S$2:$S$282,"Sin equivalente en catálogo (EXPLICAR)",'Prácticas_Revisiones'!$T$2:$T$282,"DESIGN &gt; *")+COUNTIFS('Prácticas_Snowballing'!$AB$2:$AB$281,"Sin equivalente en catálogo (EXPLICAR)",'Prácticas_Snowballing'!$AC$2:$AC$281,"DESIGN &gt; *")</f>
        <v>0</v>
      </c>
      <c r="F38" s="17">
        <f>COUNTIFS('Prácticas_Revisiones'!$S$2:$S$282,"Sin equivalente en catálogo (EXPLICAR)",'Prácticas_Revisiones'!$T$2:$T$282,"CONSTRUCTION &gt; *")+COUNTIFS('Prácticas_Snowballing'!$AB$2:$AB$281,"Sin equivalente en catálogo (EXPLICAR)",'Prácticas_Snowballing'!$AC$2:$AC$281,"CONSTRUCTION &gt; *")</f>
        <v>0</v>
      </c>
      <c r="G38" s="17">
        <f>COUNTIFS('Prácticas_Revisiones'!$S$2:$S$282,"Sin equivalente en catálogo (EXPLICAR)",'Prácticas_Revisiones'!$T$2:$T$282,"SOFTWARE TESTING &gt; *")+COUNTIFS('Prácticas_Snowballing'!$AB$2:$AB$281,"Sin equivalente en catálogo (EXPLICAR)",'Prácticas_Snowballing'!$AC$2:$AC$281,"SOFTWARE TESTING &gt; *")</f>
        <v>0</v>
      </c>
      <c r="H38" s="17">
        <f>COUNTIFS('Prácticas_Revisiones'!$S$2:$S$282,"Sin equivalente en catálogo (EXPLICAR)",'Prácticas_Revisiones'!$T$2:$T$282,"SOFTWARE ENG. OPERATIONS &gt; *")+COUNTIFS('Prácticas_Snowballing'!$AB$2:$AB$281,"Sin equivalente en catálogo (EXPLICAR)",'Prácticas_Snowballing'!$AC$2:$AC$281,"SOFTWARE ENG. OPERATIONS &gt; *")</f>
        <v>0</v>
      </c>
      <c r="I38" s="17">
        <f>COUNTIFS('Prácticas_Revisiones'!$S$2:$S$282,"Sin equivalente en catálogo (EXPLICAR)",'Prácticas_Revisiones'!$T$2:$T$282,"MAINTENANCE &gt; *")+COUNTIFS('Prácticas_Snowballing'!$AB$2:$AB$281,"Sin equivalente en catálogo (EXPLICAR)",'Prácticas_Snowballing'!$AC$2:$AC$281,"MAINTENANCE &gt; *")</f>
        <v>0</v>
      </c>
      <c r="J38" s="17">
        <f>COUNTIFS('Prácticas_Revisiones'!$S$2:$S$282,"Sin equivalente en catálogo (EXPLICAR)",'Prácticas_Revisiones'!$T$2:$T$282,"SOFTWARE CONFIG. MGMT. &gt; *")+COUNTIFS('Prácticas_Snowballing'!$AB$2:$AB$281,"Sin equivalente en catálogo (EXPLICAR)",'Prácticas_Snowballing'!$AC$2:$AC$281,"SOFTWARE CONFIG. MGMT. &gt; *")</f>
        <v>0</v>
      </c>
      <c r="K38" s="17">
        <f>COUNTIFS('Prácticas_Revisiones'!$S$2:$S$282,"Sin equivalente en catálogo (EXPLICAR)",'Prácticas_Revisiones'!$T$2:$T$282,"SOFTWARE ENG. PROCESS &gt; *")+COUNTIFS('Prácticas_Snowballing'!$AB$2:$AB$281,"Sin equivalente en catálogo (EXPLICAR)",'Prácticas_Snowballing'!$AC$2:$AC$281,"SOFTWARE ENG. PROCESS &gt; *")</f>
        <v>0</v>
      </c>
      <c r="L38" s="17">
        <f>COUNTIFS('Prácticas_Revisiones'!$S$2:$S$282,"Sin equivalente en catálogo (EXPLICAR)",'Prácticas_Revisiones'!$T$2:$T$282,"SOFTWARE ENG. MODELS/METH. &gt; *")+COUNTIFS('Prácticas_Snowballing'!$AB$2:$AB$281,"Sin equivalente en catálogo (EXPLICAR)",'Prácticas_Snowballing'!$AC$2:$AC$281,"SOFTWARE ENG. MODELS/METH. &gt; *")</f>
        <v>0</v>
      </c>
      <c r="M38" s="17">
        <f>COUNTIFS('Prácticas_Revisiones'!$S$2:$S$282,"Sin equivalente en catálogo (EXPLICAR)",'Prácticas_Revisiones'!$T$2:$T$282,"SOFTWARE QUALITY &gt; *")+COUNTIFS('Prácticas_Snowballing'!$AB$2:$AB$281,"Sin equivalente en catálogo (EXPLICAR)",'Prácticas_Snowballing'!$AC$2:$AC$281,"SOFTWARE QUALITY &gt; *")</f>
        <v>0</v>
      </c>
      <c r="N38" s="17">
        <f>COUNTIFS('Prácticas_Revisiones'!$S$2:$S$282,"Sin equivalente en catálogo (EXPLICAR)",'Prácticas_Revisiones'!$T$2:$T$282,"SOFTWARE SECURITY &gt; *")+COUNTIFS('Prácticas_Snowballing'!$AB$2:$AB$281,"Sin equivalente en catálogo (EXPLICAR)",'Prácticas_Snowballing'!$AC$2:$AC$281,"SOFTWARE SECURITY &gt; *")</f>
        <v>0</v>
      </c>
      <c r="O38" s="17">
        <f>COUNTIFS('Prácticas_Revisiones'!$S$2:$S$282,"Sin equivalente en catálogo (EXPLICAR)",'Prácticas_Revisiones'!$T$2:$T$282,"PROFESSIONAL PRACTICE &gt; *")+COUNTIFS('Prácticas_Snowballing'!$AB$2:$AB$281,"Sin equivalente en catálogo (EXPLICAR)",'Prácticas_Snowballing'!$AC$2:$AC$281,"PROFESSIONAL PRACTICE &gt; *")</f>
        <v>0</v>
      </c>
      <c r="P38" s="17">
        <f>COUNTIFS('Prácticas_Revisiones'!$S$2:$S$282,"Sin equivalente en catálogo (EXPLICAR)",'Prácticas_Revisiones'!$T$2:$T$282,"SOFTWARE ENG. ECONOMICS &gt; *")+COUNTIFS('Prácticas_Snowballing'!$AB$2:$AB$281,"Sin equivalente en catálogo (EXPLICAR)",'Prácticas_Snowballing'!$AC$2:$AC$281,"SOFTWARE ENG. ECONOMICS &gt; *")</f>
        <v>0</v>
      </c>
      <c r="Q38" s="17">
        <f>COUNTIFS('Prácticas_Revisiones'!$S$2:$S$282,"Sin equivalente en catálogo (EXPLICAR)",'Prácticas_Revisiones'!$T$2:$T$282,"SOFTWARE ENG. MANAGEMENT &gt; *")+COUNTIFS('Prácticas_Snowballing'!$AB$2:$AB$281,"Sin equivalente en catálogo (EXPLICAR)",'Prácticas_Snowballing'!$AC$2:$AC$281,"SOFTWARE ENG. MANAGEMENT &gt; *")</f>
        <v>0</v>
      </c>
      <c r="R38" s="17">
        <f>COUNTIFS('Prácticas_Revisiones'!$S$2:$S$282,"Sin equivalente en catálogo (EXPLICAR)",'Prácticas_Revisiones'!$T$2:$T$282,"Sin área SWEBOK")+COUNTIFS('Prácticas_Snowballing'!$AB$2:$AB$281,"Sin equivalente en catálogo (EXPLICAR)",'Prácticas_Snowballing'!$AC$2:$AC$281,"Sin área SWEBOK")</f>
        <v>0</v>
      </c>
      <c r="S38" s="27">
        <f t="shared" si="3"/>
        <v>0</v>
      </c>
    </row>
    <row r="39" ht="15.75" customHeight="1">
      <c r="A39" s="35" t="s">
        <v>2870</v>
      </c>
      <c r="B39" s="20"/>
      <c r="C39" s="29">
        <f t="shared" ref="C39:S39" si="4">SUM(C19:C38)</f>
        <v>0</v>
      </c>
      <c r="D39" s="29">
        <f t="shared" si="4"/>
        <v>0</v>
      </c>
      <c r="E39" s="29">
        <f t="shared" si="4"/>
        <v>4</v>
      </c>
      <c r="F39" s="29">
        <f t="shared" si="4"/>
        <v>39</v>
      </c>
      <c r="G39" s="29">
        <f t="shared" si="4"/>
        <v>0</v>
      </c>
      <c r="H39" s="29">
        <f t="shared" si="4"/>
        <v>0</v>
      </c>
      <c r="I39" s="29">
        <f t="shared" si="4"/>
        <v>1</v>
      </c>
      <c r="J39" s="29">
        <f t="shared" si="4"/>
        <v>0</v>
      </c>
      <c r="K39" s="29">
        <f t="shared" si="4"/>
        <v>0</v>
      </c>
      <c r="L39" s="29">
        <f t="shared" si="4"/>
        <v>0</v>
      </c>
      <c r="M39" s="29">
        <f t="shared" si="4"/>
        <v>1</v>
      </c>
      <c r="N39" s="29">
        <f t="shared" si="4"/>
        <v>0</v>
      </c>
      <c r="O39" s="29">
        <f t="shared" si="4"/>
        <v>0</v>
      </c>
      <c r="P39" s="29">
        <f t="shared" si="4"/>
        <v>0</v>
      </c>
      <c r="Q39" s="29">
        <f t="shared" si="4"/>
        <v>0</v>
      </c>
      <c r="R39" s="29">
        <f t="shared" si="4"/>
        <v>3</v>
      </c>
      <c r="S39" s="29">
        <f t="shared" si="4"/>
        <v>48</v>
      </c>
    </row>
    <row r="40" ht="15.75" customHeight="1">
      <c r="A40" s="15" t="s">
        <v>33</v>
      </c>
      <c r="B40" s="16" t="s">
        <v>2765</v>
      </c>
      <c r="C40" s="17">
        <f>COUNTIFS('Prácticas_Revisiones'!$S$2:$S$282,"T031",'Prácticas_Revisiones'!$T$2:$T$282,"REQUIREMENTS &gt; *")+COUNTIFS('Prácticas_Snowballing'!$AB$2:$AB$281,"T031",'Prácticas_Snowballing'!$AC$2:$AC$281,"REQUIREMENTS &gt; *")</f>
        <v>0</v>
      </c>
      <c r="D40" s="17">
        <f>COUNTIFS('Prácticas_Revisiones'!$S$2:$S$282,"T031",'Prácticas_Revisiones'!$T$2:$T$282,"ARCHITECTURE &gt; *")+COUNTIFS('Prácticas_Snowballing'!$AB$2:$AB$281,"T031",'Prácticas_Snowballing'!$AC$2:$AC$281,"ARCHITECTURE &gt; *")</f>
        <v>0</v>
      </c>
      <c r="E40" s="17">
        <f>COUNTIFS('Prácticas_Revisiones'!$S$2:$S$282,"T031",'Prácticas_Revisiones'!$T$2:$T$282,"DESIGN &gt; *")+COUNTIFS('Prácticas_Snowballing'!$AB$2:$AB$281,"T031",'Prácticas_Snowballing'!$AC$2:$AC$281,"DESIGN &gt; *")</f>
        <v>0</v>
      </c>
      <c r="F40" s="17">
        <f>COUNTIFS('Prácticas_Revisiones'!$S$2:$S$282,"T031",'Prácticas_Revisiones'!$T$2:$T$282,"CONSTRUCTION &gt; *")+COUNTIFS('Prácticas_Snowballing'!$AB$2:$AB$281,"T031",'Prácticas_Snowballing'!$AC$2:$AC$281,"CONSTRUCTION &gt; *")</f>
        <v>0</v>
      </c>
      <c r="G40" s="17">
        <f>COUNTIFS('Prácticas_Revisiones'!$S$2:$S$282,"T031",'Prácticas_Revisiones'!$T$2:$T$282,"SOFTWARE TESTING &gt; *")+COUNTIFS('Prácticas_Snowballing'!$AB$2:$AB$281,"T031",'Prácticas_Snowballing'!$AC$2:$AC$281,"SOFTWARE TESTING &gt; *")</f>
        <v>0</v>
      </c>
      <c r="H40" s="17">
        <f>COUNTIFS('Prácticas_Revisiones'!$S$2:$S$282,"T031",'Prácticas_Revisiones'!$T$2:$T$282,"SOFTWARE ENG. OPERATIONS &gt; *")+COUNTIFS('Prácticas_Snowballing'!$AB$2:$AB$281,"T031",'Prácticas_Snowballing'!$AC$2:$AC$281,"SOFTWARE ENG. OPERATIONS &gt; *")</f>
        <v>0</v>
      </c>
      <c r="I40" s="17">
        <f>COUNTIFS('Prácticas_Revisiones'!$S$2:$S$282,"T031",'Prácticas_Revisiones'!$T$2:$T$282,"MAINTENANCE &gt; *")+COUNTIFS('Prácticas_Snowballing'!$AB$2:$AB$281,"T031",'Prácticas_Snowballing'!$AC$2:$AC$281,"MAINTENANCE &gt; *")</f>
        <v>0</v>
      </c>
      <c r="J40" s="17">
        <f>COUNTIFS('Prácticas_Revisiones'!$S$2:$S$282,"T031",'Prácticas_Revisiones'!$T$2:$T$282,"SOFTWARE CONFIG. MGMT. &gt; *")+COUNTIFS('Prácticas_Snowballing'!$AB$2:$AB$281,"T031",'Prácticas_Snowballing'!$AC$2:$AC$281,"SOFTWARE CONFIG. MGMT. &gt; *")</f>
        <v>0</v>
      </c>
      <c r="K40" s="17">
        <f>COUNTIFS('Prácticas_Revisiones'!$S$2:$S$282,"T031",'Prácticas_Revisiones'!$T$2:$T$282,"SOFTWARE ENG. PROCESS &gt; *")+COUNTIFS('Prácticas_Snowballing'!$AB$2:$AB$281,"T031",'Prácticas_Snowballing'!$AC$2:$AC$281,"SOFTWARE ENG. PROCESS &gt; *")</f>
        <v>0</v>
      </c>
      <c r="L40" s="17">
        <f>COUNTIFS('Prácticas_Revisiones'!$S$2:$S$282,"T031",'Prácticas_Revisiones'!$T$2:$T$282,"SOFTWARE ENG. MODELS/METH. &gt; *")+COUNTIFS('Prácticas_Snowballing'!$AB$2:$AB$281,"T031",'Prácticas_Snowballing'!$AC$2:$AC$281,"SOFTWARE ENG. MODELS/METH. &gt; *")</f>
        <v>0</v>
      </c>
      <c r="M40" s="17">
        <f>COUNTIFS('Prácticas_Revisiones'!$S$2:$S$282,"T031",'Prácticas_Revisiones'!$T$2:$T$282,"SOFTWARE QUALITY &gt; *")+COUNTIFS('Prácticas_Snowballing'!$AB$2:$AB$281,"T031",'Prácticas_Snowballing'!$AC$2:$AC$281,"SOFTWARE QUALITY &gt; *")</f>
        <v>0</v>
      </c>
      <c r="N40" s="17">
        <f>COUNTIFS('Prácticas_Revisiones'!$S$2:$S$282,"T031",'Prácticas_Revisiones'!$T$2:$T$282,"SOFTWARE SECURITY &gt; *")+COUNTIFS('Prácticas_Snowballing'!$AB$2:$AB$281,"T031",'Prácticas_Snowballing'!$AC$2:$AC$281,"SOFTWARE SECURITY &gt; *")</f>
        <v>0</v>
      </c>
      <c r="O40" s="17">
        <f>COUNTIFS('Prácticas_Revisiones'!$S$2:$S$282,"T031",'Prácticas_Revisiones'!$T$2:$T$282,"PROFESSIONAL PRACTICE &gt; *")+COUNTIFS('Prácticas_Snowballing'!$AB$2:$AB$281,"T031",'Prácticas_Snowballing'!$AC$2:$AC$281,"PROFESSIONAL PRACTICE &gt; *")</f>
        <v>0</v>
      </c>
      <c r="P40" s="17">
        <f>COUNTIFS('Prácticas_Revisiones'!$S$2:$S$282,"T031",'Prácticas_Revisiones'!$T$2:$T$282,"SOFTWARE ENG. ECONOMICS &gt; *")+COUNTIFS('Prácticas_Snowballing'!$AB$2:$AB$281,"T031",'Prácticas_Snowballing'!$AC$2:$AC$281,"SOFTWARE ENG. ECONOMICS &gt; *")</f>
        <v>0</v>
      </c>
      <c r="Q40" s="17">
        <f>COUNTIFS('Prácticas_Revisiones'!$S$2:$S$282,"T031",'Prácticas_Revisiones'!$T$2:$T$282,"SOFTWARE ENG. MANAGEMENT &gt; *")+COUNTIFS('Prácticas_Snowballing'!$AB$2:$AB$281,"T031",'Prácticas_Snowballing'!$AC$2:$AC$281,"SOFTWARE ENG. MANAGEMENT &gt; *")</f>
        <v>0</v>
      </c>
      <c r="R40" s="17">
        <f>COUNTIFS('Prácticas_Revisiones'!$S$2:$S$282,"T031",'Prácticas_Revisiones'!$T$2:$T$282,"Sin área SWEBOK")+COUNTIFS('Prácticas_Snowballing'!$AB$2:$AB$281,"T031",'Prácticas_Snowballing'!$AC$2:$AC$281,"Sin área SWEBOK")</f>
        <v>0</v>
      </c>
      <c r="S40" s="27">
        <f t="shared" ref="S40:S67" si="5">SUM(C40:R40)</f>
        <v>0</v>
      </c>
    </row>
    <row r="41" ht="15.75" customHeight="1">
      <c r="A41" s="28"/>
      <c r="B41" s="16" t="s">
        <v>2768</v>
      </c>
      <c r="C41" s="17">
        <f>COUNTIFS('Prácticas_Revisiones'!$S$2:$S$282,"T032",'Prácticas_Revisiones'!$T$2:$T$282,"REQUIREMENTS &gt; *")+COUNTIFS('Prácticas_Snowballing'!$AB$2:$AB$281,"T032",'Prácticas_Snowballing'!$AC$2:$AC$281,"REQUIREMENTS &gt; *")</f>
        <v>0</v>
      </c>
      <c r="D41" s="17">
        <f>COUNTIFS('Prácticas_Revisiones'!$S$2:$S$282,"T032",'Prácticas_Revisiones'!$T$2:$T$282,"ARCHITECTURE &gt; *")+COUNTIFS('Prácticas_Snowballing'!$AB$2:$AB$281,"T032",'Prácticas_Snowballing'!$AC$2:$AC$281,"ARCHITECTURE &gt; *")</f>
        <v>0</v>
      </c>
      <c r="E41" s="17">
        <f>COUNTIFS('Prácticas_Revisiones'!$S$2:$S$282,"T032",'Prácticas_Revisiones'!$T$2:$T$282,"DESIGN &gt; *")+COUNTIFS('Prácticas_Snowballing'!$AB$2:$AB$281,"T032",'Prácticas_Snowballing'!$AC$2:$AC$281,"DESIGN &gt; *")</f>
        <v>0</v>
      </c>
      <c r="F41" s="17">
        <f>COUNTIFS('Prácticas_Revisiones'!$S$2:$S$282,"T032",'Prácticas_Revisiones'!$T$2:$T$282,"CONSTRUCTION &gt; *")+COUNTIFS('Prácticas_Snowballing'!$AB$2:$AB$281,"T032",'Prácticas_Snowballing'!$AC$2:$AC$281,"CONSTRUCTION &gt; *")</f>
        <v>10</v>
      </c>
      <c r="G41" s="17">
        <f>COUNTIFS('Prácticas_Revisiones'!$S$2:$S$282,"T032",'Prácticas_Revisiones'!$T$2:$T$282,"SOFTWARE TESTING &gt; *")+COUNTIFS('Prácticas_Snowballing'!$AB$2:$AB$281,"T032",'Prácticas_Snowballing'!$AC$2:$AC$281,"SOFTWARE TESTING &gt; *")</f>
        <v>0</v>
      </c>
      <c r="H41" s="17">
        <f>COUNTIFS('Prácticas_Revisiones'!$S$2:$S$282,"T032",'Prácticas_Revisiones'!$T$2:$T$282,"SOFTWARE ENG. OPERATIONS &gt; *")+COUNTIFS('Prácticas_Snowballing'!$AB$2:$AB$281,"T032",'Prácticas_Snowballing'!$AC$2:$AC$281,"SOFTWARE ENG. OPERATIONS &gt; *")</f>
        <v>0</v>
      </c>
      <c r="I41" s="17">
        <f>COUNTIFS('Prácticas_Revisiones'!$S$2:$S$282,"T032",'Prácticas_Revisiones'!$T$2:$T$282,"MAINTENANCE &gt; *")+COUNTIFS('Prácticas_Snowballing'!$AB$2:$AB$281,"T032",'Prácticas_Snowballing'!$AC$2:$AC$281,"MAINTENANCE &gt; *")</f>
        <v>0</v>
      </c>
      <c r="J41" s="17">
        <f>COUNTIFS('Prácticas_Revisiones'!$S$2:$S$282,"T032",'Prácticas_Revisiones'!$T$2:$T$282,"SOFTWARE CONFIG. MGMT. &gt; *")+COUNTIFS('Prácticas_Snowballing'!$AB$2:$AB$281,"T032",'Prácticas_Snowballing'!$AC$2:$AC$281,"SOFTWARE CONFIG. MGMT. &gt; *")</f>
        <v>0</v>
      </c>
      <c r="K41" s="17">
        <f>COUNTIFS('Prácticas_Revisiones'!$S$2:$S$282,"T032",'Prácticas_Revisiones'!$T$2:$T$282,"SOFTWARE ENG. PROCESS &gt; *")+COUNTIFS('Prácticas_Snowballing'!$AB$2:$AB$281,"T032",'Prácticas_Snowballing'!$AC$2:$AC$281,"SOFTWARE ENG. PROCESS &gt; *")</f>
        <v>0</v>
      </c>
      <c r="L41" s="17">
        <f>COUNTIFS('Prácticas_Revisiones'!$S$2:$S$282,"T032",'Prácticas_Revisiones'!$T$2:$T$282,"SOFTWARE ENG. MODELS/METH. &gt; *")+COUNTIFS('Prácticas_Snowballing'!$AB$2:$AB$281,"T032",'Prácticas_Snowballing'!$AC$2:$AC$281,"SOFTWARE ENG. MODELS/METH. &gt; *")</f>
        <v>0</v>
      </c>
      <c r="M41" s="17">
        <f>COUNTIFS('Prácticas_Revisiones'!$S$2:$S$282,"T032",'Prácticas_Revisiones'!$T$2:$T$282,"SOFTWARE QUALITY &gt; *")+COUNTIFS('Prácticas_Snowballing'!$AB$2:$AB$281,"T032",'Prácticas_Snowballing'!$AC$2:$AC$281,"SOFTWARE QUALITY &gt; *")</f>
        <v>0</v>
      </c>
      <c r="N41" s="17">
        <f>COUNTIFS('Prácticas_Revisiones'!$S$2:$S$282,"T032",'Prácticas_Revisiones'!$T$2:$T$282,"SOFTWARE SECURITY &gt; *")+COUNTIFS('Prácticas_Snowballing'!$AB$2:$AB$281,"T032",'Prácticas_Snowballing'!$AC$2:$AC$281,"SOFTWARE SECURITY &gt; *")</f>
        <v>0</v>
      </c>
      <c r="O41" s="17">
        <f>COUNTIFS('Prácticas_Revisiones'!$S$2:$S$282,"T032",'Prácticas_Revisiones'!$T$2:$T$282,"PROFESSIONAL PRACTICE &gt; *")+COUNTIFS('Prácticas_Snowballing'!$AB$2:$AB$281,"T032",'Prácticas_Snowballing'!$AC$2:$AC$281,"PROFESSIONAL PRACTICE &gt; *")</f>
        <v>0</v>
      </c>
      <c r="P41" s="17">
        <f>COUNTIFS('Prácticas_Revisiones'!$S$2:$S$282,"T032",'Prácticas_Revisiones'!$T$2:$T$282,"SOFTWARE ENG. ECONOMICS &gt; *")+COUNTIFS('Prácticas_Snowballing'!$AB$2:$AB$281,"T032",'Prácticas_Snowballing'!$AC$2:$AC$281,"SOFTWARE ENG. ECONOMICS &gt; *")</f>
        <v>0</v>
      </c>
      <c r="Q41" s="17">
        <f>COUNTIFS('Prácticas_Revisiones'!$S$2:$S$282,"T032",'Prácticas_Revisiones'!$T$2:$T$282,"SOFTWARE ENG. MANAGEMENT &gt; *")+COUNTIFS('Prácticas_Snowballing'!$AB$2:$AB$281,"T032",'Prácticas_Snowballing'!$AC$2:$AC$281,"SOFTWARE ENG. MANAGEMENT &gt; *")</f>
        <v>0</v>
      </c>
      <c r="R41" s="17">
        <f>COUNTIFS('Prácticas_Revisiones'!$S$2:$S$282,"T032",'Prácticas_Revisiones'!$T$2:$T$282,"Sin área SWEBOK")+COUNTIFS('Prácticas_Snowballing'!$AB$2:$AB$281,"T032",'Prácticas_Snowballing'!$AC$2:$AC$281,"Sin área SWEBOK")</f>
        <v>1</v>
      </c>
      <c r="S41" s="27">
        <f t="shared" si="5"/>
        <v>11</v>
      </c>
    </row>
    <row r="42" ht="15.75" customHeight="1">
      <c r="A42" s="28"/>
      <c r="B42" s="16" t="s">
        <v>2770</v>
      </c>
      <c r="C42" s="17">
        <f>COUNTIFS('Prácticas_Revisiones'!$S$2:$S$282,"T033",'Prácticas_Revisiones'!$T$2:$T$282,"REQUIREMENTS &gt; *")+COUNTIFS('Prácticas_Snowballing'!$AB$2:$AB$281,"T033",'Prácticas_Snowballing'!$AC$2:$AC$281,"REQUIREMENTS &gt; *")</f>
        <v>0</v>
      </c>
      <c r="D42" s="17">
        <f>COUNTIFS('Prácticas_Revisiones'!$S$2:$S$282,"T033",'Prácticas_Revisiones'!$T$2:$T$282,"ARCHITECTURE &gt; *")+COUNTIFS('Prácticas_Snowballing'!$AB$2:$AB$281,"T033",'Prácticas_Snowballing'!$AC$2:$AC$281,"ARCHITECTURE &gt; *")</f>
        <v>0</v>
      </c>
      <c r="E42" s="17">
        <f>COUNTIFS('Prácticas_Revisiones'!$S$2:$S$282,"T033",'Prácticas_Revisiones'!$T$2:$T$282,"DESIGN &gt; *")+COUNTIFS('Prácticas_Snowballing'!$AB$2:$AB$281,"T033",'Prácticas_Snowballing'!$AC$2:$AC$281,"DESIGN &gt; *")</f>
        <v>0</v>
      </c>
      <c r="F42" s="17">
        <f>COUNTIFS('Prácticas_Revisiones'!$S$2:$S$282,"T033",'Prácticas_Revisiones'!$T$2:$T$282,"CONSTRUCTION &gt; *")+COUNTIFS('Prácticas_Snowballing'!$AB$2:$AB$281,"T033",'Prácticas_Snowballing'!$AC$2:$AC$281,"CONSTRUCTION &gt; *")</f>
        <v>1</v>
      </c>
      <c r="G42" s="17">
        <f>COUNTIFS('Prácticas_Revisiones'!$S$2:$S$282,"T033",'Prácticas_Revisiones'!$T$2:$T$282,"SOFTWARE TESTING &gt; *")+COUNTIFS('Prácticas_Snowballing'!$AB$2:$AB$281,"T033",'Prácticas_Snowballing'!$AC$2:$AC$281,"SOFTWARE TESTING &gt; *")</f>
        <v>0</v>
      </c>
      <c r="H42" s="17">
        <f>COUNTIFS('Prácticas_Revisiones'!$S$2:$S$282,"T033",'Prácticas_Revisiones'!$T$2:$T$282,"SOFTWARE ENG. OPERATIONS &gt; *")+COUNTIFS('Prácticas_Snowballing'!$AB$2:$AB$281,"T033",'Prácticas_Snowballing'!$AC$2:$AC$281,"SOFTWARE ENG. OPERATIONS &gt; *")</f>
        <v>0</v>
      </c>
      <c r="I42" s="17">
        <f>COUNTIFS('Prácticas_Revisiones'!$S$2:$S$282,"T033",'Prácticas_Revisiones'!$T$2:$T$282,"MAINTENANCE &gt; *")+COUNTIFS('Prácticas_Snowballing'!$AB$2:$AB$281,"T033",'Prácticas_Snowballing'!$AC$2:$AC$281,"MAINTENANCE &gt; *")</f>
        <v>0</v>
      </c>
      <c r="J42" s="17">
        <f>COUNTIFS('Prácticas_Revisiones'!$S$2:$S$282,"T033",'Prácticas_Revisiones'!$T$2:$T$282,"SOFTWARE CONFIG. MGMT. &gt; *")+COUNTIFS('Prácticas_Snowballing'!$AB$2:$AB$281,"T033",'Prácticas_Snowballing'!$AC$2:$AC$281,"SOFTWARE CONFIG. MGMT. &gt; *")</f>
        <v>0</v>
      </c>
      <c r="K42" s="17">
        <f>COUNTIFS('Prácticas_Revisiones'!$S$2:$S$282,"T033",'Prácticas_Revisiones'!$T$2:$T$282,"SOFTWARE ENG. PROCESS &gt; *")+COUNTIFS('Prácticas_Snowballing'!$AB$2:$AB$281,"T033",'Prácticas_Snowballing'!$AC$2:$AC$281,"SOFTWARE ENG. PROCESS &gt; *")</f>
        <v>0</v>
      </c>
      <c r="L42" s="17">
        <f>COUNTIFS('Prácticas_Revisiones'!$S$2:$S$282,"T033",'Prácticas_Revisiones'!$T$2:$T$282,"SOFTWARE ENG. MODELS/METH. &gt; *")+COUNTIFS('Prácticas_Snowballing'!$AB$2:$AB$281,"T033",'Prácticas_Snowballing'!$AC$2:$AC$281,"SOFTWARE ENG. MODELS/METH. &gt; *")</f>
        <v>0</v>
      </c>
      <c r="M42" s="17">
        <f>COUNTIFS('Prácticas_Revisiones'!$S$2:$S$282,"T033",'Prácticas_Revisiones'!$T$2:$T$282,"SOFTWARE QUALITY &gt; *")+COUNTIFS('Prácticas_Snowballing'!$AB$2:$AB$281,"T033",'Prácticas_Snowballing'!$AC$2:$AC$281,"SOFTWARE QUALITY &gt; *")</f>
        <v>0</v>
      </c>
      <c r="N42" s="17">
        <f>COUNTIFS('Prácticas_Revisiones'!$S$2:$S$282,"T033",'Prácticas_Revisiones'!$T$2:$T$282,"SOFTWARE SECURITY &gt; *")+COUNTIFS('Prácticas_Snowballing'!$AB$2:$AB$281,"T033",'Prácticas_Snowballing'!$AC$2:$AC$281,"SOFTWARE SECURITY &gt; *")</f>
        <v>0</v>
      </c>
      <c r="O42" s="17">
        <f>COUNTIFS('Prácticas_Revisiones'!$S$2:$S$282,"T033",'Prácticas_Revisiones'!$T$2:$T$282,"PROFESSIONAL PRACTICE &gt; *")+COUNTIFS('Prácticas_Snowballing'!$AB$2:$AB$281,"T033",'Prácticas_Snowballing'!$AC$2:$AC$281,"PROFESSIONAL PRACTICE &gt; *")</f>
        <v>0</v>
      </c>
      <c r="P42" s="17">
        <f>COUNTIFS('Prácticas_Revisiones'!$S$2:$S$282,"T033",'Prácticas_Revisiones'!$T$2:$T$282,"SOFTWARE ENG. ECONOMICS &gt; *")+COUNTIFS('Prácticas_Snowballing'!$AB$2:$AB$281,"T033",'Prácticas_Snowballing'!$AC$2:$AC$281,"SOFTWARE ENG. ECONOMICS &gt; *")</f>
        <v>0</v>
      </c>
      <c r="Q42" s="17">
        <f>COUNTIFS('Prácticas_Revisiones'!$S$2:$S$282,"T033",'Prácticas_Revisiones'!$T$2:$T$282,"SOFTWARE ENG. MANAGEMENT &gt; *")+COUNTIFS('Prácticas_Snowballing'!$AB$2:$AB$281,"T033",'Prácticas_Snowballing'!$AC$2:$AC$281,"SOFTWARE ENG. MANAGEMENT &gt; *")</f>
        <v>0</v>
      </c>
      <c r="R42" s="17">
        <f>COUNTIFS('Prácticas_Revisiones'!$S$2:$S$282,"T033",'Prácticas_Revisiones'!$T$2:$T$282,"Sin área SWEBOK")+COUNTIFS('Prácticas_Snowballing'!$AB$2:$AB$281,"T033",'Prácticas_Snowballing'!$AC$2:$AC$281,"Sin área SWEBOK")</f>
        <v>0</v>
      </c>
      <c r="S42" s="27">
        <f t="shared" si="5"/>
        <v>1</v>
      </c>
    </row>
    <row r="43" ht="15.75" customHeight="1">
      <c r="A43" s="28"/>
      <c r="B43" s="16" t="s">
        <v>2772</v>
      </c>
      <c r="C43" s="17">
        <f>COUNTIFS('Prácticas_Revisiones'!$S$2:$S$282,"T034",'Prácticas_Revisiones'!$T$2:$T$282,"REQUIREMENTS &gt; *")+COUNTIFS('Prácticas_Snowballing'!$AB$2:$AB$281,"T034",'Prácticas_Snowballing'!$AC$2:$AC$281,"REQUIREMENTS &gt; *")</f>
        <v>0</v>
      </c>
      <c r="D43" s="17">
        <f>COUNTIFS('Prácticas_Revisiones'!$S$2:$S$282,"T034",'Prácticas_Revisiones'!$T$2:$T$282,"ARCHITECTURE &gt; *")+COUNTIFS('Prácticas_Snowballing'!$AB$2:$AB$281,"T034",'Prácticas_Snowballing'!$AC$2:$AC$281,"ARCHITECTURE &gt; *")</f>
        <v>0</v>
      </c>
      <c r="E43" s="17">
        <f>COUNTIFS('Prácticas_Revisiones'!$S$2:$S$282,"T034",'Prácticas_Revisiones'!$T$2:$T$282,"DESIGN &gt; *")+COUNTIFS('Prácticas_Snowballing'!$AB$2:$AB$281,"T034",'Prácticas_Snowballing'!$AC$2:$AC$281,"DESIGN &gt; *")</f>
        <v>0</v>
      </c>
      <c r="F43" s="17">
        <f>COUNTIFS('Prácticas_Revisiones'!$S$2:$S$282,"T034",'Prácticas_Revisiones'!$T$2:$T$282,"CONSTRUCTION &gt; *")+COUNTIFS('Prácticas_Snowballing'!$AB$2:$AB$281,"T034",'Prácticas_Snowballing'!$AC$2:$AC$281,"CONSTRUCTION &gt; *")</f>
        <v>0</v>
      </c>
      <c r="G43" s="17">
        <f>COUNTIFS('Prácticas_Revisiones'!$S$2:$S$282,"T034",'Prácticas_Revisiones'!$T$2:$T$282,"SOFTWARE TESTING &gt; *")+COUNTIFS('Prácticas_Snowballing'!$AB$2:$AB$281,"T034",'Prácticas_Snowballing'!$AC$2:$AC$281,"SOFTWARE TESTING &gt; *")</f>
        <v>0</v>
      </c>
      <c r="H43" s="17">
        <f>COUNTIFS('Prácticas_Revisiones'!$S$2:$S$282,"T034",'Prácticas_Revisiones'!$T$2:$T$282,"SOFTWARE ENG. OPERATIONS &gt; *")+COUNTIFS('Prácticas_Snowballing'!$AB$2:$AB$281,"T034",'Prácticas_Snowballing'!$AC$2:$AC$281,"SOFTWARE ENG. OPERATIONS &gt; *")</f>
        <v>0</v>
      </c>
      <c r="I43" s="17">
        <f>COUNTIFS('Prácticas_Revisiones'!$S$2:$S$282,"T034",'Prácticas_Revisiones'!$T$2:$T$282,"MAINTENANCE &gt; *")+COUNTIFS('Prácticas_Snowballing'!$AB$2:$AB$281,"T034",'Prácticas_Snowballing'!$AC$2:$AC$281,"MAINTENANCE &gt; *")</f>
        <v>0</v>
      </c>
      <c r="J43" s="17">
        <f>COUNTIFS('Prácticas_Revisiones'!$S$2:$S$282,"T034",'Prácticas_Revisiones'!$T$2:$T$282,"SOFTWARE CONFIG. MGMT. &gt; *")+COUNTIFS('Prácticas_Snowballing'!$AB$2:$AB$281,"T034",'Prácticas_Snowballing'!$AC$2:$AC$281,"SOFTWARE CONFIG. MGMT. &gt; *")</f>
        <v>0</v>
      </c>
      <c r="K43" s="17">
        <f>COUNTIFS('Prácticas_Revisiones'!$S$2:$S$282,"T034",'Prácticas_Revisiones'!$T$2:$T$282,"SOFTWARE ENG. PROCESS &gt; *")+COUNTIFS('Prácticas_Snowballing'!$AB$2:$AB$281,"T034",'Prácticas_Snowballing'!$AC$2:$AC$281,"SOFTWARE ENG. PROCESS &gt; *")</f>
        <v>0</v>
      </c>
      <c r="L43" s="17">
        <f>COUNTIFS('Prácticas_Revisiones'!$S$2:$S$282,"T034",'Prácticas_Revisiones'!$T$2:$T$282,"SOFTWARE ENG. MODELS/METH. &gt; *")+COUNTIFS('Prácticas_Snowballing'!$AB$2:$AB$281,"T034",'Prácticas_Snowballing'!$AC$2:$AC$281,"SOFTWARE ENG. MODELS/METH. &gt; *")</f>
        <v>0</v>
      </c>
      <c r="M43" s="17">
        <f>COUNTIFS('Prácticas_Revisiones'!$S$2:$S$282,"T034",'Prácticas_Revisiones'!$T$2:$T$282,"SOFTWARE QUALITY &gt; *")+COUNTIFS('Prácticas_Snowballing'!$AB$2:$AB$281,"T034",'Prácticas_Snowballing'!$AC$2:$AC$281,"SOFTWARE QUALITY &gt; *")</f>
        <v>0</v>
      </c>
      <c r="N43" s="17">
        <f>COUNTIFS('Prácticas_Revisiones'!$S$2:$S$282,"T034",'Prácticas_Revisiones'!$T$2:$T$282,"SOFTWARE SECURITY &gt; *")+COUNTIFS('Prácticas_Snowballing'!$AB$2:$AB$281,"T034",'Prácticas_Snowballing'!$AC$2:$AC$281,"SOFTWARE SECURITY &gt; *")</f>
        <v>0</v>
      </c>
      <c r="O43" s="17">
        <f>COUNTIFS('Prácticas_Revisiones'!$S$2:$S$282,"T034",'Prácticas_Revisiones'!$T$2:$T$282,"PROFESSIONAL PRACTICE &gt; *")+COUNTIFS('Prácticas_Snowballing'!$AB$2:$AB$281,"T034",'Prácticas_Snowballing'!$AC$2:$AC$281,"PROFESSIONAL PRACTICE &gt; *")</f>
        <v>0</v>
      </c>
      <c r="P43" s="17">
        <f>COUNTIFS('Prácticas_Revisiones'!$S$2:$S$282,"T034",'Prácticas_Revisiones'!$T$2:$T$282,"SOFTWARE ENG. ECONOMICS &gt; *")+COUNTIFS('Prácticas_Snowballing'!$AB$2:$AB$281,"T034",'Prácticas_Snowballing'!$AC$2:$AC$281,"SOFTWARE ENG. ECONOMICS &gt; *")</f>
        <v>0</v>
      </c>
      <c r="Q43" s="17">
        <f>COUNTIFS('Prácticas_Revisiones'!$S$2:$S$282,"T034",'Prácticas_Revisiones'!$T$2:$T$282,"SOFTWARE ENG. MANAGEMENT &gt; *")+COUNTIFS('Prácticas_Snowballing'!$AB$2:$AB$281,"T034",'Prácticas_Snowballing'!$AC$2:$AC$281,"SOFTWARE ENG. MANAGEMENT &gt; *")</f>
        <v>0</v>
      </c>
      <c r="R43" s="17">
        <f>COUNTIFS('Prácticas_Revisiones'!$S$2:$S$282,"T034",'Prácticas_Revisiones'!$T$2:$T$282,"Sin área SWEBOK")+COUNTIFS('Prácticas_Snowballing'!$AB$2:$AB$281,"T034",'Prácticas_Snowballing'!$AC$2:$AC$281,"Sin área SWEBOK")</f>
        <v>0</v>
      </c>
      <c r="S43" s="27">
        <f t="shared" si="5"/>
        <v>0</v>
      </c>
    </row>
    <row r="44" ht="15.75" customHeight="1">
      <c r="A44" s="28"/>
      <c r="B44" s="16" t="s">
        <v>2774</v>
      </c>
      <c r="C44" s="17">
        <f>COUNTIFS('Prácticas_Revisiones'!$S$2:$S$282,"T035",'Prácticas_Revisiones'!$T$2:$T$282,"REQUIREMENTS &gt; *")+COUNTIFS('Prácticas_Snowballing'!$AB$2:$AB$281,"T035",'Prácticas_Snowballing'!$AC$2:$AC$281,"REQUIREMENTS &gt; *")</f>
        <v>0</v>
      </c>
      <c r="D44" s="17">
        <f>COUNTIFS('Prácticas_Revisiones'!$S$2:$S$282,"T035",'Prácticas_Revisiones'!$T$2:$T$282,"ARCHITECTURE &gt; *")+COUNTIFS('Prácticas_Snowballing'!$AB$2:$AB$281,"T035",'Prácticas_Snowballing'!$AC$2:$AC$281,"ARCHITECTURE &gt; *")</f>
        <v>0</v>
      </c>
      <c r="E44" s="17">
        <f>COUNTIFS('Prácticas_Revisiones'!$S$2:$S$282,"T035",'Prácticas_Revisiones'!$T$2:$T$282,"DESIGN &gt; *")+COUNTIFS('Prácticas_Snowballing'!$AB$2:$AB$281,"T035",'Prácticas_Snowballing'!$AC$2:$AC$281,"DESIGN &gt; *")</f>
        <v>0</v>
      </c>
      <c r="F44" s="17">
        <f>COUNTIFS('Prácticas_Revisiones'!$S$2:$S$282,"T035",'Prácticas_Revisiones'!$T$2:$T$282,"CONSTRUCTION &gt; *")+COUNTIFS('Prácticas_Snowballing'!$AB$2:$AB$281,"T035",'Prácticas_Snowballing'!$AC$2:$AC$281,"CONSTRUCTION &gt; *")</f>
        <v>1</v>
      </c>
      <c r="G44" s="17">
        <f>COUNTIFS('Prácticas_Revisiones'!$S$2:$S$282,"T035",'Prácticas_Revisiones'!$T$2:$T$282,"SOFTWARE TESTING &gt; *")+COUNTIFS('Prácticas_Snowballing'!$AB$2:$AB$281,"T035",'Prácticas_Snowballing'!$AC$2:$AC$281,"SOFTWARE TESTING &gt; *")</f>
        <v>0</v>
      </c>
      <c r="H44" s="17">
        <f>COUNTIFS('Prácticas_Revisiones'!$S$2:$S$282,"T035",'Prácticas_Revisiones'!$T$2:$T$282,"SOFTWARE ENG. OPERATIONS &gt; *")+COUNTIFS('Prácticas_Snowballing'!$AB$2:$AB$281,"T035",'Prácticas_Snowballing'!$AC$2:$AC$281,"SOFTWARE ENG. OPERATIONS &gt; *")</f>
        <v>0</v>
      </c>
      <c r="I44" s="17">
        <f>COUNTIFS('Prácticas_Revisiones'!$S$2:$S$282,"T035",'Prácticas_Revisiones'!$T$2:$T$282,"MAINTENANCE &gt; *")+COUNTIFS('Prácticas_Snowballing'!$AB$2:$AB$281,"T035",'Prácticas_Snowballing'!$AC$2:$AC$281,"MAINTENANCE &gt; *")</f>
        <v>1</v>
      </c>
      <c r="J44" s="17">
        <f>COUNTIFS('Prácticas_Revisiones'!$S$2:$S$282,"T035",'Prácticas_Revisiones'!$T$2:$T$282,"SOFTWARE CONFIG. MGMT. &gt; *")+COUNTIFS('Prácticas_Snowballing'!$AB$2:$AB$281,"T035",'Prácticas_Snowballing'!$AC$2:$AC$281,"SOFTWARE CONFIG. MGMT. &gt; *")</f>
        <v>0</v>
      </c>
      <c r="K44" s="17">
        <f>COUNTIFS('Prácticas_Revisiones'!$S$2:$S$282,"T035",'Prácticas_Revisiones'!$T$2:$T$282,"SOFTWARE ENG. PROCESS &gt; *")+COUNTIFS('Prácticas_Snowballing'!$AB$2:$AB$281,"T035",'Prácticas_Snowballing'!$AC$2:$AC$281,"SOFTWARE ENG. PROCESS &gt; *")</f>
        <v>0</v>
      </c>
      <c r="L44" s="17">
        <f>COUNTIFS('Prácticas_Revisiones'!$S$2:$S$282,"T035",'Prácticas_Revisiones'!$T$2:$T$282,"SOFTWARE ENG. MODELS/METH. &gt; *")+COUNTIFS('Prácticas_Snowballing'!$AB$2:$AB$281,"T035",'Prácticas_Snowballing'!$AC$2:$AC$281,"SOFTWARE ENG. MODELS/METH. &gt; *")</f>
        <v>0</v>
      </c>
      <c r="M44" s="17">
        <f>COUNTIFS('Prácticas_Revisiones'!$S$2:$S$282,"T035",'Prácticas_Revisiones'!$T$2:$T$282,"SOFTWARE QUALITY &gt; *")+COUNTIFS('Prácticas_Snowballing'!$AB$2:$AB$281,"T035",'Prácticas_Snowballing'!$AC$2:$AC$281,"SOFTWARE QUALITY &gt; *")</f>
        <v>0</v>
      </c>
      <c r="N44" s="17">
        <f>COUNTIFS('Prácticas_Revisiones'!$S$2:$S$282,"T035",'Prácticas_Revisiones'!$T$2:$T$282,"SOFTWARE SECURITY &gt; *")+COUNTIFS('Prácticas_Snowballing'!$AB$2:$AB$281,"T035",'Prácticas_Snowballing'!$AC$2:$AC$281,"SOFTWARE SECURITY &gt; *")</f>
        <v>0</v>
      </c>
      <c r="O44" s="17">
        <f>COUNTIFS('Prácticas_Revisiones'!$S$2:$S$282,"T035",'Prácticas_Revisiones'!$T$2:$T$282,"PROFESSIONAL PRACTICE &gt; *")+COUNTIFS('Prácticas_Snowballing'!$AB$2:$AB$281,"T035",'Prácticas_Snowballing'!$AC$2:$AC$281,"PROFESSIONAL PRACTICE &gt; *")</f>
        <v>0</v>
      </c>
      <c r="P44" s="17">
        <f>COUNTIFS('Prácticas_Revisiones'!$S$2:$S$282,"T035",'Prácticas_Revisiones'!$T$2:$T$282,"SOFTWARE ENG. ECONOMICS &gt; *")+COUNTIFS('Prácticas_Snowballing'!$AB$2:$AB$281,"T035",'Prácticas_Snowballing'!$AC$2:$AC$281,"SOFTWARE ENG. ECONOMICS &gt; *")</f>
        <v>0</v>
      </c>
      <c r="Q44" s="17">
        <f>COUNTIFS('Prácticas_Revisiones'!$S$2:$S$282,"T035",'Prácticas_Revisiones'!$T$2:$T$282,"SOFTWARE ENG. MANAGEMENT &gt; *")+COUNTIFS('Prácticas_Snowballing'!$AB$2:$AB$281,"T035",'Prácticas_Snowballing'!$AC$2:$AC$281,"SOFTWARE ENG. MANAGEMENT &gt; *")</f>
        <v>0</v>
      </c>
      <c r="R44" s="17">
        <f>COUNTIFS('Prácticas_Revisiones'!$S$2:$S$282,"T035",'Prácticas_Revisiones'!$T$2:$T$282,"Sin área SWEBOK")+COUNTIFS('Prácticas_Snowballing'!$AB$2:$AB$281,"T035",'Prácticas_Snowballing'!$AC$2:$AC$281,"Sin área SWEBOK")</f>
        <v>0</v>
      </c>
      <c r="S44" s="27">
        <f t="shared" si="5"/>
        <v>2</v>
      </c>
    </row>
    <row r="45" ht="15.75" customHeight="1">
      <c r="A45" s="28"/>
      <c r="B45" s="16" t="s">
        <v>2776</v>
      </c>
      <c r="C45" s="17">
        <f>COUNTIFS('Prácticas_Revisiones'!$S$2:$S$282,"T036",'Prácticas_Revisiones'!$T$2:$T$282,"REQUIREMENTS &gt; *")+COUNTIFS('Prácticas_Snowballing'!$AB$2:$AB$281,"T036",'Prácticas_Snowballing'!$AC$2:$AC$281,"REQUIREMENTS &gt; *")</f>
        <v>0</v>
      </c>
      <c r="D45" s="17">
        <f>COUNTIFS('Prácticas_Revisiones'!$S$2:$S$282,"T036",'Prácticas_Revisiones'!$T$2:$T$282,"ARCHITECTURE &gt; *")+COUNTIFS('Prácticas_Snowballing'!$AB$2:$AB$281,"T036",'Prácticas_Snowballing'!$AC$2:$AC$281,"ARCHITECTURE &gt; *")</f>
        <v>0</v>
      </c>
      <c r="E45" s="17">
        <f>COUNTIFS('Prácticas_Revisiones'!$S$2:$S$282,"T036",'Prácticas_Revisiones'!$T$2:$T$282,"DESIGN &gt; *")+COUNTIFS('Prácticas_Snowballing'!$AB$2:$AB$281,"T036",'Prácticas_Snowballing'!$AC$2:$AC$281,"DESIGN &gt; *")</f>
        <v>0</v>
      </c>
      <c r="F45" s="17">
        <f>COUNTIFS('Prácticas_Revisiones'!$S$2:$S$282,"T036",'Prácticas_Revisiones'!$T$2:$T$282,"CONSTRUCTION &gt; *")+COUNTIFS('Prácticas_Snowballing'!$AB$2:$AB$281,"T036",'Prácticas_Snowballing'!$AC$2:$AC$281,"CONSTRUCTION &gt; *")</f>
        <v>0</v>
      </c>
      <c r="G45" s="17">
        <f>COUNTIFS('Prácticas_Revisiones'!$S$2:$S$282,"T036",'Prácticas_Revisiones'!$T$2:$T$282,"SOFTWARE TESTING &gt; *")+COUNTIFS('Prácticas_Snowballing'!$AB$2:$AB$281,"T036",'Prácticas_Snowballing'!$AC$2:$AC$281,"SOFTWARE TESTING &gt; *")</f>
        <v>0</v>
      </c>
      <c r="H45" s="17">
        <f>COUNTIFS('Prácticas_Revisiones'!$S$2:$S$282,"T036",'Prácticas_Revisiones'!$T$2:$T$282,"SOFTWARE ENG. OPERATIONS &gt; *")+COUNTIFS('Prácticas_Snowballing'!$AB$2:$AB$281,"T036",'Prácticas_Snowballing'!$AC$2:$AC$281,"SOFTWARE ENG. OPERATIONS &gt; *")</f>
        <v>0</v>
      </c>
      <c r="I45" s="17">
        <f>COUNTIFS('Prácticas_Revisiones'!$S$2:$S$282,"T036",'Prácticas_Revisiones'!$T$2:$T$282,"MAINTENANCE &gt; *")+COUNTIFS('Prácticas_Snowballing'!$AB$2:$AB$281,"T036",'Prácticas_Snowballing'!$AC$2:$AC$281,"MAINTENANCE &gt; *")</f>
        <v>0</v>
      </c>
      <c r="J45" s="17">
        <f>COUNTIFS('Prácticas_Revisiones'!$S$2:$S$282,"T036",'Prácticas_Revisiones'!$T$2:$T$282,"SOFTWARE CONFIG. MGMT. &gt; *")+COUNTIFS('Prácticas_Snowballing'!$AB$2:$AB$281,"T036",'Prácticas_Snowballing'!$AC$2:$AC$281,"SOFTWARE CONFIG. MGMT. &gt; *")</f>
        <v>0</v>
      </c>
      <c r="K45" s="17">
        <f>COUNTIFS('Prácticas_Revisiones'!$S$2:$S$282,"T036",'Prácticas_Revisiones'!$T$2:$T$282,"SOFTWARE ENG. PROCESS &gt; *")+COUNTIFS('Prácticas_Snowballing'!$AB$2:$AB$281,"T036",'Prácticas_Snowballing'!$AC$2:$AC$281,"SOFTWARE ENG. PROCESS &gt; *")</f>
        <v>0</v>
      </c>
      <c r="L45" s="17">
        <f>COUNTIFS('Prácticas_Revisiones'!$S$2:$S$282,"T036",'Prácticas_Revisiones'!$T$2:$T$282,"SOFTWARE ENG. MODELS/METH. &gt; *")+COUNTIFS('Prácticas_Snowballing'!$AB$2:$AB$281,"T036",'Prácticas_Snowballing'!$AC$2:$AC$281,"SOFTWARE ENG. MODELS/METH. &gt; *")</f>
        <v>0</v>
      </c>
      <c r="M45" s="17">
        <f>COUNTIFS('Prácticas_Revisiones'!$S$2:$S$282,"T036",'Prácticas_Revisiones'!$T$2:$T$282,"SOFTWARE QUALITY &gt; *")+COUNTIFS('Prácticas_Snowballing'!$AB$2:$AB$281,"T036",'Prácticas_Snowballing'!$AC$2:$AC$281,"SOFTWARE QUALITY &gt; *")</f>
        <v>0</v>
      </c>
      <c r="N45" s="17">
        <f>COUNTIFS('Prácticas_Revisiones'!$S$2:$S$282,"T036",'Prácticas_Revisiones'!$T$2:$T$282,"SOFTWARE SECURITY &gt; *")+COUNTIFS('Prácticas_Snowballing'!$AB$2:$AB$281,"T036",'Prácticas_Snowballing'!$AC$2:$AC$281,"SOFTWARE SECURITY &gt; *")</f>
        <v>0</v>
      </c>
      <c r="O45" s="17">
        <f>COUNTIFS('Prácticas_Revisiones'!$S$2:$S$282,"T036",'Prácticas_Revisiones'!$T$2:$T$282,"PROFESSIONAL PRACTICE &gt; *")+COUNTIFS('Prácticas_Snowballing'!$AB$2:$AB$281,"T036",'Prácticas_Snowballing'!$AC$2:$AC$281,"PROFESSIONAL PRACTICE &gt; *")</f>
        <v>0</v>
      </c>
      <c r="P45" s="17">
        <f>COUNTIFS('Prácticas_Revisiones'!$S$2:$S$282,"T036",'Prácticas_Revisiones'!$T$2:$T$282,"SOFTWARE ENG. ECONOMICS &gt; *")+COUNTIFS('Prácticas_Snowballing'!$AB$2:$AB$281,"T036",'Prácticas_Snowballing'!$AC$2:$AC$281,"SOFTWARE ENG. ECONOMICS &gt; *")</f>
        <v>0</v>
      </c>
      <c r="Q45" s="17">
        <f>COUNTIFS('Prácticas_Revisiones'!$S$2:$S$282,"T036",'Prácticas_Revisiones'!$T$2:$T$282,"SOFTWARE ENG. MANAGEMENT &gt; *")+COUNTIFS('Prácticas_Snowballing'!$AB$2:$AB$281,"T036",'Prácticas_Snowballing'!$AC$2:$AC$281,"SOFTWARE ENG. MANAGEMENT &gt; *")</f>
        <v>0</v>
      </c>
      <c r="R45" s="17">
        <f>COUNTIFS('Prácticas_Revisiones'!$S$2:$S$282,"T036",'Prácticas_Revisiones'!$T$2:$T$282,"Sin área SWEBOK")+COUNTIFS('Prácticas_Snowballing'!$AB$2:$AB$281,"T036",'Prácticas_Snowballing'!$AC$2:$AC$281,"Sin área SWEBOK")</f>
        <v>0</v>
      </c>
      <c r="S45" s="27">
        <f t="shared" si="5"/>
        <v>0</v>
      </c>
    </row>
    <row r="46" ht="15.75" customHeight="1">
      <c r="A46" s="28"/>
      <c r="B46" s="16" t="s">
        <v>2779</v>
      </c>
      <c r="C46" s="17">
        <f>COUNTIFS('Prácticas_Revisiones'!$S$2:$S$282,"T037",'Prácticas_Revisiones'!$T$2:$T$282,"REQUIREMENTS &gt; *")+COUNTIFS('Prácticas_Snowballing'!$AB$2:$AB$281,"T037",'Prácticas_Snowballing'!$AC$2:$AC$281,"REQUIREMENTS &gt; *")</f>
        <v>0</v>
      </c>
      <c r="D46" s="17">
        <f>COUNTIFS('Prácticas_Revisiones'!$S$2:$S$282,"T037",'Prácticas_Revisiones'!$T$2:$T$282,"ARCHITECTURE &gt; *")+COUNTIFS('Prácticas_Snowballing'!$AB$2:$AB$281,"T037",'Prácticas_Snowballing'!$AC$2:$AC$281,"ARCHITECTURE &gt; *")</f>
        <v>0</v>
      </c>
      <c r="E46" s="17">
        <f>COUNTIFS('Prácticas_Revisiones'!$S$2:$S$282,"T037",'Prácticas_Revisiones'!$T$2:$T$282,"DESIGN &gt; *")+COUNTIFS('Prácticas_Snowballing'!$AB$2:$AB$281,"T037",'Prácticas_Snowballing'!$AC$2:$AC$281,"DESIGN &gt; *")</f>
        <v>0</v>
      </c>
      <c r="F46" s="17">
        <f>COUNTIFS('Prácticas_Revisiones'!$S$2:$S$282,"T037",'Prácticas_Revisiones'!$T$2:$T$282,"CONSTRUCTION &gt; *")+COUNTIFS('Prácticas_Snowballing'!$AB$2:$AB$281,"T037",'Prácticas_Snowballing'!$AC$2:$AC$281,"CONSTRUCTION &gt; *")</f>
        <v>1</v>
      </c>
      <c r="G46" s="17">
        <f>COUNTIFS('Prácticas_Revisiones'!$S$2:$S$282,"T037",'Prácticas_Revisiones'!$T$2:$T$282,"SOFTWARE TESTING &gt; *")+COUNTIFS('Prácticas_Snowballing'!$AB$2:$AB$281,"T037",'Prácticas_Snowballing'!$AC$2:$AC$281,"SOFTWARE TESTING &gt; *")</f>
        <v>0</v>
      </c>
      <c r="H46" s="17">
        <f>COUNTIFS('Prácticas_Revisiones'!$S$2:$S$282,"T037",'Prácticas_Revisiones'!$T$2:$T$282,"SOFTWARE ENG. OPERATIONS &gt; *")+COUNTIFS('Prácticas_Snowballing'!$AB$2:$AB$281,"T037",'Prácticas_Snowballing'!$AC$2:$AC$281,"SOFTWARE ENG. OPERATIONS &gt; *")</f>
        <v>0</v>
      </c>
      <c r="I46" s="17">
        <f>COUNTIFS('Prácticas_Revisiones'!$S$2:$S$282,"T037",'Prácticas_Revisiones'!$T$2:$T$282,"MAINTENANCE &gt; *")+COUNTIFS('Prácticas_Snowballing'!$AB$2:$AB$281,"T037",'Prácticas_Snowballing'!$AC$2:$AC$281,"MAINTENANCE &gt; *")</f>
        <v>0</v>
      </c>
      <c r="J46" s="17">
        <f>COUNTIFS('Prácticas_Revisiones'!$S$2:$S$282,"T037",'Prácticas_Revisiones'!$T$2:$T$282,"SOFTWARE CONFIG. MGMT. &gt; *")+COUNTIFS('Prácticas_Snowballing'!$AB$2:$AB$281,"T037",'Prácticas_Snowballing'!$AC$2:$AC$281,"SOFTWARE CONFIG. MGMT. &gt; *")</f>
        <v>0</v>
      </c>
      <c r="K46" s="17">
        <f>COUNTIFS('Prácticas_Revisiones'!$S$2:$S$282,"T037",'Prácticas_Revisiones'!$T$2:$T$282,"SOFTWARE ENG. PROCESS &gt; *")+COUNTIFS('Prácticas_Snowballing'!$AB$2:$AB$281,"T037",'Prácticas_Snowballing'!$AC$2:$AC$281,"SOFTWARE ENG. PROCESS &gt; *")</f>
        <v>0</v>
      </c>
      <c r="L46" s="17">
        <f>COUNTIFS('Prácticas_Revisiones'!$S$2:$S$282,"T037",'Prácticas_Revisiones'!$T$2:$T$282,"SOFTWARE ENG. MODELS/METH. &gt; *")+COUNTIFS('Prácticas_Snowballing'!$AB$2:$AB$281,"T037",'Prácticas_Snowballing'!$AC$2:$AC$281,"SOFTWARE ENG. MODELS/METH. &gt; *")</f>
        <v>0</v>
      </c>
      <c r="M46" s="17">
        <f>COUNTIFS('Prácticas_Revisiones'!$S$2:$S$282,"T037",'Prácticas_Revisiones'!$T$2:$T$282,"SOFTWARE QUALITY &gt; *")+COUNTIFS('Prácticas_Snowballing'!$AB$2:$AB$281,"T037",'Prácticas_Snowballing'!$AC$2:$AC$281,"SOFTWARE QUALITY &gt; *")</f>
        <v>0</v>
      </c>
      <c r="N46" s="17">
        <f>COUNTIFS('Prácticas_Revisiones'!$S$2:$S$282,"T037",'Prácticas_Revisiones'!$T$2:$T$282,"SOFTWARE SECURITY &gt; *")+COUNTIFS('Prácticas_Snowballing'!$AB$2:$AB$281,"T037",'Prácticas_Snowballing'!$AC$2:$AC$281,"SOFTWARE SECURITY &gt; *")</f>
        <v>0</v>
      </c>
      <c r="O46" s="17">
        <f>COUNTIFS('Prácticas_Revisiones'!$S$2:$S$282,"T037",'Prácticas_Revisiones'!$T$2:$T$282,"PROFESSIONAL PRACTICE &gt; *")+COUNTIFS('Prácticas_Snowballing'!$AB$2:$AB$281,"T037",'Prácticas_Snowballing'!$AC$2:$AC$281,"PROFESSIONAL PRACTICE &gt; *")</f>
        <v>0</v>
      </c>
      <c r="P46" s="17">
        <f>COUNTIFS('Prácticas_Revisiones'!$S$2:$S$282,"T037",'Prácticas_Revisiones'!$T$2:$T$282,"SOFTWARE ENG. ECONOMICS &gt; *")+COUNTIFS('Prácticas_Snowballing'!$AB$2:$AB$281,"T037",'Prácticas_Snowballing'!$AC$2:$AC$281,"SOFTWARE ENG. ECONOMICS &gt; *")</f>
        <v>0</v>
      </c>
      <c r="Q46" s="17">
        <f>COUNTIFS('Prácticas_Revisiones'!$S$2:$S$282,"T037",'Prácticas_Revisiones'!$T$2:$T$282,"SOFTWARE ENG. MANAGEMENT &gt; *")+COUNTIFS('Prácticas_Snowballing'!$AB$2:$AB$281,"T037",'Prácticas_Snowballing'!$AC$2:$AC$281,"SOFTWARE ENG. MANAGEMENT &gt; *")</f>
        <v>0</v>
      </c>
      <c r="R46" s="17">
        <f>COUNTIFS('Prácticas_Revisiones'!$S$2:$S$282,"T037",'Prácticas_Revisiones'!$T$2:$T$282,"Sin área SWEBOK")+COUNTIFS('Prácticas_Snowballing'!$AB$2:$AB$281,"T037",'Prácticas_Snowballing'!$AC$2:$AC$281,"Sin área SWEBOK")</f>
        <v>0</v>
      </c>
      <c r="S46" s="27">
        <f t="shared" si="5"/>
        <v>1</v>
      </c>
    </row>
    <row r="47" ht="15.75" customHeight="1">
      <c r="A47" s="28"/>
      <c r="B47" s="16" t="s">
        <v>2780</v>
      </c>
      <c r="C47" s="17">
        <f>COUNTIFS('Prácticas_Revisiones'!$S$2:$S$282,"T038",'Prácticas_Revisiones'!$T$2:$T$282,"REQUIREMENTS &gt; *")+COUNTIFS('Prácticas_Snowballing'!$AB$2:$AB$281,"T038",'Prácticas_Snowballing'!$AC$2:$AC$281,"REQUIREMENTS &gt; *")</f>
        <v>0</v>
      </c>
      <c r="D47" s="17">
        <f>COUNTIFS('Prácticas_Revisiones'!$S$2:$S$282,"T038",'Prácticas_Revisiones'!$T$2:$T$282,"ARCHITECTURE &gt; *")+COUNTIFS('Prácticas_Snowballing'!$AB$2:$AB$281,"T038",'Prácticas_Snowballing'!$AC$2:$AC$281,"ARCHITECTURE &gt; *")</f>
        <v>0</v>
      </c>
      <c r="E47" s="17">
        <f>COUNTIFS('Prácticas_Revisiones'!$S$2:$S$282,"T038",'Prácticas_Revisiones'!$T$2:$T$282,"DESIGN &gt; *")+COUNTIFS('Prácticas_Snowballing'!$AB$2:$AB$281,"T038",'Prácticas_Snowballing'!$AC$2:$AC$281,"DESIGN &gt; *")</f>
        <v>0</v>
      </c>
      <c r="F47" s="17">
        <f>COUNTIFS('Prácticas_Revisiones'!$S$2:$S$282,"T038",'Prácticas_Revisiones'!$T$2:$T$282,"CONSTRUCTION &gt; *")+COUNTIFS('Prácticas_Snowballing'!$AB$2:$AB$281,"T038",'Prácticas_Snowballing'!$AC$2:$AC$281,"CONSTRUCTION &gt; *")</f>
        <v>0</v>
      </c>
      <c r="G47" s="17">
        <f>COUNTIFS('Prácticas_Revisiones'!$S$2:$S$282,"T038",'Prácticas_Revisiones'!$T$2:$T$282,"SOFTWARE TESTING &gt; *")+COUNTIFS('Prácticas_Snowballing'!$AB$2:$AB$281,"T038",'Prácticas_Snowballing'!$AC$2:$AC$281,"SOFTWARE TESTING &gt; *")</f>
        <v>0</v>
      </c>
      <c r="H47" s="17">
        <f>COUNTIFS('Prácticas_Revisiones'!$S$2:$S$282,"T038",'Prácticas_Revisiones'!$T$2:$T$282,"SOFTWARE ENG. OPERATIONS &gt; *")+COUNTIFS('Prácticas_Snowballing'!$AB$2:$AB$281,"T038",'Prácticas_Snowballing'!$AC$2:$AC$281,"SOFTWARE ENG. OPERATIONS &gt; *")</f>
        <v>0</v>
      </c>
      <c r="I47" s="17">
        <f>COUNTIFS('Prácticas_Revisiones'!$S$2:$S$282,"T038",'Prácticas_Revisiones'!$T$2:$T$282,"MAINTENANCE &gt; *")+COUNTIFS('Prácticas_Snowballing'!$AB$2:$AB$281,"T038",'Prácticas_Snowballing'!$AC$2:$AC$281,"MAINTENANCE &gt; *")</f>
        <v>0</v>
      </c>
      <c r="J47" s="17">
        <f>COUNTIFS('Prácticas_Revisiones'!$S$2:$S$282,"T038",'Prácticas_Revisiones'!$T$2:$T$282,"SOFTWARE CONFIG. MGMT. &gt; *")+COUNTIFS('Prácticas_Snowballing'!$AB$2:$AB$281,"T038",'Prácticas_Snowballing'!$AC$2:$AC$281,"SOFTWARE CONFIG. MGMT. &gt; *")</f>
        <v>0</v>
      </c>
      <c r="K47" s="17">
        <f>COUNTIFS('Prácticas_Revisiones'!$S$2:$S$282,"T038",'Prácticas_Revisiones'!$T$2:$T$282,"SOFTWARE ENG. PROCESS &gt; *")+COUNTIFS('Prácticas_Snowballing'!$AB$2:$AB$281,"T038",'Prácticas_Snowballing'!$AC$2:$AC$281,"SOFTWARE ENG. PROCESS &gt; *")</f>
        <v>0</v>
      </c>
      <c r="L47" s="17">
        <f>COUNTIFS('Prácticas_Revisiones'!$S$2:$S$282,"T038",'Prácticas_Revisiones'!$T$2:$T$282,"SOFTWARE ENG. MODELS/METH. &gt; *")+COUNTIFS('Prácticas_Snowballing'!$AB$2:$AB$281,"T038",'Prácticas_Snowballing'!$AC$2:$AC$281,"SOFTWARE ENG. MODELS/METH. &gt; *")</f>
        <v>0</v>
      </c>
      <c r="M47" s="17">
        <f>COUNTIFS('Prácticas_Revisiones'!$S$2:$S$282,"T038",'Prácticas_Revisiones'!$T$2:$T$282,"SOFTWARE QUALITY &gt; *")+COUNTIFS('Prácticas_Snowballing'!$AB$2:$AB$281,"T038",'Prácticas_Snowballing'!$AC$2:$AC$281,"SOFTWARE QUALITY &gt; *")</f>
        <v>0</v>
      </c>
      <c r="N47" s="17">
        <f>COUNTIFS('Prácticas_Revisiones'!$S$2:$S$282,"T038",'Prácticas_Revisiones'!$T$2:$T$282,"SOFTWARE SECURITY &gt; *")+COUNTIFS('Prácticas_Snowballing'!$AB$2:$AB$281,"T038",'Prácticas_Snowballing'!$AC$2:$AC$281,"SOFTWARE SECURITY &gt; *")</f>
        <v>0</v>
      </c>
      <c r="O47" s="17">
        <f>COUNTIFS('Prácticas_Revisiones'!$S$2:$S$282,"T038",'Prácticas_Revisiones'!$T$2:$T$282,"PROFESSIONAL PRACTICE &gt; *")+COUNTIFS('Prácticas_Snowballing'!$AB$2:$AB$281,"T038",'Prácticas_Snowballing'!$AC$2:$AC$281,"PROFESSIONAL PRACTICE &gt; *")</f>
        <v>0</v>
      </c>
      <c r="P47" s="17">
        <f>COUNTIFS('Prácticas_Revisiones'!$S$2:$S$282,"T038",'Prácticas_Revisiones'!$T$2:$T$282,"SOFTWARE ENG. ECONOMICS &gt; *")+COUNTIFS('Prácticas_Snowballing'!$AB$2:$AB$281,"T038",'Prácticas_Snowballing'!$AC$2:$AC$281,"SOFTWARE ENG. ECONOMICS &gt; *")</f>
        <v>0</v>
      </c>
      <c r="Q47" s="17">
        <f>COUNTIFS('Prácticas_Revisiones'!$S$2:$S$282,"T038",'Prácticas_Revisiones'!$T$2:$T$282,"SOFTWARE ENG. MANAGEMENT &gt; *")+COUNTIFS('Prácticas_Snowballing'!$AB$2:$AB$281,"T038",'Prácticas_Snowballing'!$AC$2:$AC$281,"SOFTWARE ENG. MANAGEMENT &gt; *")</f>
        <v>0</v>
      </c>
      <c r="R47" s="17">
        <f>COUNTIFS('Prácticas_Revisiones'!$S$2:$S$282,"T038",'Prácticas_Revisiones'!$T$2:$T$282,"Sin área SWEBOK")+COUNTIFS('Prácticas_Snowballing'!$AB$2:$AB$281,"T038",'Prácticas_Snowballing'!$AC$2:$AC$281,"Sin área SWEBOK")</f>
        <v>0</v>
      </c>
      <c r="S47" s="27">
        <f t="shared" si="5"/>
        <v>0</v>
      </c>
    </row>
    <row r="48" ht="15.75" customHeight="1">
      <c r="A48" s="28"/>
      <c r="B48" s="16" t="s">
        <v>2782</v>
      </c>
      <c r="C48" s="17">
        <f>COUNTIFS('Prácticas_Revisiones'!$S$2:$S$282,"T039",'Prácticas_Revisiones'!$T$2:$T$282,"REQUIREMENTS &gt; *")+COUNTIFS('Prácticas_Snowballing'!$AB$2:$AB$281,"T039",'Prácticas_Snowballing'!$AC$2:$AC$281,"REQUIREMENTS &gt; *")</f>
        <v>4</v>
      </c>
      <c r="D48" s="17">
        <f>COUNTIFS('Prácticas_Revisiones'!$S$2:$S$282,"T039",'Prácticas_Revisiones'!$T$2:$T$282,"ARCHITECTURE &gt; *")+COUNTIFS('Prácticas_Snowballing'!$AB$2:$AB$281,"T039",'Prácticas_Snowballing'!$AC$2:$AC$281,"ARCHITECTURE &gt; *")</f>
        <v>0</v>
      </c>
      <c r="E48" s="17">
        <f>COUNTIFS('Prácticas_Revisiones'!$S$2:$S$282,"T039",'Prácticas_Revisiones'!$T$2:$T$282,"DESIGN &gt; *")+COUNTIFS('Prácticas_Snowballing'!$AB$2:$AB$281,"T039",'Prácticas_Snowballing'!$AC$2:$AC$281,"DESIGN &gt; *")</f>
        <v>0</v>
      </c>
      <c r="F48" s="17">
        <f>COUNTIFS('Prácticas_Revisiones'!$S$2:$S$282,"T039",'Prácticas_Revisiones'!$T$2:$T$282,"CONSTRUCTION &gt; *")+COUNTIFS('Prácticas_Snowballing'!$AB$2:$AB$281,"T039",'Prácticas_Snowballing'!$AC$2:$AC$281,"CONSTRUCTION &gt; *")</f>
        <v>0</v>
      </c>
      <c r="G48" s="17">
        <f>COUNTIFS('Prácticas_Revisiones'!$S$2:$S$282,"T039",'Prácticas_Revisiones'!$T$2:$T$282,"SOFTWARE TESTING &gt; *")+COUNTIFS('Prácticas_Snowballing'!$AB$2:$AB$281,"T039",'Prácticas_Snowballing'!$AC$2:$AC$281,"SOFTWARE TESTING &gt; *")</f>
        <v>0</v>
      </c>
      <c r="H48" s="17">
        <f>COUNTIFS('Prácticas_Revisiones'!$S$2:$S$282,"T039",'Prácticas_Revisiones'!$T$2:$T$282,"SOFTWARE ENG. OPERATIONS &gt; *")+COUNTIFS('Prácticas_Snowballing'!$AB$2:$AB$281,"T039",'Prácticas_Snowballing'!$AC$2:$AC$281,"SOFTWARE ENG. OPERATIONS &gt; *")</f>
        <v>0</v>
      </c>
      <c r="I48" s="17">
        <f>COUNTIFS('Prácticas_Revisiones'!$S$2:$S$282,"T039",'Prácticas_Revisiones'!$T$2:$T$282,"MAINTENANCE &gt; *")+COUNTIFS('Prácticas_Snowballing'!$AB$2:$AB$281,"T039",'Prácticas_Snowballing'!$AC$2:$AC$281,"MAINTENANCE &gt; *")</f>
        <v>0</v>
      </c>
      <c r="J48" s="17">
        <f>COUNTIFS('Prácticas_Revisiones'!$S$2:$S$282,"T039",'Prácticas_Revisiones'!$T$2:$T$282,"SOFTWARE CONFIG. MGMT. &gt; *")+COUNTIFS('Prácticas_Snowballing'!$AB$2:$AB$281,"T039",'Prácticas_Snowballing'!$AC$2:$AC$281,"SOFTWARE CONFIG. MGMT. &gt; *")</f>
        <v>0</v>
      </c>
      <c r="K48" s="17">
        <f>COUNTIFS('Prácticas_Revisiones'!$S$2:$S$282,"T039",'Prácticas_Revisiones'!$T$2:$T$282,"SOFTWARE ENG. PROCESS &gt; *")+COUNTIFS('Prácticas_Snowballing'!$AB$2:$AB$281,"T039",'Prácticas_Snowballing'!$AC$2:$AC$281,"SOFTWARE ENG. PROCESS &gt; *")</f>
        <v>0</v>
      </c>
      <c r="L48" s="17">
        <f>COUNTIFS('Prácticas_Revisiones'!$S$2:$S$282,"T039",'Prácticas_Revisiones'!$T$2:$T$282,"SOFTWARE ENG. MODELS/METH. &gt; *")+COUNTIFS('Prácticas_Snowballing'!$AB$2:$AB$281,"T039",'Prácticas_Snowballing'!$AC$2:$AC$281,"SOFTWARE ENG. MODELS/METH. &gt; *")</f>
        <v>0</v>
      </c>
      <c r="M48" s="17">
        <f>COUNTIFS('Prácticas_Revisiones'!$S$2:$S$282,"T039",'Prácticas_Revisiones'!$T$2:$T$282,"SOFTWARE QUALITY &gt; *")+COUNTIFS('Prácticas_Snowballing'!$AB$2:$AB$281,"T039",'Prácticas_Snowballing'!$AC$2:$AC$281,"SOFTWARE QUALITY &gt; *")</f>
        <v>0</v>
      </c>
      <c r="N48" s="17">
        <f>COUNTIFS('Prácticas_Revisiones'!$S$2:$S$282,"T039",'Prácticas_Revisiones'!$T$2:$T$282,"SOFTWARE SECURITY &gt; *")+COUNTIFS('Prácticas_Snowballing'!$AB$2:$AB$281,"T039",'Prácticas_Snowballing'!$AC$2:$AC$281,"SOFTWARE SECURITY &gt; *")</f>
        <v>0</v>
      </c>
      <c r="O48" s="17">
        <f>COUNTIFS('Prácticas_Revisiones'!$S$2:$S$282,"T039",'Prácticas_Revisiones'!$T$2:$T$282,"PROFESSIONAL PRACTICE &gt; *")+COUNTIFS('Prácticas_Snowballing'!$AB$2:$AB$281,"T039",'Prácticas_Snowballing'!$AC$2:$AC$281,"PROFESSIONAL PRACTICE &gt; *")</f>
        <v>0</v>
      </c>
      <c r="P48" s="17">
        <f>COUNTIFS('Prácticas_Revisiones'!$S$2:$S$282,"T039",'Prácticas_Revisiones'!$T$2:$T$282,"SOFTWARE ENG. ECONOMICS &gt; *")+COUNTIFS('Prácticas_Snowballing'!$AB$2:$AB$281,"T039",'Prácticas_Snowballing'!$AC$2:$AC$281,"SOFTWARE ENG. ECONOMICS &gt; *")</f>
        <v>0</v>
      </c>
      <c r="Q48" s="17">
        <f>COUNTIFS('Prácticas_Revisiones'!$S$2:$S$282,"T039",'Prácticas_Revisiones'!$T$2:$T$282,"SOFTWARE ENG. MANAGEMENT &gt; *")+COUNTIFS('Prácticas_Snowballing'!$AB$2:$AB$281,"T039",'Prácticas_Snowballing'!$AC$2:$AC$281,"SOFTWARE ENG. MANAGEMENT &gt; *")</f>
        <v>0</v>
      </c>
      <c r="R48" s="17">
        <f>COUNTIFS('Prácticas_Revisiones'!$S$2:$S$282,"T039",'Prácticas_Revisiones'!$T$2:$T$282,"Sin área SWEBOK")+COUNTIFS('Prácticas_Snowballing'!$AB$2:$AB$281,"T039",'Prácticas_Snowballing'!$AC$2:$AC$281,"Sin área SWEBOK")</f>
        <v>0</v>
      </c>
      <c r="S48" s="27">
        <f t="shared" si="5"/>
        <v>4</v>
      </c>
    </row>
    <row r="49" ht="15.75" customHeight="1">
      <c r="A49" s="28"/>
      <c r="B49" s="16" t="s">
        <v>2783</v>
      </c>
      <c r="C49" s="17">
        <f>COUNTIFS('Prácticas_Revisiones'!$S$2:$S$282,"T040",'Prácticas_Revisiones'!$T$2:$T$282,"REQUIREMENTS &gt; *")+COUNTIFS('Prácticas_Snowballing'!$AB$2:$AB$281,"T040",'Prácticas_Snowballing'!$AC$2:$AC$281,"REQUIREMENTS &gt; *")</f>
        <v>0</v>
      </c>
      <c r="D49" s="17">
        <f>COUNTIFS('Prácticas_Revisiones'!$S$2:$S$282,"T040",'Prácticas_Revisiones'!$T$2:$T$282,"ARCHITECTURE &gt; *")+COUNTIFS('Prácticas_Snowballing'!$AB$2:$AB$281,"T040",'Prácticas_Snowballing'!$AC$2:$AC$281,"ARCHITECTURE &gt; *")</f>
        <v>0</v>
      </c>
      <c r="E49" s="17">
        <f>COUNTIFS('Prácticas_Revisiones'!$S$2:$S$282,"T040",'Prácticas_Revisiones'!$T$2:$T$282,"DESIGN &gt; *")+COUNTIFS('Prácticas_Snowballing'!$AB$2:$AB$281,"T040",'Prácticas_Snowballing'!$AC$2:$AC$281,"DESIGN &gt; *")</f>
        <v>0</v>
      </c>
      <c r="F49" s="17">
        <f>COUNTIFS('Prácticas_Revisiones'!$S$2:$S$282,"T040",'Prácticas_Revisiones'!$T$2:$T$282,"CONSTRUCTION &gt; *")+COUNTIFS('Prácticas_Snowballing'!$AB$2:$AB$281,"T040",'Prácticas_Snowballing'!$AC$2:$AC$281,"CONSTRUCTION &gt; *")</f>
        <v>0</v>
      </c>
      <c r="G49" s="17">
        <f>COUNTIFS('Prácticas_Revisiones'!$S$2:$S$282,"T040",'Prácticas_Revisiones'!$T$2:$T$282,"SOFTWARE TESTING &gt; *")+COUNTIFS('Prácticas_Snowballing'!$AB$2:$AB$281,"T040",'Prácticas_Snowballing'!$AC$2:$AC$281,"SOFTWARE TESTING &gt; *")</f>
        <v>0</v>
      </c>
      <c r="H49" s="17">
        <f>COUNTIFS('Prácticas_Revisiones'!$S$2:$S$282,"T040",'Prácticas_Revisiones'!$T$2:$T$282,"SOFTWARE ENG. OPERATIONS &gt; *")+COUNTIFS('Prácticas_Snowballing'!$AB$2:$AB$281,"T040",'Prácticas_Snowballing'!$AC$2:$AC$281,"SOFTWARE ENG. OPERATIONS &gt; *")</f>
        <v>0</v>
      </c>
      <c r="I49" s="17">
        <f>COUNTIFS('Prácticas_Revisiones'!$S$2:$S$282,"T040",'Prácticas_Revisiones'!$T$2:$T$282,"MAINTENANCE &gt; *")+COUNTIFS('Prácticas_Snowballing'!$AB$2:$AB$281,"T040",'Prácticas_Snowballing'!$AC$2:$AC$281,"MAINTENANCE &gt; *")</f>
        <v>0</v>
      </c>
      <c r="J49" s="17">
        <f>COUNTIFS('Prácticas_Revisiones'!$S$2:$S$282,"T040",'Prácticas_Revisiones'!$T$2:$T$282,"SOFTWARE CONFIG. MGMT. &gt; *")+COUNTIFS('Prácticas_Snowballing'!$AB$2:$AB$281,"T040",'Prácticas_Snowballing'!$AC$2:$AC$281,"SOFTWARE CONFIG. MGMT. &gt; *")</f>
        <v>0</v>
      </c>
      <c r="K49" s="17">
        <f>COUNTIFS('Prácticas_Revisiones'!$S$2:$S$282,"T040",'Prácticas_Revisiones'!$T$2:$T$282,"SOFTWARE ENG. PROCESS &gt; *")+COUNTIFS('Prácticas_Snowballing'!$AB$2:$AB$281,"T040",'Prácticas_Snowballing'!$AC$2:$AC$281,"SOFTWARE ENG. PROCESS &gt; *")</f>
        <v>0</v>
      </c>
      <c r="L49" s="17">
        <f>COUNTIFS('Prácticas_Revisiones'!$S$2:$S$282,"T040",'Prácticas_Revisiones'!$T$2:$T$282,"SOFTWARE ENG. MODELS/METH. &gt; *")+COUNTIFS('Prácticas_Snowballing'!$AB$2:$AB$281,"T040",'Prácticas_Snowballing'!$AC$2:$AC$281,"SOFTWARE ENG. MODELS/METH. &gt; *")</f>
        <v>0</v>
      </c>
      <c r="M49" s="17">
        <f>COUNTIFS('Prácticas_Revisiones'!$S$2:$S$282,"T040",'Prácticas_Revisiones'!$T$2:$T$282,"SOFTWARE QUALITY &gt; *")+COUNTIFS('Prácticas_Snowballing'!$AB$2:$AB$281,"T040",'Prácticas_Snowballing'!$AC$2:$AC$281,"SOFTWARE QUALITY &gt; *")</f>
        <v>0</v>
      </c>
      <c r="N49" s="17">
        <f>COUNTIFS('Prácticas_Revisiones'!$S$2:$S$282,"T040",'Prácticas_Revisiones'!$T$2:$T$282,"SOFTWARE SECURITY &gt; *")+COUNTIFS('Prácticas_Snowballing'!$AB$2:$AB$281,"T040",'Prácticas_Snowballing'!$AC$2:$AC$281,"SOFTWARE SECURITY &gt; *")</f>
        <v>0</v>
      </c>
      <c r="O49" s="17">
        <f>COUNTIFS('Prácticas_Revisiones'!$S$2:$S$282,"T040",'Prácticas_Revisiones'!$T$2:$T$282,"PROFESSIONAL PRACTICE &gt; *")+COUNTIFS('Prácticas_Snowballing'!$AB$2:$AB$281,"T040",'Prácticas_Snowballing'!$AC$2:$AC$281,"PROFESSIONAL PRACTICE &gt; *")</f>
        <v>0</v>
      </c>
      <c r="P49" s="17">
        <f>COUNTIFS('Prácticas_Revisiones'!$S$2:$S$282,"T040",'Prácticas_Revisiones'!$T$2:$T$282,"SOFTWARE ENG. ECONOMICS &gt; *")+COUNTIFS('Prácticas_Snowballing'!$AB$2:$AB$281,"T040",'Prácticas_Snowballing'!$AC$2:$AC$281,"SOFTWARE ENG. ECONOMICS &gt; *")</f>
        <v>0</v>
      </c>
      <c r="Q49" s="17">
        <f>COUNTIFS('Prácticas_Revisiones'!$S$2:$S$282,"T040",'Prácticas_Revisiones'!$T$2:$T$282,"SOFTWARE ENG. MANAGEMENT &gt; *")+COUNTIFS('Prácticas_Snowballing'!$AB$2:$AB$281,"T040",'Prácticas_Snowballing'!$AC$2:$AC$281,"SOFTWARE ENG. MANAGEMENT &gt; *")</f>
        <v>0</v>
      </c>
      <c r="R49" s="17">
        <f>COUNTIFS('Prácticas_Revisiones'!$S$2:$S$282,"T040",'Prácticas_Revisiones'!$T$2:$T$282,"Sin área SWEBOK")+COUNTIFS('Prácticas_Snowballing'!$AB$2:$AB$281,"T040",'Prácticas_Snowballing'!$AC$2:$AC$281,"Sin área SWEBOK")</f>
        <v>0</v>
      </c>
      <c r="S49" s="27">
        <f t="shared" si="5"/>
        <v>0</v>
      </c>
    </row>
    <row r="50" ht="15.75" customHeight="1">
      <c r="A50" s="28"/>
      <c r="B50" s="16" t="s">
        <v>2785</v>
      </c>
      <c r="C50" s="17">
        <f>COUNTIFS('Prácticas_Revisiones'!$S$2:$S$282,"T041",'Prácticas_Revisiones'!$T$2:$T$282,"REQUIREMENTS &gt; *")+COUNTIFS('Prácticas_Snowballing'!$AB$2:$AB$281,"T041",'Prácticas_Snowballing'!$AC$2:$AC$281,"REQUIREMENTS &gt; *")</f>
        <v>0</v>
      </c>
      <c r="D50" s="17">
        <f>COUNTIFS('Prácticas_Revisiones'!$S$2:$S$282,"T041",'Prácticas_Revisiones'!$T$2:$T$282,"ARCHITECTURE &gt; *")+COUNTIFS('Prácticas_Snowballing'!$AB$2:$AB$281,"T041",'Prácticas_Snowballing'!$AC$2:$AC$281,"ARCHITECTURE &gt; *")</f>
        <v>0</v>
      </c>
      <c r="E50" s="17">
        <f>COUNTIFS('Prácticas_Revisiones'!$S$2:$S$282,"T041",'Prácticas_Revisiones'!$T$2:$T$282,"DESIGN &gt; *")+COUNTIFS('Prácticas_Snowballing'!$AB$2:$AB$281,"T041",'Prácticas_Snowballing'!$AC$2:$AC$281,"DESIGN &gt; *")</f>
        <v>0</v>
      </c>
      <c r="F50" s="17">
        <f>COUNTIFS('Prácticas_Revisiones'!$S$2:$S$282,"T041",'Prácticas_Revisiones'!$T$2:$T$282,"CONSTRUCTION &gt; *")+COUNTIFS('Prácticas_Snowballing'!$AB$2:$AB$281,"T041",'Prácticas_Snowballing'!$AC$2:$AC$281,"CONSTRUCTION &gt; *")</f>
        <v>22</v>
      </c>
      <c r="G50" s="17">
        <f>COUNTIFS('Prácticas_Revisiones'!$S$2:$S$282,"T041",'Prácticas_Revisiones'!$T$2:$T$282,"SOFTWARE TESTING &gt; *")+COUNTIFS('Prácticas_Snowballing'!$AB$2:$AB$281,"T041",'Prácticas_Snowballing'!$AC$2:$AC$281,"SOFTWARE TESTING &gt; *")</f>
        <v>5</v>
      </c>
      <c r="H50" s="17">
        <f>COUNTIFS('Prácticas_Revisiones'!$S$2:$S$282,"T041",'Prácticas_Revisiones'!$T$2:$T$282,"SOFTWARE ENG. OPERATIONS &gt; *")+COUNTIFS('Prácticas_Snowballing'!$AB$2:$AB$281,"T041",'Prácticas_Snowballing'!$AC$2:$AC$281,"SOFTWARE ENG. OPERATIONS &gt; *")</f>
        <v>0</v>
      </c>
      <c r="I50" s="17">
        <f>COUNTIFS('Prácticas_Revisiones'!$S$2:$S$282,"T041",'Prácticas_Revisiones'!$T$2:$T$282,"MAINTENANCE &gt; *")+COUNTIFS('Prácticas_Snowballing'!$AB$2:$AB$281,"T041",'Prácticas_Snowballing'!$AC$2:$AC$281,"MAINTENANCE &gt; *")</f>
        <v>0</v>
      </c>
      <c r="J50" s="17">
        <f>COUNTIFS('Prácticas_Revisiones'!$S$2:$S$282,"T041",'Prácticas_Revisiones'!$T$2:$T$282,"SOFTWARE CONFIG. MGMT. &gt; *")+COUNTIFS('Prácticas_Snowballing'!$AB$2:$AB$281,"T041",'Prácticas_Snowballing'!$AC$2:$AC$281,"SOFTWARE CONFIG. MGMT. &gt; *")</f>
        <v>1</v>
      </c>
      <c r="K50" s="17">
        <f>COUNTIFS('Prácticas_Revisiones'!$S$2:$S$282,"T041",'Prácticas_Revisiones'!$T$2:$T$282,"SOFTWARE ENG. PROCESS &gt; *")+COUNTIFS('Prácticas_Snowballing'!$AB$2:$AB$281,"T041",'Prácticas_Snowballing'!$AC$2:$AC$281,"SOFTWARE ENG. PROCESS &gt; *")</f>
        <v>0</v>
      </c>
      <c r="L50" s="17">
        <f>COUNTIFS('Prácticas_Revisiones'!$S$2:$S$282,"T041",'Prácticas_Revisiones'!$T$2:$T$282,"SOFTWARE ENG. MODELS/METH. &gt; *")+COUNTIFS('Prácticas_Snowballing'!$AB$2:$AB$281,"T041",'Prácticas_Snowballing'!$AC$2:$AC$281,"SOFTWARE ENG. MODELS/METH. &gt; *")</f>
        <v>1</v>
      </c>
      <c r="M50" s="17">
        <f>COUNTIFS('Prácticas_Revisiones'!$S$2:$S$282,"T041",'Prácticas_Revisiones'!$T$2:$T$282,"SOFTWARE QUALITY &gt; *")+COUNTIFS('Prácticas_Snowballing'!$AB$2:$AB$281,"T041",'Prácticas_Snowballing'!$AC$2:$AC$281,"SOFTWARE QUALITY &gt; *")</f>
        <v>2</v>
      </c>
      <c r="N50" s="17">
        <f>COUNTIFS('Prácticas_Revisiones'!$S$2:$S$282,"T041",'Prácticas_Revisiones'!$T$2:$T$282,"SOFTWARE SECURITY &gt; *")+COUNTIFS('Prácticas_Snowballing'!$AB$2:$AB$281,"T041",'Prácticas_Snowballing'!$AC$2:$AC$281,"SOFTWARE SECURITY &gt; *")</f>
        <v>0</v>
      </c>
      <c r="O50" s="17">
        <f>COUNTIFS('Prácticas_Revisiones'!$S$2:$S$282,"T041",'Prácticas_Revisiones'!$T$2:$T$282,"PROFESSIONAL PRACTICE &gt; *")+COUNTIFS('Prácticas_Snowballing'!$AB$2:$AB$281,"T041",'Prácticas_Snowballing'!$AC$2:$AC$281,"PROFESSIONAL PRACTICE &gt; *")</f>
        <v>0</v>
      </c>
      <c r="P50" s="17">
        <f>COUNTIFS('Prácticas_Revisiones'!$S$2:$S$282,"T041",'Prácticas_Revisiones'!$T$2:$T$282,"SOFTWARE ENG. ECONOMICS &gt; *")+COUNTIFS('Prácticas_Snowballing'!$AB$2:$AB$281,"T041",'Prácticas_Snowballing'!$AC$2:$AC$281,"SOFTWARE ENG. ECONOMICS &gt; *")</f>
        <v>0</v>
      </c>
      <c r="Q50" s="17">
        <f>COUNTIFS('Prácticas_Revisiones'!$S$2:$S$282,"T041",'Prácticas_Revisiones'!$T$2:$T$282,"SOFTWARE ENG. MANAGEMENT &gt; *")+COUNTIFS('Prácticas_Snowballing'!$AB$2:$AB$281,"T041",'Prácticas_Snowballing'!$AC$2:$AC$281,"SOFTWARE ENG. MANAGEMENT &gt; *")</f>
        <v>0</v>
      </c>
      <c r="R50" s="17">
        <f>COUNTIFS('Prácticas_Revisiones'!$S$2:$S$282,"T041",'Prácticas_Revisiones'!$T$2:$T$282,"Sin área SWEBOK")+COUNTIFS('Prácticas_Snowballing'!$AB$2:$AB$281,"T041",'Prácticas_Snowballing'!$AC$2:$AC$281,"Sin área SWEBOK")</f>
        <v>0</v>
      </c>
      <c r="S50" s="27">
        <f t="shared" si="5"/>
        <v>31</v>
      </c>
    </row>
    <row r="51" ht="15.75" customHeight="1">
      <c r="A51" s="28"/>
      <c r="B51" s="16" t="s">
        <v>2786</v>
      </c>
      <c r="C51" s="17">
        <f>COUNTIFS('Prácticas_Revisiones'!$S$2:$S$282,"T042",'Prácticas_Revisiones'!$T$2:$T$282,"REQUIREMENTS &gt; *")+COUNTIFS('Prácticas_Snowballing'!$AB$2:$AB$281,"T042",'Prácticas_Snowballing'!$AC$2:$AC$281,"REQUIREMENTS &gt; *")</f>
        <v>0</v>
      </c>
      <c r="D51" s="17">
        <f>COUNTIFS('Prácticas_Revisiones'!$S$2:$S$282,"T042",'Prácticas_Revisiones'!$T$2:$T$282,"ARCHITECTURE &gt; *")+COUNTIFS('Prácticas_Snowballing'!$AB$2:$AB$281,"T042",'Prácticas_Snowballing'!$AC$2:$AC$281,"ARCHITECTURE &gt; *")</f>
        <v>0</v>
      </c>
      <c r="E51" s="17">
        <f>COUNTIFS('Prácticas_Revisiones'!$S$2:$S$282,"T042",'Prácticas_Revisiones'!$T$2:$T$282,"DESIGN &gt; *")+COUNTIFS('Prácticas_Snowballing'!$AB$2:$AB$281,"T042",'Prácticas_Snowballing'!$AC$2:$AC$281,"DESIGN &gt; *")</f>
        <v>0</v>
      </c>
      <c r="F51" s="17">
        <f>COUNTIFS('Prácticas_Revisiones'!$S$2:$S$282,"T042",'Prácticas_Revisiones'!$T$2:$T$282,"CONSTRUCTION &gt; *")+COUNTIFS('Prácticas_Snowballing'!$AB$2:$AB$281,"T042",'Prácticas_Snowballing'!$AC$2:$AC$281,"CONSTRUCTION &gt; *")</f>
        <v>2</v>
      </c>
      <c r="G51" s="17">
        <f>COUNTIFS('Prácticas_Revisiones'!$S$2:$S$282,"T042",'Prácticas_Revisiones'!$T$2:$T$282,"SOFTWARE TESTING &gt; *")+COUNTIFS('Prácticas_Snowballing'!$AB$2:$AB$281,"T042",'Prácticas_Snowballing'!$AC$2:$AC$281,"SOFTWARE TESTING &gt; *")</f>
        <v>0</v>
      </c>
      <c r="H51" s="17">
        <f>COUNTIFS('Prácticas_Revisiones'!$S$2:$S$282,"T042",'Prácticas_Revisiones'!$T$2:$T$282,"SOFTWARE ENG. OPERATIONS &gt; *")+COUNTIFS('Prácticas_Snowballing'!$AB$2:$AB$281,"T042",'Prácticas_Snowballing'!$AC$2:$AC$281,"SOFTWARE ENG. OPERATIONS &gt; *")</f>
        <v>0</v>
      </c>
      <c r="I51" s="17">
        <f>COUNTIFS('Prácticas_Revisiones'!$S$2:$S$282,"T042",'Prácticas_Revisiones'!$T$2:$T$282,"MAINTENANCE &gt; *")+COUNTIFS('Prácticas_Snowballing'!$AB$2:$AB$281,"T042",'Prácticas_Snowballing'!$AC$2:$AC$281,"MAINTENANCE &gt; *")</f>
        <v>0</v>
      </c>
      <c r="J51" s="17">
        <f>COUNTIFS('Prácticas_Revisiones'!$S$2:$S$282,"T042",'Prácticas_Revisiones'!$T$2:$T$282,"SOFTWARE CONFIG. MGMT. &gt; *")+COUNTIFS('Prácticas_Snowballing'!$AB$2:$AB$281,"T042",'Prácticas_Snowballing'!$AC$2:$AC$281,"SOFTWARE CONFIG. MGMT. &gt; *")</f>
        <v>0</v>
      </c>
      <c r="K51" s="17">
        <f>COUNTIFS('Prácticas_Revisiones'!$S$2:$S$282,"T042",'Prácticas_Revisiones'!$T$2:$T$282,"SOFTWARE ENG. PROCESS &gt; *")+COUNTIFS('Prácticas_Snowballing'!$AB$2:$AB$281,"T042",'Prácticas_Snowballing'!$AC$2:$AC$281,"SOFTWARE ENG. PROCESS &gt; *")</f>
        <v>0</v>
      </c>
      <c r="L51" s="17">
        <f>COUNTIFS('Prácticas_Revisiones'!$S$2:$S$282,"T042",'Prácticas_Revisiones'!$T$2:$T$282,"SOFTWARE ENG. MODELS/METH. &gt; *")+COUNTIFS('Prácticas_Snowballing'!$AB$2:$AB$281,"T042",'Prácticas_Snowballing'!$AC$2:$AC$281,"SOFTWARE ENG. MODELS/METH. &gt; *")</f>
        <v>0</v>
      </c>
      <c r="M51" s="17">
        <f>COUNTIFS('Prácticas_Revisiones'!$S$2:$S$282,"T042",'Prácticas_Revisiones'!$T$2:$T$282,"SOFTWARE QUALITY &gt; *")+COUNTIFS('Prácticas_Snowballing'!$AB$2:$AB$281,"T042",'Prácticas_Snowballing'!$AC$2:$AC$281,"SOFTWARE QUALITY &gt; *")</f>
        <v>0</v>
      </c>
      <c r="N51" s="17">
        <f>COUNTIFS('Prácticas_Revisiones'!$S$2:$S$282,"T042",'Prácticas_Revisiones'!$T$2:$T$282,"SOFTWARE SECURITY &gt; *")+COUNTIFS('Prácticas_Snowballing'!$AB$2:$AB$281,"T042",'Prácticas_Snowballing'!$AC$2:$AC$281,"SOFTWARE SECURITY &gt; *")</f>
        <v>0</v>
      </c>
      <c r="O51" s="17">
        <f>COUNTIFS('Prácticas_Revisiones'!$S$2:$S$282,"T042",'Prácticas_Revisiones'!$T$2:$T$282,"PROFESSIONAL PRACTICE &gt; *")+COUNTIFS('Prácticas_Snowballing'!$AB$2:$AB$281,"T042",'Prácticas_Snowballing'!$AC$2:$AC$281,"PROFESSIONAL PRACTICE &gt; *")</f>
        <v>2</v>
      </c>
      <c r="P51" s="17">
        <f>COUNTIFS('Prácticas_Revisiones'!$S$2:$S$282,"T042",'Prácticas_Revisiones'!$T$2:$T$282,"SOFTWARE ENG. ECONOMICS &gt; *")+COUNTIFS('Prácticas_Snowballing'!$AB$2:$AB$281,"T042",'Prácticas_Snowballing'!$AC$2:$AC$281,"SOFTWARE ENG. ECONOMICS &gt; *")</f>
        <v>0</v>
      </c>
      <c r="Q51" s="17">
        <f>COUNTIFS('Prácticas_Revisiones'!$S$2:$S$282,"T042",'Prácticas_Revisiones'!$T$2:$T$282,"SOFTWARE ENG. MANAGEMENT &gt; *")+COUNTIFS('Prácticas_Snowballing'!$AB$2:$AB$281,"T042",'Prácticas_Snowballing'!$AC$2:$AC$281,"SOFTWARE ENG. MANAGEMENT &gt; *")</f>
        <v>0</v>
      </c>
      <c r="R51" s="17">
        <f>COUNTIFS('Prácticas_Revisiones'!$S$2:$S$282,"T042",'Prácticas_Revisiones'!$T$2:$T$282,"Sin área SWEBOK")+COUNTIFS('Prácticas_Snowballing'!$AB$2:$AB$281,"T042",'Prácticas_Snowballing'!$AC$2:$AC$281,"Sin área SWEBOK")</f>
        <v>0</v>
      </c>
      <c r="S51" s="27">
        <f t="shared" si="5"/>
        <v>4</v>
      </c>
    </row>
    <row r="52" ht="15.75" customHeight="1">
      <c r="A52" s="28"/>
      <c r="B52" s="16" t="s">
        <v>2787</v>
      </c>
      <c r="C52" s="17">
        <f>COUNTIFS('Prácticas_Revisiones'!$S$2:$S$282,"T043",'Prácticas_Revisiones'!$T$2:$T$282,"REQUIREMENTS &gt; *")+COUNTIFS('Prácticas_Snowballing'!$AB$2:$AB$281,"T043",'Prácticas_Snowballing'!$AC$2:$AC$281,"REQUIREMENTS &gt; *")</f>
        <v>0</v>
      </c>
      <c r="D52" s="17">
        <f>COUNTIFS('Prácticas_Revisiones'!$S$2:$S$282,"T043",'Prácticas_Revisiones'!$T$2:$T$282,"ARCHITECTURE &gt; *")+COUNTIFS('Prácticas_Snowballing'!$AB$2:$AB$281,"T043",'Prácticas_Snowballing'!$AC$2:$AC$281,"ARCHITECTURE &gt; *")</f>
        <v>0</v>
      </c>
      <c r="E52" s="17">
        <f>COUNTIFS('Prácticas_Revisiones'!$S$2:$S$282,"T043",'Prácticas_Revisiones'!$T$2:$T$282,"DESIGN &gt; *")+COUNTIFS('Prácticas_Snowballing'!$AB$2:$AB$281,"T043",'Prácticas_Snowballing'!$AC$2:$AC$281,"DESIGN &gt; *")</f>
        <v>0</v>
      </c>
      <c r="F52" s="17">
        <f>COUNTIFS('Prácticas_Revisiones'!$S$2:$S$282,"T043",'Prácticas_Revisiones'!$T$2:$T$282,"CONSTRUCTION &gt; *")+COUNTIFS('Prácticas_Snowballing'!$AB$2:$AB$281,"T043",'Prácticas_Snowballing'!$AC$2:$AC$281,"CONSTRUCTION &gt; *")</f>
        <v>0</v>
      </c>
      <c r="G52" s="17">
        <f>COUNTIFS('Prácticas_Revisiones'!$S$2:$S$282,"T043",'Prácticas_Revisiones'!$T$2:$T$282,"SOFTWARE TESTING &gt; *")+COUNTIFS('Prácticas_Snowballing'!$AB$2:$AB$281,"T043",'Prácticas_Snowballing'!$AC$2:$AC$281,"SOFTWARE TESTING &gt; *")</f>
        <v>0</v>
      </c>
      <c r="H52" s="17">
        <f>COUNTIFS('Prácticas_Revisiones'!$S$2:$S$282,"T043",'Prácticas_Revisiones'!$T$2:$T$282,"SOFTWARE ENG. OPERATIONS &gt; *")+COUNTIFS('Prácticas_Snowballing'!$AB$2:$AB$281,"T043",'Prácticas_Snowballing'!$AC$2:$AC$281,"SOFTWARE ENG. OPERATIONS &gt; *")</f>
        <v>0</v>
      </c>
      <c r="I52" s="17">
        <f>COUNTIFS('Prácticas_Revisiones'!$S$2:$S$282,"T043",'Prácticas_Revisiones'!$T$2:$T$282,"MAINTENANCE &gt; *")+COUNTIFS('Prácticas_Snowballing'!$AB$2:$AB$281,"T043",'Prácticas_Snowballing'!$AC$2:$AC$281,"MAINTENANCE &gt; *")</f>
        <v>0</v>
      </c>
      <c r="J52" s="17">
        <f>COUNTIFS('Prácticas_Revisiones'!$S$2:$S$282,"T043",'Prácticas_Revisiones'!$T$2:$T$282,"SOFTWARE CONFIG. MGMT. &gt; *")+COUNTIFS('Prácticas_Snowballing'!$AB$2:$AB$281,"T043",'Prácticas_Snowballing'!$AC$2:$AC$281,"SOFTWARE CONFIG. MGMT. &gt; *")</f>
        <v>0</v>
      </c>
      <c r="K52" s="17">
        <f>COUNTIFS('Prácticas_Revisiones'!$S$2:$S$282,"T043",'Prácticas_Revisiones'!$T$2:$T$282,"SOFTWARE ENG. PROCESS &gt; *")+COUNTIFS('Prácticas_Snowballing'!$AB$2:$AB$281,"T043",'Prácticas_Snowballing'!$AC$2:$AC$281,"SOFTWARE ENG. PROCESS &gt; *")</f>
        <v>0</v>
      </c>
      <c r="L52" s="17">
        <f>COUNTIFS('Prácticas_Revisiones'!$S$2:$S$282,"T043",'Prácticas_Revisiones'!$T$2:$T$282,"SOFTWARE ENG. MODELS/METH. &gt; *")+COUNTIFS('Prácticas_Snowballing'!$AB$2:$AB$281,"T043",'Prácticas_Snowballing'!$AC$2:$AC$281,"SOFTWARE ENG. MODELS/METH. &gt; *")</f>
        <v>0</v>
      </c>
      <c r="M52" s="17">
        <f>COUNTIFS('Prácticas_Revisiones'!$S$2:$S$282,"T043",'Prácticas_Revisiones'!$T$2:$T$282,"SOFTWARE QUALITY &gt; *")+COUNTIFS('Prácticas_Snowballing'!$AB$2:$AB$281,"T043",'Prácticas_Snowballing'!$AC$2:$AC$281,"SOFTWARE QUALITY &gt; *")</f>
        <v>0</v>
      </c>
      <c r="N52" s="17">
        <f>COUNTIFS('Prácticas_Revisiones'!$S$2:$S$282,"T043",'Prácticas_Revisiones'!$T$2:$T$282,"SOFTWARE SECURITY &gt; *")+COUNTIFS('Prácticas_Snowballing'!$AB$2:$AB$281,"T043",'Prácticas_Snowballing'!$AC$2:$AC$281,"SOFTWARE SECURITY &gt; *")</f>
        <v>0</v>
      </c>
      <c r="O52" s="17">
        <f>COUNTIFS('Prácticas_Revisiones'!$S$2:$S$282,"T043",'Prácticas_Revisiones'!$T$2:$T$282,"PROFESSIONAL PRACTICE &gt; *")+COUNTIFS('Prácticas_Snowballing'!$AB$2:$AB$281,"T043",'Prácticas_Snowballing'!$AC$2:$AC$281,"PROFESSIONAL PRACTICE &gt; *")</f>
        <v>0</v>
      </c>
      <c r="P52" s="17">
        <f>COUNTIFS('Prácticas_Revisiones'!$S$2:$S$282,"T043",'Prácticas_Revisiones'!$T$2:$T$282,"SOFTWARE ENG. ECONOMICS &gt; *")+COUNTIFS('Prácticas_Snowballing'!$AB$2:$AB$281,"T043",'Prácticas_Snowballing'!$AC$2:$AC$281,"SOFTWARE ENG. ECONOMICS &gt; *")</f>
        <v>0</v>
      </c>
      <c r="Q52" s="17">
        <f>COUNTIFS('Prácticas_Revisiones'!$S$2:$S$282,"T043",'Prácticas_Revisiones'!$T$2:$T$282,"SOFTWARE ENG. MANAGEMENT &gt; *")+COUNTIFS('Prácticas_Snowballing'!$AB$2:$AB$281,"T043",'Prácticas_Snowballing'!$AC$2:$AC$281,"SOFTWARE ENG. MANAGEMENT &gt; *")</f>
        <v>0</v>
      </c>
      <c r="R52" s="17">
        <f>COUNTIFS('Prácticas_Revisiones'!$S$2:$S$282,"T043",'Prácticas_Revisiones'!$T$2:$T$282,"Sin área SWEBOK")+COUNTIFS('Prácticas_Snowballing'!$AB$2:$AB$281,"T043",'Prácticas_Snowballing'!$AC$2:$AC$281,"Sin área SWEBOK")</f>
        <v>0</v>
      </c>
      <c r="S52" s="27">
        <f t="shared" si="5"/>
        <v>0</v>
      </c>
    </row>
    <row r="53" ht="15.75" customHeight="1">
      <c r="A53" s="28"/>
      <c r="B53" s="16" t="s">
        <v>2789</v>
      </c>
      <c r="C53" s="17">
        <f>COUNTIFS('Prácticas_Revisiones'!$S$2:$S$282,"T044",'Prácticas_Revisiones'!$T$2:$T$282,"REQUIREMENTS &gt; *")+COUNTIFS('Prácticas_Snowballing'!$AB$2:$AB$281,"T044",'Prácticas_Snowballing'!$AC$2:$AC$281,"REQUIREMENTS &gt; *")</f>
        <v>1</v>
      </c>
      <c r="D53" s="17">
        <f>COUNTIFS('Prácticas_Revisiones'!$S$2:$S$282,"T044",'Prácticas_Revisiones'!$T$2:$T$282,"ARCHITECTURE &gt; *")+COUNTIFS('Prácticas_Snowballing'!$AB$2:$AB$281,"T044",'Prácticas_Snowballing'!$AC$2:$AC$281,"ARCHITECTURE &gt; *")</f>
        <v>0</v>
      </c>
      <c r="E53" s="17">
        <f>COUNTIFS('Prácticas_Revisiones'!$S$2:$S$282,"T044",'Prácticas_Revisiones'!$T$2:$T$282,"DESIGN &gt; *")+COUNTIFS('Prácticas_Snowballing'!$AB$2:$AB$281,"T044",'Prácticas_Snowballing'!$AC$2:$AC$281,"DESIGN &gt; *")</f>
        <v>2</v>
      </c>
      <c r="F53" s="17">
        <f>COUNTIFS('Prácticas_Revisiones'!$S$2:$S$282,"T044",'Prácticas_Revisiones'!$T$2:$T$282,"CONSTRUCTION &gt; *")+COUNTIFS('Prácticas_Snowballing'!$AB$2:$AB$281,"T044",'Prácticas_Snowballing'!$AC$2:$AC$281,"CONSTRUCTION &gt; *")</f>
        <v>86</v>
      </c>
      <c r="G53" s="17">
        <f>COUNTIFS('Prácticas_Revisiones'!$S$2:$S$282,"T044",'Prácticas_Revisiones'!$T$2:$T$282,"SOFTWARE TESTING &gt; *")+COUNTIFS('Prácticas_Snowballing'!$AB$2:$AB$281,"T044",'Prácticas_Snowballing'!$AC$2:$AC$281,"SOFTWARE TESTING &gt; *")</f>
        <v>0</v>
      </c>
      <c r="H53" s="17">
        <f>COUNTIFS('Prácticas_Revisiones'!$S$2:$S$282,"T044",'Prácticas_Revisiones'!$T$2:$T$282,"SOFTWARE ENG. OPERATIONS &gt; *")+COUNTIFS('Prácticas_Snowballing'!$AB$2:$AB$281,"T044",'Prácticas_Snowballing'!$AC$2:$AC$281,"SOFTWARE ENG. OPERATIONS &gt; *")</f>
        <v>0</v>
      </c>
      <c r="I53" s="17">
        <f>COUNTIFS('Prácticas_Revisiones'!$S$2:$S$282,"T044",'Prácticas_Revisiones'!$T$2:$T$282,"MAINTENANCE &gt; *")+COUNTIFS('Prácticas_Snowballing'!$AB$2:$AB$281,"T044",'Prácticas_Snowballing'!$AC$2:$AC$281,"MAINTENANCE &gt; *")</f>
        <v>1</v>
      </c>
      <c r="J53" s="17">
        <f>COUNTIFS('Prácticas_Revisiones'!$S$2:$S$282,"T044",'Prácticas_Revisiones'!$T$2:$T$282,"SOFTWARE CONFIG. MGMT. &gt; *")+COUNTIFS('Prácticas_Snowballing'!$AB$2:$AB$281,"T044",'Prácticas_Snowballing'!$AC$2:$AC$281,"SOFTWARE CONFIG. MGMT. &gt; *")</f>
        <v>0</v>
      </c>
      <c r="K53" s="17">
        <f>COUNTIFS('Prácticas_Revisiones'!$S$2:$S$282,"T044",'Prácticas_Revisiones'!$T$2:$T$282,"SOFTWARE ENG. PROCESS &gt; *")+COUNTIFS('Prácticas_Snowballing'!$AB$2:$AB$281,"T044",'Prácticas_Snowballing'!$AC$2:$AC$281,"SOFTWARE ENG. PROCESS &gt; *")</f>
        <v>0</v>
      </c>
      <c r="L53" s="17">
        <f>COUNTIFS('Prácticas_Revisiones'!$S$2:$S$282,"T044",'Prácticas_Revisiones'!$T$2:$T$282,"SOFTWARE ENG. MODELS/METH. &gt; *")+COUNTIFS('Prácticas_Snowballing'!$AB$2:$AB$281,"T044",'Prácticas_Snowballing'!$AC$2:$AC$281,"SOFTWARE ENG. MODELS/METH. &gt; *")</f>
        <v>1</v>
      </c>
      <c r="M53" s="17">
        <f>COUNTIFS('Prácticas_Revisiones'!$S$2:$S$282,"T044",'Prácticas_Revisiones'!$T$2:$T$282,"SOFTWARE QUALITY &gt; *")+COUNTIFS('Prácticas_Snowballing'!$AB$2:$AB$281,"T044",'Prácticas_Snowballing'!$AC$2:$AC$281,"SOFTWARE QUALITY &gt; *")</f>
        <v>2</v>
      </c>
      <c r="N53" s="17">
        <f>COUNTIFS('Prácticas_Revisiones'!$S$2:$S$282,"T044",'Prácticas_Revisiones'!$T$2:$T$282,"SOFTWARE SECURITY &gt; *")+COUNTIFS('Prácticas_Snowballing'!$AB$2:$AB$281,"T044",'Prácticas_Snowballing'!$AC$2:$AC$281,"SOFTWARE SECURITY &gt; *")</f>
        <v>1</v>
      </c>
      <c r="O53" s="17">
        <f>COUNTIFS('Prácticas_Revisiones'!$S$2:$S$282,"T044",'Prácticas_Revisiones'!$T$2:$T$282,"PROFESSIONAL PRACTICE &gt; *")+COUNTIFS('Prácticas_Snowballing'!$AB$2:$AB$281,"T044",'Prácticas_Snowballing'!$AC$2:$AC$281,"PROFESSIONAL PRACTICE &gt; *")</f>
        <v>0</v>
      </c>
      <c r="P53" s="17">
        <f>COUNTIFS('Prácticas_Revisiones'!$S$2:$S$282,"T044",'Prácticas_Revisiones'!$T$2:$T$282,"SOFTWARE ENG. ECONOMICS &gt; *")+COUNTIFS('Prácticas_Snowballing'!$AB$2:$AB$281,"T044",'Prácticas_Snowballing'!$AC$2:$AC$281,"SOFTWARE ENG. ECONOMICS &gt; *")</f>
        <v>0</v>
      </c>
      <c r="Q53" s="17">
        <f>COUNTIFS('Prácticas_Revisiones'!$S$2:$S$282,"T044",'Prácticas_Revisiones'!$T$2:$T$282,"SOFTWARE ENG. MANAGEMENT &gt; *")+COUNTIFS('Prácticas_Snowballing'!$AB$2:$AB$281,"T044",'Prácticas_Snowballing'!$AC$2:$AC$281,"SOFTWARE ENG. MANAGEMENT &gt; *")</f>
        <v>1</v>
      </c>
      <c r="R53" s="17">
        <f>COUNTIFS('Prácticas_Revisiones'!$S$2:$S$282,"T044",'Prácticas_Revisiones'!$T$2:$T$282,"Sin área SWEBOK")+COUNTIFS('Prácticas_Snowballing'!$AB$2:$AB$281,"T044",'Prácticas_Snowballing'!$AC$2:$AC$281,"Sin área SWEBOK")</f>
        <v>0</v>
      </c>
      <c r="S53" s="27">
        <f t="shared" si="5"/>
        <v>95</v>
      </c>
    </row>
    <row r="54" ht="15.75" customHeight="1">
      <c r="A54" s="28"/>
      <c r="B54" s="16" t="s">
        <v>2790</v>
      </c>
      <c r="C54" s="17">
        <f>COUNTIFS('Prácticas_Revisiones'!$S$2:$S$282,"T045",'Prácticas_Revisiones'!$T$2:$T$282,"REQUIREMENTS &gt; *")+COUNTIFS('Prácticas_Snowballing'!$AB$2:$AB$281,"T045",'Prácticas_Snowballing'!$AC$2:$AC$281,"REQUIREMENTS &gt; *")</f>
        <v>1</v>
      </c>
      <c r="D54" s="17">
        <f>COUNTIFS('Prácticas_Revisiones'!$S$2:$S$282,"T045",'Prácticas_Revisiones'!$T$2:$T$282,"ARCHITECTURE &gt; *")+COUNTIFS('Prácticas_Snowballing'!$AB$2:$AB$281,"T045",'Prácticas_Snowballing'!$AC$2:$AC$281,"ARCHITECTURE &gt; *")</f>
        <v>0</v>
      </c>
      <c r="E54" s="17">
        <f>COUNTIFS('Prácticas_Revisiones'!$S$2:$S$282,"T045",'Prácticas_Revisiones'!$T$2:$T$282,"DESIGN &gt; *")+COUNTIFS('Prácticas_Snowballing'!$AB$2:$AB$281,"T045",'Prácticas_Snowballing'!$AC$2:$AC$281,"DESIGN &gt; *")</f>
        <v>0</v>
      </c>
      <c r="F54" s="17">
        <f>COUNTIFS('Prácticas_Revisiones'!$S$2:$S$282,"T045",'Prácticas_Revisiones'!$T$2:$T$282,"CONSTRUCTION &gt; *")+COUNTIFS('Prácticas_Snowballing'!$AB$2:$AB$281,"T045",'Prácticas_Snowballing'!$AC$2:$AC$281,"CONSTRUCTION &gt; *")</f>
        <v>5</v>
      </c>
      <c r="G54" s="17">
        <f>COUNTIFS('Prácticas_Revisiones'!$S$2:$S$282,"T045",'Prácticas_Revisiones'!$T$2:$T$282,"SOFTWARE TESTING &gt; *")+COUNTIFS('Prácticas_Snowballing'!$AB$2:$AB$281,"T045",'Prácticas_Snowballing'!$AC$2:$AC$281,"SOFTWARE TESTING &gt; *")</f>
        <v>2</v>
      </c>
      <c r="H54" s="17">
        <f>COUNTIFS('Prácticas_Revisiones'!$S$2:$S$282,"T045",'Prácticas_Revisiones'!$T$2:$T$282,"SOFTWARE ENG. OPERATIONS &gt; *")+COUNTIFS('Prácticas_Snowballing'!$AB$2:$AB$281,"T045",'Prácticas_Snowballing'!$AC$2:$AC$281,"SOFTWARE ENG. OPERATIONS &gt; *")</f>
        <v>0</v>
      </c>
      <c r="I54" s="17">
        <f>COUNTIFS('Prácticas_Revisiones'!$S$2:$S$282,"T045",'Prácticas_Revisiones'!$T$2:$T$282,"MAINTENANCE &gt; *")+COUNTIFS('Prácticas_Snowballing'!$AB$2:$AB$281,"T045",'Prácticas_Snowballing'!$AC$2:$AC$281,"MAINTENANCE &gt; *")</f>
        <v>0</v>
      </c>
      <c r="J54" s="17">
        <f>COUNTIFS('Prácticas_Revisiones'!$S$2:$S$282,"T045",'Prácticas_Revisiones'!$T$2:$T$282,"SOFTWARE CONFIG. MGMT. &gt; *")+COUNTIFS('Prácticas_Snowballing'!$AB$2:$AB$281,"T045",'Prácticas_Snowballing'!$AC$2:$AC$281,"SOFTWARE CONFIG. MGMT. &gt; *")</f>
        <v>0</v>
      </c>
      <c r="K54" s="17">
        <f>COUNTIFS('Prácticas_Revisiones'!$S$2:$S$282,"T045",'Prácticas_Revisiones'!$T$2:$T$282,"SOFTWARE ENG. PROCESS &gt; *")+COUNTIFS('Prácticas_Snowballing'!$AB$2:$AB$281,"T045",'Prácticas_Snowballing'!$AC$2:$AC$281,"SOFTWARE ENG. PROCESS &gt; *")</f>
        <v>1</v>
      </c>
      <c r="L54" s="17">
        <f>COUNTIFS('Prácticas_Revisiones'!$S$2:$S$282,"T045",'Prácticas_Revisiones'!$T$2:$T$282,"SOFTWARE ENG. MODELS/METH. &gt; *")+COUNTIFS('Prácticas_Snowballing'!$AB$2:$AB$281,"T045",'Prácticas_Snowballing'!$AC$2:$AC$281,"SOFTWARE ENG. MODELS/METH. &gt; *")</f>
        <v>0</v>
      </c>
      <c r="M54" s="17">
        <f>COUNTIFS('Prácticas_Revisiones'!$S$2:$S$282,"T045",'Prácticas_Revisiones'!$T$2:$T$282,"SOFTWARE QUALITY &gt; *")+COUNTIFS('Prácticas_Snowballing'!$AB$2:$AB$281,"T045",'Prácticas_Snowballing'!$AC$2:$AC$281,"SOFTWARE QUALITY &gt; *")</f>
        <v>0</v>
      </c>
      <c r="N54" s="17">
        <f>COUNTIFS('Prácticas_Revisiones'!$S$2:$S$282,"T045",'Prácticas_Revisiones'!$T$2:$T$282,"SOFTWARE SECURITY &gt; *")+COUNTIFS('Prácticas_Snowballing'!$AB$2:$AB$281,"T045",'Prácticas_Snowballing'!$AC$2:$AC$281,"SOFTWARE SECURITY &gt; *")</f>
        <v>0</v>
      </c>
      <c r="O54" s="17">
        <f>COUNTIFS('Prácticas_Revisiones'!$S$2:$S$282,"T045",'Prácticas_Revisiones'!$T$2:$T$282,"PROFESSIONAL PRACTICE &gt; *")+COUNTIFS('Prácticas_Snowballing'!$AB$2:$AB$281,"T045",'Prácticas_Snowballing'!$AC$2:$AC$281,"PROFESSIONAL PRACTICE &gt; *")</f>
        <v>3</v>
      </c>
      <c r="P54" s="17">
        <f>COUNTIFS('Prácticas_Revisiones'!$S$2:$S$282,"T045",'Prácticas_Revisiones'!$T$2:$T$282,"SOFTWARE ENG. ECONOMICS &gt; *")+COUNTIFS('Prácticas_Snowballing'!$AB$2:$AB$281,"T045",'Prácticas_Snowballing'!$AC$2:$AC$281,"SOFTWARE ENG. ECONOMICS &gt; *")</f>
        <v>0</v>
      </c>
      <c r="Q54" s="17">
        <f>COUNTIFS('Prácticas_Revisiones'!$S$2:$S$282,"T045",'Prácticas_Revisiones'!$T$2:$T$282,"SOFTWARE ENG. MANAGEMENT &gt; *")+COUNTIFS('Prácticas_Snowballing'!$AB$2:$AB$281,"T045",'Prácticas_Snowballing'!$AC$2:$AC$281,"SOFTWARE ENG. MANAGEMENT &gt; *")</f>
        <v>0</v>
      </c>
      <c r="R54" s="17">
        <f>COUNTIFS('Prácticas_Revisiones'!$S$2:$S$282,"T045",'Prácticas_Revisiones'!$T$2:$T$282,"Sin área SWEBOK")+COUNTIFS('Prácticas_Snowballing'!$AB$2:$AB$281,"T045",'Prácticas_Snowballing'!$AC$2:$AC$281,"Sin área SWEBOK")</f>
        <v>0</v>
      </c>
      <c r="S54" s="27">
        <f t="shared" si="5"/>
        <v>12</v>
      </c>
    </row>
    <row r="55" ht="15.75" customHeight="1">
      <c r="A55" s="28"/>
      <c r="B55" s="16" t="s">
        <v>2792</v>
      </c>
      <c r="C55" s="17">
        <f>COUNTIFS('Prácticas_Revisiones'!$S$2:$S$282,"T046",'Prácticas_Revisiones'!$T$2:$T$282,"REQUIREMENTS &gt; *")+COUNTIFS('Prácticas_Snowballing'!$AB$2:$AB$281,"T046",'Prácticas_Snowballing'!$AC$2:$AC$281,"REQUIREMENTS &gt; *")</f>
        <v>0</v>
      </c>
      <c r="D55" s="17">
        <f>COUNTIFS('Prácticas_Revisiones'!$S$2:$S$282,"T046",'Prácticas_Revisiones'!$T$2:$T$282,"ARCHITECTURE &gt; *")+COUNTIFS('Prácticas_Snowballing'!$AB$2:$AB$281,"T046",'Prácticas_Snowballing'!$AC$2:$AC$281,"ARCHITECTURE &gt; *")</f>
        <v>0</v>
      </c>
      <c r="E55" s="17">
        <f>COUNTIFS('Prácticas_Revisiones'!$S$2:$S$282,"T046",'Prácticas_Revisiones'!$T$2:$T$282,"DESIGN &gt; *")+COUNTIFS('Prácticas_Snowballing'!$AB$2:$AB$281,"T046",'Prácticas_Snowballing'!$AC$2:$AC$281,"DESIGN &gt; *")</f>
        <v>0</v>
      </c>
      <c r="F55" s="17">
        <f>COUNTIFS('Prácticas_Revisiones'!$S$2:$S$282,"T046",'Prácticas_Revisiones'!$T$2:$T$282,"CONSTRUCTION &gt; *")+COUNTIFS('Prácticas_Snowballing'!$AB$2:$AB$281,"T046",'Prácticas_Snowballing'!$AC$2:$AC$281,"CONSTRUCTION &gt; *")</f>
        <v>0</v>
      </c>
      <c r="G55" s="17">
        <f>COUNTIFS('Prácticas_Revisiones'!$S$2:$S$282,"T046",'Prácticas_Revisiones'!$T$2:$T$282,"SOFTWARE TESTING &gt; *")+COUNTIFS('Prácticas_Snowballing'!$AB$2:$AB$281,"T046",'Prácticas_Snowballing'!$AC$2:$AC$281,"SOFTWARE TESTING &gt; *")</f>
        <v>0</v>
      </c>
      <c r="H55" s="17">
        <f>COUNTIFS('Prácticas_Revisiones'!$S$2:$S$282,"T046",'Prácticas_Revisiones'!$T$2:$T$282,"SOFTWARE ENG. OPERATIONS &gt; *")+COUNTIFS('Prácticas_Snowballing'!$AB$2:$AB$281,"T046",'Prácticas_Snowballing'!$AC$2:$AC$281,"SOFTWARE ENG. OPERATIONS &gt; *")</f>
        <v>0</v>
      </c>
      <c r="I55" s="17">
        <f>COUNTIFS('Prácticas_Revisiones'!$S$2:$S$282,"T046",'Prácticas_Revisiones'!$T$2:$T$282,"MAINTENANCE &gt; *")+COUNTIFS('Prácticas_Snowballing'!$AB$2:$AB$281,"T046",'Prácticas_Snowballing'!$AC$2:$AC$281,"MAINTENANCE &gt; *")</f>
        <v>0</v>
      </c>
      <c r="J55" s="17">
        <f>COUNTIFS('Prácticas_Revisiones'!$S$2:$S$282,"T046",'Prácticas_Revisiones'!$T$2:$T$282,"SOFTWARE CONFIG. MGMT. &gt; *")+COUNTIFS('Prácticas_Snowballing'!$AB$2:$AB$281,"T046",'Prácticas_Snowballing'!$AC$2:$AC$281,"SOFTWARE CONFIG. MGMT. &gt; *")</f>
        <v>0</v>
      </c>
      <c r="K55" s="17">
        <f>COUNTIFS('Prácticas_Revisiones'!$S$2:$S$282,"T046",'Prácticas_Revisiones'!$T$2:$T$282,"SOFTWARE ENG. PROCESS &gt; *")+COUNTIFS('Prácticas_Snowballing'!$AB$2:$AB$281,"T046",'Prácticas_Snowballing'!$AC$2:$AC$281,"SOFTWARE ENG. PROCESS &gt; *")</f>
        <v>0</v>
      </c>
      <c r="L55" s="17">
        <f>COUNTIFS('Prácticas_Revisiones'!$S$2:$S$282,"T046",'Prácticas_Revisiones'!$T$2:$T$282,"SOFTWARE ENG. MODELS/METH. &gt; *")+COUNTIFS('Prácticas_Snowballing'!$AB$2:$AB$281,"T046",'Prácticas_Snowballing'!$AC$2:$AC$281,"SOFTWARE ENG. MODELS/METH. &gt; *")</f>
        <v>0</v>
      </c>
      <c r="M55" s="17">
        <f>COUNTIFS('Prácticas_Revisiones'!$S$2:$S$282,"T046",'Prácticas_Revisiones'!$T$2:$T$282,"SOFTWARE QUALITY &gt; *")+COUNTIFS('Prácticas_Snowballing'!$AB$2:$AB$281,"T046",'Prácticas_Snowballing'!$AC$2:$AC$281,"SOFTWARE QUALITY &gt; *")</f>
        <v>0</v>
      </c>
      <c r="N55" s="17">
        <f>COUNTIFS('Prácticas_Revisiones'!$S$2:$S$282,"T046",'Prácticas_Revisiones'!$T$2:$T$282,"SOFTWARE SECURITY &gt; *")+COUNTIFS('Prácticas_Snowballing'!$AB$2:$AB$281,"T046",'Prácticas_Snowballing'!$AC$2:$AC$281,"SOFTWARE SECURITY &gt; *")</f>
        <v>0</v>
      </c>
      <c r="O55" s="17">
        <f>COUNTIFS('Prácticas_Revisiones'!$S$2:$S$282,"T046",'Prácticas_Revisiones'!$T$2:$T$282,"PROFESSIONAL PRACTICE &gt; *")+COUNTIFS('Prácticas_Snowballing'!$AB$2:$AB$281,"T046",'Prácticas_Snowballing'!$AC$2:$AC$281,"PROFESSIONAL PRACTICE &gt; *")</f>
        <v>0</v>
      </c>
      <c r="P55" s="17">
        <f>COUNTIFS('Prácticas_Revisiones'!$S$2:$S$282,"T046",'Prácticas_Revisiones'!$T$2:$T$282,"SOFTWARE ENG. ECONOMICS &gt; *")+COUNTIFS('Prácticas_Snowballing'!$AB$2:$AB$281,"T046",'Prácticas_Snowballing'!$AC$2:$AC$281,"SOFTWARE ENG. ECONOMICS &gt; *")</f>
        <v>0</v>
      </c>
      <c r="Q55" s="17">
        <f>COUNTIFS('Prácticas_Revisiones'!$S$2:$S$282,"T046",'Prácticas_Revisiones'!$T$2:$T$282,"SOFTWARE ENG. MANAGEMENT &gt; *")+COUNTIFS('Prácticas_Snowballing'!$AB$2:$AB$281,"T046",'Prácticas_Snowballing'!$AC$2:$AC$281,"SOFTWARE ENG. MANAGEMENT &gt; *")</f>
        <v>0</v>
      </c>
      <c r="R55" s="17">
        <f>COUNTIFS('Prácticas_Revisiones'!$S$2:$S$282,"T046",'Prácticas_Revisiones'!$T$2:$T$282,"Sin área SWEBOK")+COUNTIFS('Prácticas_Snowballing'!$AB$2:$AB$281,"T046",'Prácticas_Snowballing'!$AC$2:$AC$281,"Sin área SWEBOK")</f>
        <v>0</v>
      </c>
      <c r="S55" s="27">
        <f t="shared" si="5"/>
        <v>0</v>
      </c>
    </row>
    <row r="56" ht="15.75" customHeight="1">
      <c r="A56" s="28"/>
      <c r="B56" s="16" t="s">
        <v>2795</v>
      </c>
      <c r="C56" s="17">
        <f>COUNTIFS('Prácticas_Revisiones'!$S$2:$S$282,"T047",'Prácticas_Revisiones'!$T$2:$T$282,"REQUIREMENTS &gt; *")+COUNTIFS('Prácticas_Snowballing'!$AB$2:$AB$281,"T047",'Prácticas_Snowballing'!$AC$2:$AC$281,"REQUIREMENTS &gt; *")</f>
        <v>0</v>
      </c>
      <c r="D56" s="17">
        <f>COUNTIFS('Prácticas_Revisiones'!$S$2:$S$282,"T047",'Prácticas_Revisiones'!$T$2:$T$282,"ARCHITECTURE &gt; *")+COUNTIFS('Prácticas_Snowballing'!$AB$2:$AB$281,"T047",'Prácticas_Snowballing'!$AC$2:$AC$281,"ARCHITECTURE &gt; *")</f>
        <v>0</v>
      </c>
      <c r="E56" s="17">
        <f>COUNTIFS('Prácticas_Revisiones'!$S$2:$S$282,"T047",'Prácticas_Revisiones'!$T$2:$T$282,"DESIGN &gt; *")+COUNTIFS('Prácticas_Snowballing'!$AB$2:$AB$281,"T047",'Prácticas_Snowballing'!$AC$2:$AC$281,"DESIGN &gt; *")</f>
        <v>0</v>
      </c>
      <c r="F56" s="17">
        <f>COUNTIFS('Prácticas_Revisiones'!$S$2:$S$282,"T047",'Prácticas_Revisiones'!$T$2:$T$282,"CONSTRUCTION &gt; *")+COUNTIFS('Prácticas_Snowballing'!$AB$2:$AB$281,"T047",'Prácticas_Snowballing'!$AC$2:$AC$281,"CONSTRUCTION &gt; *")</f>
        <v>0</v>
      </c>
      <c r="G56" s="17">
        <f>COUNTIFS('Prácticas_Revisiones'!$S$2:$S$282,"T047",'Prácticas_Revisiones'!$T$2:$T$282,"SOFTWARE TESTING &gt; *")+COUNTIFS('Prácticas_Snowballing'!$AB$2:$AB$281,"T047",'Prácticas_Snowballing'!$AC$2:$AC$281,"SOFTWARE TESTING &gt; *")</f>
        <v>0</v>
      </c>
      <c r="H56" s="17">
        <f>COUNTIFS('Prácticas_Revisiones'!$S$2:$S$282,"T047",'Prácticas_Revisiones'!$T$2:$T$282,"SOFTWARE ENG. OPERATIONS &gt; *")+COUNTIFS('Prácticas_Snowballing'!$AB$2:$AB$281,"T047",'Prácticas_Snowballing'!$AC$2:$AC$281,"SOFTWARE ENG. OPERATIONS &gt; *")</f>
        <v>0</v>
      </c>
      <c r="I56" s="17">
        <f>COUNTIFS('Prácticas_Revisiones'!$S$2:$S$282,"T047",'Prácticas_Revisiones'!$T$2:$T$282,"MAINTENANCE &gt; *")+COUNTIFS('Prácticas_Snowballing'!$AB$2:$AB$281,"T047",'Prácticas_Snowballing'!$AC$2:$AC$281,"MAINTENANCE &gt; *")</f>
        <v>0</v>
      </c>
      <c r="J56" s="17">
        <f>COUNTIFS('Prácticas_Revisiones'!$S$2:$S$282,"T047",'Prácticas_Revisiones'!$T$2:$T$282,"SOFTWARE CONFIG. MGMT. &gt; *")+COUNTIFS('Prácticas_Snowballing'!$AB$2:$AB$281,"T047",'Prácticas_Snowballing'!$AC$2:$AC$281,"SOFTWARE CONFIG. MGMT. &gt; *")</f>
        <v>0</v>
      </c>
      <c r="K56" s="17">
        <f>COUNTIFS('Prácticas_Revisiones'!$S$2:$S$282,"T047",'Prácticas_Revisiones'!$T$2:$T$282,"SOFTWARE ENG. PROCESS &gt; *")+COUNTIFS('Prácticas_Snowballing'!$AB$2:$AB$281,"T047",'Prácticas_Snowballing'!$AC$2:$AC$281,"SOFTWARE ENG. PROCESS &gt; *")</f>
        <v>0</v>
      </c>
      <c r="L56" s="17">
        <f>COUNTIFS('Prácticas_Revisiones'!$S$2:$S$282,"T047",'Prácticas_Revisiones'!$T$2:$T$282,"SOFTWARE ENG. MODELS/METH. &gt; *")+COUNTIFS('Prácticas_Snowballing'!$AB$2:$AB$281,"T047",'Prácticas_Snowballing'!$AC$2:$AC$281,"SOFTWARE ENG. MODELS/METH. &gt; *")</f>
        <v>0</v>
      </c>
      <c r="M56" s="17">
        <f>COUNTIFS('Prácticas_Revisiones'!$S$2:$S$282,"T047",'Prácticas_Revisiones'!$T$2:$T$282,"SOFTWARE QUALITY &gt; *")+COUNTIFS('Prácticas_Snowballing'!$AB$2:$AB$281,"T047",'Prácticas_Snowballing'!$AC$2:$AC$281,"SOFTWARE QUALITY &gt; *")</f>
        <v>0</v>
      </c>
      <c r="N56" s="17">
        <f>COUNTIFS('Prácticas_Revisiones'!$S$2:$S$282,"T047",'Prácticas_Revisiones'!$T$2:$T$282,"SOFTWARE SECURITY &gt; *")+COUNTIFS('Prácticas_Snowballing'!$AB$2:$AB$281,"T047",'Prácticas_Snowballing'!$AC$2:$AC$281,"SOFTWARE SECURITY &gt; *")</f>
        <v>0</v>
      </c>
      <c r="O56" s="17">
        <f>COUNTIFS('Prácticas_Revisiones'!$S$2:$S$282,"T047",'Prácticas_Revisiones'!$T$2:$T$282,"PROFESSIONAL PRACTICE &gt; *")+COUNTIFS('Prácticas_Snowballing'!$AB$2:$AB$281,"T047",'Prácticas_Snowballing'!$AC$2:$AC$281,"PROFESSIONAL PRACTICE &gt; *")</f>
        <v>0</v>
      </c>
      <c r="P56" s="17">
        <f>COUNTIFS('Prácticas_Revisiones'!$S$2:$S$282,"T047",'Prácticas_Revisiones'!$T$2:$T$282,"SOFTWARE ENG. ECONOMICS &gt; *")+COUNTIFS('Prácticas_Snowballing'!$AB$2:$AB$281,"T047",'Prácticas_Snowballing'!$AC$2:$AC$281,"SOFTWARE ENG. ECONOMICS &gt; *")</f>
        <v>0</v>
      </c>
      <c r="Q56" s="17">
        <f>COUNTIFS('Prácticas_Revisiones'!$S$2:$S$282,"T047",'Prácticas_Revisiones'!$T$2:$T$282,"SOFTWARE ENG. MANAGEMENT &gt; *")+COUNTIFS('Prácticas_Snowballing'!$AB$2:$AB$281,"T047",'Prácticas_Snowballing'!$AC$2:$AC$281,"SOFTWARE ENG. MANAGEMENT &gt; *")</f>
        <v>0</v>
      </c>
      <c r="R56" s="17">
        <f>COUNTIFS('Prácticas_Revisiones'!$S$2:$S$282,"T047",'Prácticas_Revisiones'!$T$2:$T$282,"Sin área SWEBOK")+COUNTIFS('Prácticas_Snowballing'!$AB$2:$AB$281,"T047",'Prácticas_Snowballing'!$AC$2:$AC$281,"Sin área SWEBOK")</f>
        <v>0</v>
      </c>
      <c r="S56" s="27">
        <f t="shared" si="5"/>
        <v>0</v>
      </c>
    </row>
    <row r="57" ht="15.75" customHeight="1">
      <c r="A57" s="28"/>
      <c r="B57" s="16" t="s">
        <v>2798</v>
      </c>
      <c r="C57" s="17">
        <f>COUNTIFS('Prácticas_Revisiones'!$S$2:$S$282,"T048",'Prácticas_Revisiones'!$T$2:$T$282,"REQUIREMENTS &gt; *")+COUNTIFS('Prácticas_Snowballing'!$AB$2:$AB$281,"T048",'Prácticas_Snowballing'!$AC$2:$AC$281,"REQUIREMENTS &gt; *")</f>
        <v>0</v>
      </c>
      <c r="D57" s="17">
        <f>COUNTIFS('Prácticas_Revisiones'!$S$2:$S$282,"T048",'Prácticas_Revisiones'!$T$2:$T$282,"ARCHITECTURE &gt; *")+COUNTIFS('Prácticas_Snowballing'!$AB$2:$AB$281,"T048",'Prácticas_Snowballing'!$AC$2:$AC$281,"ARCHITECTURE &gt; *")</f>
        <v>0</v>
      </c>
      <c r="E57" s="17">
        <f>COUNTIFS('Prácticas_Revisiones'!$S$2:$S$282,"T048",'Prácticas_Revisiones'!$T$2:$T$282,"DESIGN &gt; *")+COUNTIFS('Prácticas_Snowballing'!$AB$2:$AB$281,"T048",'Prácticas_Snowballing'!$AC$2:$AC$281,"DESIGN &gt; *")</f>
        <v>0</v>
      </c>
      <c r="F57" s="17">
        <f>COUNTIFS('Prácticas_Revisiones'!$S$2:$S$282,"T048",'Prácticas_Revisiones'!$T$2:$T$282,"CONSTRUCTION &gt; *")+COUNTIFS('Prácticas_Snowballing'!$AB$2:$AB$281,"T048",'Prácticas_Snowballing'!$AC$2:$AC$281,"CONSTRUCTION &gt; *")</f>
        <v>0</v>
      </c>
      <c r="G57" s="17">
        <f>COUNTIFS('Prácticas_Revisiones'!$S$2:$S$282,"T048",'Prácticas_Revisiones'!$T$2:$T$282,"SOFTWARE TESTING &gt; *")+COUNTIFS('Prácticas_Snowballing'!$AB$2:$AB$281,"T048",'Prácticas_Snowballing'!$AC$2:$AC$281,"SOFTWARE TESTING &gt; *")</f>
        <v>0</v>
      </c>
      <c r="H57" s="17">
        <f>COUNTIFS('Prácticas_Revisiones'!$S$2:$S$282,"T048",'Prácticas_Revisiones'!$T$2:$T$282,"SOFTWARE ENG. OPERATIONS &gt; *")+COUNTIFS('Prácticas_Snowballing'!$AB$2:$AB$281,"T048",'Prácticas_Snowballing'!$AC$2:$AC$281,"SOFTWARE ENG. OPERATIONS &gt; *")</f>
        <v>0</v>
      </c>
      <c r="I57" s="17">
        <f>COUNTIFS('Prácticas_Revisiones'!$S$2:$S$282,"T048",'Prácticas_Revisiones'!$T$2:$T$282,"MAINTENANCE &gt; *")+COUNTIFS('Prácticas_Snowballing'!$AB$2:$AB$281,"T048",'Prácticas_Snowballing'!$AC$2:$AC$281,"MAINTENANCE &gt; *")</f>
        <v>0</v>
      </c>
      <c r="J57" s="17">
        <f>COUNTIFS('Prácticas_Revisiones'!$S$2:$S$282,"T048",'Prácticas_Revisiones'!$T$2:$T$282,"SOFTWARE CONFIG. MGMT. &gt; *")+COUNTIFS('Prácticas_Snowballing'!$AB$2:$AB$281,"T048",'Prácticas_Snowballing'!$AC$2:$AC$281,"SOFTWARE CONFIG. MGMT. &gt; *")</f>
        <v>0</v>
      </c>
      <c r="K57" s="17">
        <f>COUNTIFS('Prácticas_Revisiones'!$S$2:$S$282,"T048",'Prácticas_Revisiones'!$T$2:$T$282,"SOFTWARE ENG. PROCESS &gt; *")+COUNTIFS('Prácticas_Snowballing'!$AB$2:$AB$281,"T048",'Prácticas_Snowballing'!$AC$2:$AC$281,"SOFTWARE ENG. PROCESS &gt; *")</f>
        <v>0</v>
      </c>
      <c r="L57" s="17">
        <f>COUNTIFS('Prácticas_Revisiones'!$S$2:$S$282,"T048",'Prácticas_Revisiones'!$T$2:$T$282,"SOFTWARE ENG. MODELS/METH. &gt; *")+COUNTIFS('Prácticas_Snowballing'!$AB$2:$AB$281,"T048",'Prácticas_Snowballing'!$AC$2:$AC$281,"SOFTWARE ENG. MODELS/METH. &gt; *")</f>
        <v>0</v>
      </c>
      <c r="M57" s="17">
        <f>COUNTIFS('Prácticas_Revisiones'!$S$2:$S$282,"T048",'Prácticas_Revisiones'!$T$2:$T$282,"SOFTWARE QUALITY &gt; *")+COUNTIFS('Prácticas_Snowballing'!$AB$2:$AB$281,"T048",'Prácticas_Snowballing'!$AC$2:$AC$281,"SOFTWARE QUALITY &gt; *")</f>
        <v>0</v>
      </c>
      <c r="N57" s="17">
        <f>COUNTIFS('Prácticas_Revisiones'!$S$2:$S$282,"T048",'Prácticas_Revisiones'!$T$2:$T$282,"SOFTWARE SECURITY &gt; *")+COUNTIFS('Prácticas_Snowballing'!$AB$2:$AB$281,"T048",'Prácticas_Snowballing'!$AC$2:$AC$281,"SOFTWARE SECURITY &gt; *")</f>
        <v>0</v>
      </c>
      <c r="O57" s="17">
        <f>COUNTIFS('Prácticas_Revisiones'!$S$2:$S$282,"T048",'Prácticas_Revisiones'!$T$2:$T$282,"PROFESSIONAL PRACTICE &gt; *")+COUNTIFS('Prácticas_Snowballing'!$AB$2:$AB$281,"T048",'Prácticas_Snowballing'!$AC$2:$AC$281,"PROFESSIONAL PRACTICE &gt; *")</f>
        <v>0</v>
      </c>
      <c r="P57" s="17">
        <f>COUNTIFS('Prácticas_Revisiones'!$S$2:$S$282,"T048",'Prácticas_Revisiones'!$T$2:$T$282,"SOFTWARE ENG. ECONOMICS &gt; *")+COUNTIFS('Prácticas_Snowballing'!$AB$2:$AB$281,"T048",'Prácticas_Snowballing'!$AC$2:$AC$281,"SOFTWARE ENG. ECONOMICS &gt; *")</f>
        <v>0</v>
      </c>
      <c r="Q57" s="17">
        <f>COUNTIFS('Prácticas_Revisiones'!$S$2:$S$282,"T048",'Prácticas_Revisiones'!$T$2:$T$282,"SOFTWARE ENG. MANAGEMENT &gt; *")+COUNTIFS('Prácticas_Snowballing'!$AB$2:$AB$281,"T048",'Prácticas_Snowballing'!$AC$2:$AC$281,"SOFTWARE ENG. MANAGEMENT &gt; *")</f>
        <v>0</v>
      </c>
      <c r="R57" s="17">
        <f>COUNTIFS('Prácticas_Revisiones'!$S$2:$S$282,"T048",'Prácticas_Revisiones'!$T$2:$T$282,"Sin área SWEBOK")+COUNTIFS('Prácticas_Snowballing'!$AB$2:$AB$281,"T048",'Prácticas_Snowballing'!$AC$2:$AC$281,"Sin área SWEBOK")</f>
        <v>0</v>
      </c>
      <c r="S57" s="27">
        <f t="shared" si="5"/>
        <v>0</v>
      </c>
    </row>
    <row r="58" ht="15.75" customHeight="1">
      <c r="A58" s="28"/>
      <c r="B58" s="16" t="s">
        <v>2801</v>
      </c>
      <c r="C58" s="17">
        <f>COUNTIFS('Prácticas_Revisiones'!$S$2:$S$282,"T049",'Prácticas_Revisiones'!$T$2:$T$282,"REQUIREMENTS &gt; *")+COUNTIFS('Prácticas_Snowballing'!$AB$2:$AB$281,"T049",'Prácticas_Snowballing'!$AC$2:$AC$281,"REQUIREMENTS &gt; *")</f>
        <v>0</v>
      </c>
      <c r="D58" s="17">
        <f>COUNTIFS('Prácticas_Revisiones'!$S$2:$S$282,"T049",'Prácticas_Revisiones'!$T$2:$T$282,"ARCHITECTURE &gt; *")+COUNTIFS('Prácticas_Snowballing'!$AB$2:$AB$281,"T049",'Prácticas_Snowballing'!$AC$2:$AC$281,"ARCHITECTURE &gt; *")</f>
        <v>0</v>
      </c>
      <c r="E58" s="17">
        <f>COUNTIFS('Prácticas_Revisiones'!$S$2:$S$282,"T049",'Prácticas_Revisiones'!$T$2:$T$282,"DESIGN &gt; *")+COUNTIFS('Prácticas_Snowballing'!$AB$2:$AB$281,"T049",'Prácticas_Snowballing'!$AC$2:$AC$281,"DESIGN &gt; *")</f>
        <v>0</v>
      </c>
      <c r="F58" s="17">
        <f>COUNTIFS('Prácticas_Revisiones'!$S$2:$S$282,"T049",'Prácticas_Revisiones'!$T$2:$T$282,"CONSTRUCTION &gt; *")+COUNTIFS('Prácticas_Snowballing'!$AB$2:$AB$281,"T049",'Prácticas_Snowballing'!$AC$2:$AC$281,"CONSTRUCTION &gt; *")</f>
        <v>3</v>
      </c>
      <c r="G58" s="17">
        <f>COUNTIFS('Prácticas_Revisiones'!$S$2:$S$282,"T049",'Prácticas_Revisiones'!$T$2:$T$282,"SOFTWARE TESTING &gt; *")+COUNTIFS('Prácticas_Snowballing'!$AB$2:$AB$281,"T049",'Prácticas_Snowballing'!$AC$2:$AC$281,"SOFTWARE TESTING &gt; *")</f>
        <v>0</v>
      </c>
      <c r="H58" s="17">
        <f>COUNTIFS('Prácticas_Revisiones'!$S$2:$S$282,"T049",'Prácticas_Revisiones'!$T$2:$T$282,"SOFTWARE ENG. OPERATIONS &gt; *")+COUNTIFS('Prácticas_Snowballing'!$AB$2:$AB$281,"T049",'Prácticas_Snowballing'!$AC$2:$AC$281,"SOFTWARE ENG. OPERATIONS &gt; *")</f>
        <v>0</v>
      </c>
      <c r="I58" s="17">
        <f>COUNTIFS('Prácticas_Revisiones'!$S$2:$S$282,"T049",'Prácticas_Revisiones'!$T$2:$T$282,"MAINTENANCE &gt; *")+COUNTIFS('Prácticas_Snowballing'!$AB$2:$AB$281,"T049",'Prácticas_Snowballing'!$AC$2:$AC$281,"MAINTENANCE &gt; *")</f>
        <v>0</v>
      </c>
      <c r="J58" s="17">
        <f>COUNTIFS('Prácticas_Revisiones'!$S$2:$S$282,"T049",'Prácticas_Revisiones'!$T$2:$T$282,"SOFTWARE CONFIG. MGMT. &gt; *")+COUNTIFS('Prácticas_Snowballing'!$AB$2:$AB$281,"T049",'Prácticas_Snowballing'!$AC$2:$AC$281,"SOFTWARE CONFIG. MGMT. &gt; *")</f>
        <v>0</v>
      </c>
      <c r="K58" s="17">
        <f>COUNTIFS('Prácticas_Revisiones'!$S$2:$S$282,"T049",'Prácticas_Revisiones'!$T$2:$T$282,"SOFTWARE ENG. PROCESS &gt; *")+COUNTIFS('Prácticas_Snowballing'!$AB$2:$AB$281,"T049",'Prácticas_Snowballing'!$AC$2:$AC$281,"SOFTWARE ENG. PROCESS &gt; *")</f>
        <v>0</v>
      </c>
      <c r="L58" s="17">
        <f>COUNTIFS('Prácticas_Revisiones'!$S$2:$S$282,"T049",'Prácticas_Revisiones'!$T$2:$T$282,"SOFTWARE ENG. MODELS/METH. &gt; *")+COUNTIFS('Prácticas_Snowballing'!$AB$2:$AB$281,"T049",'Prácticas_Snowballing'!$AC$2:$AC$281,"SOFTWARE ENG. MODELS/METH. &gt; *")</f>
        <v>0</v>
      </c>
      <c r="M58" s="17">
        <f>COUNTIFS('Prácticas_Revisiones'!$S$2:$S$282,"T049",'Prácticas_Revisiones'!$T$2:$T$282,"SOFTWARE QUALITY &gt; *")+COUNTIFS('Prácticas_Snowballing'!$AB$2:$AB$281,"T049",'Prácticas_Snowballing'!$AC$2:$AC$281,"SOFTWARE QUALITY &gt; *")</f>
        <v>0</v>
      </c>
      <c r="N58" s="17">
        <f>COUNTIFS('Prácticas_Revisiones'!$S$2:$S$282,"T049",'Prácticas_Revisiones'!$T$2:$T$282,"SOFTWARE SECURITY &gt; *")+COUNTIFS('Prácticas_Snowballing'!$AB$2:$AB$281,"T049",'Prácticas_Snowballing'!$AC$2:$AC$281,"SOFTWARE SECURITY &gt; *")</f>
        <v>0</v>
      </c>
      <c r="O58" s="17">
        <f>COUNTIFS('Prácticas_Revisiones'!$S$2:$S$282,"T049",'Prácticas_Revisiones'!$T$2:$T$282,"PROFESSIONAL PRACTICE &gt; *")+COUNTIFS('Prácticas_Snowballing'!$AB$2:$AB$281,"T049",'Prácticas_Snowballing'!$AC$2:$AC$281,"PROFESSIONAL PRACTICE &gt; *")</f>
        <v>0</v>
      </c>
      <c r="P58" s="17">
        <f>COUNTIFS('Prácticas_Revisiones'!$S$2:$S$282,"T049",'Prácticas_Revisiones'!$T$2:$T$282,"SOFTWARE ENG. ECONOMICS &gt; *")+COUNTIFS('Prácticas_Snowballing'!$AB$2:$AB$281,"T049",'Prácticas_Snowballing'!$AC$2:$AC$281,"SOFTWARE ENG. ECONOMICS &gt; *")</f>
        <v>0</v>
      </c>
      <c r="Q58" s="17">
        <f>COUNTIFS('Prácticas_Revisiones'!$S$2:$S$282,"T049",'Prácticas_Revisiones'!$T$2:$T$282,"SOFTWARE ENG. MANAGEMENT &gt; *")+COUNTIFS('Prácticas_Snowballing'!$AB$2:$AB$281,"T049",'Prácticas_Snowballing'!$AC$2:$AC$281,"SOFTWARE ENG. MANAGEMENT &gt; *")</f>
        <v>0</v>
      </c>
      <c r="R58" s="17">
        <f>COUNTIFS('Prácticas_Revisiones'!$S$2:$S$282,"T049",'Prácticas_Revisiones'!$T$2:$T$282,"Sin área SWEBOK")+COUNTIFS('Prácticas_Snowballing'!$AB$2:$AB$281,"T049",'Prácticas_Snowballing'!$AC$2:$AC$281,"Sin área SWEBOK")</f>
        <v>0</v>
      </c>
      <c r="S58" s="27">
        <f t="shared" si="5"/>
        <v>3</v>
      </c>
    </row>
    <row r="59" ht="15.75" customHeight="1">
      <c r="A59" s="28"/>
      <c r="B59" s="16" t="s">
        <v>2803</v>
      </c>
      <c r="C59" s="17">
        <f>COUNTIFS('Prácticas_Revisiones'!$S$2:$S$282,"T050",'Prácticas_Revisiones'!$T$2:$T$282,"REQUIREMENTS &gt; *")+COUNTIFS('Prácticas_Snowballing'!$AB$2:$AB$281,"T050",'Prácticas_Snowballing'!$AC$2:$AC$281,"REQUIREMENTS &gt; *")</f>
        <v>0</v>
      </c>
      <c r="D59" s="17">
        <f>COUNTIFS('Prácticas_Revisiones'!$S$2:$S$282,"T050",'Prácticas_Revisiones'!$T$2:$T$282,"ARCHITECTURE &gt; *")+COUNTIFS('Prácticas_Snowballing'!$AB$2:$AB$281,"T050",'Prácticas_Snowballing'!$AC$2:$AC$281,"ARCHITECTURE &gt; *")</f>
        <v>0</v>
      </c>
      <c r="E59" s="17">
        <f>COUNTIFS('Prácticas_Revisiones'!$S$2:$S$282,"T050",'Prácticas_Revisiones'!$T$2:$T$282,"DESIGN &gt; *")+COUNTIFS('Prácticas_Snowballing'!$AB$2:$AB$281,"T050",'Prácticas_Snowballing'!$AC$2:$AC$281,"DESIGN &gt; *")</f>
        <v>0</v>
      </c>
      <c r="F59" s="17">
        <f>COUNTIFS('Prácticas_Revisiones'!$S$2:$S$282,"T050",'Prácticas_Revisiones'!$T$2:$T$282,"CONSTRUCTION &gt; *")+COUNTIFS('Prácticas_Snowballing'!$AB$2:$AB$281,"T050",'Prácticas_Snowballing'!$AC$2:$AC$281,"CONSTRUCTION &gt; *")</f>
        <v>0</v>
      </c>
      <c r="G59" s="17">
        <f>COUNTIFS('Prácticas_Revisiones'!$S$2:$S$282,"T050",'Prácticas_Revisiones'!$T$2:$T$282,"SOFTWARE TESTING &gt; *")+COUNTIFS('Prácticas_Snowballing'!$AB$2:$AB$281,"T050",'Prácticas_Snowballing'!$AC$2:$AC$281,"SOFTWARE TESTING &gt; *")</f>
        <v>0</v>
      </c>
      <c r="H59" s="17">
        <f>COUNTIFS('Prácticas_Revisiones'!$S$2:$S$282,"T050",'Prácticas_Revisiones'!$T$2:$T$282,"SOFTWARE ENG. OPERATIONS &gt; *")+COUNTIFS('Prácticas_Snowballing'!$AB$2:$AB$281,"T050",'Prácticas_Snowballing'!$AC$2:$AC$281,"SOFTWARE ENG. OPERATIONS &gt; *")</f>
        <v>0</v>
      </c>
      <c r="I59" s="17">
        <f>COUNTIFS('Prácticas_Revisiones'!$S$2:$S$282,"T050",'Prácticas_Revisiones'!$T$2:$T$282,"MAINTENANCE &gt; *")+COUNTIFS('Prácticas_Snowballing'!$AB$2:$AB$281,"T050",'Prácticas_Snowballing'!$AC$2:$AC$281,"MAINTENANCE &gt; *")</f>
        <v>0</v>
      </c>
      <c r="J59" s="17">
        <f>COUNTIFS('Prácticas_Revisiones'!$S$2:$S$282,"T050",'Prácticas_Revisiones'!$T$2:$T$282,"SOFTWARE CONFIG. MGMT. &gt; *")+COUNTIFS('Prácticas_Snowballing'!$AB$2:$AB$281,"T050",'Prácticas_Snowballing'!$AC$2:$AC$281,"SOFTWARE CONFIG. MGMT. &gt; *")</f>
        <v>0</v>
      </c>
      <c r="K59" s="17">
        <f>COUNTIFS('Prácticas_Revisiones'!$S$2:$S$282,"T050",'Prácticas_Revisiones'!$T$2:$T$282,"SOFTWARE ENG. PROCESS &gt; *")+COUNTIFS('Prácticas_Snowballing'!$AB$2:$AB$281,"T050",'Prácticas_Snowballing'!$AC$2:$AC$281,"SOFTWARE ENG. PROCESS &gt; *")</f>
        <v>0</v>
      </c>
      <c r="L59" s="17">
        <f>COUNTIFS('Prácticas_Revisiones'!$S$2:$S$282,"T050",'Prácticas_Revisiones'!$T$2:$T$282,"SOFTWARE ENG. MODELS/METH. &gt; *")+COUNTIFS('Prácticas_Snowballing'!$AB$2:$AB$281,"T050",'Prácticas_Snowballing'!$AC$2:$AC$281,"SOFTWARE ENG. MODELS/METH. &gt; *")</f>
        <v>0</v>
      </c>
      <c r="M59" s="17">
        <f>COUNTIFS('Prácticas_Revisiones'!$S$2:$S$282,"T050",'Prácticas_Revisiones'!$T$2:$T$282,"SOFTWARE QUALITY &gt; *")+COUNTIFS('Prácticas_Snowballing'!$AB$2:$AB$281,"T050",'Prácticas_Snowballing'!$AC$2:$AC$281,"SOFTWARE QUALITY &gt; *")</f>
        <v>0</v>
      </c>
      <c r="N59" s="17">
        <f>COUNTIFS('Prácticas_Revisiones'!$S$2:$S$282,"T050",'Prácticas_Revisiones'!$T$2:$T$282,"SOFTWARE SECURITY &gt; *")+COUNTIFS('Prácticas_Snowballing'!$AB$2:$AB$281,"T050",'Prácticas_Snowballing'!$AC$2:$AC$281,"SOFTWARE SECURITY &gt; *")</f>
        <v>0</v>
      </c>
      <c r="O59" s="17">
        <f>COUNTIFS('Prácticas_Revisiones'!$S$2:$S$282,"T050",'Prácticas_Revisiones'!$T$2:$T$282,"PROFESSIONAL PRACTICE &gt; *")+COUNTIFS('Prácticas_Snowballing'!$AB$2:$AB$281,"T050",'Prácticas_Snowballing'!$AC$2:$AC$281,"PROFESSIONAL PRACTICE &gt; *")</f>
        <v>0</v>
      </c>
      <c r="P59" s="17">
        <f>COUNTIFS('Prácticas_Revisiones'!$S$2:$S$282,"T050",'Prácticas_Revisiones'!$T$2:$T$282,"SOFTWARE ENG. ECONOMICS &gt; *")+COUNTIFS('Prácticas_Snowballing'!$AB$2:$AB$281,"T050",'Prácticas_Snowballing'!$AC$2:$AC$281,"SOFTWARE ENG. ECONOMICS &gt; *")</f>
        <v>0</v>
      </c>
      <c r="Q59" s="17">
        <f>COUNTIFS('Prácticas_Revisiones'!$S$2:$S$282,"T050",'Prácticas_Revisiones'!$T$2:$T$282,"SOFTWARE ENG. MANAGEMENT &gt; *")+COUNTIFS('Prácticas_Snowballing'!$AB$2:$AB$281,"T050",'Prácticas_Snowballing'!$AC$2:$AC$281,"SOFTWARE ENG. MANAGEMENT &gt; *")</f>
        <v>0</v>
      </c>
      <c r="R59" s="17">
        <f>COUNTIFS('Prácticas_Revisiones'!$S$2:$S$282,"T050",'Prácticas_Revisiones'!$T$2:$T$282,"Sin área SWEBOK")+COUNTIFS('Prácticas_Snowballing'!$AB$2:$AB$281,"T050",'Prácticas_Snowballing'!$AC$2:$AC$281,"Sin área SWEBOK")</f>
        <v>0</v>
      </c>
      <c r="S59" s="27">
        <f t="shared" si="5"/>
        <v>0</v>
      </c>
    </row>
    <row r="60" ht="15.75" customHeight="1">
      <c r="A60" s="28"/>
      <c r="B60" s="16" t="s">
        <v>2806</v>
      </c>
      <c r="C60" s="17">
        <f>COUNTIFS('Prácticas_Revisiones'!$S$2:$S$282,"T051",'Prácticas_Revisiones'!$T$2:$T$282,"REQUIREMENTS &gt; *")+COUNTIFS('Prácticas_Snowballing'!$AB$2:$AB$281,"T051",'Prácticas_Snowballing'!$AC$2:$AC$281,"REQUIREMENTS &gt; *")</f>
        <v>0</v>
      </c>
      <c r="D60" s="17">
        <f>COUNTIFS('Prácticas_Revisiones'!$S$2:$S$282,"T051",'Prácticas_Revisiones'!$T$2:$T$282,"ARCHITECTURE &gt; *")+COUNTIFS('Prácticas_Snowballing'!$AB$2:$AB$281,"T051",'Prácticas_Snowballing'!$AC$2:$AC$281,"ARCHITECTURE &gt; *")</f>
        <v>0</v>
      </c>
      <c r="E60" s="17">
        <f>COUNTIFS('Prácticas_Revisiones'!$S$2:$S$282,"T051",'Prácticas_Revisiones'!$T$2:$T$282,"DESIGN &gt; *")+COUNTIFS('Prácticas_Snowballing'!$AB$2:$AB$281,"T051",'Prácticas_Snowballing'!$AC$2:$AC$281,"DESIGN &gt; *")</f>
        <v>0</v>
      </c>
      <c r="F60" s="17">
        <f>COUNTIFS('Prácticas_Revisiones'!$S$2:$S$282,"T051",'Prácticas_Revisiones'!$T$2:$T$282,"CONSTRUCTION &gt; *")+COUNTIFS('Prácticas_Snowballing'!$AB$2:$AB$281,"T051",'Prácticas_Snowballing'!$AC$2:$AC$281,"CONSTRUCTION &gt; *")</f>
        <v>23</v>
      </c>
      <c r="G60" s="17">
        <f>COUNTIFS('Prácticas_Revisiones'!$S$2:$S$282,"T051",'Prácticas_Revisiones'!$T$2:$T$282,"SOFTWARE TESTING &gt; *")+COUNTIFS('Prácticas_Snowballing'!$AB$2:$AB$281,"T051",'Prácticas_Snowballing'!$AC$2:$AC$281,"SOFTWARE TESTING &gt; *")</f>
        <v>2</v>
      </c>
      <c r="H60" s="17">
        <f>COUNTIFS('Prácticas_Revisiones'!$S$2:$S$282,"T051",'Prácticas_Revisiones'!$T$2:$T$282,"SOFTWARE ENG. OPERATIONS &gt; *")+COUNTIFS('Prácticas_Snowballing'!$AB$2:$AB$281,"T051",'Prácticas_Snowballing'!$AC$2:$AC$281,"SOFTWARE ENG. OPERATIONS &gt; *")</f>
        <v>0</v>
      </c>
      <c r="I60" s="17">
        <f>COUNTIFS('Prácticas_Revisiones'!$S$2:$S$282,"T051",'Prácticas_Revisiones'!$T$2:$T$282,"MAINTENANCE &gt; *")+COUNTIFS('Prácticas_Snowballing'!$AB$2:$AB$281,"T051",'Prácticas_Snowballing'!$AC$2:$AC$281,"MAINTENANCE &gt; *")</f>
        <v>0</v>
      </c>
      <c r="J60" s="17">
        <f>COUNTIFS('Prácticas_Revisiones'!$S$2:$S$282,"T051",'Prácticas_Revisiones'!$T$2:$T$282,"SOFTWARE CONFIG. MGMT. &gt; *")+COUNTIFS('Prácticas_Snowballing'!$AB$2:$AB$281,"T051",'Prácticas_Snowballing'!$AC$2:$AC$281,"SOFTWARE CONFIG. MGMT. &gt; *")</f>
        <v>0</v>
      </c>
      <c r="K60" s="17">
        <f>COUNTIFS('Prácticas_Revisiones'!$S$2:$S$282,"T051",'Prácticas_Revisiones'!$T$2:$T$282,"SOFTWARE ENG. PROCESS &gt; *")+COUNTIFS('Prácticas_Snowballing'!$AB$2:$AB$281,"T051",'Prácticas_Snowballing'!$AC$2:$AC$281,"SOFTWARE ENG. PROCESS &gt; *")</f>
        <v>0</v>
      </c>
      <c r="L60" s="17">
        <f>COUNTIFS('Prácticas_Revisiones'!$S$2:$S$282,"T051",'Prácticas_Revisiones'!$T$2:$T$282,"SOFTWARE ENG. MODELS/METH. &gt; *")+COUNTIFS('Prácticas_Snowballing'!$AB$2:$AB$281,"T051",'Prácticas_Snowballing'!$AC$2:$AC$281,"SOFTWARE ENG. MODELS/METH. &gt; *")</f>
        <v>0</v>
      </c>
      <c r="M60" s="17">
        <f>COUNTIFS('Prácticas_Revisiones'!$S$2:$S$282,"T051",'Prácticas_Revisiones'!$T$2:$T$282,"SOFTWARE QUALITY &gt; *")+COUNTIFS('Prácticas_Snowballing'!$AB$2:$AB$281,"T051",'Prácticas_Snowballing'!$AC$2:$AC$281,"SOFTWARE QUALITY &gt; *")</f>
        <v>0</v>
      </c>
      <c r="N60" s="17">
        <f>COUNTIFS('Prácticas_Revisiones'!$S$2:$S$282,"T051",'Prácticas_Revisiones'!$T$2:$T$282,"SOFTWARE SECURITY &gt; *")+COUNTIFS('Prácticas_Snowballing'!$AB$2:$AB$281,"T051",'Prácticas_Snowballing'!$AC$2:$AC$281,"SOFTWARE SECURITY &gt; *")</f>
        <v>0</v>
      </c>
      <c r="O60" s="17">
        <f>COUNTIFS('Prácticas_Revisiones'!$S$2:$S$282,"T051",'Prácticas_Revisiones'!$T$2:$T$282,"PROFESSIONAL PRACTICE &gt; *")+COUNTIFS('Prácticas_Snowballing'!$AB$2:$AB$281,"T051",'Prácticas_Snowballing'!$AC$2:$AC$281,"PROFESSIONAL PRACTICE &gt; *")</f>
        <v>0</v>
      </c>
      <c r="P60" s="17">
        <f>COUNTIFS('Prácticas_Revisiones'!$S$2:$S$282,"T051",'Prácticas_Revisiones'!$T$2:$T$282,"SOFTWARE ENG. ECONOMICS &gt; *")+COUNTIFS('Prácticas_Snowballing'!$AB$2:$AB$281,"T051",'Prácticas_Snowballing'!$AC$2:$AC$281,"SOFTWARE ENG. ECONOMICS &gt; *")</f>
        <v>0</v>
      </c>
      <c r="Q60" s="17">
        <f>COUNTIFS('Prácticas_Revisiones'!$S$2:$S$282,"T051",'Prácticas_Revisiones'!$T$2:$T$282,"SOFTWARE ENG. MANAGEMENT &gt; *")+COUNTIFS('Prácticas_Snowballing'!$AB$2:$AB$281,"T051",'Prácticas_Snowballing'!$AC$2:$AC$281,"SOFTWARE ENG. MANAGEMENT &gt; *")</f>
        <v>0</v>
      </c>
      <c r="R60" s="17">
        <f>COUNTIFS('Prácticas_Revisiones'!$S$2:$S$282,"T051",'Prácticas_Revisiones'!$T$2:$T$282,"Sin área SWEBOK")+COUNTIFS('Prácticas_Snowballing'!$AB$2:$AB$281,"T051",'Prácticas_Snowballing'!$AC$2:$AC$281,"Sin área SWEBOK")</f>
        <v>0</v>
      </c>
      <c r="S60" s="27">
        <f t="shared" si="5"/>
        <v>25</v>
      </c>
    </row>
    <row r="61" ht="15.75" customHeight="1">
      <c r="A61" s="28"/>
      <c r="B61" s="16" t="s">
        <v>2808</v>
      </c>
      <c r="C61" s="17">
        <f>COUNTIFS('Prácticas_Revisiones'!$S$2:$S$282,"T052",'Prácticas_Revisiones'!$T$2:$T$282,"REQUIREMENTS &gt; *")+COUNTIFS('Prácticas_Snowballing'!$AB$2:$AB$281,"T052",'Prácticas_Snowballing'!$AC$2:$AC$281,"REQUIREMENTS &gt; *")</f>
        <v>0</v>
      </c>
      <c r="D61" s="17">
        <f>COUNTIFS('Prácticas_Revisiones'!$S$2:$S$282,"T052",'Prácticas_Revisiones'!$T$2:$T$282,"ARCHITECTURE &gt; *")+COUNTIFS('Prácticas_Snowballing'!$AB$2:$AB$281,"T052",'Prácticas_Snowballing'!$AC$2:$AC$281,"ARCHITECTURE &gt; *")</f>
        <v>0</v>
      </c>
      <c r="E61" s="17">
        <f>COUNTIFS('Prácticas_Revisiones'!$S$2:$S$282,"T052",'Prácticas_Revisiones'!$T$2:$T$282,"DESIGN &gt; *")+COUNTIFS('Prácticas_Snowballing'!$AB$2:$AB$281,"T052",'Prácticas_Snowballing'!$AC$2:$AC$281,"DESIGN &gt; *")</f>
        <v>0</v>
      </c>
      <c r="F61" s="17">
        <f>COUNTIFS('Prácticas_Revisiones'!$S$2:$S$282,"T052",'Prácticas_Revisiones'!$T$2:$T$282,"CONSTRUCTION &gt; *")+COUNTIFS('Prácticas_Snowballing'!$AB$2:$AB$281,"T052",'Prácticas_Snowballing'!$AC$2:$AC$281,"CONSTRUCTION &gt; *")</f>
        <v>0</v>
      </c>
      <c r="G61" s="17">
        <f>COUNTIFS('Prácticas_Revisiones'!$S$2:$S$282,"T052",'Prácticas_Revisiones'!$T$2:$T$282,"SOFTWARE TESTING &gt; *")+COUNTIFS('Prácticas_Snowballing'!$AB$2:$AB$281,"T052",'Prácticas_Snowballing'!$AC$2:$AC$281,"SOFTWARE TESTING &gt; *")</f>
        <v>0</v>
      </c>
      <c r="H61" s="17">
        <f>COUNTIFS('Prácticas_Revisiones'!$S$2:$S$282,"T052",'Prácticas_Revisiones'!$T$2:$T$282,"SOFTWARE ENG. OPERATIONS &gt; *")+COUNTIFS('Prácticas_Snowballing'!$AB$2:$AB$281,"T052",'Prácticas_Snowballing'!$AC$2:$AC$281,"SOFTWARE ENG. OPERATIONS &gt; *")</f>
        <v>0</v>
      </c>
      <c r="I61" s="17">
        <f>COUNTIFS('Prácticas_Revisiones'!$S$2:$S$282,"T052",'Prácticas_Revisiones'!$T$2:$T$282,"MAINTENANCE &gt; *")+COUNTIFS('Prácticas_Snowballing'!$AB$2:$AB$281,"T052",'Prácticas_Snowballing'!$AC$2:$AC$281,"MAINTENANCE &gt; *")</f>
        <v>0</v>
      </c>
      <c r="J61" s="17">
        <f>COUNTIFS('Prácticas_Revisiones'!$S$2:$S$282,"T052",'Prácticas_Revisiones'!$T$2:$T$282,"SOFTWARE CONFIG. MGMT. &gt; *")+COUNTIFS('Prácticas_Snowballing'!$AB$2:$AB$281,"T052",'Prácticas_Snowballing'!$AC$2:$AC$281,"SOFTWARE CONFIG. MGMT. &gt; *")</f>
        <v>0</v>
      </c>
      <c r="K61" s="17">
        <f>COUNTIFS('Prácticas_Revisiones'!$S$2:$S$282,"T052",'Prácticas_Revisiones'!$T$2:$T$282,"SOFTWARE ENG. PROCESS &gt; *")+COUNTIFS('Prácticas_Snowballing'!$AB$2:$AB$281,"T052",'Prácticas_Snowballing'!$AC$2:$AC$281,"SOFTWARE ENG. PROCESS &gt; *")</f>
        <v>0</v>
      </c>
      <c r="L61" s="17">
        <f>COUNTIFS('Prácticas_Revisiones'!$S$2:$S$282,"T052",'Prácticas_Revisiones'!$T$2:$T$282,"SOFTWARE ENG. MODELS/METH. &gt; *")+COUNTIFS('Prácticas_Snowballing'!$AB$2:$AB$281,"T052",'Prácticas_Snowballing'!$AC$2:$AC$281,"SOFTWARE ENG. MODELS/METH. &gt; *")</f>
        <v>0</v>
      </c>
      <c r="M61" s="17">
        <f>COUNTIFS('Prácticas_Revisiones'!$S$2:$S$282,"T052",'Prácticas_Revisiones'!$T$2:$T$282,"SOFTWARE QUALITY &gt; *")+COUNTIFS('Prácticas_Snowballing'!$AB$2:$AB$281,"T052",'Prácticas_Snowballing'!$AC$2:$AC$281,"SOFTWARE QUALITY &gt; *")</f>
        <v>0</v>
      </c>
      <c r="N61" s="17">
        <f>COUNTIFS('Prácticas_Revisiones'!$S$2:$S$282,"T052",'Prácticas_Revisiones'!$T$2:$T$282,"SOFTWARE SECURITY &gt; *")+COUNTIFS('Prácticas_Snowballing'!$AB$2:$AB$281,"T052",'Prácticas_Snowballing'!$AC$2:$AC$281,"SOFTWARE SECURITY &gt; *")</f>
        <v>0</v>
      </c>
      <c r="O61" s="17">
        <f>COUNTIFS('Prácticas_Revisiones'!$S$2:$S$282,"T052",'Prácticas_Revisiones'!$T$2:$T$282,"PROFESSIONAL PRACTICE &gt; *")+COUNTIFS('Prácticas_Snowballing'!$AB$2:$AB$281,"T052",'Prácticas_Snowballing'!$AC$2:$AC$281,"PROFESSIONAL PRACTICE &gt; *")</f>
        <v>0</v>
      </c>
      <c r="P61" s="17">
        <f>COUNTIFS('Prácticas_Revisiones'!$S$2:$S$282,"T052",'Prácticas_Revisiones'!$T$2:$T$282,"SOFTWARE ENG. ECONOMICS &gt; *")+COUNTIFS('Prácticas_Snowballing'!$AB$2:$AB$281,"T052",'Prácticas_Snowballing'!$AC$2:$AC$281,"SOFTWARE ENG. ECONOMICS &gt; *")</f>
        <v>0</v>
      </c>
      <c r="Q61" s="17">
        <f>COUNTIFS('Prácticas_Revisiones'!$S$2:$S$282,"T052",'Prácticas_Revisiones'!$T$2:$T$282,"SOFTWARE ENG. MANAGEMENT &gt; *")+COUNTIFS('Prácticas_Snowballing'!$AB$2:$AB$281,"T052",'Prácticas_Snowballing'!$AC$2:$AC$281,"SOFTWARE ENG. MANAGEMENT &gt; *")</f>
        <v>0</v>
      </c>
      <c r="R61" s="17">
        <f>COUNTIFS('Prácticas_Revisiones'!$S$2:$S$282,"T052",'Prácticas_Revisiones'!$T$2:$T$282,"Sin área SWEBOK")+COUNTIFS('Prácticas_Snowballing'!$AB$2:$AB$281,"T052",'Prácticas_Snowballing'!$AC$2:$AC$281,"Sin área SWEBOK")</f>
        <v>0</v>
      </c>
      <c r="S61" s="27">
        <f t="shared" si="5"/>
        <v>0</v>
      </c>
    </row>
    <row r="62" ht="15.75" customHeight="1">
      <c r="A62" s="28"/>
      <c r="B62" s="16" t="s">
        <v>2811</v>
      </c>
      <c r="C62" s="17">
        <f>COUNTIFS('Prácticas_Revisiones'!$S$2:$S$282,"T053",'Prácticas_Revisiones'!$T$2:$T$282,"REQUIREMENTS &gt; *")+COUNTIFS('Prácticas_Snowballing'!$AB$2:$AB$281,"T053",'Prácticas_Snowballing'!$AC$2:$AC$281,"REQUIREMENTS &gt; *")</f>
        <v>0</v>
      </c>
      <c r="D62" s="17">
        <f>COUNTIFS('Prácticas_Revisiones'!$S$2:$S$282,"T053",'Prácticas_Revisiones'!$T$2:$T$282,"ARCHITECTURE &gt; *")+COUNTIFS('Prácticas_Snowballing'!$AB$2:$AB$281,"T053",'Prácticas_Snowballing'!$AC$2:$AC$281,"ARCHITECTURE &gt; *")</f>
        <v>0</v>
      </c>
      <c r="E62" s="17">
        <f>COUNTIFS('Prácticas_Revisiones'!$S$2:$S$282,"T053",'Prácticas_Revisiones'!$T$2:$T$282,"DESIGN &gt; *")+COUNTIFS('Prácticas_Snowballing'!$AB$2:$AB$281,"T053",'Prácticas_Snowballing'!$AC$2:$AC$281,"DESIGN &gt; *")</f>
        <v>0</v>
      </c>
      <c r="F62" s="17">
        <f>COUNTIFS('Prácticas_Revisiones'!$S$2:$S$282,"T053",'Prácticas_Revisiones'!$T$2:$T$282,"CONSTRUCTION &gt; *")+COUNTIFS('Prácticas_Snowballing'!$AB$2:$AB$281,"T053",'Prácticas_Snowballing'!$AC$2:$AC$281,"CONSTRUCTION &gt; *")</f>
        <v>0</v>
      </c>
      <c r="G62" s="17">
        <f>COUNTIFS('Prácticas_Revisiones'!$S$2:$S$282,"T053",'Prácticas_Revisiones'!$T$2:$T$282,"SOFTWARE TESTING &gt; *")+COUNTIFS('Prácticas_Snowballing'!$AB$2:$AB$281,"T053",'Prácticas_Snowballing'!$AC$2:$AC$281,"SOFTWARE TESTING &gt; *")</f>
        <v>0</v>
      </c>
      <c r="H62" s="17">
        <f>COUNTIFS('Prácticas_Revisiones'!$S$2:$S$282,"T053",'Prácticas_Revisiones'!$T$2:$T$282,"SOFTWARE ENG. OPERATIONS &gt; *")+COUNTIFS('Prácticas_Snowballing'!$AB$2:$AB$281,"T053",'Prácticas_Snowballing'!$AC$2:$AC$281,"SOFTWARE ENG. OPERATIONS &gt; *")</f>
        <v>0</v>
      </c>
      <c r="I62" s="17">
        <f>COUNTIFS('Prácticas_Revisiones'!$S$2:$S$282,"T053",'Prácticas_Revisiones'!$T$2:$T$282,"MAINTENANCE &gt; *")+COUNTIFS('Prácticas_Snowballing'!$AB$2:$AB$281,"T053",'Prácticas_Snowballing'!$AC$2:$AC$281,"MAINTENANCE &gt; *")</f>
        <v>0</v>
      </c>
      <c r="J62" s="17">
        <f>COUNTIFS('Prácticas_Revisiones'!$S$2:$S$282,"T053",'Prácticas_Revisiones'!$T$2:$T$282,"SOFTWARE CONFIG. MGMT. &gt; *")+COUNTIFS('Prácticas_Snowballing'!$AB$2:$AB$281,"T053",'Prácticas_Snowballing'!$AC$2:$AC$281,"SOFTWARE CONFIG. MGMT. &gt; *")</f>
        <v>0</v>
      </c>
      <c r="K62" s="17">
        <f>COUNTIFS('Prácticas_Revisiones'!$S$2:$S$282,"T053",'Prácticas_Revisiones'!$T$2:$T$282,"SOFTWARE ENG. PROCESS &gt; *")+COUNTIFS('Prácticas_Snowballing'!$AB$2:$AB$281,"T053",'Prácticas_Snowballing'!$AC$2:$AC$281,"SOFTWARE ENG. PROCESS &gt; *")</f>
        <v>0</v>
      </c>
      <c r="L62" s="17">
        <f>COUNTIFS('Prácticas_Revisiones'!$S$2:$S$282,"T053",'Prácticas_Revisiones'!$T$2:$T$282,"SOFTWARE ENG. MODELS/METH. &gt; *")+COUNTIFS('Prácticas_Snowballing'!$AB$2:$AB$281,"T053",'Prácticas_Snowballing'!$AC$2:$AC$281,"SOFTWARE ENG. MODELS/METH. &gt; *")</f>
        <v>0</v>
      </c>
      <c r="M62" s="17">
        <f>COUNTIFS('Prácticas_Revisiones'!$S$2:$S$282,"T053",'Prácticas_Revisiones'!$T$2:$T$282,"SOFTWARE QUALITY &gt; *")+COUNTIFS('Prácticas_Snowballing'!$AB$2:$AB$281,"T053",'Prácticas_Snowballing'!$AC$2:$AC$281,"SOFTWARE QUALITY &gt; *")</f>
        <v>0</v>
      </c>
      <c r="N62" s="17">
        <f>COUNTIFS('Prácticas_Revisiones'!$S$2:$S$282,"T053",'Prácticas_Revisiones'!$T$2:$T$282,"SOFTWARE SECURITY &gt; *")+COUNTIFS('Prácticas_Snowballing'!$AB$2:$AB$281,"T053",'Prácticas_Snowballing'!$AC$2:$AC$281,"SOFTWARE SECURITY &gt; *")</f>
        <v>0</v>
      </c>
      <c r="O62" s="17">
        <f>COUNTIFS('Prácticas_Revisiones'!$S$2:$S$282,"T053",'Prácticas_Revisiones'!$T$2:$T$282,"PROFESSIONAL PRACTICE &gt; *")+COUNTIFS('Prácticas_Snowballing'!$AB$2:$AB$281,"T053",'Prácticas_Snowballing'!$AC$2:$AC$281,"PROFESSIONAL PRACTICE &gt; *")</f>
        <v>0</v>
      </c>
      <c r="P62" s="17">
        <f>COUNTIFS('Prácticas_Revisiones'!$S$2:$S$282,"T053",'Prácticas_Revisiones'!$T$2:$T$282,"SOFTWARE ENG. ECONOMICS &gt; *")+COUNTIFS('Prácticas_Snowballing'!$AB$2:$AB$281,"T053",'Prácticas_Snowballing'!$AC$2:$AC$281,"SOFTWARE ENG. ECONOMICS &gt; *")</f>
        <v>0</v>
      </c>
      <c r="Q62" s="17">
        <f>COUNTIFS('Prácticas_Revisiones'!$S$2:$S$282,"T053",'Prácticas_Revisiones'!$T$2:$T$282,"SOFTWARE ENG. MANAGEMENT &gt; *")+COUNTIFS('Prácticas_Snowballing'!$AB$2:$AB$281,"T053",'Prácticas_Snowballing'!$AC$2:$AC$281,"SOFTWARE ENG. MANAGEMENT &gt; *")</f>
        <v>0</v>
      </c>
      <c r="R62" s="17">
        <f>COUNTIFS('Prácticas_Revisiones'!$S$2:$S$282,"T053",'Prácticas_Revisiones'!$T$2:$T$282,"Sin área SWEBOK")+COUNTIFS('Prácticas_Snowballing'!$AB$2:$AB$281,"T053",'Prácticas_Snowballing'!$AC$2:$AC$281,"Sin área SWEBOK")</f>
        <v>0</v>
      </c>
      <c r="S62" s="27">
        <f t="shared" si="5"/>
        <v>0</v>
      </c>
    </row>
    <row r="63" ht="15.75" customHeight="1">
      <c r="A63" s="28"/>
      <c r="B63" s="16" t="s">
        <v>2814</v>
      </c>
      <c r="C63" s="17">
        <f>COUNTIFS('Prácticas_Revisiones'!$S$2:$S$282,"T054",'Prácticas_Revisiones'!$T$2:$T$282,"REQUIREMENTS &gt; *")+COUNTIFS('Prácticas_Snowballing'!$AB$2:$AB$281,"T054",'Prácticas_Snowballing'!$AC$2:$AC$281,"REQUIREMENTS &gt; *")</f>
        <v>0</v>
      </c>
      <c r="D63" s="17">
        <f>COUNTIFS('Prácticas_Revisiones'!$S$2:$S$282,"T054",'Prácticas_Revisiones'!$T$2:$T$282,"ARCHITECTURE &gt; *")+COUNTIFS('Prácticas_Snowballing'!$AB$2:$AB$281,"T054",'Prácticas_Snowballing'!$AC$2:$AC$281,"ARCHITECTURE &gt; *")</f>
        <v>0</v>
      </c>
      <c r="E63" s="17">
        <f>COUNTIFS('Prácticas_Revisiones'!$S$2:$S$282,"T054",'Prácticas_Revisiones'!$T$2:$T$282,"DESIGN &gt; *")+COUNTIFS('Prácticas_Snowballing'!$AB$2:$AB$281,"T054",'Prácticas_Snowballing'!$AC$2:$AC$281,"DESIGN &gt; *")</f>
        <v>0</v>
      </c>
      <c r="F63" s="17">
        <f>COUNTIFS('Prácticas_Revisiones'!$S$2:$S$282,"T054",'Prácticas_Revisiones'!$T$2:$T$282,"CONSTRUCTION &gt; *")+COUNTIFS('Prácticas_Snowballing'!$AB$2:$AB$281,"T054",'Prácticas_Snowballing'!$AC$2:$AC$281,"CONSTRUCTION &gt; *")</f>
        <v>0</v>
      </c>
      <c r="G63" s="17">
        <f>COUNTIFS('Prácticas_Revisiones'!$S$2:$S$282,"T054",'Prácticas_Revisiones'!$T$2:$T$282,"SOFTWARE TESTING &gt; *")+COUNTIFS('Prácticas_Snowballing'!$AB$2:$AB$281,"T054",'Prácticas_Snowballing'!$AC$2:$AC$281,"SOFTWARE TESTING &gt; *")</f>
        <v>0</v>
      </c>
      <c r="H63" s="17">
        <f>COUNTIFS('Prácticas_Revisiones'!$S$2:$S$282,"T054",'Prácticas_Revisiones'!$T$2:$T$282,"SOFTWARE ENG. OPERATIONS &gt; *")+COUNTIFS('Prácticas_Snowballing'!$AB$2:$AB$281,"T054",'Prácticas_Snowballing'!$AC$2:$AC$281,"SOFTWARE ENG. OPERATIONS &gt; *")</f>
        <v>0</v>
      </c>
      <c r="I63" s="17">
        <f>COUNTIFS('Prácticas_Revisiones'!$S$2:$S$282,"T054",'Prácticas_Revisiones'!$T$2:$T$282,"MAINTENANCE &gt; *")+COUNTIFS('Prácticas_Snowballing'!$AB$2:$AB$281,"T054",'Prácticas_Snowballing'!$AC$2:$AC$281,"MAINTENANCE &gt; *")</f>
        <v>0</v>
      </c>
      <c r="J63" s="17">
        <f>COUNTIFS('Prácticas_Revisiones'!$S$2:$S$282,"T054",'Prácticas_Revisiones'!$T$2:$T$282,"SOFTWARE CONFIG. MGMT. &gt; *")+COUNTIFS('Prácticas_Snowballing'!$AB$2:$AB$281,"T054",'Prácticas_Snowballing'!$AC$2:$AC$281,"SOFTWARE CONFIG. MGMT. &gt; *")</f>
        <v>0</v>
      </c>
      <c r="K63" s="17">
        <f>COUNTIFS('Prácticas_Revisiones'!$S$2:$S$282,"T054",'Prácticas_Revisiones'!$T$2:$T$282,"SOFTWARE ENG. PROCESS &gt; *")+COUNTIFS('Prácticas_Snowballing'!$AB$2:$AB$281,"T054",'Prácticas_Snowballing'!$AC$2:$AC$281,"SOFTWARE ENG. PROCESS &gt; *")</f>
        <v>0</v>
      </c>
      <c r="L63" s="17">
        <f>COUNTIFS('Prácticas_Revisiones'!$S$2:$S$282,"T054",'Prácticas_Revisiones'!$T$2:$T$282,"SOFTWARE ENG. MODELS/METH. &gt; *")+COUNTIFS('Prácticas_Snowballing'!$AB$2:$AB$281,"T054",'Prácticas_Snowballing'!$AC$2:$AC$281,"SOFTWARE ENG. MODELS/METH. &gt; *")</f>
        <v>0</v>
      </c>
      <c r="M63" s="17">
        <f>COUNTIFS('Prácticas_Revisiones'!$S$2:$S$282,"T054",'Prácticas_Revisiones'!$T$2:$T$282,"SOFTWARE QUALITY &gt; *")+COUNTIFS('Prácticas_Snowballing'!$AB$2:$AB$281,"T054",'Prácticas_Snowballing'!$AC$2:$AC$281,"SOFTWARE QUALITY &gt; *")</f>
        <v>0</v>
      </c>
      <c r="N63" s="17">
        <f>COUNTIFS('Prácticas_Revisiones'!$S$2:$S$282,"T054",'Prácticas_Revisiones'!$T$2:$T$282,"SOFTWARE SECURITY &gt; *")+COUNTIFS('Prácticas_Snowballing'!$AB$2:$AB$281,"T054",'Prácticas_Snowballing'!$AC$2:$AC$281,"SOFTWARE SECURITY &gt; *")</f>
        <v>0</v>
      </c>
      <c r="O63" s="17">
        <f>COUNTIFS('Prácticas_Revisiones'!$S$2:$S$282,"T054",'Prácticas_Revisiones'!$T$2:$T$282,"PROFESSIONAL PRACTICE &gt; *")+COUNTIFS('Prácticas_Snowballing'!$AB$2:$AB$281,"T054",'Prácticas_Snowballing'!$AC$2:$AC$281,"PROFESSIONAL PRACTICE &gt; *")</f>
        <v>0</v>
      </c>
      <c r="P63" s="17">
        <f>COUNTIFS('Prácticas_Revisiones'!$S$2:$S$282,"T054",'Prácticas_Revisiones'!$T$2:$T$282,"SOFTWARE ENG. ECONOMICS &gt; *")+COUNTIFS('Prácticas_Snowballing'!$AB$2:$AB$281,"T054",'Prácticas_Snowballing'!$AC$2:$AC$281,"SOFTWARE ENG. ECONOMICS &gt; *")</f>
        <v>0</v>
      </c>
      <c r="Q63" s="17">
        <f>COUNTIFS('Prácticas_Revisiones'!$S$2:$S$282,"T054",'Prácticas_Revisiones'!$T$2:$T$282,"SOFTWARE ENG. MANAGEMENT &gt; *")+COUNTIFS('Prácticas_Snowballing'!$AB$2:$AB$281,"T054",'Prácticas_Snowballing'!$AC$2:$AC$281,"SOFTWARE ENG. MANAGEMENT &gt; *")</f>
        <v>0</v>
      </c>
      <c r="R63" s="17">
        <f>COUNTIFS('Prácticas_Revisiones'!$S$2:$S$282,"T054",'Prácticas_Revisiones'!$T$2:$T$282,"Sin área SWEBOK")+COUNTIFS('Prácticas_Snowballing'!$AB$2:$AB$281,"T054",'Prácticas_Snowballing'!$AC$2:$AC$281,"Sin área SWEBOK")</f>
        <v>0</v>
      </c>
      <c r="S63" s="27">
        <f t="shared" si="5"/>
        <v>0</v>
      </c>
    </row>
    <row r="64" ht="15.75" customHeight="1">
      <c r="A64" s="28"/>
      <c r="B64" s="16" t="s">
        <v>2816</v>
      </c>
      <c r="C64" s="17">
        <f>COUNTIFS('Prácticas_Revisiones'!$S$2:$S$282,"T055",'Prácticas_Revisiones'!$T$2:$T$282,"REQUIREMENTS &gt; *")+COUNTIFS('Prácticas_Snowballing'!$AB$2:$AB$281,"T055",'Prácticas_Snowballing'!$AC$2:$AC$281,"REQUIREMENTS &gt; *")</f>
        <v>0</v>
      </c>
      <c r="D64" s="17">
        <f>COUNTIFS('Prácticas_Revisiones'!$S$2:$S$282,"T055",'Prácticas_Revisiones'!$T$2:$T$282,"ARCHITECTURE &gt; *")+COUNTIFS('Prácticas_Snowballing'!$AB$2:$AB$281,"T055",'Prácticas_Snowballing'!$AC$2:$AC$281,"ARCHITECTURE &gt; *")</f>
        <v>0</v>
      </c>
      <c r="E64" s="17">
        <f>COUNTIFS('Prácticas_Revisiones'!$S$2:$S$282,"T055",'Prácticas_Revisiones'!$T$2:$T$282,"DESIGN &gt; *")+COUNTIFS('Prácticas_Snowballing'!$AB$2:$AB$281,"T055",'Prácticas_Snowballing'!$AC$2:$AC$281,"DESIGN &gt; *")</f>
        <v>0</v>
      </c>
      <c r="F64" s="17">
        <f>COUNTIFS('Prácticas_Revisiones'!$S$2:$S$282,"T055",'Prácticas_Revisiones'!$T$2:$T$282,"CONSTRUCTION &gt; *")+COUNTIFS('Prácticas_Snowballing'!$AB$2:$AB$281,"T055",'Prácticas_Snowballing'!$AC$2:$AC$281,"CONSTRUCTION &gt; *")</f>
        <v>0</v>
      </c>
      <c r="G64" s="17">
        <f>COUNTIFS('Prácticas_Revisiones'!$S$2:$S$282,"T055",'Prácticas_Revisiones'!$T$2:$T$282,"SOFTWARE TESTING &gt; *")+COUNTIFS('Prácticas_Snowballing'!$AB$2:$AB$281,"T055",'Prácticas_Snowballing'!$AC$2:$AC$281,"SOFTWARE TESTING &gt; *")</f>
        <v>0</v>
      </c>
      <c r="H64" s="17">
        <f>COUNTIFS('Prácticas_Revisiones'!$S$2:$S$282,"T055",'Prácticas_Revisiones'!$T$2:$T$282,"SOFTWARE ENG. OPERATIONS &gt; *")+COUNTIFS('Prácticas_Snowballing'!$AB$2:$AB$281,"T055",'Prácticas_Snowballing'!$AC$2:$AC$281,"SOFTWARE ENG. OPERATIONS &gt; *")</f>
        <v>0</v>
      </c>
      <c r="I64" s="17">
        <f>COUNTIFS('Prácticas_Revisiones'!$S$2:$S$282,"T055",'Prácticas_Revisiones'!$T$2:$T$282,"MAINTENANCE &gt; *")+COUNTIFS('Prácticas_Snowballing'!$AB$2:$AB$281,"T055",'Prácticas_Snowballing'!$AC$2:$AC$281,"MAINTENANCE &gt; *")</f>
        <v>0</v>
      </c>
      <c r="J64" s="17">
        <f>COUNTIFS('Prácticas_Revisiones'!$S$2:$S$282,"T055",'Prácticas_Revisiones'!$T$2:$T$282,"SOFTWARE CONFIG. MGMT. &gt; *")+COUNTIFS('Prácticas_Snowballing'!$AB$2:$AB$281,"T055",'Prácticas_Snowballing'!$AC$2:$AC$281,"SOFTWARE CONFIG. MGMT. &gt; *")</f>
        <v>0</v>
      </c>
      <c r="K64" s="17">
        <f>COUNTIFS('Prácticas_Revisiones'!$S$2:$S$282,"T055",'Prácticas_Revisiones'!$T$2:$T$282,"SOFTWARE ENG. PROCESS &gt; *")+COUNTIFS('Prácticas_Snowballing'!$AB$2:$AB$281,"T055",'Prácticas_Snowballing'!$AC$2:$AC$281,"SOFTWARE ENG. PROCESS &gt; *")</f>
        <v>0</v>
      </c>
      <c r="L64" s="17">
        <f>COUNTIFS('Prácticas_Revisiones'!$S$2:$S$282,"T055",'Prácticas_Revisiones'!$T$2:$T$282,"SOFTWARE ENG. MODELS/METH. &gt; *")+COUNTIFS('Prácticas_Snowballing'!$AB$2:$AB$281,"T055",'Prácticas_Snowballing'!$AC$2:$AC$281,"SOFTWARE ENG. MODELS/METH. &gt; *")</f>
        <v>0</v>
      </c>
      <c r="M64" s="17">
        <f>COUNTIFS('Prácticas_Revisiones'!$S$2:$S$282,"T055",'Prácticas_Revisiones'!$T$2:$T$282,"SOFTWARE QUALITY &gt; *")+COUNTIFS('Prácticas_Snowballing'!$AB$2:$AB$281,"T055",'Prácticas_Snowballing'!$AC$2:$AC$281,"SOFTWARE QUALITY &gt; *")</f>
        <v>0</v>
      </c>
      <c r="N64" s="17">
        <f>COUNTIFS('Prácticas_Revisiones'!$S$2:$S$282,"T055",'Prácticas_Revisiones'!$T$2:$T$282,"SOFTWARE SECURITY &gt; *")+COUNTIFS('Prácticas_Snowballing'!$AB$2:$AB$281,"T055",'Prácticas_Snowballing'!$AC$2:$AC$281,"SOFTWARE SECURITY &gt; *")</f>
        <v>0</v>
      </c>
      <c r="O64" s="17">
        <f>COUNTIFS('Prácticas_Revisiones'!$S$2:$S$282,"T055",'Prácticas_Revisiones'!$T$2:$T$282,"PROFESSIONAL PRACTICE &gt; *")+COUNTIFS('Prácticas_Snowballing'!$AB$2:$AB$281,"T055",'Prácticas_Snowballing'!$AC$2:$AC$281,"PROFESSIONAL PRACTICE &gt; *")</f>
        <v>0</v>
      </c>
      <c r="P64" s="17">
        <f>COUNTIFS('Prácticas_Revisiones'!$S$2:$S$282,"T055",'Prácticas_Revisiones'!$T$2:$T$282,"SOFTWARE ENG. ECONOMICS &gt; *")+COUNTIFS('Prácticas_Snowballing'!$AB$2:$AB$281,"T055",'Prácticas_Snowballing'!$AC$2:$AC$281,"SOFTWARE ENG. ECONOMICS &gt; *")</f>
        <v>0</v>
      </c>
      <c r="Q64" s="17">
        <f>COUNTIFS('Prácticas_Revisiones'!$S$2:$S$282,"T055",'Prácticas_Revisiones'!$T$2:$T$282,"SOFTWARE ENG. MANAGEMENT &gt; *")+COUNTIFS('Prácticas_Snowballing'!$AB$2:$AB$281,"T055",'Prácticas_Snowballing'!$AC$2:$AC$281,"SOFTWARE ENG. MANAGEMENT &gt; *")</f>
        <v>0</v>
      </c>
      <c r="R64" s="17">
        <f>COUNTIFS('Prácticas_Revisiones'!$S$2:$S$282,"T055",'Prácticas_Revisiones'!$T$2:$T$282,"Sin área SWEBOK")+COUNTIFS('Prácticas_Snowballing'!$AB$2:$AB$281,"T055",'Prácticas_Snowballing'!$AC$2:$AC$281,"Sin área SWEBOK")</f>
        <v>0</v>
      </c>
      <c r="S64" s="27">
        <f t="shared" si="5"/>
        <v>0</v>
      </c>
    </row>
    <row r="65" ht="15.75" customHeight="1">
      <c r="A65" s="28"/>
      <c r="B65" s="16" t="s">
        <v>2819</v>
      </c>
      <c r="C65" s="17">
        <f>COUNTIFS('Prácticas_Revisiones'!$S$2:$S$282,"T056",'Prácticas_Revisiones'!$T$2:$T$282,"REQUIREMENTS &gt; *")+COUNTIFS('Prácticas_Snowballing'!$AB$2:$AB$281,"T056",'Prácticas_Snowballing'!$AC$2:$AC$281,"REQUIREMENTS &gt; *")</f>
        <v>1</v>
      </c>
      <c r="D65" s="17">
        <f>COUNTIFS('Prácticas_Revisiones'!$S$2:$S$282,"T056",'Prácticas_Revisiones'!$T$2:$T$282,"ARCHITECTURE &gt; *")+COUNTIFS('Prácticas_Snowballing'!$AB$2:$AB$281,"T056",'Prácticas_Snowballing'!$AC$2:$AC$281,"ARCHITECTURE &gt; *")</f>
        <v>0</v>
      </c>
      <c r="E65" s="17">
        <f>COUNTIFS('Prácticas_Revisiones'!$S$2:$S$282,"T056",'Prácticas_Revisiones'!$T$2:$T$282,"DESIGN &gt; *")+COUNTIFS('Prácticas_Snowballing'!$AB$2:$AB$281,"T056",'Prácticas_Snowballing'!$AC$2:$AC$281,"DESIGN &gt; *")</f>
        <v>1</v>
      </c>
      <c r="F65" s="17">
        <f>COUNTIFS('Prácticas_Revisiones'!$S$2:$S$282,"T056",'Prácticas_Revisiones'!$T$2:$T$282,"CONSTRUCTION &gt; *")+COUNTIFS('Prácticas_Snowballing'!$AB$2:$AB$281,"T056",'Prácticas_Snowballing'!$AC$2:$AC$281,"CONSTRUCTION &gt; *")</f>
        <v>29</v>
      </c>
      <c r="G65" s="17">
        <f>COUNTIFS('Prácticas_Revisiones'!$S$2:$S$282,"T056",'Prácticas_Revisiones'!$T$2:$T$282,"SOFTWARE TESTING &gt; *")+COUNTIFS('Prácticas_Snowballing'!$AB$2:$AB$281,"T056",'Prácticas_Snowballing'!$AC$2:$AC$281,"SOFTWARE TESTING &gt; *")</f>
        <v>1</v>
      </c>
      <c r="H65" s="17">
        <f>COUNTIFS('Prácticas_Revisiones'!$S$2:$S$282,"T056",'Prácticas_Revisiones'!$T$2:$T$282,"SOFTWARE ENG. OPERATIONS &gt; *")+COUNTIFS('Prácticas_Snowballing'!$AB$2:$AB$281,"T056",'Prácticas_Snowballing'!$AC$2:$AC$281,"SOFTWARE ENG. OPERATIONS &gt; *")</f>
        <v>0</v>
      </c>
      <c r="I65" s="17">
        <f>COUNTIFS('Prácticas_Revisiones'!$S$2:$S$282,"T056",'Prácticas_Revisiones'!$T$2:$T$282,"MAINTENANCE &gt; *")+COUNTIFS('Prácticas_Snowballing'!$AB$2:$AB$281,"T056",'Prácticas_Snowballing'!$AC$2:$AC$281,"MAINTENANCE &gt; *")</f>
        <v>2</v>
      </c>
      <c r="J65" s="17">
        <f>COUNTIFS('Prácticas_Revisiones'!$S$2:$S$282,"T056",'Prácticas_Revisiones'!$T$2:$T$282,"SOFTWARE CONFIG. MGMT. &gt; *")+COUNTIFS('Prácticas_Snowballing'!$AB$2:$AB$281,"T056",'Prácticas_Snowballing'!$AC$2:$AC$281,"SOFTWARE CONFIG. MGMT. &gt; *")</f>
        <v>0</v>
      </c>
      <c r="K65" s="17">
        <f>COUNTIFS('Prácticas_Revisiones'!$S$2:$S$282,"T056",'Prácticas_Revisiones'!$T$2:$T$282,"SOFTWARE ENG. PROCESS &gt; *")+COUNTIFS('Prácticas_Snowballing'!$AB$2:$AB$281,"T056",'Prácticas_Snowballing'!$AC$2:$AC$281,"SOFTWARE ENG. PROCESS &gt; *")</f>
        <v>0</v>
      </c>
      <c r="L65" s="17">
        <f>COUNTIFS('Prácticas_Revisiones'!$S$2:$S$282,"T056",'Prácticas_Revisiones'!$T$2:$T$282,"SOFTWARE ENG. MODELS/METH. &gt; *")+COUNTIFS('Prácticas_Snowballing'!$AB$2:$AB$281,"T056",'Prácticas_Snowballing'!$AC$2:$AC$281,"SOFTWARE ENG. MODELS/METH. &gt; *")</f>
        <v>0</v>
      </c>
      <c r="M65" s="17">
        <f>COUNTIFS('Prácticas_Revisiones'!$S$2:$S$282,"T056",'Prácticas_Revisiones'!$T$2:$T$282,"SOFTWARE QUALITY &gt; *")+COUNTIFS('Prácticas_Snowballing'!$AB$2:$AB$281,"T056",'Prácticas_Snowballing'!$AC$2:$AC$281,"SOFTWARE QUALITY &gt; *")</f>
        <v>0</v>
      </c>
      <c r="N65" s="17">
        <f>COUNTIFS('Prácticas_Revisiones'!$S$2:$S$282,"T056",'Prácticas_Revisiones'!$T$2:$T$282,"SOFTWARE SECURITY &gt; *")+COUNTIFS('Prácticas_Snowballing'!$AB$2:$AB$281,"T056",'Prácticas_Snowballing'!$AC$2:$AC$281,"SOFTWARE SECURITY &gt; *")</f>
        <v>1</v>
      </c>
      <c r="O65" s="17">
        <f>COUNTIFS('Prácticas_Revisiones'!$S$2:$S$282,"T056",'Prácticas_Revisiones'!$T$2:$T$282,"PROFESSIONAL PRACTICE &gt; *")+COUNTIFS('Prácticas_Snowballing'!$AB$2:$AB$281,"T056",'Prácticas_Snowballing'!$AC$2:$AC$281,"PROFESSIONAL PRACTICE &gt; *")</f>
        <v>0</v>
      </c>
      <c r="P65" s="17">
        <f>COUNTIFS('Prácticas_Revisiones'!$S$2:$S$282,"T056",'Prácticas_Revisiones'!$T$2:$T$282,"SOFTWARE ENG. ECONOMICS &gt; *")+COUNTIFS('Prácticas_Snowballing'!$AB$2:$AB$281,"T056",'Prácticas_Snowballing'!$AC$2:$AC$281,"SOFTWARE ENG. ECONOMICS &gt; *")</f>
        <v>0</v>
      </c>
      <c r="Q65" s="17">
        <f>COUNTIFS('Prácticas_Revisiones'!$S$2:$S$282,"T056",'Prácticas_Revisiones'!$T$2:$T$282,"SOFTWARE ENG. MANAGEMENT &gt; *")+COUNTIFS('Prácticas_Snowballing'!$AB$2:$AB$281,"T056",'Prácticas_Snowballing'!$AC$2:$AC$281,"SOFTWARE ENG. MANAGEMENT &gt; *")</f>
        <v>1</v>
      </c>
      <c r="R65" s="17">
        <f>COUNTIFS('Prácticas_Revisiones'!$S$2:$S$282,"T056",'Prácticas_Revisiones'!$T$2:$T$282,"Sin área SWEBOK")+COUNTIFS('Prácticas_Snowballing'!$AB$2:$AB$281,"T056",'Prácticas_Snowballing'!$AC$2:$AC$281,"Sin área SWEBOK")</f>
        <v>1</v>
      </c>
      <c r="S65" s="27">
        <f t="shared" si="5"/>
        <v>37</v>
      </c>
    </row>
    <row r="66" ht="15.75" customHeight="1">
      <c r="A66" s="28"/>
      <c r="B66" s="16" t="s">
        <v>2821</v>
      </c>
      <c r="C66" s="17">
        <f>COUNTIFS('Prácticas_Revisiones'!$S$2:$S$282,"T057",'Prácticas_Revisiones'!$T$2:$T$282,"REQUIREMENTS &gt; *")+COUNTIFS('Prácticas_Snowballing'!$AB$2:$AB$281,"T057",'Prácticas_Snowballing'!$AC$2:$AC$281,"REQUIREMENTS &gt; *")</f>
        <v>0</v>
      </c>
      <c r="D66" s="17">
        <f>COUNTIFS('Prácticas_Revisiones'!$S$2:$S$282,"T057",'Prácticas_Revisiones'!$T$2:$T$282,"ARCHITECTURE &gt; *")+COUNTIFS('Prácticas_Snowballing'!$AB$2:$AB$281,"T057",'Prácticas_Snowballing'!$AC$2:$AC$281,"ARCHITECTURE &gt; *")</f>
        <v>0</v>
      </c>
      <c r="E66" s="17">
        <f>COUNTIFS('Prácticas_Revisiones'!$S$2:$S$282,"T057",'Prácticas_Revisiones'!$T$2:$T$282,"DESIGN &gt; *")+COUNTIFS('Prácticas_Snowballing'!$AB$2:$AB$281,"T057",'Prácticas_Snowballing'!$AC$2:$AC$281,"DESIGN &gt; *")</f>
        <v>0</v>
      </c>
      <c r="F66" s="17">
        <f>COUNTIFS('Prácticas_Revisiones'!$S$2:$S$282,"T057",'Prácticas_Revisiones'!$T$2:$T$282,"CONSTRUCTION &gt; *")+COUNTIFS('Prácticas_Snowballing'!$AB$2:$AB$281,"T057",'Prácticas_Snowballing'!$AC$2:$AC$281,"CONSTRUCTION &gt; *")</f>
        <v>15</v>
      </c>
      <c r="G66" s="17">
        <f>COUNTIFS('Prácticas_Revisiones'!$S$2:$S$282,"T057",'Prácticas_Revisiones'!$T$2:$T$282,"SOFTWARE TESTING &gt; *")+COUNTIFS('Prácticas_Snowballing'!$AB$2:$AB$281,"T057",'Prácticas_Snowballing'!$AC$2:$AC$281,"SOFTWARE TESTING &gt; *")</f>
        <v>0</v>
      </c>
      <c r="H66" s="17">
        <f>COUNTIFS('Prácticas_Revisiones'!$S$2:$S$282,"T057",'Prácticas_Revisiones'!$T$2:$T$282,"SOFTWARE ENG. OPERATIONS &gt; *")+COUNTIFS('Prácticas_Snowballing'!$AB$2:$AB$281,"T057",'Prácticas_Snowballing'!$AC$2:$AC$281,"SOFTWARE ENG. OPERATIONS &gt; *")</f>
        <v>0</v>
      </c>
      <c r="I66" s="17">
        <f>COUNTIFS('Prácticas_Revisiones'!$S$2:$S$282,"T057",'Prácticas_Revisiones'!$T$2:$T$282,"MAINTENANCE &gt; *")+COUNTIFS('Prácticas_Snowballing'!$AB$2:$AB$281,"T057",'Prácticas_Snowballing'!$AC$2:$AC$281,"MAINTENANCE &gt; *")</f>
        <v>0</v>
      </c>
      <c r="J66" s="17">
        <f>COUNTIFS('Prácticas_Revisiones'!$S$2:$S$282,"T057",'Prácticas_Revisiones'!$T$2:$T$282,"SOFTWARE CONFIG. MGMT. &gt; *")+COUNTIFS('Prácticas_Snowballing'!$AB$2:$AB$281,"T057",'Prácticas_Snowballing'!$AC$2:$AC$281,"SOFTWARE CONFIG. MGMT. &gt; *")</f>
        <v>0</v>
      </c>
      <c r="K66" s="17">
        <f>COUNTIFS('Prácticas_Revisiones'!$S$2:$S$282,"T057",'Prácticas_Revisiones'!$T$2:$T$282,"SOFTWARE ENG. PROCESS &gt; *")+COUNTIFS('Prácticas_Snowballing'!$AB$2:$AB$281,"T057",'Prácticas_Snowballing'!$AC$2:$AC$281,"SOFTWARE ENG. PROCESS &gt; *")</f>
        <v>0</v>
      </c>
      <c r="L66" s="17">
        <f>COUNTIFS('Prácticas_Revisiones'!$S$2:$S$282,"T057",'Prácticas_Revisiones'!$T$2:$T$282,"SOFTWARE ENG. MODELS/METH. &gt; *")+COUNTIFS('Prácticas_Snowballing'!$AB$2:$AB$281,"T057",'Prácticas_Snowballing'!$AC$2:$AC$281,"SOFTWARE ENG. MODELS/METH. &gt; *")</f>
        <v>0</v>
      </c>
      <c r="M66" s="17">
        <f>COUNTIFS('Prácticas_Revisiones'!$S$2:$S$282,"T057",'Prácticas_Revisiones'!$T$2:$T$282,"SOFTWARE QUALITY &gt; *")+COUNTIFS('Prácticas_Snowballing'!$AB$2:$AB$281,"T057",'Prácticas_Snowballing'!$AC$2:$AC$281,"SOFTWARE QUALITY &gt; *")</f>
        <v>1</v>
      </c>
      <c r="N66" s="17">
        <f>COUNTIFS('Prácticas_Revisiones'!$S$2:$S$282,"T057",'Prácticas_Revisiones'!$T$2:$T$282,"SOFTWARE SECURITY &gt; *")+COUNTIFS('Prácticas_Snowballing'!$AB$2:$AB$281,"T057",'Prácticas_Snowballing'!$AC$2:$AC$281,"SOFTWARE SECURITY &gt; *")</f>
        <v>0</v>
      </c>
      <c r="O66" s="17">
        <f>COUNTIFS('Prácticas_Revisiones'!$S$2:$S$282,"T057",'Prácticas_Revisiones'!$T$2:$T$282,"PROFESSIONAL PRACTICE &gt; *")+COUNTIFS('Prácticas_Snowballing'!$AB$2:$AB$281,"T057",'Prácticas_Snowballing'!$AC$2:$AC$281,"PROFESSIONAL PRACTICE &gt; *")</f>
        <v>1</v>
      </c>
      <c r="P66" s="17">
        <f>COUNTIFS('Prácticas_Revisiones'!$S$2:$S$282,"T057",'Prácticas_Revisiones'!$T$2:$T$282,"SOFTWARE ENG. ECONOMICS &gt; *")+COUNTIFS('Prácticas_Snowballing'!$AB$2:$AB$281,"T057",'Prácticas_Snowballing'!$AC$2:$AC$281,"SOFTWARE ENG. ECONOMICS &gt; *")</f>
        <v>0</v>
      </c>
      <c r="Q66" s="17">
        <f>COUNTIFS('Prácticas_Revisiones'!$S$2:$S$282,"T057",'Prácticas_Revisiones'!$T$2:$T$282,"SOFTWARE ENG. MANAGEMENT &gt; *")+COUNTIFS('Prácticas_Snowballing'!$AB$2:$AB$281,"T057",'Prácticas_Snowballing'!$AC$2:$AC$281,"SOFTWARE ENG. MANAGEMENT &gt; *")</f>
        <v>0</v>
      </c>
      <c r="R66" s="17">
        <f>COUNTIFS('Prácticas_Revisiones'!$S$2:$S$282,"T057",'Prácticas_Revisiones'!$T$2:$T$282,"Sin área SWEBOK")+COUNTIFS('Prácticas_Snowballing'!$AB$2:$AB$281,"T057",'Prácticas_Snowballing'!$AC$2:$AC$281,"Sin área SWEBOK")</f>
        <v>0</v>
      </c>
      <c r="S66" s="27">
        <f t="shared" si="5"/>
        <v>17</v>
      </c>
    </row>
    <row r="67" ht="15.75" customHeight="1">
      <c r="A67" s="23"/>
      <c r="B67" s="9" t="s">
        <v>2199</v>
      </c>
      <c r="C67" s="17">
        <f>COUNTIFS('Prácticas_Revisiones'!$S$2:$S$282,"Sin equivalente en catálogo (APLICAR)",'Prácticas_Revisiones'!$T$2:$T$282,"REQUIREMENTS &gt; *")+COUNTIFS('Prácticas_Snowballing'!$AB$2:$AB$281,"Sin equivalente en catálogo (APLICAR)",'Prácticas_Snowballing'!$AC$2:$AC$281,"REQUIREMENTS &gt; *")</f>
        <v>0</v>
      </c>
      <c r="D67" s="17">
        <f>COUNTIFS('Prácticas_Revisiones'!$S$2:$S$282,"Sin equivalente en catálogo (APLICAR)",'Prácticas_Revisiones'!$T$2:$T$282,"ARCHITECTURE &gt; *")+COUNTIFS('Prácticas_Snowballing'!$AB$2:$AB$281,"Sin equivalente en catálogo (APLICAR)",'Prácticas_Snowballing'!$AC$2:$AC$281,"ARCHITECTURE &gt; *")</f>
        <v>0</v>
      </c>
      <c r="E67" s="17">
        <f>COUNTIFS('Prácticas_Revisiones'!$S$2:$S$282,"Sin equivalente en catálogo (APLICAR)",'Prácticas_Revisiones'!$T$2:$T$282,"DESIGN &gt; *")+COUNTIFS('Prácticas_Snowballing'!$AB$2:$AB$281,"Sin equivalente en catálogo (APLICAR)",'Prácticas_Snowballing'!$AC$2:$AC$281,"DESIGN &gt; *")</f>
        <v>0</v>
      </c>
      <c r="F67" s="17">
        <f>COUNTIFS('Prácticas_Revisiones'!$S$2:$S$282,"Sin equivalente en catálogo (APLICAR)",'Prácticas_Revisiones'!$T$2:$T$282,"CONSTRUCTION &gt; *")+COUNTIFS('Prácticas_Snowballing'!$AB$2:$AB$281,"Sin equivalente en catálogo (APLICAR)",'Prácticas_Snowballing'!$AC$2:$AC$281,"CONSTRUCTION &gt; *")</f>
        <v>0</v>
      </c>
      <c r="G67" s="17">
        <f>COUNTIFS('Prácticas_Revisiones'!$S$2:$S$282,"Sin equivalente en catálogo (APLICAR)",'Prácticas_Revisiones'!$T$2:$T$282,"SOFTWARE TESTING &gt; *")+COUNTIFS('Prácticas_Snowballing'!$AB$2:$AB$281,"Sin equivalente en catálogo (APLICAR)",'Prácticas_Snowballing'!$AC$2:$AC$281,"SOFTWARE TESTING &gt; *")</f>
        <v>0</v>
      </c>
      <c r="H67" s="17">
        <f>COUNTIFS('Prácticas_Revisiones'!$S$2:$S$282,"Sin equivalente en catálogo (APLICAR)",'Prácticas_Revisiones'!$T$2:$T$282,"SOFTWARE ENG. OPERATIONS &gt; *")+COUNTIFS('Prácticas_Snowballing'!$AB$2:$AB$281,"Sin equivalente en catálogo (APLICAR)",'Prácticas_Snowballing'!$AC$2:$AC$281,"SOFTWARE ENG. OPERATIONS &gt; *")</f>
        <v>0</v>
      </c>
      <c r="I67" s="17">
        <f>COUNTIFS('Prácticas_Revisiones'!$S$2:$S$282,"Sin equivalente en catálogo (APLICAR)",'Prácticas_Revisiones'!$T$2:$T$282,"MAINTENANCE &gt; *")+COUNTIFS('Prácticas_Snowballing'!$AB$2:$AB$281,"Sin equivalente en catálogo (APLICAR)",'Prácticas_Snowballing'!$AC$2:$AC$281,"MAINTENANCE &gt; *")</f>
        <v>0</v>
      </c>
      <c r="J67" s="17">
        <f>COUNTIFS('Prácticas_Revisiones'!$S$2:$S$282,"Sin equivalente en catálogo (APLICAR)",'Prácticas_Revisiones'!$T$2:$T$282,"SOFTWARE CONFIG. MGMT. &gt; *")+COUNTIFS('Prácticas_Snowballing'!$AB$2:$AB$281,"Sin equivalente en catálogo (APLICAR)",'Prácticas_Snowballing'!$AC$2:$AC$281,"SOFTWARE CONFIG. MGMT. &gt; *")</f>
        <v>0</v>
      </c>
      <c r="K67" s="17">
        <f>COUNTIFS('Prácticas_Revisiones'!$S$2:$S$282,"Sin equivalente en catálogo (APLICAR)",'Prácticas_Revisiones'!$T$2:$T$282,"SOFTWARE ENG. PROCESS &gt; *")+COUNTIFS('Prácticas_Snowballing'!$AB$2:$AB$281,"Sin equivalente en catálogo (APLICAR)",'Prácticas_Snowballing'!$AC$2:$AC$281,"SOFTWARE ENG. PROCESS &gt; *")</f>
        <v>0</v>
      </c>
      <c r="L67" s="17">
        <f>COUNTIFS('Prácticas_Revisiones'!$S$2:$S$282,"Sin equivalente en catálogo (APLICAR)",'Prácticas_Revisiones'!$T$2:$T$282,"SOFTWARE ENG. MODELS/METH. &gt; *")+COUNTIFS('Prácticas_Snowballing'!$AB$2:$AB$281,"Sin equivalente en catálogo (APLICAR)",'Prácticas_Snowballing'!$AC$2:$AC$281,"SOFTWARE ENG. MODELS/METH. &gt; *")</f>
        <v>0</v>
      </c>
      <c r="M67" s="17">
        <f>COUNTIFS('Prácticas_Revisiones'!$S$2:$S$282,"Sin equivalente en catálogo (APLICAR)",'Prácticas_Revisiones'!$T$2:$T$282,"SOFTWARE QUALITY &gt; *")+COUNTIFS('Prácticas_Snowballing'!$AB$2:$AB$281,"Sin equivalente en catálogo (APLICAR)",'Prácticas_Snowballing'!$AC$2:$AC$281,"SOFTWARE QUALITY &gt; *")</f>
        <v>0</v>
      </c>
      <c r="N67" s="17">
        <f>COUNTIFS('Prácticas_Revisiones'!$S$2:$S$282,"Sin equivalente en catálogo (APLICAR)",'Prácticas_Revisiones'!$T$2:$T$282,"SOFTWARE SECURITY &gt; *")+COUNTIFS('Prácticas_Snowballing'!$AB$2:$AB$281,"Sin equivalente en catálogo (APLICAR)",'Prácticas_Snowballing'!$AC$2:$AC$281,"SOFTWARE SECURITY &gt; *")</f>
        <v>0</v>
      </c>
      <c r="O67" s="17">
        <f>COUNTIFS('Prácticas_Revisiones'!$S$2:$S$282,"Sin equivalente en catálogo (APLICAR)",'Prácticas_Revisiones'!$T$2:$T$282,"PROFESSIONAL PRACTICE &gt; *")+COUNTIFS('Prácticas_Snowballing'!$AB$2:$AB$281,"Sin equivalente en catálogo (APLICAR)",'Prácticas_Snowballing'!$AC$2:$AC$281,"PROFESSIONAL PRACTICE &gt; *")</f>
        <v>0</v>
      </c>
      <c r="P67" s="17">
        <f>COUNTIFS('Prácticas_Revisiones'!$S$2:$S$282,"Sin equivalente en catálogo (APLICAR)",'Prácticas_Revisiones'!$T$2:$T$282,"SOFTWARE ENG. ECONOMICS &gt; *")+COUNTIFS('Prácticas_Snowballing'!$AB$2:$AB$281,"Sin equivalente en catálogo (APLICAR)",'Prácticas_Snowballing'!$AC$2:$AC$281,"SOFTWARE ENG. ECONOMICS &gt; *")</f>
        <v>0</v>
      </c>
      <c r="Q67" s="17">
        <f>COUNTIFS('Prácticas_Revisiones'!$S$2:$S$282,"Sin equivalente en catálogo (APLICAR)",'Prácticas_Revisiones'!$T$2:$T$282,"SOFTWARE ENG. MANAGEMENT &gt; *")+COUNTIFS('Prácticas_Snowballing'!$AB$2:$AB$281,"Sin equivalente en catálogo (APLICAR)",'Prácticas_Snowballing'!$AC$2:$AC$281,"SOFTWARE ENG. MANAGEMENT &gt; *")</f>
        <v>0</v>
      </c>
      <c r="R67" s="17">
        <f>COUNTIFS('Prácticas_Revisiones'!$S$2:$S$282,"Sin equivalente en catálogo (APLICAR)",'Prácticas_Revisiones'!$T$2:$T$282,"Sin área SWEBOK")+COUNTIFS('Prácticas_Snowballing'!$AB$2:$AB$281,"Sin equivalente en catálogo (APLICAR)",'Prácticas_Snowballing'!$AC$2:$AC$281,"Sin área SWEBOK")</f>
        <v>0</v>
      </c>
      <c r="S67" s="27">
        <f t="shared" si="5"/>
        <v>0</v>
      </c>
    </row>
    <row r="68" ht="15.75" customHeight="1">
      <c r="A68" s="35" t="s">
        <v>2871</v>
      </c>
      <c r="B68" s="20"/>
      <c r="C68" s="29">
        <f t="shared" ref="C68:S68" si="6">SUM(C40:C67)</f>
        <v>7</v>
      </c>
      <c r="D68" s="29">
        <f t="shared" si="6"/>
        <v>0</v>
      </c>
      <c r="E68" s="29">
        <f t="shared" si="6"/>
        <v>3</v>
      </c>
      <c r="F68" s="29">
        <f t="shared" si="6"/>
        <v>198</v>
      </c>
      <c r="G68" s="29">
        <f t="shared" si="6"/>
        <v>10</v>
      </c>
      <c r="H68" s="29">
        <f t="shared" si="6"/>
        <v>0</v>
      </c>
      <c r="I68" s="29">
        <f t="shared" si="6"/>
        <v>4</v>
      </c>
      <c r="J68" s="29">
        <f t="shared" si="6"/>
        <v>1</v>
      </c>
      <c r="K68" s="29">
        <f t="shared" si="6"/>
        <v>1</v>
      </c>
      <c r="L68" s="29">
        <f t="shared" si="6"/>
        <v>2</v>
      </c>
      <c r="M68" s="29">
        <f t="shared" si="6"/>
        <v>5</v>
      </c>
      <c r="N68" s="29">
        <f t="shared" si="6"/>
        <v>2</v>
      </c>
      <c r="O68" s="29">
        <f t="shared" si="6"/>
        <v>6</v>
      </c>
      <c r="P68" s="29">
        <f t="shared" si="6"/>
        <v>0</v>
      </c>
      <c r="Q68" s="29">
        <f t="shared" si="6"/>
        <v>2</v>
      </c>
      <c r="R68" s="29">
        <f t="shared" si="6"/>
        <v>2</v>
      </c>
      <c r="S68" s="29">
        <f t="shared" si="6"/>
        <v>243</v>
      </c>
    </row>
    <row r="69" ht="15.75" customHeight="1">
      <c r="A69" s="15" t="s">
        <v>159</v>
      </c>
      <c r="B69" s="16" t="s">
        <v>2823</v>
      </c>
      <c r="C69" s="17">
        <f>COUNTIFS('Prácticas_Revisiones'!$S$2:$S$282,"T058",'Prácticas_Revisiones'!$T$2:$T$282,"REQUIREMENTS &gt; *")+COUNTIFS('Prácticas_Snowballing'!$AB$2:$AB$281,"T058",'Prácticas_Snowballing'!$AC$2:$AC$281,"REQUIREMENTS &gt; *")</f>
        <v>1</v>
      </c>
      <c r="D69" s="17">
        <f>COUNTIFS('Prácticas_Revisiones'!$S$2:$S$282,"T058",'Prácticas_Revisiones'!$T$2:$T$282,"ARCHITECTURE &gt; *")+COUNTIFS('Prácticas_Snowballing'!$AB$2:$AB$281,"T058",'Prácticas_Snowballing'!$AC$2:$AC$281,"ARCHITECTURE &gt; *")</f>
        <v>0</v>
      </c>
      <c r="E69" s="17">
        <f>COUNTIFS('Prácticas_Revisiones'!$S$2:$S$282,"T058",'Prácticas_Revisiones'!$T$2:$T$282,"DESIGN &gt; *")+COUNTIFS('Prácticas_Snowballing'!$AB$2:$AB$281,"T058",'Prácticas_Snowballing'!$AC$2:$AC$281,"DESIGN &gt; *")</f>
        <v>1</v>
      </c>
      <c r="F69" s="17">
        <f>COUNTIFS('Prácticas_Revisiones'!$S$2:$S$282,"T058",'Prácticas_Revisiones'!$T$2:$T$282,"CONSTRUCTION &gt; *")+COUNTIFS('Prácticas_Snowballing'!$AB$2:$AB$281,"T058",'Prácticas_Snowballing'!$AC$2:$AC$281,"CONSTRUCTION &gt; *")</f>
        <v>3</v>
      </c>
      <c r="G69" s="17">
        <f>COUNTIFS('Prácticas_Revisiones'!$S$2:$S$282,"T058",'Prácticas_Revisiones'!$T$2:$T$282,"SOFTWARE TESTING &gt; *")+COUNTIFS('Prácticas_Snowballing'!$AB$2:$AB$281,"T058",'Prácticas_Snowballing'!$AC$2:$AC$281,"SOFTWARE TESTING &gt; *")</f>
        <v>2</v>
      </c>
      <c r="H69" s="17">
        <f>COUNTIFS('Prácticas_Revisiones'!$S$2:$S$282,"T058",'Prácticas_Revisiones'!$T$2:$T$282,"SOFTWARE ENG. OPERATIONS &gt; *")+COUNTIFS('Prácticas_Snowballing'!$AB$2:$AB$281,"T058",'Prácticas_Snowballing'!$AC$2:$AC$281,"SOFTWARE ENG. OPERATIONS &gt; *")</f>
        <v>0</v>
      </c>
      <c r="I69" s="17">
        <f>COUNTIFS('Prácticas_Revisiones'!$S$2:$S$282,"T058",'Prácticas_Revisiones'!$T$2:$T$282,"MAINTENANCE &gt; *")+COUNTIFS('Prácticas_Snowballing'!$AB$2:$AB$281,"T058",'Prácticas_Snowballing'!$AC$2:$AC$281,"MAINTENANCE &gt; *")</f>
        <v>1</v>
      </c>
      <c r="J69" s="17">
        <f>COUNTIFS('Prácticas_Revisiones'!$S$2:$S$282,"T058",'Prácticas_Revisiones'!$T$2:$T$282,"SOFTWARE CONFIG. MGMT. &gt; *")+COUNTIFS('Prácticas_Snowballing'!$AB$2:$AB$281,"T058",'Prácticas_Snowballing'!$AC$2:$AC$281,"SOFTWARE CONFIG. MGMT. &gt; *")</f>
        <v>0</v>
      </c>
      <c r="K69" s="17">
        <f>COUNTIFS('Prácticas_Revisiones'!$S$2:$S$282,"T058",'Prácticas_Revisiones'!$T$2:$T$282,"SOFTWARE ENG. PROCESS &gt; *")+COUNTIFS('Prácticas_Snowballing'!$AB$2:$AB$281,"T058",'Prácticas_Snowballing'!$AC$2:$AC$281,"SOFTWARE ENG. PROCESS &gt; *")</f>
        <v>0</v>
      </c>
      <c r="L69" s="17">
        <f>COUNTIFS('Prácticas_Revisiones'!$S$2:$S$282,"T058",'Prácticas_Revisiones'!$T$2:$T$282,"SOFTWARE ENG. MODELS/METH. &gt; *")+COUNTIFS('Prácticas_Snowballing'!$AB$2:$AB$281,"T058",'Prácticas_Snowballing'!$AC$2:$AC$281,"SOFTWARE ENG. MODELS/METH. &gt; *")</f>
        <v>0</v>
      </c>
      <c r="M69" s="17">
        <f>COUNTIFS('Prácticas_Revisiones'!$S$2:$S$282,"T058",'Prácticas_Revisiones'!$T$2:$T$282,"SOFTWARE QUALITY &gt; *")+COUNTIFS('Prácticas_Snowballing'!$AB$2:$AB$281,"T058",'Prácticas_Snowballing'!$AC$2:$AC$281,"SOFTWARE QUALITY &gt; *")</f>
        <v>1</v>
      </c>
      <c r="N69" s="17">
        <f>COUNTIFS('Prácticas_Revisiones'!$S$2:$S$282,"T058",'Prácticas_Revisiones'!$T$2:$T$282,"SOFTWARE SECURITY &gt; *")+COUNTIFS('Prácticas_Snowballing'!$AB$2:$AB$281,"T058",'Prácticas_Snowballing'!$AC$2:$AC$281,"SOFTWARE SECURITY &gt; *")</f>
        <v>0</v>
      </c>
      <c r="O69" s="17">
        <f>COUNTIFS('Prácticas_Revisiones'!$S$2:$S$282,"T058",'Prácticas_Revisiones'!$T$2:$T$282,"PROFESSIONAL PRACTICE &gt; *")+COUNTIFS('Prácticas_Snowballing'!$AB$2:$AB$281,"T058",'Prácticas_Snowballing'!$AC$2:$AC$281,"PROFESSIONAL PRACTICE &gt; *")</f>
        <v>1</v>
      </c>
      <c r="P69" s="17">
        <f>COUNTIFS('Prácticas_Revisiones'!$S$2:$S$282,"T058",'Prácticas_Revisiones'!$T$2:$T$282,"SOFTWARE ENG. ECONOMICS &gt; *")+COUNTIFS('Prácticas_Snowballing'!$AB$2:$AB$281,"T058",'Prácticas_Snowballing'!$AC$2:$AC$281,"SOFTWARE ENG. ECONOMICS &gt; *")</f>
        <v>0</v>
      </c>
      <c r="Q69" s="17">
        <f>COUNTIFS('Prácticas_Revisiones'!$S$2:$S$282,"T058",'Prácticas_Revisiones'!$T$2:$T$282,"SOFTWARE ENG. MANAGEMENT &gt; *")+COUNTIFS('Prácticas_Snowballing'!$AB$2:$AB$281,"T058",'Prácticas_Snowballing'!$AC$2:$AC$281,"SOFTWARE ENG. MANAGEMENT &gt; *")</f>
        <v>0</v>
      </c>
      <c r="R69" s="17">
        <f>COUNTIFS('Prácticas_Revisiones'!$S$2:$S$282,"T058",'Prácticas_Revisiones'!$T$2:$T$282,"Sin área SWEBOK")+COUNTIFS('Prácticas_Snowballing'!$AB$2:$AB$281,"T058",'Prácticas_Snowballing'!$AC$2:$AC$281,"Sin área SWEBOK")</f>
        <v>0</v>
      </c>
      <c r="S69" s="27">
        <f t="shared" ref="S69:S86" si="7">SUM(C69:R69)</f>
        <v>10</v>
      </c>
    </row>
    <row r="70" ht="15.75" customHeight="1">
      <c r="A70" s="28"/>
      <c r="B70" s="16" t="s">
        <v>2825</v>
      </c>
      <c r="C70" s="17">
        <f>COUNTIFS('Prácticas_Revisiones'!$S$2:$S$282,"T059",'Prácticas_Revisiones'!$T$2:$T$282,"REQUIREMENTS &gt; *")+COUNTIFS('Prácticas_Snowballing'!$AB$2:$AB$281,"T059",'Prácticas_Snowballing'!$AC$2:$AC$281,"REQUIREMENTS &gt; *")</f>
        <v>0</v>
      </c>
      <c r="D70" s="17">
        <f>COUNTIFS('Prácticas_Revisiones'!$S$2:$S$282,"T059",'Prácticas_Revisiones'!$T$2:$T$282,"ARCHITECTURE &gt; *")+COUNTIFS('Prácticas_Snowballing'!$AB$2:$AB$281,"T059",'Prácticas_Snowballing'!$AC$2:$AC$281,"ARCHITECTURE &gt; *")</f>
        <v>0</v>
      </c>
      <c r="E70" s="17">
        <f>COUNTIFS('Prácticas_Revisiones'!$S$2:$S$282,"T059",'Prácticas_Revisiones'!$T$2:$T$282,"DESIGN &gt; *")+COUNTIFS('Prácticas_Snowballing'!$AB$2:$AB$281,"T059",'Prácticas_Snowballing'!$AC$2:$AC$281,"DESIGN &gt; *")</f>
        <v>0</v>
      </c>
      <c r="F70" s="17">
        <f>COUNTIFS('Prácticas_Revisiones'!$S$2:$S$282,"T059",'Prácticas_Revisiones'!$T$2:$T$282,"CONSTRUCTION &gt; *")+COUNTIFS('Prácticas_Snowballing'!$AB$2:$AB$281,"T059",'Prácticas_Snowballing'!$AC$2:$AC$281,"CONSTRUCTION &gt; *")</f>
        <v>0</v>
      </c>
      <c r="G70" s="17">
        <f>COUNTIFS('Prácticas_Revisiones'!$S$2:$S$282,"T059",'Prácticas_Revisiones'!$T$2:$T$282,"SOFTWARE TESTING &gt; *")+COUNTIFS('Prácticas_Snowballing'!$AB$2:$AB$281,"T059",'Prácticas_Snowballing'!$AC$2:$AC$281,"SOFTWARE TESTING &gt; *")</f>
        <v>0</v>
      </c>
      <c r="H70" s="17">
        <f>COUNTIFS('Prácticas_Revisiones'!$S$2:$S$282,"T059",'Prácticas_Revisiones'!$T$2:$T$282,"SOFTWARE ENG. OPERATIONS &gt; *")+COUNTIFS('Prácticas_Snowballing'!$AB$2:$AB$281,"T059",'Prácticas_Snowballing'!$AC$2:$AC$281,"SOFTWARE ENG. OPERATIONS &gt; *")</f>
        <v>0</v>
      </c>
      <c r="I70" s="17">
        <f>COUNTIFS('Prácticas_Revisiones'!$S$2:$S$282,"T059",'Prácticas_Revisiones'!$T$2:$T$282,"MAINTENANCE &gt; *")+COUNTIFS('Prácticas_Snowballing'!$AB$2:$AB$281,"T059",'Prácticas_Snowballing'!$AC$2:$AC$281,"MAINTENANCE &gt; *")</f>
        <v>0</v>
      </c>
      <c r="J70" s="17">
        <f>COUNTIFS('Prácticas_Revisiones'!$S$2:$S$282,"T059",'Prácticas_Revisiones'!$T$2:$T$282,"SOFTWARE CONFIG. MGMT. &gt; *")+COUNTIFS('Prácticas_Snowballing'!$AB$2:$AB$281,"T059",'Prácticas_Snowballing'!$AC$2:$AC$281,"SOFTWARE CONFIG. MGMT. &gt; *")</f>
        <v>0</v>
      </c>
      <c r="K70" s="17">
        <f>COUNTIFS('Prácticas_Revisiones'!$S$2:$S$282,"T059",'Prácticas_Revisiones'!$T$2:$T$282,"SOFTWARE ENG. PROCESS &gt; *")+COUNTIFS('Prácticas_Snowballing'!$AB$2:$AB$281,"T059",'Prácticas_Snowballing'!$AC$2:$AC$281,"SOFTWARE ENG. PROCESS &gt; *")</f>
        <v>0</v>
      </c>
      <c r="L70" s="17">
        <f>COUNTIFS('Prácticas_Revisiones'!$S$2:$S$282,"T059",'Prácticas_Revisiones'!$T$2:$T$282,"SOFTWARE ENG. MODELS/METH. &gt; *")+COUNTIFS('Prácticas_Snowballing'!$AB$2:$AB$281,"T059",'Prácticas_Snowballing'!$AC$2:$AC$281,"SOFTWARE ENG. MODELS/METH. &gt; *")</f>
        <v>0</v>
      </c>
      <c r="M70" s="17">
        <f>COUNTIFS('Prácticas_Revisiones'!$S$2:$S$282,"T059",'Prácticas_Revisiones'!$T$2:$T$282,"SOFTWARE QUALITY &gt; *")+COUNTIFS('Prácticas_Snowballing'!$AB$2:$AB$281,"T059",'Prácticas_Snowballing'!$AC$2:$AC$281,"SOFTWARE QUALITY &gt; *")</f>
        <v>0</v>
      </c>
      <c r="N70" s="17">
        <f>COUNTIFS('Prácticas_Revisiones'!$S$2:$S$282,"T059",'Prácticas_Revisiones'!$T$2:$T$282,"SOFTWARE SECURITY &gt; *")+COUNTIFS('Prácticas_Snowballing'!$AB$2:$AB$281,"T059",'Prácticas_Snowballing'!$AC$2:$AC$281,"SOFTWARE SECURITY &gt; *")</f>
        <v>0</v>
      </c>
      <c r="O70" s="17">
        <f>COUNTIFS('Prácticas_Revisiones'!$S$2:$S$282,"T059",'Prácticas_Revisiones'!$T$2:$T$282,"PROFESSIONAL PRACTICE &gt; *")+COUNTIFS('Prácticas_Snowballing'!$AB$2:$AB$281,"T059",'Prácticas_Snowballing'!$AC$2:$AC$281,"PROFESSIONAL PRACTICE &gt; *")</f>
        <v>0</v>
      </c>
      <c r="P70" s="17">
        <f>COUNTIFS('Prácticas_Revisiones'!$S$2:$S$282,"T059",'Prácticas_Revisiones'!$T$2:$T$282,"SOFTWARE ENG. ECONOMICS &gt; *")+COUNTIFS('Prácticas_Snowballing'!$AB$2:$AB$281,"T059",'Prácticas_Snowballing'!$AC$2:$AC$281,"SOFTWARE ENG. ECONOMICS &gt; *")</f>
        <v>0</v>
      </c>
      <c r="Q70" s="17">
        <f>COUNTIFS('Prácticas_Revisiones'!$S$2:$S$282,"T059",'Prácticas_Revisiones'!$T$2:$T$282,"SOFTWARE ENG. MANAGEMENT &gt; *")+COUNTIFS('Prácticas_Snowballing'!$AB$2:$AB$281,"T059",'Prácticas_Snowballing'!$AC$2:$AC$281,"SOFTWARE ENG. MANAGEMENT &gt; *")</f>
        <v>0</v>
      </c>
      <c r="R70" s="17">
        <f>COUNTIFS('Prácticas_Revisiones'!$S$2:$S$282,"T059",'Prácticas_Revisiones'!$T$2:$T$282,"Sin área SWEBOK")+COUNTIFS('Prácticas_Snowballing'!$AB$2:$AB$281,"T059",'Prácticas_Snowballing'!$AC$2:$AC$281,"Sin área SWEBOK")</f>
        <v>0</v>
      </c>
      <c r="S70" s="27">
        <f t="shared" si="7"/>
        <v>0</v>
      </c>
    </row>
    <row r="71" ht="15.75" customHeight="1">
      <c r="A71" s="28"/>
      <c r="B71" s="16" t="s">
        <v>2778</v>
      </c>
      <c r="C71" s="17">
        <f>COUNTIFS('Prácticas_Revisiones'!$S$2:$S$282,"T060",'Prácticas_Revisiones'!$T$2:$T$282,"REQUIREMENTS &gt; *")+COUNTIFS('Prácticas_Snowballing'!$AB$2:$AB$281,"T060",'Prácticas_Snowballing'!$AC$2:$AC$281,"REQUIREMENTS &gt; *")</f>
        <v>0</v>
      </c>
      <c r="D71" s="17">
        <f>COUNTIFS('Prácticas_Revisiones'!$S$2:$S$282,"T060",'Prácticas_Revisiones'!$T$2:$T$282,"ARCHITECTURE &gt; *")+COUNTIFS('Prácticas_Snowballing'!$AB$2:$AB$281,"T060",'Prácticas_Snowballing'!$AC$2:$AC$281,"ARCHITECTURE &gt; *")</f>
        <v>0</v>
      </c>
      <c r="E71" s="17">
        <f>COUNTIFS('Prácticas_Revisiones'!$S$2:$S$282,"T060",'Prácticas_Revisiones'!$T$2:$T$282,"DESIGN &gt; *")+COUNTIFS('Prácticas_Snowballing'!$AB$2:$AB$281,"T060",'Prácticas_Snowballing'!$AC$2:$AC$281,"DESIGN &gt; *")</f>
        <v>0</v>
      </c>
      <c r="F71" s="17">
        <f>COUNTIFS('Prácticas_Revisiones'!$S$2:$S$282,"T060",'Prácticas_Revisiones'!$T$2:$T$282,"CONSTRUCTION &gt; *")+COUNTIFS('Prácticas_Snowballing'!$AB$2:$AB$281,"T060",'Prácticas_Snowballing'!$AC$2:$AC$281,"CONSTRUCTION &gt; *")</f>
        <v>1</v>
      </c>
      <c r="G71" s="17">
        <f>COUNTIFS('Prácticas_Revisiones'!$S$2:$S$282,"T060",'Prácticas_Revisiones'!$T$2:$T$282,"SOFTWARE TESTING &gt; *")+COUNTIFS('Prácticas_Snowballing'!$AB$2:$AB$281,"T060",'Prácticas_Snowballing'!$AC$2:$AC$281,"SOFTWARE TESTING &gt; *")</f>
        <v>0</v>
      </c>
      <c r="H71" s="17">
        <f>COUNTIFS('Prácticas_Revisiones'!$S$2:$S$282,"T060",'Prácticas_Revisiones'!$T$2:$T$282,"SOFTWARE ENG. OPERATIONS &gt; *")+COUNTIFS('Prácticas_Snowballing'!$AB$2:$AB$281,"T060",'Prácticas_Snowballing'!$AC$2:$AC$281,"SOFTWARE ENG. OPERATIONS &gt; *")</f>
        <v>0</v>
      </c>
      <c r="I71" s="17">
        <f>COUNTIFS('Prácticas_Revisiones'!$S$2:$S$282,"T060",'Prácticas_Revisiones'!$T$2:$T$282,"MAINTENANCE &gt; *")+COUNTIFS('Prácticas_Snowballing'!$AB$2:$AB$281,"T060",'Prácticas_Snowballing'!$AC$2:$AC$281,"MAINTENANCE &gt; *")</f>
        <v>0</v>
      </c>
      <c r="J71" s="17">
        <f>COUNTIFS('Prácticas_Revisiones'!$S$2:$S$282,"T060",'Prácticas_Revisiones'!$T$2:$T$282,"SOFTWARE CONFIG. MGMT. &gt; *")+COUNTIFS('Prácticas_Snowballing'!$AB$2:$AB$281,"T060",'Prácticas_Snowballing'!$AC$2:$AC$281,"SOFTWARE CONFIG. MGMT. &gt; *")</f>
        <v>0</v>
      </c>
      <c r="K71" s="17">
        <f>COUNTIFS('Prácticas_Revisiones'!$S$2:$S$282,"T060",'Prácticas_Revisiones'!$T$2:$T$282,"SOFTWARE ENG. PROCESS &gt; *")+COUNTIFS('Prácticas_Snowballing'!$AB$2:$AB$281,"T060",'Prácticas_Snowballing'!$AC$2:$AC$281,"SOFTWARE ENG. PROCESS &gt; *")</f>
        <v>0</v>
      </c>
      <c r="L71" s="17">
        <f>COUNTIFS('Prácticas_Revisiones'!$S$2:$S$282,"T060",'Prácticas_Revisiones'!$T$2:$T$282,"SOFTWARE ENG. MODELS/METH. &gt; *")+COUNTIFS('Prácticas_Snowballing'!$AB$2:$AB$281,"T060",'Prácticas_Snowballing'!$AC$2:$AC$281,"SOFTWARE ENG. MODELS/METH. &gt; *")</f>
        <v>0</v>
      </c>
      <c r="M71" s="17">
        <f>COUNTIFS('Prácticas_Revisiones'!$S$2:$S$282,"T060",'Prácticas_Revisiones'!$T$2:$T$282,"SOFTWARE QUALITY &gt; *")+COUNTIFS('Prácticas_Snowballing'!$AB$2:$AB$281,"T060",'Prácticas_Snowballing'!$AC$2:$AC$281,"SOFTWARE QUALITY &gt; *")</f>
        <v>0</v>
      </c>
      <c r="N71" s="17">
        <f>COUNTIFS('Prácticas_Revisiones'!$S$2:$S$282,"T060",'Prácticas_Revisiones'!$T$2:$T$282,"SOFTWARE SECURITY &gt; *")+COUNTIFS('Prácticas_Snowballing'!$AB$2:$AB$281,"T060",'Prácticas_Snowballing'!$AC$2:$AC$281,"SOFTWARE SECURITY &gt; *")</f>
        <v>0</v>
      </c>
      <c r="O71" s="17">
        <f>COUNTIFS('Prácticas_Revisiones'!$S$2:$S$282,"T060",'Prácticas_Revisiones'!$T$2:$T$282,"PROFESSIONAL PRACTICE &gt; *")+COUNTIFS('Prácticas_Snowballing'!$AB$2:$AB$281,"T060",'Prácticas_Snowballing'!$AC$2:$AC$281,"PROFESSIONAL PRACTICE &gt; *")</f>
        <v>0</v>
      </c>
      <c r="P71" s="17">
        <f>COUNTIFS('Prácticas_Revisiones'!$S$2:$S$282,"T060",'Prácticas_Revisiones'!$T$2:$T$282,"SOFTWARE ENG. ECONOMICS &gt; *")+COUNTIFS('Prácticas_Snowballing'!$AB$2:$AB$281,"T060",'Prácticas_Snowballing'!$AC$2:$AC$281,"SOFTWARE ENG. ECONOMICS &gt; *")</f>
        <v>0</v>
      </c>
      <c r="Q71" s="17">
        <f>COUNTIFS('Prácticas_Revisiones'!$S$2:$S$282,"T060",'Prácticas_Revisiones'!$T$2:$T$282,"SOFTWARE ENG. MANAGEMENT &gt; *")+COUNTIFS('Prácticas_Snowballing'!$AB$2:$AB$281,"T060",'Prácticas_Snowballing'!$AC$2:$AC$281,"SOFTWARE ENG. MANAGEMENT &gt; *")</f>
        <v>0</v>
      </c>
      <c r="R71" s="17">
        <f>COUNTIFS('Prácticas_Revisiones'!$S$2:$S$282,"T060",'Prácticas_Revisiones'!$T$2:$T$282,"Sin área SWEBOK")+COUNTIFS('Prácticas_Snowballing'!$AB$2:$AB$281,"T060",'Prácticas_Snowballing'!$AC$2:$AC$281,"Sin área SWEBOK")</f>
        <v>0</v>
      </c>
      <c r="S71" s="27">
        <f t="shared" si="7"/>
        <v>1</v>
      </c>
    </row>
    <row r="72" ht="15.75" customHeight="1">
      <c r="A72" s="28"/>
      <c r="B72" s="16" t="s">
        <v>2829</v>
      </c>
      <c r="C72" s="17">
        <f>COUNTIFS('Prácticas_Revisiones'!$S$2:$S$282,"T061",'Prácticas_Revisiones'!$T$2:$T$282,"REQUIREMENTS &gt; *")+COUNTIFS('Prácticas_Snowballing'!$AB$2:$AB$281,"T061",'Prácticas_Snowballing'!$AC$2:$AC$281,"REQUIREMENTS &gt; *")</f>
        <v>0</v>
      </c>
      <c r="D72" s="17">
        <f>COUNTIFS('Prácticas_Revisiones'!$S$2:$S$282,"T061",'Prácticas_Revisiones'!$T$2:$T$282,"ARCHITECTURE &gt; *")+COUNTIFS('Prácticas_Snowballing'!$AB$2:$AB$281,"T061",'Prácticas_Snowballing'!$AC$2:$AC$281,"ARCHITECTURE &gt; *")</f>
        <v>0</v>
      </c>
      <c r="E72" s="17">
        <f>COUNTIFS('Prácticas_Revisiones'!$S$2:$S$282,"T061",'Prácticas_Revisiones'!$T$2:$T$282,"DESIGN &gt; *")+COUNTIFS('Prácticas_Snowballing'!$AB$2:$AB$281,"T061",'Prácticas_Snowballing'!$AC$2:$AC$281,"DESIGN &gt; *")</f>
        <v>0</v>
      </c>
      <c r="F72" s="17">
        <f>COUNTIFS('Prácticas_Revisiones'!$S$2:$S$282,"T061",'Prácticas_Revisiones'!$T$2:$T$282,"CONSTRUCTION &gt; *")+COUNTIFS('Prácticas_Snowballing'!$AB$2:$AB$281,"T061",'Prácticas_Snowballing'!$AC$2:$AC$281,"CONSTRUCTION &gt; *")</f>
        <v>0</v>
      </c>
      <c r="G72" s="17">
        <f>COUNTIFS('Prácticas_Revisiones'!$S$2:$S$282,"T061",'Prácticas_Revisiones'!$T$2:$T$282,"SOFTWARE TESTING &gt; *")+COUNTIFS('Prácticas_Snowballing'!$AB$2:$AB$281,"T061",'Prácticas_Snowballing'!$AC$2:$AC$281,"SOFTWARE TESTING &gt; *")</f>
        <v>0</v>
      </c>
      <c r="H72" s="17">
        <f>COUNTIFS('Prácticas_Revisiones'!$S$2:$S$282,"T061",'Prácticas_Revisiones'!$T$2:$T$282,"SOFTWARE ENG. OPERATIONS &gt; *")+COUNTIFS('Prácticas_Snowballing'!$AB$2:$AB$281,"T061",'Prácticas_Snowballing'!$AC$2:$AC$281,"SOFTWARE ENG. OPERATIONS &gt; *")</f>
        <v>0</v>
      </c>
      <c r="I72" s="17">
        <f>COUNTIFS('Prácticas_Revisiones'!$S$2:$S$282,"T061",'Prácticas_Revisiones'!$T$2:$T$282,"MAINTENANCE &gt; *")+COUNTIFS('Prácticas_Snowballing'!$AB$2:$AB$281,"T061",'Prácticas_Snowballing'!$AC$2:$AC$281,"MAINTENANCE &gt; *")</f>
        <v>0</v>
      </c>
      <c r="J72" s="17">
        <f>COUNTIFS('Prácticas_Revisiones'!$S$2:$S$282,"T061",'Prácticas_Revisiones'!$T$2:$T$282,"SOFTWARE CONFIG. MGMT. &gt; *")+COUNTIFS('Prácticas_Snowballing'!$AB$2:$AB$281,"T061",'Prácticas_Snowballing'!$AC$2:$AC$281,"SOFTWARE CONFIG. MGMT. &gt; *")</f>
        <v>0</v>
      </c>
      <c r="K72" s="17">
        <f>COUNTIFS('Prácticas_Revisiones'!$S$2:$S$282,"T061",'Prácticas_Revisiones'!$T$2:$T$282,"SOFTWARE ENG. PROCESS &gt; *")+COUNTIFS('Prácticas_Snowballing'!$AB$2:$AB$281,"T061",'Prácticas_Snowballing'!$AC$2:$AC$281,"SOFTWARE ENG. PROCESS &gt; *")</f>
        <v>0</v>
      </c>
      <c r="L72" s="17">
        <f>COUNTIFS('Prácticas_Revisiones'!$S$2:$S$282,"T061",'Prácticas_Revisiones'!$T$2:$T$282,"SOFTWARE ENG. MODELS/METH. &gt; *")+COUNTIFS('Prácticas_Snowballing'!$AB$2:$AB$281,"T061",'Prácticas_Snowballing'!$AC$2:$AC$281,"SOFTWARE ENG. MODELS/METH. &gt; *")</f>
        <v>0</v>
      </c>
      <c r="M72" s="17">
        <f>COUNTIFS('Prácticas_Revisiones'!$S$2:$S$282,"T061",'Prácticas_Revisiones'!$T$2:$T$282,"SOFTWARE QUALITY &gt; *")+COUNTIFS('Prácticas_Snowballing'!$AB$2:$AB$281,"T061",'Prácticas_Snowballing'!$AC$2:$AC$281,"SOFTWARE QUALITY &gt; *")</f>
        <v>0</v>
      </c>
      <c r="N72" s="17">
        <f>COUNTIFS('Prácticas_Revisiones'!$S$2:$S$282,"T061",'Prácticas_Revisiones'!$T$2:$T$282,"SOFTWARE SECURITY &gt; *")+COUNTIFS('Prácticas_Snowballing'!$AB$2:$AB$281,"T061",'Prácticas_Snowballing'!$AC$2:$AC$281,"SOFTWARE SECURITY &gt; *")</f>
        <v>0</v>
      </c>
      <c r="O72" s="17">
        <f>COUNTIFS('Prácticas_Revisiones'!$S$2:$S$282,"T061",'Prácticas_Revisiones'!$T$2:$T$282,"PROFESSIONAL PRACTICE &gt; *")+COUNTIFS('Prácticas_Snowballing'!$AB$2:$AB$281,"T061",'Prácticas_Snowballing'!$AC$2:$AC$281,"PROFESSIONAL PRACTICE &gt; *")</f>
        <v>0</v>
      </c>
      <c r="P72" s="17">
        <f>COUNTIFS('Prácticas_Revisiones'!$S$2:$S$282,"T061",'Prácticas_Revisiones'!$T$2:$T$282,"SOFTWARE ENG. ECONOMICS &gt; *")+COUNTIFS('Prácticas_Snowballing'!$AB$2:$AB$281,"T061",'Prácticas_Snowballing'!$AC$2:$AC$281,"SOFTWARE ENG. ECONOMICS &gt; *")</f>
        <v>0</v>
      </c>
      <c r="Q72" s="17">
        <f>COUNTIFS('Prácticas_Revisiones'!$S$2:$S$282,"T061",'Prácticas_Revisiones'!$T$2:$T$282,"SOFTWARE ENG. MANAGEMENT &gt; *")+COUNTIFS('Prácticas_Snowballing'!$AB$2:$AB$281,"T061",'Prácticas_Snowballing'!$AC$2:$AC$281,"SOFTWARE ENG. MANAGEMENT &gt; *")</f>
        <v>0</v>
      </c>
      <c r="R72" s="17">
        <f>COUNTIFS('Prácticas_Revisiones'!$S$2:$S$282,"T061",'Prácticas_Revisiones'!$T$2:$T$282,"Sin área SWEBOK")+COUNTIFS('Prácticas_Snowballing'!$AB$2:$AB$281,"T061",'Prácticas_Snowballing'!$AC$2:$AC$281,"Sin área SWEBOK")</f>
        <v>0</v>
      </c>
      <c r="S72" s="27">
        <f t="shared" si="7"/>
        <v>0</v>
      </c>
    </row>
    <row r="73" ht="15.75" customHeight="1">
      <c r="A73" s="28"/>
      <c r="B73" s="16" t="s">
        <v>2832</v>
      </c>
      <c r="C73" s="17">
        <f>COUNTIFS('Prácticas_Revisiones'!$S$2:$S$282,"T062",'Prácticas_Revisiones'!$T$2:$T$282,"REQUIREMENTS &gt; *")+COUNTIFS('Prácticas_Snowballing'!$AB$2:$AB$281,"T062",'Prácticas_Snowballing'!$AC$2:$AC$281,"REQUIREMENTS &gt; *")</f>
        <v>0</v>
      </c>
      <c r="D73" s="17">
        <f>COUNTIFS('Prácticas_Revisiones'!$S$2:$S$282,"T062",'Prácticas_Revisiones'!$T$2:$T$282,"ARCHITECTURE &gt; *")+COUNTIFS('Prácticas_Snowballing'!$AB$2:$AB$281,"T062",'Prácticas_Snowballing'!$AC$2:$AC$281,"ARCHITECTURE &gt; *")</f>
        <v>0</v>
      </c>
      <c r="E73" s="17">
        <f>COUNTIFS('Prácticas_Revisiones'!$S$2:$S$282,"T062",'Prácticas_Revisiones'!$T$2:$T$282,"DESIGN &gt; *")+COUNTIFS('Prácticas_Snowballing'!$AB$2:$AB$281,"T062",'Prácticas_Snowballing'!$AC$2:$AC$281,"DESIGN &gt; *")</f>
        <v>0</v>
      </c>
      <c r="F73" s="17">
        <f>COUNTIFS('Prácticas_Revisiones'!$S$2:$S$282,"T062",'Prácticas_Revisiones'!$T$2:$T$282,"CONSTRUCTION &gt; *")+COUNTIFS('Prácticas_Snowballing'!$AB$2:$AB$281,"T062",'Prácticas_Snowballing'!$AC$2:$AC$281,"CONSTRUCTION &gt; *")</f>
        <v>0</v>
      </c>
      <c r="G73" s="17">
        <f>COUNTIFS('Prácticas_Revisiones'!$S$2:$S$282,"T062",'Prácticas_Revisiones'!$T$2:$T$282,"SOFTWARE TESTING &gt; *")+COUNTIFS('Prácticas_Snowballing'!$AB$2:$AB$281,"T062",'Prácticas_Snowballing'!$AC$2:$AC$281,"SOFTWARE TESTING &gt; *")</f>
        <v>0</v>
      </c>
      <c r="H73" s="17">
        <f>COUNTIFS('Prácticas_Revisiones'!$S$2:$S$282,"T062",'Prácticas_Revisiones'!$T$2:$T$282,"SOFTWARE ENG. OPERATIONS &gt; *")+COUNTIFS('Prácticas_Snowballing'!$AB$2:$AB$281,"T062",'Prácticas_Snowballing'!$AC$2:$AC$281,"SOFTWARE ENG. OPERATIONS &gt; *")</f>
        <v>0</v>
      </c>
      <c r="I73" s="17">
        <f>COUNTIFS('Prácticas_Revisiones'!$S$2:$S$282,"T062",'Prácticas_Revisiones'!$T$2:$T$282,"MAINTENANCE &gt; *")+COUNTIFS('Prácticas_Snowballing'!$AB$2:$AB$281,"T062",'Prácticas_Snowballing'!$AC$2:$AC$281,"MAINTENANCE &gt; *")</f>
        <v>0</v>
      </c>
      <c r="J73" s="17">
        <f>COUNTIFS('Prácticas_Revisiones'!$S$2:$S$282,"T062",'Prácticas_Revisiones'!$T$2:$T$282,"SOFTWARE CONFIG. MGMT. &gt; *")+COUNTIFS('Prácticas_Snowballing'!$AB$2:$AB$281,"T062",'Prácticas_Snowballing'!$AC$2:$AC$281,"SOFTWARE CONFIG. MGMT. &gt; *")</f>
        <v>0</v>
      </c>
      <c r="K73" s="17">
        <f>COUNTIFS('Prácticas_Revisiones'!$S$2:$S$282,"T062",'Prácticas_Revisiones'!$T$2:$T$282,"SOFTWARE ENG. PROCESS &gt; *")+COUNTIFS('Prácticas_Snowballing'!$AB$2:$AB$281,"T062",'Prácticas_Snowballing'!$AC$2:$AC$281,"SOFTWARE ENG. PROCESS &gt; *")</f>
        <v>0</v>
      </c>
      <c r="L73" s="17">
        <f>COUNTIFS('Prácticas_Revisiones'!$S$2:$S$282,"T062",'Prácticas_Revisiones'!$T$2:$T$282,"SOFTWARE ENG. MODELS/METH. &gt; *")+COUNTIFS('Prácticas_Snowballing'!$AB$2:$AB$281,"T062",'Prácticas_Snowballing'!$AC$2:$AC$281,"SOFTWARE ENG. MODELS/METH. &gt; *")</f>
        <v>0</v>
      </c>
      <c r="M73" s="17">
        <f>COUNTIFS('Prácticas_Revisiones'!$S$2:$S$282,"T062",'Prácticas_Revisiones'!$T$2:$T$282,"SOFTWARE QUALITY &gt; *")+COUNTIFS('Prácticas_Snowballing'!$AB$2:$AB$281,"T062",'Prácticas_Snowballing'!$AC$2:$AC$281,"SOFTWARE QUALITY &gt; *")</f>
        <v>0</v>
      </c>
      <c r="N73" s="17">
        <f>COUNTIFS('Prácticas_Revisiones'!$S$2:$S$282,"T062",'Prácticas_Revisiones'!$T$2:$T$282,"SOFTWARE SECURITY &gt; *")+COUNTIFS('Prácticas_Snowballing'!$AB$2:$AB$281,"T062",'Prácticas_Snowballing'!$AC$2:$AC$281,"SOFTWARE SECURITY &gt; *")</f>
        <v>0</v>
      </c>
      <c r="O73" s="17">
        <f>COUNTIFS('Prácticas_Revisiones'!$S$2:$S$282,"T062",'Prácticas_Revisiones'!$T$2:$T$282,"PROFESSIONAL PRACTICE &gt; *")+COUNTIFS('Prácticas_Snowballing'!$AB$2:$AB$281,"T062",'Prácticas_Snowballing'!$AC$2:$AC$281,"PROFESSIONAL PRACTICE &gt; *")</f>
        <v>0</v>
      </c>
      <c r="P73" s="17">
        <f>COUNTIFS('Prácticas_Revisiones'!$S$2:$S$282,"T062",'Prácticas_Revisiones'!$T$2:$T$282,"SOFTWARE ENG. ECONOMICS &gt; *")+COUNTIFS('Prácticas_Snowballing'!$AB$2:$AB$281,"T062",'Prácticas_Snowballing'!$AC$2:$AC$281,"SOFTWARE ENG. ECONOMICS &gt; *")</f>
        <v>0</v>
      </c>
      <c r="Q73" s="17">
        <f>COUNTIFS('Prácticas_Revisiones'!$S$2:$S$282,"T062",'Prácticas_Revisiones'!$T$2:$T$282,"SOFTWARE ENG. MANAGEMENT &gt; *")+COUNTIFS('Prácticas_Snowballing'!$AB$2:$AB$281,"T062",'Prácticas_Snowballing'!$AC$2:$AC$281,"SOFTWARE ENG. MANAGEMENT &gt; *")</f>
        <v>0</v>
      </c>
      <c r="R73" s="17">
        <f>COUNTIFS('Prácticas_Revisiones'!$S$2:$S$282,"T062",'Prácticas_Revisiones'!$T$2:$T$282,"Sin área SWEBOK")+COUNTIFS('Prácticas_Snowballing'!$AB$2:$AB$281,"T062",'Prácticas_Snowballing'!$AC$2:$AC$281,"Sin área SWEBOK")</f>
        <v>0</v>
      </c>
      <c r="S73" s="27">
        <f t="shared" si="7"/>
        <v>0</v>
      </c>
    </row>
    <row r="74" ht="15.75" customHeight="1">
      <c r="A74" s="28"/>
      <c r="B74" s="16" t="s">
        <v>2835</v>
      </c>
      <c r="C74" s="17">
        <f>COUNTIFS('Prácticas_Revisiones'!$S$2:$S$282,"T063",'Prácticas_Revisiones'!$T$2:$T$282,"REQUIREMENTS &gt; *")+COUNTIFS('Prácticas_Snowballing'!$AB$2:$AB$281,"T063",'Prácticas_Snowballing'!$AC$2:$AC$281,"REQUIREMENTS &gt; *")</f>
        <v>0</v>
      </c>
      <c r="D74" s="17">
        <f>COUNTIFS('Prácticas_Revisiones'!$S$2:$S$282,"T063",'Prácticas_Revisiones'!$T$2:$T$282,"ARCHITECTURE &gt; *")+COUNTIFS('Prácticas_Snowballing'!$AB$2:$AB$281,"T063",'Prácticas_Snowballing'!$AC$2:$AC$281,"ARCHITECTURE &gt; *")</f>
        <v>0</v>
      </c>
      <c r="E74" s="17">
        <f>COUNTIFS('Prácticas_Revisiones'!$S$2:$S$282,"T063",'Prácticas_Revisiones'!$T$2:$T$282,"DESIGN &gt; *")+COUNTIFS('Prácticas_Snowballing'!$AB$2:$AB$281,"T063",'Prácticas_Snowballing'!$AC$2:$AC$281,"DESIGN &gt; *")</f>
        <v>0</v>
      </c>
      <c r="F74" s="17">
        <f>COUNTIFS('Prácticas_Revisiones'!$S$2:$S$282,"T063",'Prácticas_Revisiones'!$T$2:$T$282,"CONSTRUCTION &gt; *")+COUNTIFS('Prácticas_Snowballing'!$AB$2:$AB$281,"T063",'Prácticas_Snowballing'!$AC$2:$AC$281,"CONSTRUCTION &gt; *")</f>
        <v>0</v>
      </c>
      <c r="G74" s="17">
        <f>COUNTIFS('Prácticas_Revisiones'!$S$2:$S$282,"T063",'Prácticas_Revisiones'!$T$2:$T$282,"SOFTWARE TESTING &gt; *")+COUNTIFS('Prácticas_Snowballing'!$AB$2:$AB$281,"T063",'Prácticas_Snowballing'!$AC$2:$AC$281,"SOFTWARE TESTING &gt; *")</f>
        <v>0</v>
      </c>
      <c r="H74" s="17">
        <f>COUNTIFS('Prácticas_Revisiones'!$S$2:$S$282,"T063",'Prácticas_Revisiones'!$T$2:$T$282,"SOFTWARE ENG. OPERATIONS &gt; *")+COUNTIFS('Prácticas_Snowballing'!$AB$2:$AB$281,"T063",'Prácticas_Snowballing'!$AC$2:$AC$281,"SOFTWARE ENG. OPERATIONS &gt; *")</f>
        <v>0</v>
      </c>
      <c r="I74" s="17">
        <f>COUNTIFS('Prácticas_Revisiones'!$S$2:$S$282,"T063",'Prácticas_Revisiones'!$T$2:$T$282,"MAINTENANCE &gt; *")+COUNTIFS('Prácticas_Snowballing'!$AB$2:$AB$281,"T063",'Prácticas_Snowballing'!$AC$2:$AC$281,"MAINTENANCE &gt; *")</f>
        <v>0</v>
      </c>
      <c r="J74" s="17">
        <f>COUNTIFS('Prácticas_Revisiones'!$S$2:$S$282,"T063",'Prácticas_Revisiones'!$T$2:$T$282,"SOFTWARE CONFIG. MGMT. &gt; *")+COUNTIFS('Prácticas_Snowballing'!$AB$2:$AB$281,"T063",'Prácticas_Snowballing'!$AC$2:$AC$281,"SOFTWARE CONFIG. MGMT. &gt; *")</f>
        <v>0</v>
      </c>
      <c r="K74" s="17">
        <f>COUNTIFS('Prácticas_Revisiones'!$S$2:$S$282,"T063",'Prácticas_Revisiones'!$T$2:$T$282,"SOFTWARE ENG. PROCESS &gt; *")+COUNTIFS('Prácticas_Snowballing'!$AB$2:$AB$281,"T063",'Prácticas_Snowballing'!$AC$2:$AC$281,"SOFTWARE ENG. PROCESS &gt; *")</f>
        <v>0</v>
      </c>
      <c r="L74" s="17">
        <f>COUNTIFS('Prácticas_Revisiones'!$S$2:$S$282,"T063",'Prácticas_Revisiones'!$T$2:$T$282,"SOFTWARE ENG. MODELS/METH. &gt; *")+COUNTIFS('Prácticas_Snowballing'!$AB$2:$AB$281,"T063",'Prácticas_Snowballing'!$AC$2:$AC$281,"SOFTWARE ENG. MODELS/METH. &gt; *")</f>
        <v>0</v>
      </c>
      <c r="M74" s="17">
        <f>COUNTIFS('Prácticas_Revisiones'!$S$2:$S$282,"T063",'Prácticas_Revisiones'!$T$2:$T$282,"SOFTWARE QUALITY &gt; *")+COUNTIFS('Prácticas_Snowballing'!$AB$2:$AB$281,"T063",'Prácticas_Snowballing'!$AC$2:$AC$281,"SOFTWARE QUALITY &gt; *")</f>
        <v>0</v>
      </c>
      <c r="N74" s="17">
        <f>COUNTIFS('Prácticas_Revisiones'!$S$2:$S$282,"T063",'Prácticas_Revisiones'!$T$2:$T$282,"SOFTWARE SECURITY &gt; *")+COUNTIFS('Prácticas_Snowballing'!$AB$2:$AB$281,"T063",'Prácticas_Snowballing'!$AC$2:$AC$281,"SOFTWARE SECURITY &gt; *")</f>
        <v>0</v>
      </c>
      <c r="O74" s="17">
        <f>COUNTIFS('Prácticas_Revisiones'!$S$2:$S$282,"T063",'Prácticas_Revisiones'!$T$2:$T$282,"PROFESSIONAL PRACTICE &gt; *")+COUNTIFS('Prácticas_Snowballing'!$AB$2:$AB$281,"T063",'Prácticas_Snowballing'!$AC$2:$AC$281,"PROFESSIONAL PRACTICE &gt; *")</f>
        <v>0</v>
      </c>
      <c r="P74" s="17">
        <f>COUNTIFS('Prácticas_Revisiones'!$S$2:$S$282,"T063",'Prácticas_Revisiones'!$T$2:$T$282,"SOFTWARE ENG. ECONOMICS &gt; *")+COUNTIFS('Prácticas_Snowballing'!$AB$2:$AB$281,"T063",'Prácticas_Snowballing'!$AC$2:$AC$281,"SOFTWARE ENG. ECONOMICS &gt; *")</f>
        <v>0</v>
      </c>
      <c r="Q74" s="17">
        <f>COUNTIFS('Prácticas_Revisiones'!$S$2:$S$282,"T063",'Prácticas_Revisiones'!$T$2:$T$282,"SOFTWARE ENG. MANAGEMENT &gt; *")+COUNTIFS('Prácticas_Snowballing'!$AB$2:$AB$281,"T063",'Prácticas_Snowballing'!$AC$2:$AC$281,"SOFTWARE ENG. MANAGEMENT &gt; *")</f>
        <v>0</v>
      </c>
      <c r="R74" s="17">
        <f>COUNTIFS('Prácticas_Revisiones'!$S$2:$S$282,"T063",'Prácticas_Revisiones'!$T$2:$T$282,"Sin área SWEBOK")+COUNTIFS('Prácticas_Snowballing'!$AB$2:$AB$281,"T063",'Prácticas_Snowballing'!$AC$2:$AC$281,"Sin área SWEBOK")</f>
        <v>0</v>
      </c>
      <c r="S74" s="27">
        <f t="shared" si="7"/>
        <v>0</v>
      </c>
    </row>
    <row r="75" ht="15.75" customHeight="1">
      <c r="A75" s="28"/>
      <c r="B75" s="16" t="s">
        <v>2838</v>
      </c>
      <c r="C75" s="17">
        <f>COUNTIFS('Prácticas_Revisiones'!$S$2:$S$282,"T064",'Prácticas_Revisiones'!$T$2:$T$282,"REQUIREMENTS &gt; *")+COUNTIFS('Prácticas_Snowballing'!$AB$2:$AB$281,"T064",'Prácticas_Snowballing'!$AC$2:$AC$281,"REQUIREMENTS &gt; *")</f>
        <v>0</v>
      </c>
      <c r="D75" s="17">
        <f>COUNTIFS('Prácticas_Revisiones'!$S$2:$S$282,"T064",'Prácticas_Revisiones'!$T$2:$T$282,"ARCHITECTURE &gt; *")+COUNTIFS('Prácticas_Snowballing'!$AB$2:$AB$281,"T064",'Prácticas_Snowballing'!$AC$2:$AC$281,"ARCHITECTURE &gt; *")</f>
        <v>0</v>
      </c>
      <c r="E75" s="17">
        <f>COUNTIFS('Prácticas_Revisiones'!$S$2:$S$282,"T064",'Prácticas_Revisiones'!$T$2:$T$282,"DESIGN &gt; *")+COUNTIFS('Prácticas_Snowballing'!$AB$2:$AB$281,"T064",'Prácticas_Snowballing'!$AC$2:$AC$281,"DESIGN &gt; *")</f>
        <v>0</v>
      </c>
      <c r="F75" s="17">
        <f>COUNTIFS('Prácticas_Revisiones'!$S$2:$S$282,"T064",'Prácticas_Revisiones'!$T$2:$T$282,"CONSTRUCTION &gt; *")+COUNTIFS('Prácticas_Snowballing'!$AB$2:$AB$281,"T064",'Prácticas_Snowballing'!$AC$2:$AC$281,"CONSTRUCTION &gt; *")</f>
        <v>0</v>
      </c>
      <c r="G75" s="17">
        <f>COUNTIFS('Prácticas_Revisiones'!$S$2:$S$282,"T064",'Prácticas_Revisiones'!$T$2:$T$282,"SOFTWARE TESTING &gt; *")+COUNTIFS('Prácticas_Snowballing'!$AB$2:$AB$281,"T064",'Prácticas_Snowballing'!$AC$2:$AC$281,"SOFTWARE TESTING &gt; *")</f>
        <v>0</v>
      </c>
      <c r="H75" s="17">
        <f>COUNTIFS('Prácticas_Revisiones'!$S$2:$S$282,"T064",'Prácticas_Revisiones'!$T$2:$T$282,"SOFTWARE ENG. OPERATIONS &gt; *")+COUNTIFS('Prácticas_Snowballing'!$AB$2:$AB$281,"T064",'Prácticas_Snowballing'!$AC$2:$AC$281,"SOFTWARE ENG. OPERATIONS &gt; *")</f>
        <v>0</v>
      </c>
      <c r="I75" s="17">
        <f>COUNTIFS('Prácticas_Revisiones'!$S$2:$S$282,"T064",'Prácticas_Revisiones'!$T$2:$T$282,"MAINTENANCE &gt; *")+COUNTIFS('Prácticas_Snowballing'!$AB$2:$AB$281,"T064",'Prácticas_Snowballing'!$AC$2:$AC$281,"MAINTENANCE &gt; *")</f>
        <v>0</v>
      </c>
      <c r="J75" s="17">
        <f>COUNTIFS('Prácticas_Revisiones'!$S$2:$S$282,"T064",'Prácticas_Revisiones'!$T$2:$T$282,"SOFTWARE CONFIG. MGMT. &gt; *")+COUNTIFS('Prácticas_Snowballing'!$AB$2:$AB$281,"T064",'Prácticas_Snowballing'!$AC$2:$AC$281,"SOFTWARE CONFIG. MGMT. &gt; *")</f>
        <v>0</v>
      </c>
      <c r="K75" s="17">
        <f>COUNTIFS('Prácticas_Revisiones'!$S$2:$S$282,"T064",'Prácticas_Revisiones'!$T$2:$T$282,"SOFTWARE ENG. PROCESS &gt; *")+COUNTIFS('Prácticas_Snowballing'!$AB$2:$AB$281,"T064",'Prácticas_Snowballing'!$AC$2:$AC$281,"SOFTWARE ENG. PROCESS &gt; *")</f>
        <v>0</v>
      </c>
      <c r="L75" s="17">
        <f>COUNTIFS('Prácticas_Revisiones'!$S$2:$S$282,"T064",'Prácticas_Revisiones'!$T$2:$T$282,"SOFTWARE ENG. MODELS/METH. &gt; *")+COUNTIFS('Prácticas_Snowballing'!$AB$2:$AB$281,"T064",'Prácticas_Snowballing'!$AC$2:$AC$281,"SOFTWARE ENG. MODELS/METH. &gt; *")</f>
        <v>0</v>
      </c>
      <c r="M75" s="17">
        <f>COUNTIFS('Prácticas_Revisiones'!$S$2:$S$282,"T064",'Prácticas_Revisiones'!$T$2:$T$282,"SOFTWARE QUALITY &gt; *")+COUNTIFS('Prácticas_Snowballing'!$AB$2:$AB$281,"T064",'Prácticas_Snowballing'!$AC$2:$AC$281,"SOFTWARE QUALITY &gt; *")</f>
        <v>0</v>
      </c>
      <c r="N75" s="17">
        <f>COUNTIFS('Prácticas_Revisiones'!$S$2:$S$282,"T064",'Prácticas_Revisiones'!$T$2:$T$282,"SOFTWARE SECURITY &gt; *")+COUNTIFS('Prácticas_Snowballing'!$AB$2:$AB$281,"T064",'Prácticas_Snowballing'!$AC$2:$AC$281,"SOFTWARE SECURITY &gt; *")</f>
        <v>0</v>
      </c>
      <c r="O75" s="17">
        <f>COUNTIFS('Prácticas_Revisiones'!$S$2:$S$282,"T064",'Prácticas_Revisiones'!$T$2:$T$282,"PROFESSIONAL PRACTICE &gt; *")+COUNTIFS('Prácticas_Snowballing'!$AB$2:$AB$281,"T064",'Prácticas_Snowballing'!$AC$2:$AC$281,"PROFESSIONAL PRACTICE &gt; *")</f>
        <v>0</v>
      </c>
      <c r="P75" s="17">
        <f>COUNTIFS('Prácticas_Revisiones'!$S$2:$S$282,"T064",'Prácticas_Revisiones'!$T$2:$T$282,"SOFTWARE ENG. ECONOMICS &gt; *")+COUNTIFS('Prácticas_Snowballing'!$AB$2:$AB$281,"T064",'Prácticas_Snowballing'!$AC$2:$AC$281,"SOFTWARE ENG. ECONOMICS &gt; *")</f>
        <v>0</v>
      </c>
      <c r="Q75" s="17">
        <f>COUNTIFS('Prácticas_Revisiones'!$S$2:$S$282,"T064",'Prácticas_Revisiones'!$T$2:$T$282,"SOFTWARE ENG. MANAGEMENT &gt; *")+COUNTIFS('Prácticas_Snowballing'!$AB$2:$AB$281,"T064",'Prácticas_Snowballing'!$AC$2:$AC$281,"SOFTWARE ENG. MANAGEMENT &gt; *")</f>
        <v>0</v>
      </c>
      <c r="R75" s="17">
        <f>COUNTIFS('Prácticas_Revisiones'!$S$2:$S$282,"T064",'Prácticas_Revisiones'!$T$2:$T$282,"Sin área SWEBOK")+COUNTIFS('Prácticas_Snowballing'!$AB$2:$AB$281,"T064",'Prácticas_Snowballing'!$AC$2:$AC$281,"Sin área SWEBOK")</f>
        <v>0</v>
      </c>
      <c r="S75" s="27">
        <f t="shared" si="7"/>
        <v>0</v>
      </c>
    </row>
    <row r="76" ht="15.75" customHeight="1">
      <c r="A76" s="28"/>
      <c r="B76" s="16" t="s">
        <v>2840</v>
      </c>
      <c r="C76" s="17">
        <f>COUNTIFS('Prácticas_Revisiones'!$S$2:$S$282,"T065",'Prácticas_Revisiones'!$T$2:$T$282,"REQUIREMENTS &gt; *")+COUNTIFS('Prácticas_Snowballing'!$AB$2:$AB$281,"T065",'Prácticas_Snowballing'!$AC$2:$AC$281,"REQUIREMENTS &gt; *")</f>
        <v>0</v>
      </c>
      <c r="D76" s="17">
        <f>COUNTIFS('Prácticas_Revisiones'!$S$2:$S$282,"T065",'Prácticas_Revisiones'!$T$2:$T$282,"ARCHITECTURE &gt; *")+COUNTIFS('Prácticas_Snowballing'!$AB$2:$AB$281,"T065",'Prácticas_Snowballing'!$AC$2:$AC$281,"ARCHITECTURE &gt; *")</f>
        <v>0</v>
      </c>
      <c r="E76" s="17">
        <f>COUNTIFS('Prácticas_Revisiones'!$S$2:$S$282,"T065",'Prácticas_Revisiones'!$T$2:$T$282,"DESIGN &gt; *")+COUNTIFS('Prácticas_Snowballing'!$AB$2:$AB$281,"T065",'Prácticas_Snowballing'!$AC$2:$AC$281,"DESIGN &gt; *")</f>
        <v>0</v>
      </c>
      <c r="F76" s="17">
        <f>COUNTIFS('Prácticas_Revisiones'!$S$2:$S$282,"T065",'Prácticas_Revisiones'!$T$2:$T$282,"CONSTRUCTION &gt; *")+COUNTIFS('Prácticas_Snowballing'!$AB$2:$AB$281,"T065",'Prácticas_Snowballing'!$AC$2:$AC$281,"CONSTRUCTION &gt; *")</f>
        <v>0</v>
      </c>
      <c r="G76" s="17">
        <f>COUNTIFS('Prácticas_Revisiones'!$S$2:$S$282,"T065",'Prácticas_Revisiones'!$T$2:$T$282,"SOFTWARE TESTING &gt; *")+COUNTIFS('Prácticas_Snowballing'!$AB$2:$AB$281,"T065",'Prácticas_Snowballing'!$AC$2:$AC$281,"SOFTWARE TESTING &gt; *")</f>
        <v>0</v>
      </c>
      <c r="H76" s="17">
        <f>COUNTIFS('Prácticas_Revisiones'!$S$2:$S$282,"T065",'Prácticas_Revisiones'!$T$2:$T$282,"SOFTWARE ENG. OPERATIONS &gt; *")+COUNTIFS('Prácticas_Snowballing'!$AB$2:$AB$281,"T065",'Prácticas_Snowballing'!$AC$2:$AC$281,"SOFTWARE ENG. OPERATIONS &gt; *")</f>
        <v>0</v>
      </c>
      <c r="I76" s="17">
        <f>COUNTIFS('Prácticas_Revisiones'!$S$2:$S$282,"T065",'Prácticas_Revisiones'!$T$2:$T$282,"MAINTENANCE &gt; *")+COUNTIFS('Prácticas_Snowballing'!$AB$2:$AB$281,"T065",'Prácticas_Snowballing'!$AC$2:$AC$281,"MAINTENANCE &gt; *")</f>
        <v>0</v>
      </c>
      <c r="J76" s="17">
        <f>COUNTIFS('Prácticas_Revisiones'!$S$2:$S$282,"T065",'Prácticas_Revisiones'!$T$2:$T$282,"SOFTWARE CONFIG. MGMT. &gt; *")+COUNTIFS('Prácticas_Snowballing'!$AB$2:$AB$281,"T065",'Prácticas_Snowballing'!$AC$2:$AC$281,"SOFTWARE CONFIG. MGMT. &gt; *")</f>
        <v>0</v>
      </c>
      <c r="K76" s="17">
        <f>COUNTIFS('Prácticas_Revisiones'!$S$2:$S$282,"T065",'Prácticas_Revisiones'!$T$2:$T$282,"SOFTWARE ENG. PROCESS &gt; *")+COUNTIFS('Prácticas_Snowballing'!$AB$2:$AB$281,"T065",'Prácticas_Snowballing'!$AC$2:$AC$281,"SOFTWARE ENG. PROCESS &gt; *")</f>
        <v>0</v>
      </c>
      <c r="L76" s="17">
        <f>COUNTIFS('Prácticas_Revisiones'!$S$2:$S$282,"T065",'Prácticas_Revisiones'!$T$2:$T$282,"SOFTWARE ENG. MODELS/METH. &gt; *")+COUNTIFS('Prácticas_Snowballing'!$AB$2:$AB$281,"T065",'Prácticas_Snowballing'!$AC$2:$AC$281,"SOFTWARE ENG. MODELS/METH. &gt; *")</f>
        <v>0</v>
      </c>
      <c r="M76" s="17">
        <f>COUNTIFS('Prácticas_Revisiones'!$S$2:$S$282,"T065",'Prácticas_Revisiones'!$T$2:$T$282,"SOFTWARE QUALITY &gt; *")+COUNTIFS('Prácticas_Snowballing'!$AB$2:$AB$281,"T065",'Prácticas_Snowballing'!$AC$2:$AC$281,"SOFTWARE QUALITY &gt; *")</f>
        <v>0</v>
      </c>
      <c r="N76" s="17">
        <f>COUNTIFS('Prácticas_Revisiones'!$S$2:$S$282,"T065",'Prácticas_Revisiones'!$T$2:$T$282,"SOFTWARE SECURITY &gt; *")+COUNTIFS('Prácticas_Snowballing'!$AB$2:$AB$281,"T065",'Prácticas_Snowballing'!$AC$2:$AC$281,"SOFTWARE SECURITY &gt; *")</f>
        <v>0</v>
      </c>
      <c r="O76" s="17">
        <f>COUNTIFS('Prácticas_Revisiones'!$S$2:$S$282,"T065",'Prácticas_Revisiones'!$T$2:$T$282,"PROFESSIONAL PRACTICE &gt; *")+COUNTIFS('Prácticas_Snowballing'!$AB$2:$AB$281,"T065",'Prácticas_Snowballing'!$AC$2:$AC$281,"PROFESSIONAL PRACTICE &gt; *")</f>
        <v>0</v>
      </c>
      <c r="P76" s="17">
        <f>COUNTIFS('Prácticas_Revisiones'!$S$2:$S$282,"T065",'Prácticas_Revisiones'!$T$2:$T$282,"SOFTWARE ENG. ECONOMICS &gt; *")+COUNTIFS('Prácticas_Snowballing'!$AB$2:$AB$281,"T065",'Prácticas_Snowballing'!$AC$2:$AC$281,"SOFTWARE ENG. ECONOMICS &gt; *")</f>
        <v>0</v>
      </c>
      <c r="Q76" s="17">
        <f>COUNTIFS('Prácticas_Revisiones'!$S$2:$S$282,"T065",'Prácticas_Revisiones'!$T$2:$T$282,"SOFTWARE ENG. MANAGEMENT &gt; *")+COUNTIFS('Prácticas_Snowballing'!$AB$2:$AB$281,"T065",'Prácticas_Snowballing'!$AC$2:$AC$281,"SOFTWARE ENG. MANAGEMENT &gt; *")</f>
        <v>0</v>
      </c>
      <c r="R76" s="17">
        <f>COUNTIFS('Prácticas_Revisiones'!$S$2:$S$282,"T065",'Prácticas_Revisiones'!$T$2:$T$282,"Sin área SWEBOK")+COUNTIFS('Prácticas_Snowballing'!$AB$2:$AB$281,"T065",'Prácticas_Snowballing'!$AC$2:$AC$281,"Sin área SWEBOK")</f>
        <v>0</v>
      </c>
      <c r="S76" s="27">
        <f t="shared" si="7"/>
        <v>0</v>
      </c>
    </row>
    <row r="77" ht="15.75" customHeight="1">
      <c r="A77" s="28"/>
      <c r="B77" s="16" t="s">
        <v>2842</v>
      </c>
      <c r="C77" s="17">
        <f>COUNTIFS('Prácticas_Revisiones'!$S$2:$S$282,"T066",'Prácticas_Revisiones'!$T$2:$T$282,"REQUIREMENTS &gt; *")+COUNTIFS('Prácticas_Snowballing'!$AB$2:$AB$281,"T066",'Prácticas_Snowballing'!$AC$2:$AC$281,"REQUIREMENTS &gt; *")</f>
        <v>1</v>
      </c>
      <c r="D77" s="17">
        <f>COUNTIFS('Prácticas_Revisiones'!$S$2:$S$282,"T066",'Prácticas_Revisiones'!$T$2:$T$282,"ARCHITECTURE &gt; *")+COUNTIFS('Prácticas_Snowballing'!$AB$2:$AB$281,"T066",'Prácticas_Snowballing'!$AC$2:$AC$281,"ARCHITECTURE &gt; *")</f>
        <v>0</v>
      </c>
      <c r="E77" s="17">
        <f>COUNTIFS('Prácticas_Revisiones'!$S$2:$S$282,"T066",'Prácticas_Revisiones'!$T$2:$T$282,"DESIGN &gt; *")+COUNTIFS('Prácticas_Snowballing'!$AB$2:$AB$281,"T066",'Prácticas_Snowballing'!$AC$2:$AC$281,"DESIGN &gt; *")</f>
        <v>1</v>
      </c>
      <c r="F77" s="17">
        <f>COUNTIFS('Prácticas_Revisiones'!$S$2:$S$282,"T066",'Prácticas_Revisiones'!$T$2:$T$282,"CONSTRUCTION &gt; *")+COUNTIFS('Prácticas_Snowballing'!$AB$2:$AB$281,"T066",'Prácticas_Snowballing'!$AC$2:$AC$281,"CONSTRUCTION &gt; *")</f>
        <v>3</v>
      </c>
      <c r="G77" s="17">
        <f>COUNTIFS('Prácticas_Revisiones'!$S$2:$S$282,"T066",'Prácticas_Revisiones'!$T$2:$T$282,"SOFTWARE TESTING &gt; *")+COUNTIFS('Prácticas_Snowballing'!$AB$2:$AB$281,"T066",'Prácticas_Snowballing'!$AC$2:$AC$281,"SOFTWARE TESTING &gt; *")</f>
        <v>0</v>
      </c>
      <c r="H77" s="17">
        <f>COUNTIFS('Prácticas_Revisiones'!$S$2:$S$282,"T066",'Prácticas_Revisiones'!$T$2:$T$282,"SOFTWARE ENG. OPERATIONS &gt; *")+COUNTIFS('Prácticas_Snowballing'!$AB$2:$AB$281,"T066",'Prácticas_Snowballing'!$AC$2:$AC$281,"SOFTWARE ENG. OPERATIONS &gt; *")</f>
        <v>0</v>
      </c>
      <c r="I77" s="17">
        <f>COUNTIFS('Prácticas_Revisiones'!$S$2:$S$282,"T066",'Prácticas_Revisiones'!$T$2:$T$282,"MAINTENANCE &gt; *")+COUNTIFS('Prácticas_Snowballing'!$AB$2:$AB$281,"T066",'Prácticas_Snowballing'!$AC$2:$AC$281,"MAINTENANCE &gt; *")</f>
        <v>0</v>
      </c>
      <c r="J77" s="17">
        <f>COUNTIFS('Prácticas_Revisiones'!$S$2:$S$282,"T066",'Prácticas_Revisiones'!$T$2:$T$282,"SOFTWARE CONFIG. MGMT. &gt; *")+COUNTIFS('Prácticas_Snowballing'!$AB$2:$AB$281,"T066",'Prácticas_Snowballing'!$AC$2:$AC$281,"SOFTWARE CONFIG. MGMT. &gt; *")</f>
        <v>0</v>
      </c>
      <c r="K77" s="17">
        <f>COUNTIFS('Prácticas_Revisiones'!$S$2:$S$282,"T066",'Prácticas_Revisiones'!$T$2:$T$282,"SOFTWARE ENG. PROCESS &gt; *")+COUNTIFS('Prácticas_Snowballing'!$AB$2:$AB$281,"T066",'Prácticas_Snowballing'!$AC$2:$AC$281,"SOFTWARE ENG. PROCESS &gt; *")</f>
        <v>0</v>
      </c>
      <c r="L77" s="17">
        <f>COUNTIFS('Prácticas_Revisiones'!$S$2:$S$282,"T066",'Prácticas_Revisiones'!$T$2:$T$282,"SOFTWARE ENG. MODELS/METH. &gt; *")+COUNTIFS('Prácticas_Snowballing'!$AB$2:$AB$281,"T066",'Prácticas_Snowballing'!$AC$2:$AC$281,"SOFTWARE ENG. MODELS/METH. &gt; *")</f>
        <v>0</v>
      </c>
      <c r="M77" s="17">
        <f>COUNTIFS('Prácticas_Revisiones'!$S$2:$S$282,"T066",'Prácticas_Revisiones'!$T$2:$T$282,"SOFTWARE QUALITY &gt; *")+COUNTIFS('Prácticas_Snowballing'!$AB$2:$AB$281,"T066",'Prácticas_Snowballing'!$AC$2:$AC$281,"SOFTWARE QUALITY &gt; *")</f>
        <v>0</v>
      </c>
      <c r="N77" s="17">
        <f>COUNTIFS('Prácticas_Revisiones'!$S$2:$S$282,"T066",'Prácticas_Revisiones'!$T$2:$T$282,"SOFTWARE SECURITY &gt; *")+COUNTIFS('Prácticas_Snowballing'!$AB$2:$AB$281,"T066",'Prácticas_Snowballing'!$AC$2:$AC$281,"SOFTWARE SECURITY &gt; *")</f>
        <v>0</v>
      </c>
      <c r="O77" s="17">
        <f>COUNTIFS('Prácticas_Revisiones'!$S$2:$S$282,"T066",'Prácticas_Revisiones'!$T$2:$T$282,"PROFESSIONAL PRACTICE &gt; *")+COUNTIFS('Prácticas_Snowballing'!$AB$2:$AB$281,"T066",'Prácticas_Snowballing'!$AC$2:$AC$281,"PROFESSIONAL PRACTICE &gt; *")</f>
        <v>0</v>
      </c>
      <c r="P77" s="17">
        <f>COUNTIFS('Prácticas_Revisiones'!$S$2:$S$282,"T066",'Prácticas_Revisiones'!$T$2:$T$282,"SOFTWARE ENG. ECONOMICS &gt; *")+COUNTIFS('Prácticas_Snowballing'!$AB$2:$AB$281,"T066",'Prácticas_Snowballing'!$AC$2:$AC$281,"SOFTWARE ENG. ECONOMICS &gt; *")</f>
        <v>0</v>
      </c>
      <c r="Q77" s="17">
        <f>COUNTIFS('Prácticas_Revisiones'!$S$2:$S$282,"T066",'Prácticas_Revisiones'!$T$2:$T$282,"SOFTWARE ENG. MANAGEMENT &gt; *")+COUNTIFS('Prácticas_Snowballing'!$AB$2:$AB$281,"T066",'Prácticas_Snowballing'!$AC$2:$AC$281,"SOFTWARE ENG. MANAGEMENT &gt; *")</f>
        <v>0</v>
      </c>
      <c r="R77" s="17">
        <f>COUNTIFS('Prácticas_Revisiones'!$S$2:$S$282,"T066",'Prácticas_Revisiones'!$T$2:$T$282,"Sin área SWEBOK")+COUNTIFS('Prácticas_Snowballing'!$AB$2:$AB$281,"T066",'Prácticas_Snowballing'!$AC$2:$AC$281,"Sin área SWEBOK")</f>
        <v>0</v>
      </c>
      <c r="S77" s="27">
        <f t="shared" si="7"/>
        <v>5</v>
      </c>
    </row>
    <row r="78" ht="15.75" customHeight="1">
      <c r="A78" s="28"/>
      <c r="B78" s="16" t="s">
        <v>2839</v>
      </c>
      <c r="C78" s="17">
        <f>COUNTIFS('Prácticas_Revisiones'!$S$2:$S$282,"T067",'Prácticas_Revisiones'!$T$2:$T$282,"REQUIREMENTS &gt; *")+COUNTIFS('Prácticas_Snowballing'!$AB$2:$AB$281,"T067",'Prácticas_Snowballing'!$AC$2:$AC$281,"REQUIREMENTS &gt; *")</f>
        <v>0</v>
      </c>
      <c r="D78" s="17">
        <f>COUNTIFS('Prácticas_Revisiones'!$S$2:$S$282,"T067",'Prácticas_Revisiones'!$T$2:$T$282,"ARCHITECTURE &gt; *")+COUNTIFS('Prácticas_Snowballing'!$AB$2:$AB$281,"T067",'Prácticas_Snowballing'!$AC$2:$AC$281,"ARCHITECTURE &gt; *")</f>
        <v>0</v>
      </c>
      <c r="E78" s="17">
        <f>COUNTIFS('Prácticas_Revisiones'!$S$2:$S$282,"T067",'Prácticas_Revisiones'!$T$2:$T$282,"DESIGN &gt; *")+COUNTIFS('Prácticas_Snowballing'!$AB$2:$AB$281,"T067",'Prácticas_Snowballing'!$AC$2:$AC$281,"DESIGN &gt; *")</f>
        <v>0</v>
      </c>
      <c r="F78" s="17">
        <f>COUNTIFS('Prácticas_Revisiones'!$S$2:$S$282,"T067",'Prácticas_Revisiones'!$T$2:$T$282,"CONSTRUCTION &gt; *")+COUNTIFS('Prácticas_Snowballing'!$AB$2:$AB$281,"T067",'Prácticas_Snowballing'!$AC$2:$AC$281,"CONSTRUCTION &gt; *")</f>
        <v>0</v>
      </c>
      <c r="G78" s="17">
        <f>COUNTIFS('Prácticas_Revisiones'!$S$2:$S$282,"T067",'Prácticas_Revisiones'!$T$2:$T$282,"SOFTWARE TESTING &gt; *")+COUNTIFS('Prácticas_Snowballing'!$AB$2:$AB$281,"T067",'Prácticas_Snowballing'!$AC$2:$AC$281,"SOFTWARE TESTING &gt; *")</f>
        <v>0</v>
      </c>
      <c r="H78" s="17">
        <f>COUNTIFS('Prácticas_Revisiones'!$S$2:$S$282,"T067",'Prácticas_Revisiones'!$T$2:$T$282,"SOFTWARE ENG. OPERATIONS &gt; *")+COUNTIFS('Prácticas_Snowballing'!$AB$2:$AB$281,"T067",'Prácticas_Snowballing'!$AC$2:$AC$281,"SOFTWARE ENG. OPERATIONS &gt; *")</f>
        <v>0</v>
      </c>
      <c r="I78" s="17">
        <f>COUNTIFS('Prácticas_Revisiones'!$S$2:$S$282,"T067",'Prácticas_Revisiones'!$T$2:$T$282,"MAINTENANCE &gt; *")+COUNTIFS('Prácticas_Snowballing'!$AB$2:$AB$281,"T067",'Prácticas_Snowballing'!$AC$2:$AC$281,"MAINTENANCE &gt; *")</f>
        <v>0</v>
      </c>
      <c r="J78" s="17">
        <f>COUNTIFS('Prácticas_Revisiones'!$S$2:$S$282,"T067",'Prácticas_Revisiones'!$T$2:$T$282,"SOFTWARE CONFIG. MGMT. &gt; *")+COUNTIFS('Prácticas_Snowballing'!$AB$2:$AB$281,"T067",'Prácticas_Snowballing'!$AC$2:$AC$281,"SOFTWARE CONFIG. MGMT. &gt; *")</f>
        <v>0</v>
      </c>
      <c r="K78" s="17">
        <f>COUNTIFS('Prácticas_Revisiones'!$S$2:$S$282,"T067",'Prácticas_Revisiones'!$T$2:$T$282,"SOFTWARE ENG. PROCESS &gt; *")+COUNTIFS('Prácticas_Snowballing'!$AB$2:$AB$281,"T067",'Prácticas_Snowballing'!$AC$2:$AC$281,"SOFTWARE ENG. PROCESS &gt; *")</f>
        <v>0</v>
      </c>
      <c r="L78" s="17">
        <f>COUNTIFS('Prácticas_Revisiones'!$S$2:$S$282,"T067",'Prácticas_Revisiones'!$T$2:$T$282,"SOFTWARE ENG. MODELS/METH. &gt; *")+COUNTIFS('Prácticas_Snowballing'!$AB$2:$AB$281,"T067",'Prácticas_Snowballing'!$AC$2:$AC$281,"SOFTWARE ENG. MODELS/METH. &gt; *")</f>
        <v>0</v>
      </c>
      <c r="M78" s="17">
        <f>COUNTIFS('Prácticas_Revisiones'!$S$2:$S$282,"T067",'Prácticas_Revisiones'!$T$2:$T$282,"SOFTWARE QUALITY &gt; *")+COUNTIFS('Prácticas_Snowballing'!$AB$2:$AB$281,"T067",'Prácticas_Snowballing'!$AC$2:$AC$281,"SOFTWARE QUALITY &gt; *")</f>
        <v>0</v>
      </c>
      <c r="N78" s="17">
        <f>COUNTIFS('Prácticas_Revisiones'!$S$2:$S$282,"T067",'Prácticas_Revisiones'!$T$2:$T$282,"SOFTWARE SECURITY &gt; *")+COUNTIFS('Prácticas_Snowballing'!$AB$2:$AB$281,"T067",'Prácticas_Snowballing'!$AC$2:$AC$281,"SOFTWARE SECURITY &gt; *")</f>
        <v>0</v>
      </c>
      <c r="O78" s="17">
        <f>COUNTIFS('Prácticas_Revisiones'!$S$2:$S$282,"T067",'Prácticas_Revisiones'!$T$2:$T$282,"PROFESSIONAL PRACTICE &gt; *")+COUNTIFS('Prácticas_Snowballing'!$AB$2:$AB$281,"T067",'Prácticas_Snowballing'!$AC$2:$AC$281,"PROFESSIONAL PRACTICE &gt; *")</f>
        <v>0</v>
      </c>
      <c r="P78" s="17">
        <f>COUNTIFS('Prácticas_Revisiones'!$S$2:$S$282,"T067",'Prácticas_Revisiones'!$T$2:$T$282,"SOFTWARE ENG. ECONOMICS &gt; *")+COUNTIFS('Prácticas_Snowballing'!$AB$2:$AB$281,"T067",'Prácticas_Snowballing'!$AC$2:$AC$281,"SOFTWARE ENG. ECONOMICS &gt; *")</f>
        <v>0</v>
      </c>
      <c r="Q78" s="17">
        <f>COUNTIFS('Prácticas_Revisiones'!$S$2:$S$282,"T067",'Prácticas_Revisiones'!$T$2:$T$282,"SOFTWARE ENG. MANAGEMENT &gt; *")+COUNTIFS('Prácticas_Snowballing'!$AB$2:$AB$281,"T067",'Prácticas_Snowballing'!$AC$2:$AC$281,"SOFTWARE ENG. MANAGEMENT &gt; *")</f>
        <v>0</v>
      </c>
      <c r="R78" s="17">
        <f>COUNTIFS('Prácticas_Revisiones'!$S$2:$S$282,"T067",'Prácticas_Revisiones'!$T$2:$T$282,"Sin área SWEBOK")+COUNTIFS('Prácticas_Snowballing'!$AB$2:$AB$281,"T067",'Prácticas_Snowballing'!$AC$2:$AC$281,"Sin área SWEBOK")</f>
        <v>0</v>
      </c>
      <c r="S78" s="27">
        <f t="shared" si="7"/>
        <v>0</v>
      </c>
    </row>
    <row r="79" ht="15.75" customHeight="1">
      <c r="A79" s="28"/>
      <c r="B79" s="16" t="s">
        <v>2837</v>
      </c>
      <c r="C79" s="17">
        <f>COUNTIFS('Prácticas_Revisiones'!$S$2:$S$282,"T068",'Prácticas_Revisiones'!$T$2:$T$282,"REQUIREMENTS &gt; *")+COUNTIFS('Prácticas_Snowballing'!$AB$2:$AB$281,"T068",'Prácticas_Snowballing'!$AC$2:$AC$281,"REQUIREMENTS &gt; *")</f>
        <v>0</v>
      </c>
      <c r="D79" s="17">
        <f>COUNTIFS('Prácticas_Revisiones'!$S$2:$S$282,"T068",'Prácticas_Revisiones'!$T$2:$T$282,"ARCHITECTURE &gt; *")+COUNTIFS('Prácticas_Snowballing'!$AB$2:$AB$281,"T068",'Prácticas_Snowballing'!$AC$2:$AC$281,"ARCHITECTURE &gt; *")</f>
        <v>0</v>
      </c>
      <c r="E79" s="17">
        <f>COUNTIFS('Prácticas_Revisiones'!$S$2:$S$282,"T068",'Prácticas_Revisiones'!$T$2:$T$282,"DESIGN &gt; *")+COUNTIFS('Prácticas_Snowballing'!$AB$2:$AB$281,"T068",'Prácticas_Snowballing'!$AC$2:$AC$281,"DESIGN &gt; *")</f>
        <v>0</v>
      </c>
      <c r="F79" s="17">
        <f>COUNTIFS('Prácticas_Revisiones'!$S$2:$S$282,"T068",'Prácticas_Revisiones'!$T$2:$T$282,"CONSTRUCTION &gt; *")+COUNTIFS('Prácticas_Snowballing'!$AB$2:$AB$281,"T068",'Prácticas_Snowballing'!$AC$2:$AC$281,"CONSTRUCTION &gt; *")</f>
        <v>0</v>
      </c>
      <c r="G79" s="17">
        <f>COUNTIFS('Prácticas_Revisiones'!$S$2:$S$282,"T068",'Prácticas_Revisiones'!$T$2:$T$282,"SOFTWARE TESTING &gt; *")+COUNTIFS('Prácticas_Snowballing'!$AB$2:$AB$281,"T068",'Prácticas_Snowballing'!$AC$2:$AC$281,"SOFTWARE TESTING &gt; *")</f>
        <v>0</v>
      </c>
      <c r="H79" s="17">
        <f>COUNTIFS('Prácticas_Revisiones'!$S$2:$S$282,"T068",'Prácticas_Revisiones'!$T$2:$T$282,"SOFTWARE ENG. OPERATIONS &gt; *")+COUNTIFS('Prácticas_Snowballing'!$AB$2:$AB$281,"T068",'Prácticas_Snowballing'!$AC$2:$AC$281,"SOFTWARE ENG. OPERATIONS &gt; *")</f>
        <v>0</v>
      </c>
      <c r="I79" s="17">
        <f>COUNTIFS('Prácticas_Revisiones'!$S$2:$S$282,"T068",'Prácticas_Revisiones'!$T$2:$T$282,"MAINTENANCE &gt; *")+COUNTIFS('Prácticas_Snowballing'!$AB$2:$AB$281,"T068",'Prácticas_Snowballing'!$AC$2:$AC$281,"MAINTENANCE &gt; *")</f>
        <v>0</v>
      </c>
      <c r="J79" s="17">
        <f>COUNTIFS('Prácticas_Revisiones'!$S$2:$S$282,"T068",'Prácticas_Revisiones'!$T$2:$T$282,"SOFTWARE CONFIG. MGMT. &gt; *")+COUNTIFS('Prácticas_Snowballing'!$AB$2:$AB$281,"T068",'Prácticas_Snowballing'!$AC$2:$AC$281,"SOFTWARE CONFIG. MGMT. &gt; *")</f>
        <v>0</v>
      </c>
      <c r="K79" s="17">
        <f>COUNTIFS('Prácticas_Revisiones'!$S$2:$S$282,"T068",'Prácticas_Revisiones'!$T$2:$T$282,"SOFTWARE ENG. PROCESS &gt; *")+COUNTIFS('Prácticas_Snowballing'!$AB$2:$AB$281,"T068",'Prácticas_Snowballing'!$AC$2:$AC$281,"SOFTWARE ENG. PROCESS &gt; *")</f>
        <v>0</v>
      </c>
      <c r="L79" s="17">
        <f>COUNTIFS('Prácticas_Revisiones'!$S$2:$S$282,"T068",'Prácticas_Revisiones'!$T$2:$T$282,"SOFTWARE ENG. MODELS/METH. &gt; *")+COUNTIFS('Prácticas_Snowballing'!$AB$2:$AB$281,"T068",'Prácticas_Snowballing'!$AC$2:$AC$281,"SOFTWARE ENG. MODELS/METH. &gt; *")</f>
        <v>0</v>
      </c>
      <c r="M79" s="17">
        <f>COUNTIFS('Prácticas_Revisiones'!$S$2:$S$282,"T068",'Prácticas_Revisiones'!$T$2:$T$282,"SOFTWARE QUALITY &gt; *")+COUNTIFS('Prácticas_Snowballing'!$AB$2:$AB$281,"T068",'Prácticas_Snowballing'!$AC$2:$AC$281,"SOFTWARE QUALITY &gt; *")</f>
        <v>0</v>
      </c>
      <c r="N79" s="17">
        <f>COUNTIFS('Prácticas_Revisiones'!$S$2:$S$282,"T068",'Prácticas_Revisiones'!$T$2:$T$282,"SOFTWARE SECURITY &gt; *")+COUNTIFS('Prácticas_Snowballing'!$AB$2:$AB$281,"T068",'Prácticas_Snowballing'!$AC$2:$AC$281,"SOFTWARE SECURITY &gt; *")</f>
        <v>0</v>
      </c>
      <c r="O79" s="17">
        <f>COUNTIFS('Prácticas_Revisiones'!$S$2:$S$282,"T068",'Prácticas_Revisiones'!$T$2:$T$282,"PROFESSIONAL PRACTICE &gt; *")+COUNTIFS('Prácticas_Snowballing'!$AB$2:$AB$281,"T068",'Prácticas_Snowballing'!$AC$2:$AC$281,"PROFESSIONAL PRACTICE &gt; *")</f>
        <v>0</v>
      </c>
      <c r="P79" s="17">
        <f>COUNTIFS('Prácticas_Revisiones'!$S$2:$S$282,"T068",'Prácticas_Revisiones'!$T$2:$T$282,"SOFTWARE ENG. ECONOMICS &gt; *")+COUNTIFS('Prácticas_Snowballing'!$AB$2:$AB$281,"T068",'Prácticas_Snowballing'!$AC$2:$AC$281,"SOFTWARE ENG. ECONOMICS &gt; *")</f>
        <v>0</v>
      </c>
      <c r="Q79" s="17">
        <f>COUNTIFS('Prácticas_Revisiones'!$S$2:$S$282,"T068",'Prácticas_Revisiones'!$T$2:$T$282,"SOFTWARE ENG. MANAGEMENT &gt; *")+COUNTIFS('Prácticas_Snowballing'!$AB$2:$AB$281,"T068",'Prácticas_Snowballing'!$AC$2:$AC$281,"SOFTWARE ENG. MANAGEMENT &gt; *")</f>
        <v>0</v>
      </c>
      <c r="R79" s="17">
        <f>COUNTIFS('Prácticas_Revisiones'!$S$2:$S$282,"T068",'Prácticas_Revisiones'!$T$2:$T$282,"Sin área SWEBOK")+COUNTIFS('Prácticas_Snowballing'!$AB$2:$AB$281,"T068",'Prácticas_Snowballing'!$AC$2:$AC$281,"Sin área SWEBOK")</f>
        <v>0</v>
      </c>
      <c r="S79" s="27">
        <f t="shared" si="7"/>
        <v>0</v>
      </c>
    </row>
    <row r="80" ht="15.75" customHeight="1">
      <c r="A80" s="28"/>
      <c r="B80" s="16" t="s">
        <v>2834</v>
      </c>
      <c r="C80" s="17">
        <f>COUNTIFS('Prácticas_Revisiones'!$S$2:$S$282,"T069",'Prácticas_Revisiones'!$T$2:$T$282,"REQUIREMENTS &gt; *")+COUNTIFS('Prácticas_Snowballing'!$AB$2:$AB$281,"T069",'Prácticas_Snowballing'!$AC$2:$AC$281,"REQUIREMENTS &gt; *")</f>
        <v>0</v>
      </c>
      <c r="D80" s="17">
        <f>COUNTIFS('Prácticas_Revisiones'!$S$2:$S$282,"T069",'Prácticas_Revisiones'!$T$2:$T$282,"ARCHITECTURE &gt; *")+COUNTIFS('Prácticas_Snowballing'!$AB$2:$AB$281,"T069",'Prácticas_Snowballing'!$AC$2:$AC$281,"ARCHITECTURE &gt; *")</f>
        <v>0</v>
      </c>
      <c r="E80" s="17">
        <f>COUNTIFS('Prácticas_Revisiones'!$S$2:$S$282,"T069",'Prácticas_Revisiones'!$T$2:$T$282,"DESIGN &gt; *")+COUNTIFS('Prácticas_Snowballing'!$AB$2:$AB$281,"T069",'Prácticas_Snowballing'!$AC$2:$AC$281,"DESIGN &gt; *")</f>
        <v>0</v>
      </c>
      <c r="F80" s="17">
        <f>COUNTIFS('Prácticas_Revisiones'!$S$2:$S$282,"T069",'Prácticas_Revisiones'!$T$2:$T$282,"CONSTRUCTION &gt; *")+COUNTIFS('Prácticas_Snowballing'!$AB$2:$AB$281,"T069",'Prácticas_Snowballing'!$AC$2:$AC$281,"CONSTRUCTION &gt; *")</f>
        <v>0</v>
      </c>
      <c r="G80" s="17">
        <f>COUNTIFS('Prácticas_Revisiones'!$S$2:$S$282,"T069",'Prácticas_Revisiones'!$T$2:$T$282,"SOFTWARE TESTING &gt; *")+COUNTIFS('Prácticas_Snowballing'!$AB$2:$AB$281,"T069",'Prácticas_Snowballing'!$AC$2:$AC$281,"SOFTWARE TESTING &gt; *")</f>
        <v>0</v>
      </c>
      <c r="H80" s="17">
        <f>COUNTIFS('Prácticas_Revisiones'!$S$2:$S$282,"T069",'Prácticas_Revisiones'!$T$2:$T$282,"SOFTWARE ENG. OPERATIONS &gt; *")+COUNTIFS('Prácticas_Snowballing'!$AB$2:$AB$281,"T069",'Prácticas_Snowballing'!$AC$2:$AC$281,"SOFTWARE ENG. OPERATIONS &gt; *")</f>
        <v>0</v>
      </c>
      <c r="I80" s="17">
        <f>COUNTIFS('Prácticas_Revisiones'!$S$2:$S$282,"T069",'Prácticas_Revisiones'!$T$2:$T$282,"MAINTENANCE &gt; *")+COUNTIFS('Prácticas_Snowballing'!$AB$2:$AB$281,"T069",'Prácticas_Snowballing'!$AC$2:$AC$281,"MAINTENANCE &gt; *")</f>
        <v>0</v>
      </c>
      <c r="J80" s="17">
        <f>COUNTIFS('Prácticas_Revisiones'!$S$2:$S$282,"T069",'Prácticas_Revisiones'!$T$2:$T$282,"SOFTWARE CONFIG. MGMT. &gt; *")+COUNTIFS('Prácticas_Snowballing'!$AB$2:$AB$281,"T069",'Prácticas_Snowballing'!$AC$2:$AC$281,"SOFTWARE CONFIG. MGMT. &gt; *")</f>
        <v>0</v>
      </c>
      <c r="K80" s="17">
        <f>COUNTIFS('Prácticas_Revisiones'!$S$2:$S$282,"T069",'Prácticas_Revisiones'!$T$2:$T$282,"SOFTWARE ENG. PROCESS &gt; *")+COUNTIFS('Prácticas_Snowballing'!$AB$2:$AB$281,"T069",'Prácticas_Snowballing'!$AC$2:$AC$281,"SOFTWARE ENG. PROCESS &gt; *")</f>
        <v>0</v>
      </c>
      <c r="L80" s="17">
        <f>COUNTIFS('Prácticas_Revisiones'!$S$2:$S$282,"T069",'Prácticas_Revisiones'!$T$2:$T$282,"SOFTWARE ENG. MODELS/METH. &gt; *")+COUNTIFS('Prácticas_Snowballing'!$AB$2:$AB$281,"T069",'Prácticas_Snowballing'!$AC$2:$AC$281,"SOFTWARE ENG. MODELS/METH. &gt; *")</f>
        <v>0</v>
      </c>
      <c r="M80" s="17">
        <f>COUNTIFS('Prácticas_Revisiones'!$S$2:$S$282,"T069",'Prácticas_Revisiones'!$T$2:$T$282,"SOFTWARE QUALITY &gt; *")+COUNTIFS('Prácticas_Snowballing'!$AB$2:$AB$281,"T069",'Prácticas_Snowballing'!$AC$2:$AC$281,"SOFTWARE QUALITY &gt; *")</f>
        <v>0</v>
      </c>
      <c r="N80" s="17">
        <f>COUNTIFS('Prácticas_Revisiones'!$S$2:$S$282,"T069",'Prácticas_Revisiones'!$T$2:$T$282,"SOFTWARE SECURITY &gt; *")+COUNTIFS('Prácticas_Snowballing'!$AB$2:$AB$281,"T069",'Prácticas_Snowballing'!$AC$2:$AC$281,"SOFTWARE SECURITY &gt; *")</f>
        <v>0</v>
      </c>
      <c r="O80" s="17">
        <f>COUNTIFS('Prácticas_Revisiones'!$S$2:$S$282,"T069",'Prácticas_Revisiones'!$T$2:$T$282,"PROFESSIONAL PRACTICE &gt; *")+COUNTIFS('Prácticas_Snowballing'!$AB$2:$AB$281,"T069",'Prácticas_Snowballing'!$AC$2:$AC$281,"PROFESSIONAL PRACTICE &gt; *")</f>
        <v>0</v>
      </c>
      <c r="P80" s="17">
        <f>COUNTIFS('Prácticas_Revisiones'!$S$2:$S$282,"T069",'Prácticas_Revisiones'!$T$2:$T$282,"SOFTWARE ENG. ECONOMICS &gt; *")+COUNTIFS('Prácticas_Snowballing'!$AB$2:$AB$281,"T069",'Prácticas_Snowballing'!$AC$2:$AC$281,"SOFTWARE ENG. ECONOMICS &gt; *")</f>
        <v>0</v>
      </c>
      <c r="Q80" s="17">
        <f>COUNTIFS('Prácticas_Revisiones'!$S$2:$S$282,"T069",'Prácticas_Revisiones'!$T$2:$T$282,"SOFTWARE ENG. MANAGEMENT &gt; *")+COUNTIFS('Prácticas_Snowballing'!$AB$2:$AB$281,"T069",'Prácticas_Snowballing'!$AC$2:$AC$281,"SOFTWARE ENG. MANAGEMENT &gt; *")</f>
        <v>0</v>
      </c>
      <c r="R80" s="17">
        <f>COUNTIFS('Prácticas_Revisiones'!$S$2:$S$282,"T069",'Prácticas_Revisiones'!$T$2:$T$282,"Sin área SWEBOK")+COUNTIFS('Prácticas_Snowballing'!$AB$2:$AB$281,"T069",'Prácticas_Snowballing'!$AC$2:$AC$281,"Sin área SWEBOK")</f>
        <v>0</v>
      </c>
      <c r="S80" s="27">
        <f t="shared" si="7"/>
        <v>0</v>
      </c>
    </row>
    <row r="81" ht="15.75" customHeight="1">
      <c r="A81" s="28"/>
      <c r="B81" s="16" t="s">
        <v>2831</v>
      </c>
      <c r="C81" s="17">
        <f>COUNTIFS('Prácticas_Revisiones'!$S$2:$S$282,"T070",'Prácticas_Revisiones'!$T$2:$T$282,"REQUIREMENTS &gt; *")+COUNTIFS('Prácticas_Snowballing'!$AB$2:$AB$281,"T070",'Prácticas_Snowballing'!$AC$2:$AC$281,"REQUIREMENTS &gt; *")</f>
        <v>0</v>
      </c>
      <c r="D81" s="17">
        <f>COUNTIFS('Prácticas_Revisiones'!$S$2:$S$282,"T070",'Prácticas_Revisiones'!$T$2:$T$282,"ARCHITECTURE &gt; *")+COUNTIFS('Prácticas_Snowballing'!$AB$2:$AB$281,"T070",'Prácticas_Snowballing'!$AC$2:$AC$281,"ARCHITECTURE &gt; *")</f>
        <v>0</v>
      </c>
      <c r="E81" s="17">
        <f>COUNTIFS('Prácticas_Revisiones'!$S$2:$S$282,"T070",'Prácticas_Revisiones'!$T$2:$T$282,"DESIGN &gt; *")+COUNTIFS('Prácticas_Snowballing'!$AB$2:$AB$281,"T070",'Prácticas_Snowballing'!$AC$2:$AC$281,"DESIGN &gt; *")</f>
        <v>0</v>
      </c>
      <c r="F81" s="17">
        <f>COUNTIFS('Prácticas_Revisiones'!$S$2:$S$282,"T070",'Prácticas_Revisiones'!$T$2:$T$282,"CONSTRUCTION &gt; *")+COUNTIFS('Prácticas_Snowballing'!$AB$2:$AB$281,"T070",'Prácticas_Snowballing'!$AC$2:$AC$281,"CONSTRUCTION &gt; *")</f>
        <v>0</v>
      </c>
      <c r="G81" s="17">
        <f>COUNTIFS('Prácticas_Revisiones'!$S$2:$S$282,"T070",'Prácticas_Revisiones'!$T$2:$T$282,"SOFTWARE TESTING &gt; *")+COUNTIFS('Prácticas_Snowballing'!$AB$2:$AB$281,"T070",'Prácticas_Snowballing'!$AC$2:$AC$281,"SOFTWARE TESTING &gt; *")</f>
        <v>0</v>
      </c>
      <c r="H81" s="17">
        <f>COUNTIFS('Prácticas_Revisiones'!$S$2:$S$282,"T070",'Prácticas_Revisiones'!$T$2:$T$282,"SOFTWARE ENG. OPERATIONS &gt; *")+COUNTIFS('Prácticas_Snowballing'!$AB$2:$AB$281,"T070",'Prácticas_Snowballing'!$AC$2:$AC$281,"SOFTWARE ENG. OPERATIONS &gt; *")</f>
        <v>0</v>
      </c>
      <c r="I81" s="17">
        <f>COUNTIFS('Prácticas_Revisiones'!$S$2:$S$282,"T070",'Prácticas_Revisiones'!$T$2:$T$282,"MAINTENANCE &gt; *")+COUNTIFS('Prácticas_Snowballing'!$AB$2:$AB$281,"T070",'Prácticas_Snowballing'!$AC$2:$AC$281,"MAINTENANCE &gt; *")</f>
        <v>0</v>
      </c>
      <c r="J81" s="17">
        <f>COUNTIFS('Prácticas_Revisiones'!$S$2:$S$282,"T070",'Prácticas_Revisiones'!$T$2:$T$282,"SOFTWARE CONFIG. MGMT. &gt; *")+COUNTIFS('Prácticas_Snowballing'!$AB$2:$AB$281,"T070",'Prácticas_Snowballing'!$AC$2:$AC$281,"SOFTWARE CONFIG. MGMT. &gt; *")</f>
        <v>0</v>
      </c>
      <c r="K81" s="17">
        <f>COUNTIFS('Prácticas_Revisiones'!$S$2:$S$282,"T070",'Prácticas_Revisiones'!$T$2:$T$282,"SOFTWARE ENG. PROCESS &gt; *")+COUNTIFS('Prácticas_Snowballing'!$AB$2:$AB$281,"T070",'Prácticas_Snowballing'!$AC$2:$AC$281,"SOFTWARE ENG. PROCESS &gt; *")</f>
        <v>0</v>
      </c>
      <c r="L81" s="17">
        <f>COUNTIFS('Prácticas_Revisiones'!$S$2:$S$282,"T070",'Prácticas_Revisiones'!$T$2:$T$282,"SOFTWARE ENG. MODELS/METH. &gt; *")+COUNTIFS('Prácticas_Snowballing'!$AB$2:$AB$281,"T070",'Prácticas_Snowballing'!$AC$2:$AC$281,"SOFTWARE ENG. MODELS/METH. &gt; *")</f>
        <v>0</v>
      </c>
      <c r="M81" s="17">
        <f>COUNTIFS('Prácticas_Revisiones'!$S$2:$S$282,"T070",'Prácticas_Revisiones'!$T$2:$T$282,"SOFTWARE QUALITY &gt; *")+COUNTIFS('Prácticas_Snowballing'!$AB$2:$AB$281,"T070",'Prácticas_Snowballing'!$AC$2:$AC$281,"SOFTWARE QUALITY &gt; *")</f>
        <v>0</v>
      </c>
      <c r="N81" s="17">
        <f>COUNTIFS('Prácticas_Revisiones'!$S$2:$S$282,"T070",'Prácticas_Revisiones'!$T$2:$T$282,"SOFTWARE SECURITY &gt; *")+COUNTIFS('Prácticas_Snowballing'!$AB$2:$AB$281,"T070",'Prácticas_Snowballing'!$AC$2:$AC$281,"SOFTWARE SECURITY &gt; *")</f>
        <v>0</v>
      </c>
      <c r="O81" s="17">
        <f>COUNTIFS('Prácticas_Revisiones'!$S$2:$S$282,"T070",'Prácticas_Revisiones'!$T$2:$T$282,"PROFESSIONAL PRACTICE &gt; *")+COUNTIFS('Prácticas_Snowballing'!$AB$2:$AB$281,"T070",'Prácticas_Snowballing'!$AC$2:$AC$281,"PROFESSIONAL PRACTICE &gt; *")</f>
        <v>0</v>
      </c>
      <c r="P81" s="17">
        <f>COUNTIFS('Prácticas_Revisiones'!$S$2:$S$282,"T070",'Prácticas_Revisiones'!$T$2:$T$282,"SOFTWARE ENG. ECONOMICS &gt; *")+COUNTIFS('Prácticas_Snowballing'!$AB$2:$AB$281,"T070",'Prácticas_Snowballing'!$AC$2:$AC$281,"SOFTWARE ENG. ECONOMICS &gt; *")</f>
        <v>0</v>
      </c>
      <c r="Q81" s="17">
        <f>COUNTIFS('Prácticas_Revisiones'!$S$2:$S$282,"T070",'Prácticas_Revisiones'!$T$2:$T$282,"SOFTWARE ENG. MANAGEMENT &gt; *")+COUNTIFS('Prácticas_Snowballing'!$AB$2:$AB$281,"T070",'Prácticas_Snowballing'!$AC$2:$AC$281,"SOFTWARE ENG. MANAGEMENT &gt; *")</f>
        <v>0</v>
      </c>
      <c r="R81" s="17">
        <f>COUNTIFS('Prácticas_Revisiones'!$S$2:$S$282,"T070",'Prácticas_Revisiones'!$T$2:$T$282,"Sin área SWEBOK")+COUNTIFS('Prácticas_Snowballing'!$AB$2:$AB$281,"T070",'Prácticas_Snowballing'!$AC$2:$AC$281,"Sin área SWEBOK")</f>
        <v>0</v>
      </c>
      <c r="S81" s="27">
        <f t="shared" si="7"/>
        <v>0</v>
      </c>
    </row>
    <row r="82" ht="15.75" customHeight="1">
      <c r="A82" s="28"/>
      <c r="B82" s="16" t="s">
        <v>2828</v>
      </c>
      <c r="C82" s="17">
        <f>COUNTIFS('Prácticas_Revisiones'!$S$2:$S$282,"T071",'Prácticas_Revisiones'!$T$2:$T$282,"REQUIREMENTS &gt; *")+COUNTIFS('Prácticas_Snowballing'!$AB$2:$AB$281,"T071",'Prácticas_Snowballing'!$AC$2:$AC$281,"REQUIREMENTS &gt; *")</f>
        <v>0</v>
      </c>
      <c r="D82" s="17">
        <f>COUNTIFS('Prácticas_Revisiones'!$S$2:$S$282,"T071",'Prácticas_Revisiones'!$T$2:$T$282,"ARCHITECTURE &gt; *")+COUNTIFS('Prácticas_Snowballing'!$AB$2:$AB$281,"T071",'Prácticas_Snowballing'!$AC$2:$AC$281,"ARCHITECTURE &gt; *")</f>
        <v>0</v>
      </c>
      <c r="E82" s="17">
        <f>COUNTIFS('Prácticas_Revisiones'!$S$2:$S$282,"T071",'Prácticas_Revisiones'!$T$2:$T$282,"DESIGN &gt; *")+COUNTIFS('Prácticas_Snowballing'!$AB$2:$AB$281,"T071",'Prácticas_Snowballing'!$AC$2:$AC$281,"DESIGN &gt; *")</f>
        <v>0</v>
      </c>
      <c r="F82" s="17">
        <f>COUNTIFS('Prácticas_Revisiones'!$S$2:$S$282,"T071",'Prácticas_Revisiones'!$T$2:$T$282,"CONSTRUCTION &gt; *")+COUNTIFS('Prácticas_Snowballing'!$AB$2:$AB$281,"T071",'Prácticas_Snowballing'!$AC$2:$AC$281,"CONSTRUCTION &gt; *")</f>
        <v>0</v>
      </c>
      <c r="G82" s="17">
        <f>COUNTIFS('Prácticas_Revisiones'!$S$2:$S$282,"T071",'Prácticas_Revisiones'!$T$2:$T$282,"SOFTWARE TESTING &gt; *")+COUNTIFS('Prácticas_Snowballing'!$AB$2:$AB$281,"T071",'Prácticas_Snowballing'!$AC$2:$AC$281,"SOFTWARE TESTING &gt; *")</f>
        <v>0</v>
      </c>
      <c r="H82" s="17">
        <f>COUNTIFS('Prácticas_Revisiones'!$S$2:$S$282,"T071",'Prácticas_Revisiones'!$T$2:$T$282,"SOFTWARE ENG. OPERATIONS &gt; *")+COUNTIFS('Prácticas_Snowballing'!$AB$2:$AB$281,"T071",'Prácticas_Snowballing'!$AC$2:$AC$281,"SOFTWARE ENG. OPERATIONS &gt; *")</f>
        <v>0</v>
      </c>
      <c r="I82" s="17">
        <f>COUNTIFS('Prácticas_Revisiones'!$S$2:$S$282,"T071",'Prácticas_Revisiones'!$T$2:$T$282,"MAINTENANCE &gt; *")+COUNTIFS('Prácticas_Snowballing'!$AB$2:$AB$281,"T071",'Prácticas_Snowballing'!$AC$2:$AC$281,"MAINTENANCE &gt; *")</f>
        <v>0</v>
      </c>
      <c r="J82" s="17">
        <f>COUNTIFS('Prácticas_Revisiones'!$S$2:$S$282,"T071",'Prácticas_Revisiones'!$T$2:$T$282,"SOFTWARE CONFIG. MGMT. &gt; *")+COUNTIFS('Prácticas_Snowballing'!$AB$2:$AB$281,"T071",'Prácticas_Snowballing'!$AC$2:$AC$281,"SOFTWARE CONFIG. MGMT. &gt; *")</f>
        <v>0</v>
      </c>
      <c r="K82" s="17">
        <f>COUNTIFS('Prácticas_Revisiones'!$S$2:$S$282,"T071",'Prácticas_Revisiones'!$T$2:$T$282,"SOFTWARE ENG. PROCESS &gt; *")+COUNTIFS('Prácticas_Snowballing'!$AB$2:$AB$281,"T071",'Prácticas_Snowballing'!$AC$2:$AC$281,"SOFTWARE ENG. PROCESS &gt; *")</f>
        <v>0</v>
      </c>
      <c r="L82" s="17">
        <f>COUNTIFS('Prácticas_Revisiones'!$S$2:$S$282,"T071",'Prácticas_Revisiones'!$T$2:$T$282,"SOFTWARE ENG. MODELS/METH. &gt; *")+COUNTIFS('Prácticas_Snowballing'!$AB$2:$AB$281,"T071",'Prácticas_Snowballing'!$AC$2:$AC$281,"SOFTWARE ENG. MODELS/METH. &gt; *")</f>
        <v>0</v>
      </c>
      <c r="M82" s="17">
        <f>COUNTIFS('Prácticas_Revisiones'!$S$2:$S$282,"T071",'Prácticas_Revisiones'!$T$2:$T$282,"SOFTWARE QUALITY &gt; *")+COUNTIFS('Prácticas_Snowballing'!$AB$2:$AB$281,"T071",'Prácticas_Snowballing'!$AC$2:$AC$281,"SOFTWARE QUALITY &gt; *")</f>
        <v>0</v>
      </c>
      <c r="N82" s="17">
        <f>COUNTIFS('Prácticas_Revisiones'!$S$2:$S$282,"T071",'Prácticas_Revisiones'!$T$2:$T$282,"SOFTWARE SECURITY &gt; *")+COUNTIFS('Prácticas_Snowballing'!$AB$2:$AB$281,"T071",'Prácticas_Snowballing'!$AC$2:$AC$281,"SOFTWARE SECURITY &gt; *")</f>
        <v>0</v>
      </c>
      <c r="O82" s="17">
        <f>COUNTIFS('Prácticas_Revisiones'!$S$2:$S$282,"T071",'Prácticas_Revisiones'!$T$2:$T$282,"PROFESSIONAL PRACTICE &gt; *")+COUNTIFS('Prácticas_Snowballing'!$AB$2:$AB$281,"T071",'Prácticas_Snowballing'!$AC$2:$AC$281,"PROFESSIONAL PRACTICE &gt; *")</f>
        <v>0</v>
      </c>
      <c r="P82" s="17">
        <f>COUNTIFS('Prácticas_Revisiones'!$S$2:$S$282,"T071",'Prácticas_Revisiones'!$T$2:$T$282,"SOFTWARE ENG. ECONOMICS &gt; *")+COUNTIFS('Prácticas_Snowballing'!$AB$2:$AB$281,"T071",'Prácticas_Snowballing'!$AC$2:$AC$281,"SOFTWARE ENG. ECONOMICS &gt; *")</f>
        <v>0</v>
      </c>
      <c r="Q82" s="17">
        <f>COUNTIFS('Prácticas_Revisiones'!$S$2:$S$282,"T071",'Prácticas_Revisiones'!$T$2:$T$282,"SOFTWARE ENG. MANAGEMENT &gt; *")+COUNTIFS('Prácticas_Snowballing'!$AB$2:$AB$281,"T071",'Prácticas_Snowballing'!$AC$2:$AC$281,"SOFTWARE ENG. MANAGEMENT &gt; *")</f>
        <v>0</v>
      </c>
      <c r="R82" s="17">
        <f>COUNTIFS('Prácticas_Revisiones'!$S$2:$S$282,"T071",'Prácticas_Revisiones'!$T$2:$T$282,"Sin área SWEBOK")+COUNTIFS('Prácticas_Snowballing'!$AB$2:$AB$281,"T071",'Prácticas_Snowballing'!$AC$2:$AC$281,"Sin área SWEBOK")</f>
        <v>0</v>
      </c>
      <c r="S82" s="27">
        <f t="shared" si="7"/>
        <v>0</v>
      </c>
    </row>
    <row r="83" ht="15.75" customHeight="1">
      <c r="A83" s="28"/>
      <c r="B83" s="16" t="s">
        <v>2848</v>
      </c>
      <c r="C83" s="17">
        <f>COUNTIFS('Prácticas_Revisiones'!$S$2:$S$282,"T072",'Prácticas_Revisiones'!$T$2:$T$282,"REQUIREMENTS &gt; *")+COUNTIFS('Prácticas_Snowballing'!$AB$2:$AB$281,"T072",'Prácticas_Snowballing'!$AC$2:$AC$281,"REQUIREMENTS &gt; *")</f>
        <v>1</v>
      </c>
      <c r="D83" s="17">
        <f>COUNTIFS('Prácticas_Revisiones'!$S$2:$S$282,"T072",'Prácticas_Revisiones'!$T$2:$T$282,"ARCHITECTURE &gt; *")+COUNTIFS('Prácticas_Snowballing'!$AB$2:$AB$281,"T072",'Prácticas_Snowballing'!$AC$2:$AC$281,"ARCHITECTURE &gt; *")</f>
        <v>0</v>
      </c>
      <c r="E83" s="17">
        <f>COUNTIFS('Prácticas_Revisiones'!$S$2:$S$282,"T072",'Prácticas_Revisiones'!$T$2:$T$282,"DESIGN &gt; *")+COUNTIFS('Prácticas_Snowballing'!$AB$2:$AB$281,"T072",'Prácticas_Snowballing'!$AC$2:$AC$281,"DESIGN &gt; *")</f>
        <v>0</v>
      </c>
      <c r="F83" s="17">
        <f>COUNTIFS('Prácticas_Revisiones'!$S$2:$S$282,"T072",'Prácticas_Revisiones'!$T$2:$T$282,"CONSTRUCTION &gt; *")+COUNTIFS('Prácticas_Snowballing'!$AB$2:$AB$281,"T072",'Prácticas_Snowballing'!$AC$2:$AC$281,"CONSTRUCTION &gt; *")</f>
        <v>0</v>
      </c>
      <c r="G83" s="17">
        <f>COUNTIFS('Prácticas_Revisiones'!$S$2:$S$282,"T072",'Prácticas_Revisiones'!$T$2:$T$282,"SOFTWARE TESTING &gt; *")+COUNTIFS('Prácticas_Snowballing'!$AB$2:$AB$281,"T072",'Prácticas_Snowballing'!$AC$2:$AC$281,"SOFTWARE TESTING &gt; *")</f>
        <v>0</v>
      </c>
      <c r="H83" s="17">
        <f>COUNTIFS('Prácticas_Revisiones'!$S$2:$S$282,"T072",'Prácticas_Revisiones'!$T$2:$T$282,"SOFTWARE ENG. OPERATIONS &gt; *")+COUNTIFS('Prácticas_Snowballing'!$AB$2:$AB$281,"T072",'Prácticas_Snowballing'!$AC$2:$AC$281,"SOFTWARE ENG. OPERATIONS &gt; *")</f>
        <v>0</v>
      </c>
      <c r="I83" s="17">
        <f>COUNTIFS('Prácticas_Revisiones'!$S$2:$S$282,"T072",'Prácticas_Revisiones'!$T$2:$T$282,"MAINTENANCE &gt; *")+COUNTIFS('Prácticas_Snowballing'!$AB$2:$AB$281,"T072",'Prácticas_Snowballing'!$AC$2:$AC$281,"MAINTENANCE &gt; *")</f>
        <v>1</v>
      </c>
      <c r="J83" s="17">
        <f>COUNTIFS('Prácticas_Revisiones'!$S$2:$S$282,"T072",'Prácticas_Revisiones'!$T$2:$T$282,"SOFTWARE CONFIG. MGMT. &gt; *")+COUNTIFS('Prácticas_Snowballing'!$AB$2:$AB$281,"T072",'Prácticas_Snowballing'!$AC$2:$AC$281,"SOFTWARE CONFIG. MGMT. &gt; *")</f>
        <v>0</v>
      </c>
      <c r="K83" s="17">
        <f>COUNTIFS('Prácticas_Revisiones'!$S$2:$S$282,"T072",'Prácticas_Revisiones'!$T$2:$T$282,"SOFTWARE ENG. PROCESS &gt; *")+COUNTIFS('Prácticas_Snowballing'!$AB$2:$AB$281,"T072",'Prácticas_Snowballing'!$AC$2:$AC$281,"SOFTWARE ENG. PROCESS &gt; *")</f>
        <v>0</v>
      </c>
      <c r="L83" s="17">
        <f>COUNTIFS('Prácticas_Revisiones'!$S$2:$S$282,"T072",'Prácticas_Revisiones'!$T$2:$T$282,"SOFTWARE ENG. MODELS/METH. &gt; *")+COUNTIFS('Prácticas_Snowballing'!$AB$2:$AB$281,"T072",'Prácticas_Snowballing'!$AC$2:$AC$281,"SOFTWARE ENG. MODELS/METH. &gt; *")</f>
        <v>0</v>
      </c>
      <c r="M83" s="17">
        <f>COUNTIFS('Prácticas_Revisiones'!$S$2:$S$282,"T072",'Prácticas_Revisiones'!$T$2:$T$282,"SOFTWARE QUALITY &gt; *")+COUNTIFS('Prácticas_Snowballing'!$AB$2:$AB$281,"T072",'Prácticas_Snowballing'!$AC$2:$AC$281,"SOFTWARE QUALITY &gt; *")</f>
        <v>0</v>
      </c>
      <c r="N83" s="17">
        <f>COUNTIFS('Prácticas_Revisiones'!$S$2:$S$282,"T072",'Prácticas_Revisiones'!$T$2:$T$282,"SOFTWARE SECURITY &gt; *")+COUNTIFS('Prácticas_Snowballing'!$AB$2:$AB$281,"T072",'Prácticas_Snowballing'!$AC$2:$AC$281,"SOFTWARE SECURITY &gt; *")</f>
        <v>0</v>
      </c>
      <c r="O83" s="17">
        <f>COUNTIFS('Prácticas_Revisiones'!$S$2:$S$282,"T072",'Prácticas_Revisiones'!$T$2:$T$282,"PROFESSIONAL PRACTICE &gt; *")+COUNTIFS('Prácticas_Snowballing'!$AB$2:$AB$281,"T072",'Prácticas_Snowballing'!$AC$2:$AC$281,"PROFESSIONAL PRACTICE &gt; *")</f>
        <v>0</v>
      </c>
      <c r="P83" s="17">
        <f>COUNTIFS('Prácticas_Revisiones'!$S$2:$S$282,"T072",'Prácticas_Revisiones'!$T$2:$T$282,"SOFTWARE ENG. ECONOMICS &gt; *")+COUNTIFS('Prácticas_Snowballing'!$AB$2:$AB$281,"T072",'Prácticas_Snowballing'!$AC$2:$AC$281,"SOFTWARE ENG. ECONOMICS &gt; *")</f>
        <v>0</v>
      </c>
      <c r="Q83" s="17">
        <f>COUNTIFS('Prácticas_Revisiones'!$S$2:$S$282,"T072",'Prácticas_Revisiones'!$T$2:$T$282,"SOFTWARE ENG. MANAGEMENT &gt; *")+COUNTIFS('Prácticas_Snowballing'!$AB$2:$AB$281,"T072",'Prácticas_Snowballing'!$AC$2:$AC$281,"SOFTWARE ENG. MANAGEMENT &gt; *")</f>
        <v>0</v>
      </c>
      <c r="R83" s="17">
        <f>COUNTIFS('Prácticas_Revisiones'!$S$2:$S$282,"T072",'Prácticas_Revisiones'!$T$2:$T$282,"Sin área SWEBOK")+COUNTIFS('Prácticas_Snowballing'!$AB$2:$AB$281,"T072",'Prácticas_Snowballing'!$AC$2:$AC$281,"Sin área SWEBOK")</f>
        <v>0</v>
      </c>
      <c r="S83" s="27">
        <f t="shared" si="7"/>
        <v>2</v>
      </c>
    </row>
    <row r="84" ht="15.75" customHeight="1">
      <c r="A84" s="28"/>
      <c r="B84" s="16" t="s">
        <v>2775</v>
      </c>
      <c r="C84" s="17">
        <f>COUNTIFS('Prácticas_Revisiones'!$S$2:$S$282,"T073",'Prácticas_Revisiones'!$T$2:$T$282,"REQUIREMENTS &gt; *")+COUNTIFS('Prácticas_Snowballing'!$AB$2:$AB$281,"T073",'Prácticas_Snowballing'!$AC$2:$AC$281,"REQUIREMENTS &gt; *")</f>
        <v>0</v>
      </c>
      <c r="D84" s="17">
        <f>COUNTIFS('Prácticas_Revisiones'!$S$2:$S$282,"T073",'Prácticas_Revisiones'!$T$2:$T$282,"ARCHITECTURE &gt; *")+COUNTIFS('Prácticas_Snowballing'!$AB$2:$AB$281,"T073",'Prácticas_Snowballing'!$AC$2:$AC$281,"ARCHITECTURE &gt; *")</f>
        <v>0</v>
      </c>
      <c r="E84" s="17">
        <f>COUNTIFS('Prácticas_Revisiones'!$S$2:$S$282,"T073",'Prácticas_Revisiones'!$T$2:$T$282,"DESIGN &gt; *")+COUNTIFS('Prácticas_Snowballing'!$AB$2:$AB$281,"T073",'Prácticas_Snowballing'!$AC$2:$AC$281,"DESIGN &gt; *")</f>
        <v>0</v>
      </c>
      <c r="F84" s="17">
        <f>COUNTIFS('Prácticas_Revisiones'!$S$2:$S$282,"T073",'Prácticas_Revisiones'!$T$2:$T$282,"CONSTRUCTION &gt; *")+COUNTIFS('Prácticas_Snowballing'!$AB$2:$AB$281,"T073",'Prácticas_Snowballing'!$AC$2:$AC$281,"CONSTRUCTION &gt; *")</f>
        <v>1</v>
      </c>
      <c r="G84" s="17">
        <f>COUNTIFS('Prácticas_Revisiones'!$S$2:$S$282,"T073",'Prácticas_Revisiones'!$T$2:$T$282,"SOFTWARE TESTING &gt; *")+COUNTIFS('Prácticas_Snowballing'!$AB$2:$AB$281,"T073",'Prácticas_Snowballing'!$AC$2:$AC$281,"SOFTWARE TESTING &gt; *")</f>
        <v>0</v>
      </c>
      <c r="H84" s="17">
        <f>COUNTIFS('Prácticas_Revisiones'!$S$2:$S$282,"T073",'Prácticas_Revisiones'!$T$2:$T$282,"SOFTWARE ENG. OPERATIONS &gt; *")+COUNTIFS('Prácticas_Snowballing'!$AB$2:$AB$281,"T073",'Prácticas_Snowballing'!$AC$2:$AC$281,"SOFTWARE ENG. OPERATIONS &gt; *")</f>
        <v>0</v>
      </c>
      <c r="I84" s="17">
        <f>COUNTIFS('Prácticas_Revisiones'!$S$2:$S$282,"T073",'Prácticas_Revisiones'!$T$2:$T$282,"MAINTENANCE &gt; *")+COUNTIFS('Prácticas_Snowballing'!$AB$2:$AB$281,"T073",'Prácticas_Snowballing'!$AC$2:$AC$281,"MAINTENANCE &gt; *")</f>
        <v>0</v>
      </c>
      <c r="J84" s="17">
        <f>COUNTIFS('Prácticas_Revisiones'!$S$2:$S$282,"T073",'Prácticas_Revisiones'!$T$2:$T$282,"SOFTWARE CONFIG. MGMT. &gt; *")+COUNTIFS('Prácticas_Snowballing'!$AB$2:$AB$281,"T073",'Prácticas_Snowballing'!$AC$2:$AC$281,"SOFTWARE CONFIG. MGMT. &gt; *")</f>
        <v>0</v>
      </c>
      <c r="K84" s="17">
        <f>COUNTIFS('Prácticas_Revisiones'!$S$2:$S$282,"T073",'Prácticas_Revisiones'!$T$2:$T$282,"SOFTWARE ENG. PROCESS &gt; *")+COUNTIFS('Prácticas_Snowballing'!$AB$2:$AB$281,"T073",'Prácticas_Snowballing'!$AC$2:$AC$281,"SOFTWARE ENG. PROCESS &gt; *")</f>
        <v>0</v>
      </c>
      <c r="L84" s="17">
        <f>COUNTIFS('Prácticas_Revisiones'!$S$2:$S$282,"T073",'Prácticas_Revisiones'!$T$2:$T$282,"SOFTWARE ENG. MODELS/METH. &gt; *")+COUNTIFS('Prácticas_Snowballing'!$AB$2:$AB$281,"T073",'Prácticas_Snowballing'!$AC$2:$AC$281,"SOFTWARE ENG. MODELS/METH. &gt; *")</f>
        <v>0</v>
      </c>
      <c r="M84" s="17">
        <f>COUNTIFS('Prácticas_Revisiones'!$S$2:$S$282,"T073",'Prácticas_Revisiones'!$T$2:$T$282,"SOFTWARE QUALITY &gt; *")+COUNTIFS('Prácticas_Snowballing'!$AB$2:$AB$281,"T073",'Prácticas_Snowballing'!$AC$2:$AC$281,"SOFTWARE QUALITY &gt; *")</f>
        <v>0</v>
      </c>
      <c r="N84" s="17">
        <f>COUNTIFS('Prácticas_Revisiones'!$S$2:$S$282,"T073",'Prácticas_Revisiones'!$T$2:$T$282,"SOFTWARE SECURITY &gt; *")+COUNTIFS('Prácticas_Snowballing'!$AB$2:$AB$281,"T073",'Prácticas_Snowballing'!$AC$2:$AC$281,"SOFTWARE SECURITY &gt; *")</f>
        <v>0</v>
      </c>
      <c r="O84" s="17">
        <f>COUNTIFS('Prácticas_Revisiones'!$S$2:$S$282,"T073",'Prácticas_Revisiones'!$T$2:$T$282,"PROFESSIONAL PRACTICE &gt; *")+COUNTIFS('Prácticas_Snowballing'!$AB$2:$AB$281,"T073",'Prácticas_Snowballing'!$AC$2:$AC$281,"PROFESSIONAL PRACTICE &gt; *")</f>
        <v>0</v>
      </c>
      <c r="P84" s="17">
        <f>COUNTIFS('Prácticas_Revisiones'!$S$2:$S$282,"T073",'Prácticas_Revisiones'!$T$2:$T$282,"SOFTWARE ENG. ECONOMICS &gt; *")+COUNTIFS('Prácticas_Snowballing'!$AB$2:$AB$281,"T073",'Prácticas_Snowballing'!$AC$2:$AC$281,"SOFTWARE ENG. ECONOMICS &gt; *")</f>
        <v>0</v>
      </c>
      <c r="Q84" s="17">
        <f>COUNTIFS('Prácticas_Revisiones'!$S$2:$S$282,"T073",'Prácticas_Revisiones'!$T$2:$T$282,"SOFTWARE ENG. MANAGEMENT &gt; *")+COUNTIFS('Prácticas_Snowballing'!$AB$2:$AB$281,"T073",'Prácticas_Snowballing'!$AC$2:$AC$281,"SOFTWARE ENG. MANAGEMENT &gt; *")</f>
        <v>0</v>
      </c>
      <c r="R84" s="17">
        <f>COUNTIFS('Prácticas_Revisiones'!$S$2:$S$282,"T073",'Prácticas_Revisiones'!$T$2:$T$282,"Sin área SWEBOK")+COUNTIFS('Prácticas_Snowballing'!$AB$2:$AB$281,"T073",'Prácticas_Snowballing'!$AC$2:$AC$281,"Sin área SWEBOK")</f>
        <v>0</v>
      </c>
      <c r="S84" s="27">
        <f t="shared" si="7"/>
        <v>1</v>
      </c>
    </row>
    <row r="85" ht="15.75" customHeight="1">
      <c r="A85" s="28"/>
      <c r="B85" s="16" t="s">
        <v>2849</v>
      </c>
      <c r="C85" s="17">
        <f>COUNTIFS('Prácticas_Revisiones'!$S$2:$S$282,"T074",'Prácticas_Revisiones'!$T$2:$T$282,"REQUIREMENTS &gt; *")+COUNTIFS('Prácticas_Snowballing'!$AB$2:$AB$281,"T074",'Prácticas_Snowballing'!$AC$2:$AC$281,"REQUIREMENTS &gt; *")</f>
        <v>0</v>
      </c>
      <c r="D85" s="17">
        <f>COUNTIFS('Prácticas_Revisiones'!$S$2:$S$282,"T074",'Prácticas_Revisiones'!$T$2:$T$282,"ARCHITECTURE &gt; *")+COUNTIFS('Prácticas_Snowballing'!$AB$2:$AB$281,"T074",'Prácticas_Snowballing'!$AC$2:$AC$281,"ARCHITECTURE &gt; *")</f>
        <v>0</v>
      </c>
      <c r="E85" s="17">
        <f>COUNTIFS('Prácticas_Revisiones'!$S$2:$S$282,"T074",'Prácticas_Revisiones'!$T$2:$T$282,"DESIGN &gt; *")+COUNTIFS('Prácticas_Snowballing'!$AB$2:$AB$281,"T074",'Prácticas_Snowballing'!$AC$2:$AC$281,"DESIGN &gt; *")</f>
        <v>0</v>
      </c>
      <c r="F85" s="17">
        <f>COUNTIFS('Prácticas_Revisiones'!$S$2:$S$282,"T074",'Prácticas_Revisiones'!$T$2:$T$282,"CONSTRUCTION &gt; *")+COUNTIFS('Prácticas_Snowballing'!$AB$2:$AB$281,"T074",'Prácticas_Snowballing'!$AC$2:$AC$281,"CONSTRUCTION &gt; *")</f>
        <v>1</v>
      </c>
      <c r="G85" s="17">
        <f>COUNTIFS('Prácticas_Revisiones'!$S$2:$S$282,"T074",'Prácticas_Revisiones'!$T$2:$T$282,"SOFTWARE TESTING &gt; *")+COUNTIFS('Prácticas_Snowballing'!$AB$2:$AB$281,"T074",'Prácticas_Snowballing'!$AC$2:$AC$281,"SOFTWARE TESTING &gt; *")</f>
        <v>0</v>
      </c>
      <c r="H85" s="17">
        <f>COUNTIFS('Prácticas_Revisiones'!$S$2:$S$282,"T074",'Prácticas_Revisiones'!$T$2:$T$282,"SOFTWARE ENG. OPERATIONS &gt; *")+COUNTIFS('Prácticas_Snowballing'!$AB$2:$AB$281,"T074",'Prácticas_Snowballing'!$AC$2:$AC$281,"SOFTWARE ENG. OPERATIONS &gt; *")</f>
        <v>0</v>
      </c>
      <c r="I85" s="17">
        <f>COUNTIFS('Prácticas_Revisiones'!$S$2:$S$282,"T074",'Prácticas_Revisiones'!$T$2:$T$282,"MAINTENANCE &gt; *")+COUNTIFS('Prácticas_Snowballing'!$AB$2:$AB$281,"T074",'Prácticas_Snowballing'!$AC$2:$AC$281,"MAINTENANCE &gt; *")</f>
        <v>2</v>
      </c>
      <c r="J85" s="17">
        <f>COUNTIFS('Prácticas_Revisiones'!$S$2:$S$282,"T074",'Prácticas_Revisiones'!$T$2:$T$282,"SOFTWARE CONFIG. MGMT. &gt; *")+COUNTIFS('Prácticas_Snowballing'!$AB$2:$AB$281,"T074",'Prácticas_Snowballing'!$AC$2:$AC$281,"SOFTWARE CONFIG. MGMT. &gt; *")</f>
        <v>0</v>
      </c>
      <c r="K85" s="17">
        <f>COUNTIFS('Prácticas_Revisiones'!$S$2:$S$282,"T074",'Prácticas_Revisiones'!$T$2:$T$282,"SOFTWARE ENG. PROCESS &gt; *")+COUNTIFS('Prácticas_Snowballing'!$AB$2:$AB$281,"T074",'Prácticas_Snowballing'!$AC$2:$AC$281,"SOFTWARE ENG. PROCESS &gt; *")</f>
        <v>0</v>
      </c>
      <c r="L85" s="17">
        <f>COUNTIFS('Prácticas_Revisiones'!$S$2:$S$282,"T074",'Prácticas_Revisiones'!$T$2:$T$282,"SOFTWARE ENG. MODELS/METH. &gt; *")+COUNTIFS('Prácticas_Snowballing'!$AB$2:$AB$281,"T074",'Prácticas_Snowballing'!$AC$2:$AC$281,"SOFTWARE ENG. MODELS/METH. &gt; *")</f>
        <v>0</v>
      </c>
      <c r="M85" s="17">
        <f>COUNTIFS('Prácticas_Revisiones'!$S$2:$S$282,"T074",'Prácticas_Revisiones'!$T$2:$T$282,"SOFTWARE QUALITY &gt; *")+COUNTIFS('Prácticas_Snowballing'!$AB$2:$AB$281,"T074",'Prácticas_Snowballing'!$AC$2:$AC$281,"SOFTWARE QUALITY &gt; *")</f>
        <v>5</v>
      </c>
      <c r="N85" s="17">
        <f>COUNTIFS('Prácticas_Revisiones'!$S$2:$S$282,"T074",'Prácticas_Revisiones'!$T$2:$T$282,"SOFTWARE SECURITY &gt; *")+COUNTIFS('Prácticas_Snowballing'!$AB$2:$AB$281,"T074",'Prácticas_Snowballing'!$AC$2:$AC$281,"SOFTWARE SECURITY &gt; *")</f>
        <v>0</v>
      </c>
      <c r="O85" s="17">
        <f>COUNTIFS('Prácticas_Revisiones'!$S$2:$S$282,"T074",'Prácticas_Revisiones'!$T$2:$T$282,"PROFESSIONAL PRACTICE &gt; *")+COUNTIFS('Prácticas_Snowballing'!$AB$2:$AB$281,"T074",'Prácticas_Snowballing'!$AC$2:$AC$281,"PROFESSIONAL PRACTICE &gt; *")</f>
        <v>0</v>
      </c>
      <c r="P85" s="17">
        <f>COUNTIFS('Prácticas_Revisiones'!$S$2:$S$282,"T074",'Prácticas_Revisiones'!$T$2:$T$282,"SOFTWARE ENG. ECONOMICS &gt; *")+COUNTIFS('Prácticas_Snowballing'!$AB$2:$AB$281,"T074",'Prácticas_Snowballing'!$AC$2:$AC$281,"SOFTWARE ENG. ECONOMICS &gt; *")</f>
        <v>0</v>
      </c>
      <c r="Q85" s="17">
        <f>COUNTIFS('Prácticas_Revisiones'!$S$2:$S$282,"T074",'Prácticas_Revisiones'!$T$2:$T$282,"SOFTWARE ENG. MANAGEMENT &gt; *")+COUNTIFS('Prácticas_Snowballing'!$AB$2:$AB$281,"T074",'Prácticas_Snowballing'!$AC$2:$AC$281,"SOFTWARE ENG. MANAGEMENT &gt; *")</f>
        <v>0</v>
      </c>
      <c r="R85" s="17">
        <f>COUNTIFS('Prácticas_Revisiones'!$S$2:$S$282,"T074",'Prácticas_Revisiones'!$T$2:$T$282,"Sin área SWEBOK")+COUNTIFS('Prácticas_Snowballing'!$AB$2:$AB$281,"T074",'Prácticas_Snowballing'!$AC$2:$AC$281,"Sin área SWEBOK")</f>
        <v>0</v>
      </c>
      <c r="S85" s="27">
        <f t="shared" si="7"/>
        <v>8</v>
      </c>
    </row>
    <row r="86" ht="15.75" customHeight="1">
      <c r="A86" s="23"/>
      <c r="B86" s="9" t="s">
        <v>2199</v>
      </c>
      <c r="C86" s="17">
        <f>COUNTIFS('Prácticas_Revisiones'!$S$2:$S$282,"Sin equivalente en catálogo (ANALIZAR)",'Prácticas_Revisiones'!$T$2:$T$282,"REQUIREMENTS &gt; *")+COUNTIFS('Prácticas_Snowballing'!$AB$2:$AB$281,"Sin equivalente en catálogo (ANALIZAR)",'Prácticas_Snowballing'!$AC$2:$AC$281,"REQUIREMENTS &gt; *")</f>
        <v>0</v>
      </c>
      <c r="D86" s="17">
        <f>COUNTIFS('Prácticas_Revisiones'!$S$2:$S$282,"Sin equivalente en catálogo (ANALIZAR)",'Prácticas_Revisiones'!$T$2:$T$282,"ARCHITECTURE &gt; *")+COUNTIFS('Prácticas_Snowballing'!$AB$2:$AB$281,"Sin equivalente en catálogo (ANALIZAR)",'Prácticas_Snowballing'!$AC$2:$AC$281,"ARCHITECTURE &gt; *")</f>
        <v>0</v>
      </c>
      <c r="E86" s="17">
        <f>COUNTIFS('Prácticas_Revisiones'!$S$2:$S$282,"Sin equivalente en catálogo (ANALIZAR)",'Prácticas_Revisiones'!$T$2:$T$282,"DESIGN &gt; *")+COUNTIFS('Prácticas_Snowballing'!$AB$2:$AB$281,"Sin equivalente en catálogo (ANALIZAR)",'Prácticas_Snowballing'!$AC$2:$AC$281,"DESIGN &gt; *")</f>
        <v>0</v>
      </c>
      <c r="F86" s="17">
        <f>COUNTIFS('Prácticas_Revisiones'!$S$2:$S$282,"Sin equivalente en catálogo (ANALIZAR)",'Prácticas_Revisiones'!$T$2:$T$282,"CONSTRUCTION &gt; *")+COUNTIFS('Prácticas_Snowballing'!$AB$2:$AB$281,"Sin equivalente en catálogo (ANALIZAR)",'Prácticas_Snowballing'!$AC$2:$AC$281,"CONSTRUCTION &gt; *")</f>
        <v>0</v>
      </c>
      <c r="G86" s="17">
        <f>COUNTIFS('Prácticas_Revisiones'!$S$2:$S$282,"Sin equivalente en catálogo (ANALIZAR)",'Prácticas_Revisiones'!$T$2:$T$282,"SOFTWARE TESTING &gt; *")+COUNTIFS('Prácticas_Snowballing'!$AB$2:$AB$281,"Sin equivalente en catálogo (ANALIZAR)",'Prácticas_Snowballing'!$AC$2:$AC$281,"SOFTWARE TESTING &gt; *")</f>
        <v>0</v>
      </c>
      <c r="H86" s="17">
        <f>COUNTIFS('Prácticas_Revisiones'!$S$2:$S$282,"Sin equivalente en catálogo (ANALIZAR)",'Prácticas_Revisiones'!$T$2:$T$282,"SOFTWARE ENG. OPERATIONS &gt; *")+COUNTIFS('Prácticas_Snowballing'!$AB$2:$AB$281,"Sin equivalente en catálogo (ANALIZAR)",'Prácticas_Snowballing'!$AC$2:$AC$281,"SOFTWARE ENG. OPERATIONS &gt; *")</f>
        <v>0</v>
      </c>
      <c r="I86" s="17">
        <f>COUNTIFS('Prácticas_Revisiones'!$S$2:$S$282,"Sin equivalente en catálogo (ANALIZAR)",'Prácticas_Revisiones'!$T$2:$T$282,"MAINTENANCE &gt; *")+COUNTIFS('Prácticas_Snowballing'!$AB$2:$AB$281,"Sin equivalente en catálogo (ANALIZAR)",'Prácticas_Snowballing'!$AC$2:$AC$281,"MAINTENANCE &gt; *")</f>
        <v>0</v>
      </c>
      <c r="J86" s="17">
        <f>COUNTIFS('Prácticas_Revisiones'!$S$2:$S$282,"Sin equivalente en catálogo (ANALIZAR)",'Prácticas_Revisiones'!$T$2:$T$282,"SOFTWARE CONFIG. MGMT. &gt; *")+COUNTIFS('Prácticas_Snowballing'!$AB$2:$AB$281,"Sin equivalente en catálogo (ANALIZAR)",'Prácticas_Snowballing'!$AC$2:$AC$281,"SOFTWARE CONFIG. MGMT. &gt; *")</f>
        <v>0</v>
      </c>
      <c r="K86" s="17">
        <f>COUNTIFS('Prácticas_Revisiones'!$S$2:$S$282,"Sin equivalente en catálogo (ANALIZAR)",'Prácticas_Revisiones'!$T$2:$T$282,"SOFTWARE ENG. PROCESS &gt; *")+COUNTIFS('Prácticas_Snowballing'!$AB$2:$AB$281,"Sin equivalente en catálogo (ANALIZAR)",'Prácticas_Snowballing'!$AC$2:$AC$281,"SOFTWARE ENG. PROCESS &gt; *")</f>
        <v>0</v>
      </c>
      <c r="L86" s="17">
        <f>COUNTIFS('Prácticas_Revisiones'!$S$2:$S$282,"Sin equivalente en catálogo (ANALIZAR)",'Prácticas_Revisiones'!$T$2:$T$282,"SOFTWARE ENG. MODELS/METH. &gt; *")+COUNTIFS('Prácticas_Snowballing'!$AB$2:$AB$281,"Sin equivalente en catálogo (ANALIZAR)",'Prácticas_Snowballing'!$AC$2:$AC$281,"SOFTWARE ENG. MODELS/METH. &gt; *")</f>
        <v>0</v>
      </c>
      <c r="M86" s="17">
        <f>COUNTIFS('Prácticas_Revisiones'!$S$2:$S$282,"Sin equivalente en catálogo (ANALIZAR)",'Prácticas_Revisiones'!$T$2:$T$282,"SOFTWARE QUALITY &gt; *")+COUNTIFS('Prácticas_Snowballing'!$AB$2:$AB$281,"Sin equivalente en catálogo (ANALIZAR)",'Prácticas_Snowballing'!$AC$2:$AC$281,"SOFTWARE QUALITY &gt; *")</f>
        <v>0</v>
      </c>
      <c r="N86" s="17">
        <f>COUNTIFS('Prácticas_Revisiones'!$S$2:$S$282,"Sin equivalente en catálogo (ANALIZAR)",'Prácticas_Revisiones'!$T$2:$T$282,"SOFTWARE SECURITY &gt; *")+COUNTIFS('Prácticas_Snowballing'!$AB$2:$AB$281,"Sin equivalente en catálogo (ANALIZAR)",'Prácticas_Snowballing'!$AC$2:$AC$281,"SOFTWARE SECURITY &gt; *")</f>
        <v>0</v>
      </c>
      <c r="O86" s="17">
        <f>COUNTIFS('Prácticas_Revisiones'!$S$2:$S$282,"Sin equivalente en catálogo (ANALIZAR)",'Prácticas_Revisiones'!$T$2:$T$282,"PROFESSIONAL PRACTICE &gt; *")+COUNTIFS('Prácticas_Snowballing'!$AB$2:$AB$281,"Sin equivalente en catálogo (ANALIZAR)",'Prácticas_Snowballing'!$AC$2:$AC$281,"PROFESSIONAL PRACTICE &gt; *")</f>
        <v>0</v>
      </c>
      <c r="P86" s="17">
        <f>COUNTIFS('Prácticas_Revisiones'!$S$2:$S$282,"Sin equivalente en catálogo (ANALIZAR)",'Prácticas_Revisiones'!$T$2:$T$282,"SOFTWARE ENG. ECONOMICS &gt; *")+COUNTIFS('Prácticas_Snowballing'!$AB$2:$AB$281,"Sin equivalente en catálogo (ANALIZAR)",'Prácticas_Snowballing'!$AC$2:$AC$281,"SOFTWARE ENG. ECONOMICS &gt; *")</f>
        <v>0</v>
      </c>
      <c r="Q86" s="17">
        <f>COUNTIFS('Prácticas_Revisiones'!$S$2:$S$282,"Sin equivalente en catálogo (ANALIZAR)",'Prácticas_Revisiones'!$T$2:$T$282,"SOFTWARE ENG. MANAGEMENT &gt; *")+COUNTIFS('Prácticas_Snowballing'!$AB$2:$AB$281,"Sin equivalente en catálogo (ANALIZAR)",'Prácticas_Snowballing'!$AC$2:$AC$281,"SOFTWARE ENG. MANAGEMENT &gt; *")</f>
        <v>0</v>
      </c>
      <c r="R86" s="17">
        <f>COUNTIFS('Prácticas_Revisiones'!$S$2:$S$282,"Sin equivalente en catálogo (ANALIZAR)",'Prácticas_Revisiones'!$T$2:$T$282,"Sin área SWEBOK")+COUNTIFS('Prácticas_Snowballing'!$AB$2:$AB$281,"Sin equivalente en catálogo (ANALIZAR)",'Prácticas_Snowballing'!$AC$2:$AC$281,"Sin área SWEBOK")</f>
        <v>0</v>
      </c>
      <c r="S86" s="27">
        <f t="shared" si="7"/>
        <v>0</v>
      </c>
    </row>
    <row r="87" ht="15.75" customHeight="1">
      <c r="A87" s="35" t="s">
        <v>2872</v>
      </c>
      <c r="B87" s="20"/>
      <c r="C87" s="29">
        <f t="shared" ref="C87:S87" si="8">SUM(C69:C86)</f>
        <v>3</v>
      </c>
      <c r="D87" s="29">
        <f t="shared" si="8"/>
        <v>0</v>
      </c>
      <c r="E87" s="29">
        <f t="shared" si="8"/>
        <v>2</v>
      </c>
      <c r="F87" s="29">
        <f t="shared" si="8"/>
        <v>9</v>
      </c>
      <c r="G87" s="29">
        <f t="shared" si="8"/>
        <v>2</v>
      </c>
      <c r="H87" s="29">
        <f t="shared" si="8"/>
        <v>0</v>
      </c>
      <c r="I87" s="29">
        <f t="shared" si="8"/>
        <v>4</v>
      </c>
      <c r="J87" s="29">
        <f t="shared" si="8"/>
        <v>0</v>
      </c>
      <c r="K87" s="29">
        <f t="shared" si="8"/>
        <v>0</v>
      </c>
      <c r="L87" s="29">
        <f t="shared" si="8"/>
        <v>0</v>
      </c>
      <c r="M87" s="29">
        <f t="shared" si="8"/>
        <v>6</v>
      </c>
      <c r="N87" s="29">
        <f t="shared" si="8"/>
        <v>0</v>
      </c>
      <c r="O87" s="29">
        <f t="shared" si="8"/>
        <v>1</v>
      </c>
      <c r="P87" s="29">
        <f t="shared" si="8"/>
        <v>0</v>
      </c>
      <c r="Q87" s="29">
        <f t="shared" si="8"/>
        <v>0</v>
      </c>
      <c r="R87" s="29">
        <f t="shared" si="8"/>
        <v>0</v>
      </c>
      <c r="S87" s="29">
        <f t="shared" si="8"/>
        <v>27</v>
      </c>
    </row>
    <row r="88" ht="15.75" customHeight="1">
      <c r="A88" s="15" t="s">
        <v>684</v>
      </c>
      <c r="B88" s="16" t="s">
        <v>2827</v>
      </c>
      <c r="C88" s="17">
        <f>COUNTIFS('Prácticas_Revisiones'!$S$2:$S$282,"T075",'Prácticas_Revisiones'!$T$2:$T$282,"REQUIREMENTS &gt; *")+COUNTIFS('Prácticas_Snowballing'!$AB$2:$AB$281,"T075",'Prácticas_Snowballing'!$AC$2:$AC$281,"REQUIREMENTS &gt; *")</f>
        <v>0</v>
      </c>
      <c r="D88" s="17">
        <f>COUNTIFS('Prácticas_Revisiones'!$S$2:$S$282,"T075",'Prácticas_Revisiones'!$T$2:$T$282,"ARCHITECTURE &gt; *")+COUNTIFS('Prácticas_Snowballing'!$AB$2:$AB$281,"T075",'Prácticas_Snowballing'!$AC$2:$AC$281,"ARCHITECTURE &gt; *")</f>
        <v>0</v>
      </c>
      <c r="E88" s="17">
        <f>COUNTIFS('Prácticas_Revisiones'!$S$2:$S$282,"T075",'Prácticas_Revisiones'!$T$2:$T$282,"DESIGN &gt; *")+COUNTIFS('Prácticas_Snowballing'!$AB$2:$AB$281,"T075",'Prácticas_Snowballing'!$AC$2:$AC$281,"DESIGN &gt; *")</f>
        <v>0</v>
      </c>
      <c r="F88" s="17">
        <f>COUNTIFS('Prácticas_Revisiones'!$S$2:$S$282,"T075",'Prácticas_Revisiones'!$T$2:$T$282,"CONSTRUCTION &gt; *")+COUNTIFS('Prácticas_Snowballing'!$AB$2:$AB$281,"T075",'Prácticas_Snowballing'!$AC$2:$AC$281,"CONSTRUCTION &gt; *")</f>
        <v>0</v>
      </c>
      <c r="G88" s="17">
        <f>COUNTIFS('Prácticas_Revisiones'!$S$2:$S$282,"T075",'Prácticas_Revisiones'!$T$2:$T$282,"SOFTWARE TESTING &gt; *")+COUNTIFS('Prácticas_Snowballing'!$AB$2:$AB$281,"T075",'Prácticas_Snowballing'!$AC$2:$AC$281,"SOFTWARE TESTING &gt; *")</f>
        <v>0</v>
      </c>
      <c r="H88" s="17">
        <f>COUNTIFS('Prácticas_Revisiones'!$S$2:$S$282,"T075",'Prácticas_Revisiones'!$T$2:$T$282,"SOFTWARE ENG. OPERATIONS &gt; *")+COUNTIFS('Prácticas_Snowballing'!$AB$2:$AB$281,"T075",'Prácticas_Snowballing'!$AC$2:$AC$281,"SOFTWARE ENG. OPERATIONS &gt; *")</f>
        <v>0</v>
      </c>
      <c r="I88" s="17">
        <f>COUNTIFS('Prácticas_Revisiones'!$S$2:$S$282,"T075",'Prácticas_Revisiones'!$T$2:$T$282,"MAINTENANCE &gt; *")+COUNTIFS('Prácticas_Snowballing'!$AB$2:$AB$281,"T075",'Prácticas_Snowballing'!$AC$2:$AC$281,"MAINTENANCE &gt; *")</f>
        <v>0</v>
      </c>
      <c r="J88" s="17">
        <f>COUNTIFS('Prácticas_Revisiones'!$S$2:$S$282,"T075",'Prácticas_Revisiones'!$T$2:$T$282,"SOFTWARE CONFIG. MGMT. &gt; *")+COUNTIFS('Prácticas_Snowballing'!$AB$2:$AB$281,"T075",'Prácticas_Snowballing'!$AC$2:$AC$281,"SOFTWARE CONFIG. MGMT. &gt; *")</f>
        <v>0</v>
      </c>
      <c r="K88" s="17">
        <f>COUNTIFS('Prácticas_Revisiones'!$S$2:$S$282,"T075",'Prácticas_Revisiones'!$T$2:$T$282,"SOFTWARE ENG. PROCESS &gt; *")+COUNTIFS('Prácticas_Snowballing'!$AB$2:$AB$281,"T075",'Prácticas_Snowballing'!$AC$2:$AC$281,"SOFTWARE ENG. PROCESS &gt; *")</f>
        <v>0</v>
      </c>
      <c r="L88" s="17">
        <f>COUNTIFS('Prácticas_Revisiones'!$S$2:$S$282,"T075",'Prácticas_Revisiones'!$T$2:$T$282,"SOFTWARE ENG. MODELS/METH. &gt; *")+COUNTIFS('Prácticas_Snowballing'!$AB$2:$AB$281,"T075",'Prácticas_Snowballing'!$AC$2:$AC$281,"SOFTWARE ENG. MODELS/METH. &gt; *")</f>
        <v>0</v>
      </c>
      <c r="M88" s="17">
        <f>COUNTIFS('Prácticas_Revisiones'!$S$2:$S$282,"T075",'Prácticas_Revisiones'!$T$2:$T$282,"SOFTWARE QUALITY &gt; *")+COUNTIFS('Prácticas_Snowballing'!$AB$2:$AB$281,"T075",'Prácticas_Snowballing'!$AC$2:$AC$281,"SOFTWARE QUALITY &gt; *")</f>
        <v>0</v>
      </c>
      <c r="N88" s="17">
        <f>COUNTIFS('Prácticas_Revisiones'!$S$2:$S$282,"T075",'Prácticas_Revisiones'!$T$2:$T$282,"SOFTWARE SECURITY &gt; *")+COUNTIFS('Prácticas_Snowballing'!$AB$2:$AB$281,"T075",'Prácticas_Snowballing'!$AC$2:$AC$281,"SOFTWARE SECURITY &gt; *")</f>
        <v>0</v>
      </c>
      <c r="O88" s="17">
        <f>COUNTIFS('Prácticas_Revisiones'!$S$2:$S$282,"T075",'Prácticas_Revisiones'!$T$2:$T$282,"PROFESSIONAL PRACTICE &gt; *")+COUNTIFS('Prácticas_Snowballing'!$AB$2:$AB$281,"T075",'Prácticas_Snowballing'!$AC$2:$AC$281,"PROFESSIONAL PRACTICE &gt; *")</f>
        <v>0</v>
      </c>
      <c r="P88" s="17">
        <f>COUNTIFS('Prácticas_Revisiones'!$S$2:$S$282,"T075",'Prácticas_Revisiones'!$T$2:$T$282,"SOFTWARE ENG. ECONOMICS &gt; *")+COUNTIFS('Prácticas_Snowballing'!$AB$2:$AB$281,"T075",'Prácticas_Snowballing'!$AC$2:$AC$281,"SOFTWARE ENG. ECONOMICS &gt; *")</f>
        <v>0</v>
      </c>
      <c r="Q88" s="17">
        <f>COUNTIFS('Prácticas_Revisiones'!$S$2:$S$282,"T075",'Prácticas_Revisiones'!$T$2:$T$282,"SOFTWARE ENG. MANAGEMENT &gt; *")+COUNTIFS('Prácticas_Snowballing'!$AB$2:$AB$281,"T075",'Prácticas_Snowballing'!$AC$2:$AC$281,"SOFTWARE ENG. MANAGEMENT &gt; *")</f>
        <v>0</v>
      </c>
      <c r="R88" s="17">
        <f>COUNTIFS('Prácticas_Revisiones'!$S$2:$S$282,"T075",'Prácticas_Revisiones'!$T$2:$T$282,"Sin área SWEBOK")+COUNTIFS('Prácticas_Snowballing'!$AB$2:$AB$281,"T075",'Prácticas_Snowballing'!$AC$2:$AC$281,"Sin área SWEBOK")</f>
        <v>0</v>
      </c>
      <c r="S88" s="27">
        <f t="shared" ref="S88:S102" si="9">SUM(C88:R88)</f>
        <v>0</v>
      </c>
    </row>
    <row r="89" ht="15.75" customHeight="1">
      <c r="A89" s="28"/>
      <c r="B89" s="16" t="s">
        <v>2773</v>
      </c>
      <c r="C89" s="17">
        <f>COUNTIFS('Prácticas_Revisiones'!$S$2:$S$282,"T076",'Prácticas_Revisiones'!$T$2:$T$282,"REQUIREMENTS &gt; *")+COUNTIFS('Prácticas_Snowballing'!$AB$2:$AB$281,"T076",'Prácticas_Snowballing'!$AC$2:$AC$281,"REQUIREMENTS &gt; *")</f>
        <v>0</v>
      </c>
      <c r="D89" s="17">
        <f>COUNTIFS('Prácticas_Revisiones'!$S$2:$S$282,"T076",'Prácticas_Revisiones'!$T$2:$T$282,"ARCHITECTURE &gt; *")+COUNTIFS('Prácticas_Snowballing'!$AB$2:$AB$281,"T076",'Prácticas_Snowballing'!$AC$2:$AC$281,"ARCHITECTURE &gt; *")</f>
        <v>0</v>
      </c>
      <c r="E89" s="17">
        <f>COUNTIFS('Prácticas_Revisiones'!$S$2:$S$282,"T076",'Prácticas_Revisiones'!$T$2:$T$282,"DESIGN &gt; *")+COUNTIFS('Prácticas_Snowballing'!$AB$2:$AB$281,"T076",'Prácticas_Snowballing'!$AC$2:$AC$281,"DESIGN &gt; *")</f>
        <v>1</v>
      </c>
      <c r="F89" s="17">
        <f>COUNTIFS('Prácticas_Revisiones'!$S$2:$S$282,"T076",'Prácticas_Revisiones'!$T$2:$T$282,"CONSTRUCTION &gt; *")+COUNTIFS('Prácticas_Snowballing'!$AB$2:$AB$281,"T076",'Prácticas_Snowballing'!$AC$2:$AC$281,"CONSTRUCTION &gt; *")</f>
        <v>0</v>
      </c>
      <c r="G89" s="17">
        <f>COUNTIFS('Prácticas_Revisiones'!$S$2:$S$282,"T076",'Prácticas_Revisiones'!$T$2:$T$282,"SOFTWARE TESTING &gt; *")+COUNTIFS('Prácticas_Snowballing'!$AB$2:$AB$281,"T076",'Prácticas_Snowballing'!$AC$2:$AC$281,"SOFTWARE TESTING &gt; *")</f>
        <v>0</v>
      </c>
      <c r="H89" s="17">
        <f>COUNTIFS('Prácticas_Revisiones'!$S$2:$S$282,"T076",'Prácticas_Revisiones'!$T$2:$T$282,"SOFTWARE ENG. OPERATIONS &gt; *")+COUNTIFS('Prácticas_Snowballing'!$AB$2:$AB$281,"T076",'Prácticas_Snowballing'!$AC$2:$AC$281,"SOFTWARE ENG. OPERATIONS &gt; *")</f>
        <v>0</v>
      </c>
      <c r="I89" s="17">
        <f>COUNTIFS('Prácticas_Revisiones'!$S$2:$S$282,"T076",'Prácticas_Revisiones'!$T$2:$T$282,"MAINTENANCE &gt; *")+COUNTIFS('Prácticas_Snowballing'!$AB$2:$AB$281,"T076",'Prácticas_Snowballing'!$AC$2:$AC$281,"MAINTENANCE &gt; *")</f>
        <v>0</v>
      </c>
      <c r="J89" s="17">
        <f>COUNTIFS('Prácticas_Revisiones'!$S$2:$S$282,"T076",'Prácticas_Revisiones'!$T$2:$T$282,"SOFTWARE CONFIG. MGMT. &gt; *")+COUNTIFS('Prácticas_Snowballing'!$AB$2:$AB$281,"T076",'Prácticas_Snowballing'!$AC$2:$AC$281,"SOFTWARE CONFIG. MGMT. &gt; *")</f>
        <v>0</v>
      </c>
      <c r="K89" s="17">
        <f>COUNTIFS('Prácticas_Revisiones'!$S$2:$S$282,"T076",'Prácticas_Revisiones'!$T$2:$T$282,"SOFTWARE ENG. PROCESS &gt; *")+COUNTIFS('Prácticas_Snowballing'!$AB$2:$AB$281,"T076",'Prácticas_Snowballing'!$AC$2:$AC$281,"SOFTWARE ENG. PROCESS &gt; *")</f>
        <v>0</v>
      </c>
      <c r="L89" s="17">
        <f>COUNTIFS('Prácticas_Revisiones'!$S$2:$S$282,"T076",'Prácticas_Revisiones'!$T$2:$T$282,"SOFTWARE ENG. MODELS/METH. &gt; *")+COUNTIFS('Prácticas_Snowballing'!$AB$2:$AB$281,"T076",'Prácticas_Snowballing'!$AC$2:$AC$281,"SOFTWARE ENG. MODELS/METH. &gt; *")</f>
        <v>0</v>
      </c>
      <c r="M89" s="17">
        <f>COUNTIFS('Prácticas_Revisiones'!$S$2:$S$282,"T076",'Prácticas_Revisiones'!$T$2:$T$282,"SOFTWARE QUALITY &gt; *")+COUNTIFS('Prácticas_Snowballing'!$AB$2:$AB$281,"T076",'Prácticas_Snowballing'!$AC$2:$AC$281,"SOFTWARE QUALITY &gt; *")</f>
        <v>0</v>
      </c>
      <c r="N89" s="17">
        <f>COUNTIFS('Prácticas_Revisiones'!$S$2:$S$282,"T076",'Prácticas_Revisiones'!$T$2:$T$282,"SOFTWARE SECURITY &gt; *")+COUNTIFS('Prácticas_Snowballing'!$AB$2:$AB$281,"T076",'Prácticas_Snowballing'!$AC$2:$AC$281,"SOFTWARE SECURITY &gt; *")</f>
        <v>0</v>
      </c>
      <c r="O89" s="17">
        <f>COUNTIFS('Prácticas_Revisiones'!$S$2:$S$282,"T076",'Prácticas_Revisiones'!$T$2:$T$282,"PROFESSIONAL PRACTICE &gt; *")+COUNTIFS('Prácticas_Snowballing'!$AB$2:$AB$281,"T076",'Prácticas_Snowballing'!$AC$2:$AC$281,"PROFESSIONAL PRACTICE &gt; *")</f>
        <v>0</v>
      </c>
      <c r="P89" s="17">
        <f>COUNTIFS('Prácticas_Revisiones'!$S$2:$S$282,"T076",'Prácticas_Revisiones'!$T$2:$T$282,"SOFTWARE ENG. ECONOMICS &gt; *")+COUNTIFS('Prácticas_Snowballing'!$AB$2:$AB$281,"T076",'Prácticas_Snowballing'!$AC$2:$AC$281,"SOFTWARE ENG. ECONOMICS &gt; *")</f>
        <v>0</v>
      </c>
      <c r="Q89" s="17">
        <f>COUNTIFS('Prácticas_Revisiones'!$S$2:$S$282,"T076",'Prácticas_Revisiones'!$T$2:$T$282,"SOFTWARE ENG. MANAGEMENT &gt; *")+COUNTIFS('Prácticas_Snowballing'!$AB$2:$AB$281,"T076",'Prácticas_Snowballing'!$AC$2:$AC$281,"SOFTWARE ENG. MANAGEMENT &gt; *")</f>
        <v>0</v>
      </c>
      <c r="R89" s="17">
        <f>COUNTIFS('Prácticas_Revisiones'!$S$2:$S$282,"T076",'Prácticas_Revisiones'!$T$2:$T$282,"Sin área SWEBOK")+COUNTIFS('Prácticas_Snowballing'!$AB$2:$AB$281,"T076",'Prácticas_Snowballing'!$AC$2:$AC$281,"Sin área SWEBOK")</f>
        <v>0</v>
      </c>
      <c r="S89" s="27">
        <f t="shared" si="9"/>
        <v>1</v>
      </c>
    </row>
    <row r="90" ht="15.75" customHeight="1">
      <c r="A90" s="28"/>
      <c r="B90" s="16" t="s">
        <v>2824</v>
      </c>
      <c r="C90" s="17">
        <f>COUNTIFS('Prácticas_Revisiones'!$S$2:$S$282,"T077",'Prácticas_Revisiones'!$T$2:$T$282,"REQUIREMENTS &gt; *")+COUNTIFS('Prácticas_Snowballing'!$AB$2:$AB$281,"T077",'Prácticas_Snowballing'!$AC$2:$AC$281,"REQUIREMENTS &gt; *")</f>
        <v>0</v>
      </c>
      <c r="D90" s="17">
        <f>COUNTIFS('Prácticas_Revisiones'!$S$2:$S$282,"T077",'Prácticas_Revisiones'!$T$2:$T$282,"ARCHITECTURE &gt; *")+COUNTIFS('Prácticas_Snowballing'!$AB$2:$AB$281,"T077",'Prácticas_Snowballing'!$AC$2:$AC$281,"ARCHITECTURE &gt; *")</f>
        <v>0</v>
      </c>
      <c r="E90" s="17">
        <f>COUNTIFS('Prácticas_Revisiones'!$S$2:$S$282,"T077",'Prácticas_Revisiones'!$T$2:$T$282,"DESIGN &gt; *")+COUNTIFS('Prácticas_Snowballing'!$AB$2:$AB$281,"T077",'Prácticas_Snowballing'!$AC$2:$AC$281,"DESIGN &gt; *")</f>
        <v>0</v>
      </c>
      <c r="F90" s="17">
        <f>COUNTIFS('Prácticas_Revisiones'!$S$2:$S$282,"T077",'Prácticas_Revisiones'!$T$2:$T$282,"CONSTRUCTION &gt; *")+COUNTIFS('Prácticas_Snowballing'!$AB$2:$AB$281,"T077",'Prácticas_Snowballing'!$AC$2:$AC$281,"CONSTRUCTION &gt; *")</f>
        <v>0</v>
      </c>
      <c r="G90" s="17">
        <f>COUNTIFS('Prácticas_Revisiones'!$S$2:$S$282,"T077",'Prácticas_Revisiones'!$T$2:$T$282,"SOFTWARE TESTING &gt; *")+COUNTIFS('Prácticas_Snowballing'!$AB$2:$AB$281,"T077",'Prácticas_Snowballing'!$AC$2:$AC$281,"SOFTWARE TESTING &gt; *")</f>
        <v>0</v>
      </c>
      <c r="H90" s="17">
        <f>COUNTIFS('Prácticas_Revisiones'!$S$2:$S$282,"T077",'Prácticas_Revisiones'!$T$2:$T$282,"SOFTWARE ENG. OPERATIONS &gt; *")+COUNTIFS('Prácticas_Snowballing'!$AB$2:$AB$281,"T077",'Prácticas_Snowballing'!$AC$2:$AC$281,"SOFTWARE ENG. OPERATIONS &gt; *")</f>
        <v>0</v>
      </c>
      <c r="I90" s="17">
        <f>COUNTIFS('Prácticas_Revisiones'!$S$2:$S$282,"T077",'Prácticas_Revisiones'!$T$2:$T$282,"MAINTENANCE &gt; *")+COUNTIFS('Prácticas_Snowballing'!$AB$2:$AB$281,"T077",'Prácticas_Snowballing'!$AC$2:$AC$281,"MAINTENANCE &gt; *")</f>
        <v>0</v>
      </c>
      <c r="J90" s="17">
        <f>COUNTIFS('Prácticas_Revisiones'!$S$2:$S$282,"T077",'Prácticas_Revisiones'!$T$2:$T$282,"SOFTWARE CONFIG. MGMT. &gt; *")+COUNTIFS('Prácticas_Snowballing'!$AB$2:$AB$281,"T077",'Prácticas_Snowballing'!$AC$2:$AC$281,"SOFTWARE CONFIG. MGMT. &gt; *")</f>
        <v>0</v>
      </c>
      <c r="K90" s="17">
        <f>COUNTIFS('Prácticas_Revisiones'!$S$2:$S$282,"T077",'Prácticas_Revisiones'!$T$2:$T$282,"SOFTWARE ENG. PROCESS &gt; *")+COUNTIFS('Prácticas_Snowballing'!$AB$2:$AB$281,"T077",'Prácticas_Snowballing'!$AC$2:$AC$281,"SOFTWARE ENG. PROCESS &gt; *")</f>
        <v>0</v>
      </c>
      <c r="L90" s="17">
        <f>COUNTIFS('Prácticas_Revisiones'!$S$2:$S$282,"T077",'Prácticas_Revisiones'!$T$2:$T$282,"SOFTWARE ENG. MODELS/METH. &gt; *")+COUNTIFS('Prácticas_Snowballing'!$AB$2:$AB$281,"T077",'Prácticas_Snowballing'!$AC$2:$AC$281,"SOFTWARE ENG. MODELS/METH. &gt; *")</f>
        <v>0</v>
      </c>
      <c r="M90" s="17">
        <f>COUNTIFS('Prácticas_Revisiones'!$S$2:$S$282,"T077",'Prácticas_Revisiones'!$T$2:$T$282,"SOFTWARE QUALITY &gt; *")+COUNTIFS('Prácticas_Snowballing'!$AB$2:$AB$281,"T077",'Prácticas_Snowballing'!$AC$2:$AC$281,"SOFTWARE QUALITY &gt; *")</f>
        <v>0</v>
      </c>
      <c r="N90" s="17">
        <f>COUNTIFS('Prácticas_Revisiones'!$S$2:$S$282,"T077",'Prácticas_Revisiones'!$T$2:$T$282,"SOFTWARE SECURITY &gt; *")+COUNTIFS('Prácticas_Snowballing'!$AB$2:$AB$281,"T077",'Prácticas_Snowballing'!$AC$2:$AC$281,"SOFTWARE SECURITY &gt; *")</f>
        <v>0</v>
      </c>
      <c r="O90" s="17">
        <f>COUNTIFS('Prácticas_Revisiones'!$S$2:$S$282,"T077",'Prácticas_Revisiones'!$T$2:$T$282,"PROFESSIONAL PRACTICE &gt; *")+COUNTIFS('Prácticas_Snowballing'!$AB$2:$AB$281,"T077",'Prácticas_Snowballing'!$AC$2:$AC$281,"PROFESSIONAL PRACTICE &gt; *")</f>
        <v>0</v>
      </c>
      <c r="P90" s="17">
        <f>COUNTIFS('Prácticas_Revisiones'!$S$2:$S$282,"T077",'Prácticas_Revisiones'!$T$2:$T$282,"SOFTWARE ENG. ECONOMICS &gt; *")+COUNTIFS('Prácticas_Snowballing'!$AB$2:$AB$281,"T077",'Prácticas_Snowballing'!$AC$2:$AC$281,"SOFTWARE ENG. ECONOMICS &gt; *")</f>
        <v>0</v>
      </c>
      <c r="Q90" s="17">
        <f>COUNTIFS('Prácticas_Revisiones'!$S$2:$S$282,"T077",'Prácticas_Revisiones'!$T$2:$T$282,"SOFTWARE ENG. MANAGEMENT &gt; *")+COUNTIFS('Prácticas_Snowballing'!$AB$2:$AB$281,"T077",'Prácticas_Snowballing'!$AC$2:$AC$281,"SOFTWARE ENG. MANAGEMENT &gt; *")</f>
        <v>0</v>
      </c>
      <c r="R90" s="17">
        <f>COUNTIFS('Prácticas_Revisiones'!$S$2:$S$282,"T077",'Prácticas_Revisiones'!$T$2:$T$282,"Sin área SWEBOK")+COUNTIFS('Prácticas_Snowballing'!$AB$2:$AB$281,"T077",'Prácticas_Snowballing'!$AC$2:$AC$281,"Sin área SWEBOK")</f>
        <v>0</v>
      </c>
      <c r="S90" s="27">
        <f t="shared" si="9"/>
        <v>0</v>
      </c>
    </row>
    <row r="91" ht="15.75" customHeight="1">
      <c r="A91" s="28"/>
      <c r="B91" s="16" t="s">
        <v>2771</v>
      </c>
      <c r="C91" s="17">
        <f>COUNTIFS('Prácticas_Revisiones'!$S$2:$S$282,"T078",'Prácticas_Revisiones'!$T$2:$T$282,"REQUIREMENTS &gt; *")+COUNTIFS('Prácticas_Snowballing'!$AB$2:$AB$281,"T078",'Prácticas_Snowballing'!$AC$2:$AC$281,"REQUIREMENTS &gt; *")</f>
        <v>0</v>
      </c>
      <c r="D91" s="17">
        <f>COUNTIFS('Prácticas_Revisiones'!$S$2:$S$282,"T078",'Prácticas_Revisiones'!$T$2:$T$282,"ARCHITECTURE &gt; *")+COUNTIFS('Prácticas_Snowballing'!$AB$2:$AB$281,"T078",'Prácticas_Snowballing'!$AC$2:$AC$281,"ARCHITECTURE &gt; *")</f>
        <v>0</v>
      </c>
      <c r="E91" s="17">
        <f>COUNTIFS('Prácticas_Revisiones'!$S$2:$S$282,"T078",'Prácticas_Revisiones'!$T$2:$T$282,"DESIGN &gt; *")+COUNTIFS('Prácticas_Snowballing'!$AB$2:$AB$281,"T078",'Prácticas_Snowballing'!$AC$2:$AC$281,"DESIGN &gt; *")</f>
        <v>1</v>
      </c>
      <c r="F91" s="17">
        <f>COUNTIFS('Prácticas_Revisiones'!$S$2:$S$282,"T078",'Prácticas_Revisiones'!$T$2:$T$282,"CONSTRUCTION &gt; *")+COUNTIFS('Prácticas_Snowballing'!$AB$2:$AB$281,"T078",'Prácticas_Snowballing'!$AC$2:$AC$281,"CONSTRUCTION &gt; *")</f>
        <v>0</v>
      </c>
      <c r="G91" s="17">
        <f>COUNTIFS('Prácticas_Revisiones'!$S$2:$S$282,"T078",'Prácticas_Revisiones'!$T$2:$T$282,"SOFTWARE TESTING &gt; *")+COUNTIFS('Prácticas_Snowballing'!$AB$2:$AB$281,"T078",'Prácticas_Snowballing'!$AC$2:$AC$281,"SOFTWARE TESTING &gt; *")</f>
        <v>0</v>
      </c>
      <c r="H91" s="17">
        <f>COUNTIFS('Prácticas_Revisiones'!$S$2:$S$282,"T078",'Prácticas_Revisiones'!$T$2:$T$282,"SOFTWARE ENG. OPERATIONS &gt; *")+COUNTIFS('Prácticas_Snowballing'!$AB$2:$AB$281,"T078",'Prácticas_Snowballing'!$AC$2:$AC$281,"SOFTWARE ENG. OPERATIONS &gt; *")</f>
        <v>0</v>
      </c>
      <c r="I91" s="17">
        <f>COUNTIFS('Prácticas_Revisiones'!$S$2:$S$282,"T078",'Prácticas_Revisiones'!$T$2:$T$282,"MAINTENANCE &gt; *")+COUNTIFS('Prácticas_Snowballing'!$AB$2:$AB$281,"T078",'Prácticas_Snowballing'!$AC$2:$AC$281,"MAINTENANCE &gt; *")</f>
        <v>0</v>
      </c>
      <c r="J91" s="17">
        <f>COUNTIFS('Prácticas_Revisiones'!$S$2:$S$282,"T078",'Prácticas_Revisiones'!$T$2:$T$282,"SOFTWARE CONFIG. MGMT. &gt; *")+COUNTIFS('Prácticas_Snowballing'!$AB$2:$AB$281,"T078",'Prácticas_Snowballing'!$AC$2:$AC$281,"SOFTWARE CONFIG. MGMT. &gt; *")</f>
        <v>0</v>
      </c>
      <c r="K91" s="17">
        <f>COUNTIFS('Prácticas_Revisiones'!$S$2:$S$282,"T078",'Prácticas_Revisiones'!$T$2:$T$282,"SOFTWARE ENG. PROCESS &gt; *")+COUNTIFS('Prácticas_Snowballing'!$AB$2:$AB$281,"T078",'Prácticas_Snowballing'!$AC$2:$AC$281,"SOFTWARE ENG. PROCESS &gt; *")</f>
        <v>0</v>
      </c>
      <c r="L91" s="17">
        <f>COUNTIFS('Prácticas_Revisiones'!$S$2:$S$282,"T078",'Prácticas_Revisiones'!$T$2:$T$282,"SOFTWARE ENG. MODELS/METH. &gt; *")+COUNTIFS('Prácticas_Snowballing'!$AB$2:$AB$281,"T078",'Prácticas_Snowballing'!$AC$2:$AC$281,"SOFTWARE ENG. MODELS/METH. &gt; *")</f>
        <v>0</v>
      </c>
      <c r="M91" s="17">
        <f>COUNTIFS('Prácticas_Revisiones'!$S$2:$S$282,"T078",'Prácticas_Revisiones'!$T$2:$T$282,"SOFTWARE QUALITY &gt; *")+COUNTIFS('Prácticas_Snowballing'!$AB$2:$AB$281,"T078",'Prácticas_Snowballing'!$AC$2:$AC$281,"SOFTWARE QUALITY &gt; *")</f>
        <v>0</v>
      </c>
      <c r="N91" s="17">
        <f>COUNTIFS('Prácticas_Revisiones'!$S$2:$S$282,"T078",'Prácticas_Revisiones'!$T$2:$T$282,"SOFTWARE SECURITY &gt; *")+COUNTIFS('Prácticas_Snowballing'!$AB$2:$AB$281,"T078",'Prácticas_Snowballing'!$AC$2:$AC$281,"SOFTWARE SECURITY &gt; *")</f>
        <v>0</v>
      </c>
      <c r="O91" s="17">
        <f>COUNTIFS('Prácticas_Revisiones'!$S$2:$S$282,"T078",'Prácticas_Revisiones'!$T$2:$T$282,"PROFESSIONAL PRACTICE &gt; *")+COUNTIFS('Prácticas_Snowballing'!$AB$2:$AB$281,"T078",'Prácticas_Snowballing'!$AC$2:$AC$281,"PROFESSIONAL PRACTICE &gt; *")</f>
        <v>0</v>
      </c>
      <c r="P91" s="17">
        <f>COUNTIFS('Prácticas_Revisiones'!$S$2:$S$282,"T078",'Prácticas_Revisiones'!$T$2:$T$282,"SOFTWARE ENG. ECONOMICS &gt; *")+COUNTIFS('Prácticas_Snowballing'!$AB$2:$AB$281,"T078",'Prácticas_Snowballing'!$AC$2:$AC$281,"SOFTWARE ENG. ECONOMICS &gt; *")</f>
        <v>0</v>
      </c>
      <c r="Q91" s="17">
        <f>COUNTIFS('Prácticas_Revisiones'!$S$2:$S$282,"T078",'Prácticas_Revisiones'!$T$2:$T$282,"SOFTWARE ENG. MANAGEMENT &gt; *")+COUNTIFS('Prácticas_Snowballing'!$AB$2:$AB$281,"T078",'Prácticas_Snowballing'!$AC$2:$AC$281,"SOFTWARE ENG. MANAGEMENT &gt; *")</f>
        <v>0</v>
      </c>
      <c r="R91" s="17">
        <f>COUNTIFS('Prácticas_Revisiones'!$S$2:$S$282,"T078",'Prácticas_Revisiones'!$T$2:$T$282,"Sin área SWEBOK")+COUNTIFS('Prácticas_Snowballing'!$AB$2:$AB$281,"T078",'Prácticas_Snowballing'!$AC$2:$AC$281,"Sin área SWEBOK")</f>
        <v>0</v>
      </c>
      <c r="S91" s="27">
        <f t="shared" si="9"/>
        <v>1</v>
      </c>
    </row>
    <row r="92" ht="15.75" customHeight="1">
      <c r="A92" s="28"/>
      <c r="B92" s="16" t="s">
        <v>2852</v>
      </c>
      <c r="C92" s="17">
        <f>COUNTIFS('Prácticas_Revisiones'!$S$2:$S$282,"T079",'Prácticas_Revisiones'!$T$2:$T$282,"REQUIREMENTS &gt; *")+COUNTIFS('Prácticas_Snowballing'!$AB$2:$AB$281,"T079",'Prácticas_Snowballing'!$AC$2:$AC$281,"REQUIREMENTS &gt; *")</f>
        <v>0</v>
      </c>
      <c r="D92" s="17">
        <f>COUNTIFS('Prácticas_Revisiones'!$S$2:$S$282,"T079",'Prácticas_Revisiones'!$T$2:$T$282,"ARCHITECTURE &gt; *")+COUNTIFS('Prácticas_Snowballing'!$AB$2:$AB$281,"T079",'Prácticas_Snowballing'!$AC$2:$AC$281,"ARCHITECTURE &gt; *")</f>
        <v>0</v>
      </c>
      <c r="E92" s="17">
        <f>COUNTIFS('Prácticas_Revisiones'!$S$2:$S$282,"T079",'Prácticas_Revisiones'!$T$2:$T$282,"DESIGN &gt; *")+COUNTIFS('Prácticas_Snowballing'!$AB$2:$AB$281,"T079",'Prácticas_Snowballing'!$AC$2:$AC$281,"DESIGN &gt; *")</f>
        <v>1</v>
      </c>
      <c r="F92" s="17">
        <f>COUNTIFS('Prácticas_Revisiones'!$S$2:$S$282,"T079",'Prácticas_Revisiones'!$T$2:$T$282,"CONSTRUCTION &gt; *")+COUNTIFS('Prácticas_Snowballing'!$AB$2:$AB$281,"T079",'Prácticas_Snowballing'!$AC$2:$AC$281,"CONSTRUCTION &gt; *")</f>
        <v>0</v>
      </c>
      <c r="G92" s="17">
        <f>COUNTIFS('Prácticas_Revisiones'!$S$2:$S$282,"T079",'Prácticas_Revisiones'!$T$2:$T$282,"SOFTWARE TESTING &gt; *")+COUNTIFS('Prácticas_Snowballing'!$AB$2:$AB$281,"T079",'Prácticas_Snowballing'!$AC$2:$AC$281,"SOFTWARE TESTING &gt; *")</f>
        <v>1</v>
      </c>
      <c r="H92" s="17">
        <f>COUNTIFS('Prácticas_Revisiones'!$S$2:$S$282,"T079",'Prácticas_Revisiones'!$T$2:$T$282,"SOFTWARE ENG. OPERATIONS &gt; *")+COUNTIFS('Prácticas_Snowballing'!$AB$2:$AB$281,"T079",'Prácticas_Snowballing'!$AC$2:$AC$281,"SOFTWARE ENG. OPERATIONS &gt; *")</f>
        <v>0</v>
      </c>
      <c r="I92" s="17">
        <f>COUNTIFS('Prácticas_Revisiones'!$S$2:$S$282,"T079",'Prácticas_Revisiones'!$T$2:$T$282,"MAINTENANCE &gt; *")+COUNTIFS('Prácticas_Snowballing'!$AB$2:$AB$281,"T079",'Prácticas_Snowballing'!$AC$2:$AC$281,"MAINTENANCE &gt; *")</f>
        <v>0</v>
      </c>
      <c r="J92" s="17">
        <f>COUNTIFS('Prácticas_Revisiones'!$S$2:$S$282,"T079",'Prácticas_Revisiones'!$T$2:$T$282,"SOFTWARE CONFIG. MGMT. &gt; *")+COUNTIFS('Prácticas_Snowballing'!$AB$2:$AB$281,"T079",'Prácticas_Snowballing'!$AC$2:$AC$281,"SOFTWARE CONFIG. MGMT. &gt; *")</f>
        <v>0</v>
      </c>
      <c r="K92" s="17">
        <f>COUNTIFS('Prácticas_Revisiones'!$S$2:$S$282,"T079",'Prácticas_Revisiones'!$T$2:$T$282,"SOFTWARE ENG. PROCESS &gt; *")+COUNTIFS('Prácticas_Snowballing'!$AB$2:$AB$281,"T079",'Prácticas_Snowballing'!$AC$2:$AC$281,"SOFTWARE ENG. PROCESS &gt; *")</f>
        <v>0</v>
      </c>
      <c r="L92" s="17">
        <f>COUNTIFS('Prácticas_Revisiones'!$S$2:$S$282,"T079",'Prácticas_Revisiones'!$T$2:$T$282,"SOFTWARE ENG. MODELS/METH. &gt; *")+COUNTIFS('Prácticas_Snowballing'!$AB$2:$AB$281,"T079",'Prácticas_Snowballing'!$AC$2:$AC$281,"SOFTWARE ENG. MODELS/METH. &gt; *")</f>
        <v>0</v>
      </c>
      <c r="M92" s="17">
        <f>COUNTIFS('Prácticas_Revisiones'!$S$2:$S$282,"T079",'Prácticas_Revisiones'!$T$2:$T$282,"SOFTWARE QUALITY &gt; *")+COUNTIFS('Prácticas_Snowballing'!$AB$2:$AB$281,"T079",'Prácticas_Snowballing'!$AC$2:$AC$281,"SOFTWARE QUALITY &gt; *")</f>
        <v>0</v>
      </c>
      <c r="N92" s="17">
        <f>COUNTIFS('Prácticas_Revisiones'!$S$2:$S$282,"T079",'Prácticas_Revisiones'!$T$2:$T$282,"SOFTWARE SECURITY &gt; *")+COUNTIFS('Prácticas_Snowballing'!$AB$2:$AB$281,"T079",'Prácticas_Snowballing'!$AC$2:$AC$281,"SOFTWARE SECURITY &gt; *")</f>
        <v>0</v>
      </c>
      <c r="O92" s="17">
        <f>COUNTIFS('Prácticas_Revisiones'!$S$2:$S$282,"T079",'Prácticas_Revisiones'!$T$2:$T$282,"PROFESSIONAL PRACTICE &gt; *")+COUNTIFS('Prácticas_Snowballing'!$AB$2:$AB$281,"T079",'Prácticas_Snowballing'!$AC$2:$AC$281,"PROFESSIONAL PRACTICE &gt; *")</f>
        <v>0</v>
      </c>
      <c r="P92" s="17">
        <f>COUNTIFS('Prácticas_Revisiones'!$S$2:$S$282,"T079",'Prácticas_Revisiones'!$T$2:$T$282,"SOFTWARE ENG. ECONOMICS &gt; *")+COUNTIFS('Prácticas_Snowballing'!$AB$2:$AB$281,"T079",'Prácticas_Snowballing'!$AC$2:$AC$281,"SOFTWARE ENG. ECONOMICS &gt; *")</f>
        <v>0</v>
      </c>
      <c r="Q92" s="17">
        <f>COUNTIFS('Prácticas_Revisiones'!$S$2:$S$282,"T079",'Prácticas_Revisiones'!$T$2:$T$282,"SOFTWARE ENG. MANAGEMENT &gt; *")+COUNTIFS('Prácticas_Snowballing'!$AB$2:$AB$281,"T079",'Prácticas_Snowballing'!$AC$2:$AC$281,"SOFTWARE ENG. MANAGEMENT &gt; *")</f>
        <v>0</v>
      </c>
      <c r="R92" s="17">
        <f>COUNTIFS('Prácticas_Revisiones'!$S$2:$S$282,"T079",'Prácticas_Revisiones'!$T$2:$T$282,"Sin área SWEBOK")+COUNTIFS('Prácticas_Snowballing'!$AB$2:$AB$281,"T079",'Prácticas_Snowballing'!$AC$2:$AC$281,"Sin área SWEBOK")</f>
        <v>1</v>
      </c>
      <c r="S92" s="27">
        <f t="shared" si="9"/>
        <v>3</v>
      </c>
    </row>
    <row r="93" ht="15.75" customHeight="1">
      <c r="A93" s="28"/>
      <c r="B93" s="16" t="s">
        <v>2822</v>
      </c>
      <c r="C93" s="17">
        <f>COUNTIFS('Prácticas_Revisiones'!$S$2:$S$282,"T080",'Prácticas_Revisiones'!$T$2:$T$282,"REQUIREMENTS &gt; *")+COUNTIFS('Prácticas_Snowballing'!$AB$2:$AB$281,"T080",'Prácticas_Snowballing'!$AC$2:$AC$281,"REQUIREMENTS &gt; *")</f>
        <v>0</v>
      </c>
      <c r="D93" s="17">
        <f>COUNTIFS('Prácticas_Revisiones'!$S$2:$S$282,"T080",'Prácticas_Revisiones'!$T$2:$T$282,"ARCHITECTURE &gt; *")+COUNTIFS('Prácticas_Snowballing'!$AB$2:$AB$281,"T080",'Prácticas_Snowballing'!$AC$2:$AC$281,"ARCHITECTURE &gt; *")</f>
        <v>0</v>
      </c>
      <c r="E93" s="17">
        <f>COUNTIFS('Prácticas_Revisiones'!$S$2:$S$282,"T080",'Prácticas_Revisiones'!$T$2:$T$282,"DESIGN &gt; *")+COUNTIFS('Prácticas_Snowballing'!$AB$2:$AB$281,"T080",'Prácticas_Snowballing'!$AC$2:$AC$281,"DESIGN &gt; *")</f>
        <v>0</v>
      </c>
      <c r="F93" s="17">
        <f>COUNTIFS('Prácticas_Revisiones'!$S$2:$S$282,"T080",'Prácticas_Revisiones'!$T$2:$T$282,"CONSTRUCTION &gt; *")+COUNTIFS('Prácticas_Snowballing'!$AB$2:$AB$281,"T080",'Prácticas_Snowballing'!$AC$2:$AC$281,"CONSTRUCTION &gt; *")</f>
        <v>0</v>
      </c>
      <c r="G93" s="17">
        <f>COUNTIFS('Prácticas_Revisiones'!$S$2:$S$282,"T080",'Prácticas_Revisiones'!$T$2:$T$282,"SOFTWARE TESTING &gt; *")+COUNTIFS('Prácticas_Snowballing'!$AB$2:$AB$281,"T080",'Prácticas_Snowballing'!$AC$2:$AC$281,"SOFTWARE TESTING &gt; *")</f>
        <v>0</v>
      </c>
      <c r="H93" s="17">
        <f>COUNTIFS('Prácticas_Revisiones'!$S$2:$S$282,"T080",'Prácticas_Revisiones'!$T$2:$T$282,"SOFTWARE ENG. OPERATIONS &gt; *")+COUNTIFS('Prácticas_Snowballing'!$AB$2:$AB$281,"T080",'Prácticas_Snowballing'!$AC$2:$AC$281,"SOFTWARE ENG. OPERATIONS &gt; *")</f>
        <v>0</v>
      </c>
      <c r="I93" s="17">
        <f>COUNTIFS('Prácticas_Revisiones'!$S$2:$S$282,"T080",'Prácticas_Revisiones'!$T$2:$T$282,"MAINTENANCE &gt; *")+COUNTIFS('Prácticas_Snowballing'!$AB$2:$AB$281,"T080",'Prácticas_Snowballing'!$AC$2:$AC$281,"MAINTENANCE &gt; *")</f>
        <v>0</v>
      </c>
      <c r="J93" s="17">
        <f>COUNTIFS('Prácticas_Revisiones'!$S$2:$S$282,"T080",'Prácticas_Revisiones'!$T$2:$T$282,"SOFTWARE CONFIG. MGMT. &gt; *")+COUNTIFS('Prácticas_Snowballing'!$AB$2:$AB$281,"T080",'Prácticas_Snowballing'!$AC$2:$AC$281,"SOFTWARE CONFIG. MGMT. &gt; *")</f>
        <v>0</v>
      </c>
      <c r="K93" s="17">
        <f>COUNTIFS('Prácticas_Revisiones'!$S$2:$S$282,"T080",'Prácticas_Revisiones'!$T$2:$T$282,"SOFTWARE ENG. PROCESS &gt; *")+COUNTIFS('Prácticas_Snowballing'!$AB$2:$AB$281,"T080",'Prácticas_Snowballing'!$AC$2:$AC$281,"SOFTWARE ENG. PROCESS &gt; *")</f>
        <v>0</v>
      </c>
      <c r="L93" s="17">
        <f>COUNTIFS('Prácticas_Revisiones'!$S$2:$S$282,"T080",'Prácticas_Revisiones'!$T$2:$T$282,"SOFTWARE ENG. MODELS/METH. &gt; *")+COUNTIFS('Prácticas_Snowballing'!$AB$2:$AB$281,"T080",'Prácticas_Snowballing'!$AC$2:$AC$281,"SOFTWARE ENG. MODELS/METH. &gt; *")</f>
        <v>0</v>
      </c>
      <c r="M93" s="17">
        <f>COUNTIFS('Prácticas_Revisiones'!$S$2:$S$282,"T080",'Prácticas_Revisiones'!$T$2:$T$282,"SOFTWARE QUALITY &gt; *")+COUNTIFS('Prácticas_Snowballing'!$AB$2:$AB$281,"T080",'Prácticas_Snowballing'!$AC$2:$AC$281,"SOFTWARE QUALITY &gt; *")</f>
        <v>0</v>
      </c>
      <c r="N93" s="17">
        <f>COUNTIFS('Prácticas_Revisiones'!$S$2:$S$282,"T080",'Prácticas_Revisiones'!$T$2:$T$282,"SOFTWARE SECURITY &gt; *")+COUNTIFS('Prácticas_Snowballing'!$AB$2:$AB$281,"T080",'Prácticas_Snowballing'!$AC$2:$AC$281,"SOFTWARE SECURITY &gt; *")</f>
        <v>0</v>
      </c>
      <c r="O93" s="17">
        <f>COUNTIFS('Prácticas_Revisiones'!$S$2:$S$282,"T080",'Prácticas_Revisiones'!$T$2:$T$282,"PROFESSIONAL PRACTICE &gt; *")+COUNTIFS('Prácticas_Snowballing'!$AB$2:$AB$281,"T080",'Prácticas_Snowballing'!$AC$2:$AC$281,"PROFESSIONAL PRACTICE &gt; *")</f>
        <v>0</v>
      </c>
      <c r="P93" s="17">
        <f>COUNTIFS('Prácticas_Revisiones'!$S$2:$S$282,"T080",'Prácticas_Revisiones'!$T$2:$T$282,"SOFTWARE ENG. ECONOMICS &gt; *")+COUNTIFS('Prácticas_Snowballing'!$AB$2:$AB$281,"T080",'Prácticas_Snowballing'!$AC$2:$AC$281,"SOFTWARE ENG. ECONOMICS &gt; *")</f>
        <v>0</v>
      </c>
      <c r="Q93" s="17">
        <f>COUNTIFS('Prácticas_Revisiones'!$S$2:$S$282,"T080",'Prácticas_Revisiones'!$T$2:$T$282,"SOFTWARE ENG. MANAGEMENT &gt; *")+COUNTIFS('Prácticas_Snowballing'!$AB$2:$AB$281,"T080",'Prácticas_Snowballing'!$AC$2:$AC$281,"SOFTWARE ENG. MANAGEMENT &gt; *")</f>
        <v>0</v>
      </c>
      <c r="R93" s="17">
        <f>COUNTIFS('Prácticas_Revisiones'!$S$2:$S$282,"T080",'Prácticas_Revisiones'!$T$2:$T$282,"Sin área SWEBOK")+COUNTIFS('Prácticas_Snowballing'!$AB$2:$AB$281,"T080",'Prácticas_Snowballing'!$AC$2:$AC$281,"Sin área SWEBOK")</f>
        <v>0</v>
      </c>
      <c r="S93" s="27">
        <f t="shared" si="9"/>
        <v>0</v>
      </c>
    </row>
    <row r="94" ht="15.75" customHeight="1">
      <c r="A94" s="28"/>
      <c r="B94" s="16" t="s">
        <v>2769</v>
      </c>
      <c r="C94" s="17">
        <f>COUNTIFS('Prácticas_Revisiones'!$S$2:$S$282,"T081",'Prácticas_Revisiones'!$T$2:$T$282,"REQUIREMENTS &gt; *")+COUNTIFS('Prácticas_Snowballing'!$AB$2:$AB$281,"T081",'Prácticas_Snowballing'!$AC$2:$AC$281,"REQUIREMENTS &gt; *")</f>
        <v>0</v>
      </c>
      <c r="D94" s="17">
        <f>COUNTIFS('Prácticas_Revisiones'!$S$2:$S$282,"T081",'Prácticas_Revisiones'!$T$2:$T$282,"ARCHITECTURE &gt; *")+COUNTIFS('Prácticas_Snowballing'!$AB$2:$AB$281,"T081",'Prácticas_Snowballing'!$AC$2:$AC$281,"ARCHITECTURE &gt; *")</f>
        <v>0</v>
      </c>
      <c r="E94" s="17">
        <f>COUNTIFS('Prácticas_Revisiones'!$S$2:$S$282,"T081",'Prácticas_Revisiones'!$T$2:$T$282,"DESIGN &gt; *")+COUNTIFS('Prácticas_Snowballing'!$AB$2:$AB$281,"T081",'Prácticas_Snowballing'!$AC$2:$AC$281,"DESIGN &gt; *")</f>
        <v>1</v>
      </c>
      <c r="F94" s="17">
        <f>COUNTIFS('Prácticas_Revisiones'!$S$2:$S$282,"T081",'Prácticas_Revisiones'!$T$2:$T$282,"CONSTRUCTION &gt; *")+COUNTIFS('Prácticas_Snowballing'!$AB$2:$AB$281,"T081",'Prácticas_Snowballing'!$AC$2:$AC$281,"CONSTRUCTION &gt; *")</f>
        <v>0</v>
      </c>
      <c r="G94" s="17">
        <f>COUNTIFS('Prácticas_Revisiones'!$S$2:$S$282,"T081",'Prácticas_Revisiones'!$T$2:$T$282,"SOFTWARE TESTING &gt; *")+COUNTIFS('Prácticas_Snowballing'!$AB$2:$AB$281,"T081",'Prácticas_Snowballing'!$AC$2:$AC$281,"SOFTWARE TESTING &gt; *")</f>
        <v>0</v>
      </c>
      <c r="H94" s="17">
        <f>COUNTIFS('Prácticas_Revisiones'!$S$2:$S$282,"T081",'Prácticas_Revisiones'!$T$2:$T$282,"SOFTWARE ENG. OPERATIONS &gt; *")+COUNTIFS('Prácticas_Snowballing'!$AB$2:$AB$281,"T081",'Prácticas_Snowballing'!$AC$2:$AC$281,"SOFTWARE ENG. OPERATIONS &gt; *")</f>
        <v>0</v>
      </c>
      <c r="I94" s="17">
        <f>COUNTIFS('Prácticas_Revisiones'!$S$2:$S$282,"T081",'Prácticas_Revisiones'!$T$2:$T$282,"MAINTENANCE &gt; *")+COUNTIFS('Prácticas_Snowballing'!$AB$2:$AB$281,"T081",'Prácticas_Snowballing'!$AC$2:$AC$281,"MAINTENANCE &gt; *")</f>
        <v>0</v>
      </c>
      <c r="J94" s="17">
        <f>COUNTIFS('Prácticas_Revisiones'!$S$2:$S$282,"T081",'Prácticas_Revisiones'!$T$2:$T$282,"SOFTWARE CONFIG. MGMT. &gt; *")+COUNTIFS('Prácticas_Snowballing'!$AB$2:$AB$281,"T081",'Prácticas_Snowballing'!$AC$2:$AC$281,"SOFTWARE CONFIG. MGMT. &gt; *")</f>
        <v>0</v>
      </c>
      <c r="K94" s="17">
        <f>COUNTIFS('Prácticas_Revisiones'!$S$2:$S$282,"T081",'Prácticas_Revisiones'!$T$2:$T$282,"SOFTWARE ENG. PROCESS &gt; *")+COUNTIFS('Prácticas_Snowballing'!$AB$2:$AB$281,"T081",'Prácticas_Snowballing'!$AC$2:$AC$281,"SOFTWARE ENG. PROCESS &gt; *")</f>
        <v>0</v>
      </c>
      <c r="L94" s="17">
        <f>COUNTIFS('Prácticas_Revisiones'!$S$2:$S$282,"T081",'Prácticas_Revisiones'!$T$2:$T$282,"SOFTWARE ENG. MODELS/METH. &gt; *")+COUNTIFS('Prácticas_Snowballing'!$AB$2:$AB$281,"T081",'Prácticas_Snowballing'!$AC$2:$AC$281,"SOFTWARE ENG. MODELS/METH. &gt; *")</f>
        <v>0</v>
      </c>
      <c r="M94" s="17">
        <f>COUNTIFS('Prácticas_Revisiones'!$S$2:$S$282,"T081",'Prácticas_Revisiones'!$T$2:$T$282,"SOFTWARE QUALITY &gt; *")+COUNTIFS('Prácticas_Snowballing'!$AB$2:$AB$281,"T081",'Prácticas_Snowballing'!$AC$2:$AC$281,"SOFTWARE QUALITY &gt; *")</f>
        <v>0</v>
      </c>
      <c r="N94" s="17">
        <f>COUNTIFS('Prácticas_Revisiones'!$S$2:$S$282,"T081",'Prácticas_Revisiones'!$T$2:$T$282,"SOFTWARE SECURITY &gt; *")+COUNTIFS('Prácticas_Snowballing'!$AB$2:$AB$281,"T081",'Prácticas_Snowballing'!$AC$2:$AC$281,"SOFTWARE SECURITY &gt; *")</f>
        <v>0</v>
      </c>
      <c r="O94" s="17">
        <f>COUNTIFS('Prácticas_Revisiones'!$S$2:$S$282,"T081",'Prácticas_Revisiones'!$T$2:$T$282,"PROFESSIONAL PRACTICE &gt; *")+COUNTIFS('Prácticas_Snowballing'!$AB$2:$AB$281,"T081",'Prácticas_Snowballing'!$AC$2:$AC$281,"PROFESSIONAL PRACTICE &gt; *")</f>
        <v>0</v>
      </c>
      <c r="P94" s="17">
        <f>COUNTIFS('Prácticas_Revisiones'!$S$2:$S$282,"T081",'Prácticas_Revisiones'!$T$2:$T$282,"SOFTWARE ENG. ECONOMICS &gt; *")+COUNTIFS('Prácticas_Snowballing'!$AB$2:$AB$281,"T081",'Prácticas_Snowballing'!$AC$2:$AC$281,"SOFTWARE ENG. ECONOMICS &gt; *")</f>
        <v>0</v>
      </c>
      <c r="Q94" s="17">
        <f>COUNTIFS('Prácticas_Revisiones'!$S$2:$S$282,"T081",'Prácticas_Revisiones'!$T$2:$T$282,"SOFTWARE ENG. MANAGEMENT &gt; *")+COUNTIFS('Prácticas_Snowballing'!$AB$2:$AB$281,"T081",'Prácticas_Snowballing'!$AC$2:$AC$281,"SOFTWARE ENG. MANAGEMENT &gt; *")</f>
        <v>0</v>
      </c>
      <c r="R94" s="17">
        <f>COUNTIFS('Prácticas_Revisiones'!$S$2:$S$282,"T081",'Prácticas_Revisiones'!$T$2:$T$282,"Sin área SWEBOK")+COUNTIFS('Prácticas_Snowballing'!$AB$2:$AB$281,"T081",'Prácticas_Snowballing'!$AC$2:$AC$281,"Sin área SWEBOK")</f>
        <v>0</v>
      </c>
      <c r="S94" s="27">
        <f t="shared" si="9"/>
        <v>1</v>
      </c>
    </row>
    <row r="95" ht="15.75" customHeight="1">
      <c r="A95" s="28"/>
      <c r="B95" s="16" t="s">
        <v>2820</v>
      </c>
      <c r="C95" s="17">
        <f>COUNTIFS('Prácticas_Revisiones'!$S$2:$S$282,"T082",'Prácticas_Revisiones'!$T$2:$T$282,"REQUIREMENTS &gt; *")+COUNTIFS('Prácticas_Snowballing'!$AB$2:$AB$281,"T082",'Prácticas_Snowballing'!$AC$2:$AC$281,"REQUIREMENTS &gt; *")</f>
        <v>0</v>
      </c>
      <c r="D95" s="17">
        <f>COUNTIFS('Prácticas_Revisiones'!$S$2:$S$282,"T082",'Prácticas_Revisiones'!$T$2:$T$282,"ARCHITECTURE &gt; *")+COUNTIFS('Prácticas_Snowballing'!$AB$2:$AB$281,"T082",'Prácticas_Snowballing'!$AC$2:$AC$281,"ARCHITECTURE &gt; *")</f>
        <v>0</v>
      </c>
      <c r="E95" s="17">
        <f>COUNTIFS('Prácticas_Revisiones'!$S$2:$S$282,"T082",'Prácticas_Revisiones'!$T$2:$T$282,"DESIGN &gt; *")+COUNTIFS('Prácticas_Snowballing'!$AB$2:$AB$281,"T082",'Prácticas_Snowballing'!$AC$2:$AC$281,"DESIGN &gt; *")</f>
        <v>0</v>
      </c>
      <c r="F95" s="17">
        <f>COUNTIFS('Prácticas_Revisiones'!$S$2:$S$282,"T082",'Prácticas_Revisiones'!$T$2:$T$282,"CONSTRUCTION &gt; *")+COUNTIFS('Prácticas_Snowballing'!$AB$2:$AB$281,"T082",'Prácticas_Snowballing'!$AC$2:$AC$281,"CONSTRUCTION &gt; *")</f>
        <v>0</v>
      </c>
      <c r="G95" s="17">
        <f>COUNTIFS('Prácticas_Revisiones'!$S$2:$S$282,"T082",'Prácticas_Revisiones'!$T$2:$T$282,"SOFTWARE TESTING &gt; *")+COUNTIFS('Prácticas_Snowballing'!$AB$2:$AB$281,"T082",'Prácticas_Snowballing'!$AC$2:$AC$281,"SOFTWARE TESTING &gt; *")</f>
        <v>0</v>
      </c>
      <c r="H95" s="17">
        <f>COUNTIFS('Prácticas_Revisiones'!$S$2:$S$282,"T082",'Prácticas_Revisiones'!$T$2:$T$282,"SOFTWARE ENG. OPERATIONS &gt; *")+COUNTIFS('Prácticas_Snowballing'!$AB$2:$AB$281,"T082",'Prácticas_Snowballing'!$AC$2:$AC$281,"SOFTWARE ENG. OPERATIONS &gt; *")</f>
        <v>0</v>
      </c>
      <c r="I95" s="17">
        <f>COUNTIFS('Prácticas_Revisiones'!$S$2:$S$282,"T082",'Prácticas_Revisiones'!$T$2:$T$282,"MAINTENANCE &gt; *")+COUNTIFS('Prácticas_Snowballing'!$AB$2:$AB$281,"T082",'Prácticas_Snowballing'!$AC$2:$AC$281,"MAINTENANCE &gt; *")</f>
        <v>0</v>
      </c>
      <c r="J95" s="17">
        <f>COUNTIFS('Prácticas_Revisiones'!$S$2:$S$282,"T082",'Prácticas_Revisiones'!$T$2:$T$282,"SOFTWARE CONFIG. MGMT. &gt; *")+COUNTIFS('Prácticas_Snowballing'!$AB$2:$AB$281,"T082",'Prácticas_Snowballing'!$AC$2:$AC$281,"SOFTWARE CONFIG. MGMT. &gt; *")</f>
        <v>0</v>
      </c>
      <c r="K95" s="17">
        <f>COUNTIFS('Prácticas_Revisiones'!$S$2:$S$282,"T082",'Prácticas_Revisiones'!$T$2:$T$282,"SOFTWARE ENG. PROCESS &gt; *")+COUNTIFS('Prácticas_Snowballing'!$AB$2:$AB$281,"T082",'Prácticas_Snowballing'!$AC$2:$AC$281,"SOFTWARE ENG. PROCESS &gt; *")</f>
        <v>0</v>
      </c>
      <c r="L95" s="17">
        <f>COUNTIFS('Prácticas_Revisiones'!$S$2:$S$282,"T082",'Prácticas_Revisiones'!$T$2:$T$282,"SOFTWARE ENG. MODELS/METH. &gt; *")+COUNTIFS('Prácticas_Snowballing'!$AB$2:$AB$281,"T082",'Prácticas_Snowballing'!$AC$2:$AC$281,"SOFTWARE ENG. MODELS/METH. &gt; *")</f>
        <v>0</v>
      </c>
      <c r="M95" s="17">
        <f>COUNTIFS('Prácticas_Revisiones'!$S$2:$S$282,"T082",'Prácticas_Revisiones'!$T$2:$T$282,"SOFTWARE QUALITY &gt; *")+COUNTIFS('Prácticas_Snowballing'!$AB$2:$AB$281,"T082",'Prácticas_Snowballing'!$AC$2:$AC$281,"SOFTWARE QUALITY &gt; *")</f>
        <v>0</v>
      </c>
      <c r="N95" s="17">
        <f>COUNTIFS('Prácticas_Revisiones'!$S$2:$S$282,"T082",'Prácticas_Revisiones'!$T$2:$T$282,"SOFTWARE SECURITY &gt; *")+COUNTIFS('Prácticas_Snowballing'!$AB$2:$AB$281,"T082",'Prácticas_Snowballing'!$AC$2:$AC$281,"SOFTWARE SECURITY &gt; *")</f>
        <v>0</v>
      </c>
      <c r="O95" s="17">
        <f>COUNTIFS('Prácticas_Revisiones'!$S$2:$S$282,"T082",'Prácticas_Revisiones'!$T$2:$T$282,"PROFESSIONAL PRACTICE &gt; *")+COUNTIFS('Prácticas_Snowballing'!$AB$2:$AB$281,"T082",'Prácticas_Snowballing'!$AC$2:$AC$281,"PROFESSIONAL PRACTICE &gt; *")</f>
        <v>0</v>
      </c>
      <c r="P95" s="17">
        <f>COUNTIFS('Prácticas_Revisiones'!$S$2:$S$282,"T082",'Prácticas_Revisiones'!$T$2:$T$282,"SOFTWARE ENG. ECONOMICS &gt; *")+COUNTIFS('Prácticas_Snowballing'!$AB$2:$AB$281,"T082",'Prácticas_Snowballing'!$AC$2:$AC$281,"SOFTWARE ENG. ECONOMICS &gt; *")</f>
        <v>0</v>
      </c>
      <c r="Q95" s="17">
        <f>COUNTIFS('Prácticas_Revisiones'!$S$2:$S$282,"T082",'Prácticas_Revisiones'!$T$2:$T$282,"SOFTWARE ENG. MANAGEMENT &gt; *")+COUNTIFS('Prácticas_Snowballing'!$AB$2:$AB$281,"T082",'Prácticas_Snowballing'!$AC$2:$AC$281,"SOFTWARE ENG. MANAGEMENT &gt; *")</f>
        <v>0</v>
      </c>
      <c r="R95" s="17">
        <f>COUNTIFS('Prácticas_Revisiones'!$S$2:$S$282,"T082",'Prácticas_Revisiones'!$T$2:$T$282,"Sin área SWEBOK")+COUNTIFS('Prácticas_Snowballing'!$AB$2:$AB$281,"T082",'Prácticas_Snowballing'!$AC$2:$AC$281,"Sin área SWEBOK")</f>
        <v>0</v>
      </c>
      <c r="S95" s="27">
        <f t="shared" si="9"/>
        <v>0</v>
      </c>
    </row>
    <row r="96" ht="15.75" customHeight="1">
      <c r="A96" s="28"/>
      <c r="B96" s="16" t="s">
        <v>2818</v>
      </c>
      <c r="C96" s="17">
        <f>COUNTIFS('Prácticas_Revisiones'!$S$2:$S$282,"T083",'Prácticas_Revisiones'!$T$2:$T$282,"REQUIREMENTS &gt; *")+COUNTIFS('Prácticas_Snowballing'!$AB$2:$AB$281,"T083",'Prácticas_Snowballing'!$AC$2:$AC$281,"REQUIREMENTS &gt; *")</f>
        <v>0</v>
      </c>
      <c r="D96" s="17">
        <f>COUNTIFS('Prácticas_Revisiones'!$S$2:$S$282,"T083",'Prácticas_Revisiones'!$T$2:$T$282,"ARCHITECTURE &gt; *")+COUNTIFS('Prácticas_Snowballing'!$AB$2:$AB$281,"T083",'Prácticas_Snowballing'!$AC$2:$AC$281,"ARCHITECTURE &gt; *")</f>
        <v>0</v>
      </c>
      <c r="E96" s="17">
        <f>COUNTIFS('Prácticas_Revisiones'!$S$2:$S$282,"T083",'Prácticas_Revisiones'!$T$2:$T$282,"DESIGN &gt; *")+COUNTIFS('Prácticas_Snowballing'!$AB$2:$AB$281,"T083",'Prácticas_Snowballing'!$AC$2:$AC$281,"DESIGN &gt; *")</f>
        <v>0</v>
      </c>
      <c r="F96" s="17">
        <f>COUNTIFS('Prácticas_Revisiones'!$S$2:$S$282,"T083",'Prácticas_Revisiones'!$T$2:$T$282,"CONSTRUCTION &gt; *")+COUNTIFS('Prácticas_Snowballing'!$AB$2:$AB$281,"T083",'Prácticas_Snowballing'!$AC$2:$AC$281,"CONSTRUCTION &gt; *")</f>
        <v>0</v>
      </c>
      <c r="G96" s="17">
        <f>COUNTIFS('Prácticas_Revisiones'!$S$2:$S$282,"T083",'Prácticas_Revisiones'!$T$2:$T$282,"SOFTWARE TESTING &gt; *")+COUNTIFS('Prácticas_Snowballing'!$AB$2:$AB$281,"T083",'Prácticas_Snowballing'!$AC$2:$AC$281,"SOFTWARE TESTING &gt; *")</f>
        <v>0</v>
      </c>
      <c r="H96" s="17">
        <f>COUNTIFS('Prácticas_Revisiones'!$S$2:$S$282,"T083",'Prácticas_Revisiones'!$T$2:$T$282,"SOFTWARE ENG. OPERATIONS &gt; *")+COUNTIFS('Prácticas_Snowballing'!$AB$2:$AB$281,"T083",'Prácticas_Snowballing'!$AC$2:$AC$281,"SOFTWARE ENG. OPERATIONS &gt; *")</f>
        <v>0</v>
      </c>
      <c r="I96" s="17">
        <f>COUNTIFS('Prácticas_Revisiones'!$S$2:$S$282,"T083",'Prácticas_Revisiones'!$T$2:$T$282,"MAINTENANCE &gt; *")+COUNTIFS('Prácticas_Snowballing'!$AB$2:$AB$281,"T083",'Prácticas_Snowballing'!$AC$2:$AC$281,"MAINTENANCE &gt; *")</f>
        <v>0</v>
      </c>
      <c r="J96" s="17">
        <f>COUNTIFS('Prácticas_Revisiones'!$S$2:$S$282,"T083",'Prácticas_Revisiones'!$T$2:$T$282,"SOFTWARE CONFIG. MGMT. &gt; *")+COUNTIFS('Prácticas_Snowballing'!$AB$2:$AB$281,"T083",'Prácticas_Snowballing'!$AC$2:$AC$281,"SOFTWARE CONFIG. MGMT. &gt; *")</f>
        <v>0</v>
      </c>
      <c r="K96" s="17">
        <f>COUNTIFS('Prácticas_Revisiones'!$S$2:$S$282,"T083",'Prácticas_Revisiones'!$T$2:$T$282,"SOFTWARE ENG. PROCESS &gt; *")+COUNTIFS('Prácticas_Snowballing'!$AB$2:$AB$281,"T083",'Prácticas_Snowballing'!$AC$2:$AC$281,"SOFTWARE ENG. PROCESS &gt; *")</f>
        <v>0</v>
      </c>
      <c r="L96" s="17">
        <f>COUNTIFS('Prácticas_Revisiones'!$S$2:$S$282,"T083",'Prácticas_Revisiones'!$T$2:$T$282,"SOFTWARE ENG. MODELS/METH. &gt; *")+COUNTIFS('Prácticas_Snowballing'!$AB$2:$AB$281,"T083",'Prácticas_Snowballing'!$AC$2:$AC$281,"SOFTWARE ENG. MODELS/METH. &gt; *")</f>
        <v>0</v>
      </c>
      <c r="M96" s="17">
        <f>COUNTIFS('Prácticas_Revisiones'!$S$2:$S$282,"T083",'Prácticas_Revisiones'!$T$2:$T$282,"SOFTWARE QUALITY &gt; *")+COUNTIFS('Prácticas_Snowballing'!$AB$2:$AB$281,"T083",'Prácticas_Snowballing'!$AC$2:$AC$281,"SOFTWARE QUALITY &gt; *")</f>
        <v>0</v>
      </c>
      <c r="N96" s="17">
        <f>COUNTIFS('Prácticas_Revisiones'!$S$2:$S$282,"T083",'Prácticas_Revisiones'!$T$2:$T$282,"SOFTWARE SECURITY &gt; *")+COUNTIFS('Prácticas_Snowballing'!$AB$2:$AB$281,"T083",'Prácticas_Snowballing'!$AC$2:$AC$281,"SOFTWARE SECURITY &gt; *")</f>
        <v>0</v>
      </c>
      <c r="O96" s="17">
        <f>COUNTIFS('Prácticas_Revisiones'!$S$2:$S$282,"T083",'Prácticas_Revisiones'!$T$2:$T$282,"PROFESSIONAL PRACTICE &gt; *")+COUNTIFS('Prácticas_Snowballing'!$AB$2:$AB$281,"T083",'Prácticas_Snowballing'!$AC$2:$AC$281,"PROFESSIONAL PRACTICE &gt; *")</f>
        <v>0</v>
      </c>
      <c r="P96" s="17">
        <f>COUNTIFS('Prácticas_Revisiones'!$S$2:$S$282,"T083",'Prácticas_Revisiones'!$T$2:$T$282,"SOFTWARE ENG. ECONOMICS &gt; *")+COUNTIFS('Prácticas_Snowballing'!$AB$2:$AB$281,"T083",'Prácticas_Snowballing'!$AC$2:$AC$281,"SOFTWARE ENG. ECONOMICS &gt; *")</f>
        <v>0</v>
      </c>
      <c r="Q96" s="17">
        <f>COUNTIFS('Prácticas_Revisiones'!$S$2:$S$282,"T083",'Prácticas_Revisiones'!$T$2:$T$282,"SOFTWARE ENG. MANAGEMENT &gt; *")+COUNTIFS('Prácticas_Snowballing'!$AB$2:$AB$281,"T083",'Prácticas_Snowballing'!$AC$2:$AC$281,"SOFTWARE ENG. MANAGEMENT &gt; *")</f>
        <v>0</v>
      </c>
      <c r="R96" s="17">
        <f>COUNTIFS('Prácticas_Revisiones'!$S$2:$S$282,"T083",'Prácticas_Revisiones'!$T$2:$T$282,"Sin área SWEBOK")+COUNTIFS('Prácticas_Snowballing'!$AB$2:$AB$281,"T083",'Prácticas_Snowballing'!$AC$2:$AC$281,"Sin área SWEBOK")</f>
        <v>0</v>
      </c>
      <c r="S96" s="27">
        <f t="shared" si="9"/>
        <v>0</v>
      </c>
    </row>
    <row r="97" ht="15.75" customHeight="1">
      <c r="A97" s="28"/>
      <c r="B97" s="16" t="s">
        <v>2815</v>
      </c>
      <c r="C97" s="17">
        <f>COUNTIFS('Prácticas_Revisiones'!$S$2:$S$282,"T084",'Prácticas_Revisiones'!$T$2:$T$282,"REQUIREMENTS &gt; *")+COUNTIFS('Prácticas_Snowballing'!$AB$2:$AB$281,"T084",'Prácticas_Snowballing'!$AC$2:$AC$281,"REQUIREMENTS &gt; *")</f>
        <v>0</v>
      </c>
      <c r="D97" s="17">
        <f>COUNTIFS('Prácticas_Revisiones'!$S$2:$S$282,"T084",'Prácticas_Revisiones'!$T$2:$T$282,"ARCHITECTURE &gt; *")+COUNTIFS('Prácticas_Snowballing'!$AB$2:$AB$281,"T084",'Prácticas_Snowballing'!$AC$2:$AC$281,"ARCHITECTURE &gt; *")</f>
        <v>0</v>
      </c>
      <c r="E97" s="17">
        <f>COUNTIFS('Prácticas_Revisiones'!$S$2:$S$282,"T084",'Prácticas_Revisiones'!$T$2:$T$282,"DESIGN &gt; *")+COUNTIFS('Prácticas_Snowballing'!$AB$2:$AB$281,"T084",'Prácticas_Snowballing'!$AC$2:$AC$281,"DESIGN &gt; *")</f>
        <v>0</v>
      </c>
      <c r="F97" s="17">
        <f>COUNTIFS('Prácticas_Revisiones'!$S$2:$S$282,"T084",'Prácticas_Revisiones'!$T$2:$T$282,"CONSTRUCTION &gt; *")+COUNTIFS('Prácticas_Snowballing'!$AB$2:$AB$281,"T084",'Prácticas_Snowballing'!$AC$2:$AC$281,"CONSTRUCTION &gt; *")</f>
        <v>0</v>
      </c>
      <c r="G97" s="17">
        <f>COUNTIFS('Prácticas_Revisiones'!$S$2:$S$282,"T084",'Prácticas_Revisiones'!$T$2:$T$282,"SOFTWARE TESTING &gt; *")+COUNTIFS('Prácticas_Snowballing'!$AB$2:$AB$281,"T084",'Prácticas_Snowballing'!$AC$2:$AC$281,"SOFTWARE TESTING &gt; *")</f>
        <v>0</v>
      </c>
      <c r="H97" s="17">
        <f>COUNTIFS('Prácticas_Revisiones'!$S$2:$S$282,"T084",'Prácticas_Revisiones'!$T$2:$T$282,"SOFTWARE ENG. OPERATIONS &gt; *")+COUNTIFS('Prácticas_Snowballing'!$AB$2:$AB$281,"T084",'Prácticas_Snowballing'!$AC$2:$AC$281,"SOFTWARE ENG. OPERATIONS &gt; *")</f>
        <v>0</v>
      </c>
      <c r="I97" s="17">
        <f>COUNTIFS('Prácticas_Revisiones'!$S$2:$S$282,"T084",'Prácticas_Revisiones'!$T$2:$T$282,"MAINTENANCE &gt; *")+COUNTIFS('Prácticas_Snowballing'!$AB$2:$AB$281,"T084",'Prácticas_Snowballing'!$AC$2:$AC$281,"MAINTENANCE &gt; *")</f>
        <v>0</v>
      </c>
      <c r="J97" s="17">
        <f>COUNTIFS('Prácticas_Revisiones'!$S$2:$S$282,"T084",'Prácticas_Revisiones'!$T$2:$T$282,"SOFTWARE CONFIG. MGMT. &gt; *")+COUNTIFS('Prácticas_Snowballing'!$AB$2:$AB$281,"T084",'Prácticas_Snowballing'!$AC$2:$AC$281,"SOFTWARE CONFIG. MGMT. &gt; *")</f>
        <v>0</v>
      </c>
      <c r="K97" s="17">
        <f>COUNTIFS('Prácticas_Revisiones'!$S$2:$S$282,"T084",'Prácticas_Revisiones'!$T$2:$T$282,"SOFTWARE ENG. PROCESS &gt; *")+COUNTIFS('Prácticas_Snowballing'!$AB$2:$AB$281,"T084",'Prácticas_Snowballing'!$AC$2:$AC$281,"SOFTWARE ENG. PROCESS &gt; *")</f>
        <v>0</v>
      </c>
      <c r="L97" s="17">
        <f>COUNTIFS('Prácticas_Revisiones'!$S$2:$S$282,"T084",'Prácticas_Revisiones'!$T$2:$T$282,"SOFTWARE ENG. MODELS/METH. &gt; *")+COUNTIFS('Prácticas_Snowballing'!$AB$2:$AB$281,"T084",'Prácticas_Snowballing'!$AC$2:$AC$281,"SOFTWARE ENG. MODELS/METH. &gt; *")</f>
        <v>0</v>
      </c>
      <c r="M97" s="17">
        <f>COUNTIFS('Prácticas_Revisiones'!$S$2:$S$282,"T084",'Prácticas_Revisiones'!$T$2:$T$282,"SOFTWARE QUALITY &gt; *")+COUNTIFS('Prácticas_Snowballing'!$AB$2:$AB$281,"T084",'Prácticas_Snowballing'!$AC$2:$AC$281,"SOFTWARE QUALITY &gt; *")</f>
        <v>0</v>
      </c>
      <c r="N97" s="17">
        <f>COUNTIFS('Prácticas_Revisiones'!$S$2:$S$282,"T084",'Prácticas_Revisiones'!$T$2:$T$282,"SOFTWARE SECURITY &gt; *")+COUNTIFS('Prácticas_Snowballing'!$AB$2:$AB$281,"T084",'Prácticas_Snowballing'!$AC$2:$AC$281,"SOFTWARE SECURITY &gt; *")</f>
        <v>0</v>
      </c>
      <c r="O97" s="17">
        <f>COUNTIFS('Prácticas_Revisiones'!$S$2:$S$282,"T084",'Prácticas_Revisiones'!$T$2:$T$282,"PROFESSIONAL PRACTICE &gt; *")+COUNTIFS('Prácticas_Snowballing'!$AB$2:$AB$281,"T084",'Prácticas_Snowballing'!$AC$2:$AC$281,"PROFESSIONAL PRACTICE &gt; *")</f>
        <v>0</v>
      </c>
      <c r="P97" s="17">
        <f>COUNTIFS('Prácticas_Revisiones'!$S$2:$S$282,"T084",'Prácticas_Revisiones'!$T$2:$T$282,"SOFTWARE ENG. ECONOMICS &gt; *")+COUNTIFS('Prácticas_Snowballing'!$AB$2:$AB$281,"T084",'Prácticas_Snowballing'!$AC$2:$AC$281,"SOFTWARE ENG. ECONOMICS &gt; *")</f>
        <v>0</v>
      </c>
      <c r="Q97" s="17">
        <f>COUNTIFS('Prácticas_Revisiones'!$S$2:$S$282,"T084",'Prácticas_Revisiones'!$T$2:$T$282,"SOFTWARE ENG. MANAGEMENT &gt; *")+COUNTIFS('Prácticas_Snowballing'!$AB$2:$AB$281,"T084",'Prácticas_Snowballing'!$AC$2:$AC$281,"SOFTWARE ENG. MANAGEMENT &gt; *")</f>
        <v>0</v>
      </c>
      <c r="R97" s="17">
        <f>COUNTIFS('Prácticas_Revisiones'!$S$2:$S$282,"T084",'Prácticas_Revisiones'!$T$2:$T$282,"Sin área SWEBOK")+COUNTIFS('Prácticas_Snowballing'!$AB$2:$AB$281,"T084",'Prácticas_Snowballing'!$AC$2:$AC$281,"Sin área SWEBOK")</f>
        <v>0</v>
      </c>
      <c r="S97" s="27">
        <f t="shared" si="9"/>
        <v>0</v>
      </c>
    </row>
    <row r="98" ht="15.75" customHeight="1">
      <c r="A98" s="28"/>
      <c r="B98" s="16" t="s">
        <v>2813</v>
      </c>
      <c r="C98" s="17">
        <f>COUNTIFS('Prácticas_Revisiones'!$S$2:$S$282,"T085",'Prácticas_Revisiones'!$T$2:$T$282,"REQUIREMENTS &gt; *")+COUNTIFS('Prácticas_Snowballing'!$AB$2:$AB$281,"T085",'Prácticas_Snowballing'!$AC$2:$AC$281,"REQUIREMENTS &gt; *")</f>
        <v>0</v>
      </c>
      <c r="D98" s="17">
        <f>COUNTIFS('Prácticas_Revisiones'!$S$2:$S$282,"T085",'Prácticas_Revisiones'!$T$2:$T$282,"ARCHITECTURE &gt; *")+COUNTIFS('Prácticas_Snowballing'!$AB$2:$AB$281,"T085",'Prácticas_Snowballing'!$AC$2:$AC$281,"ARCHITECTURE &gt; *")</f>
        <v>0</v>
      </c>
      <c r="E98" s="17">
        <f>COUNTIFS('Prácticas_Revisiones'!$S$2:$S$282,"T085",'Prácticas_Revisiones'!$T$2:$T$282,"DESIGN &gt; *")+COUNTIFS('Prácticas_Snowballing'!$AB$2:$AB$281,"T085",'Prácticas_Snowballing'!$AC$2:$AC$281,"DESIGN &gt; *")</f>
        <v>0</v>
      </c>
      <c r="F98" s="17">
        <f>COUNTIFS('Prácticas_Revisiones'!$S$2:$S$282,"T085",'Prácticas_Revisiones'!$T$2:$T$282,"CONSTRUCTION &gt; *")+COUNTIFS('Prácticas_Snowballing'!$AB$2:$AB$281,"T085",'Prácticas_Snowballing'!$AC$2:$AC$281,"CONSTRUCTION &gt; *")</f>
        <v>0</v>
      </c>
      <c r="G98" s="17">
        <f>COUNTIFS('Prácticas_Revisiones'!$S$2:$S$282,"T085",'Prácticas_Revisiones'!$T$2:$T$282,"SOFTWARE TESTING &gt; *")+COUNTIFS('Prácticas_Snowballing'!$AB$2:$AB$281,"T085",'Prácticas_Snowballing'!$AC$2:$AC$281,"SOFTWARE TESTING &gt; *")</f>
        <v>0</v>
      </c>
      <c r="H98" s="17">
        <f>COUNTIFS('Prácticas_Revisiones'!$S$2:$S$282,"T085",'Prácticas_Revisiones'!$T$2:$T$282,"SOFTWARE ENG. OPERATIONS &gt; *")+COUNTIFS('Prácticas_Snowballing'!$AB$2:$AB$281,"T085",'Prácticas_Snowballing'!$AC$2:$AC$281,"SOFTWARE ENG. OPERATIONS &gt; *")</f>
        <v>0</v>
      </c>
      <c r="I98" s="17">
        <f>COUNTIFS('Prácticas_Revisiones'!$S$2:$S$282,"T085",'Prácticas_Revisiones'!$T$2:$T$282,"MAINTENANCE &gt; *")+COUNTIFS('Prácticas_Snowballing'!$AB$2:$AB$281,"T085",'Prácticas_Snowballing'!$AC$2:$AC$281,"MAINTENANCE &gt; *")</f>
        <v>0</v>
      </c>
      <c r="J98" s="17">
        <f>COUNTIFS('Prácticas_Revisiones'!$S$2:$S$282,"T085",'Prácticas_Revisiones'!$T$2:$T$282,"SOFTWARE CONFIG. MGMT. &gt; *")+COUNTIFS('Prácticas_Snowballing'!$AB$2:$AB$281,"T085",'Prácticas_Snowballing'!$AC$2:$AC$281,"SOFTWARE CONFIG. MGMT. &gt; *")</f>
        <v>0</v>
      </c>
      <c r="K98" s="17">
        <f>COUNTIFS('Prácticas_Revisiones'!$S$2:$S$282,"T085",'Prácticas_Revisiones'!$T$2:$T$282,"SOFTWARE ENG. PROCESS &gt; *")+COUNTIFS('Prácticas_Snowballing'!$AB$2:$AB$281,"T085",'Prácticas_Snowballing'!$AC$2:$AC$281,"SOFTWARE ENG. PROCESS &gt; *")</f>
        <v>0</v>
      </c>
      <c r="L98" s="17">
        <f>COUNTIFS('Prácticas_Revisiones'!$S$2:$S$282,"T085",'Prácticas_Revisiones'!$T$2:$T$282,"SOFTWARE ENG. MODELS/METH. &gt; *")+COUNTIFS('Prácticas_Snowballing'!$AB$2:$AB$281,"T085",'Prácticas_Snowballing'!$AC$2:$AC$281,"SOFTWARE ENG. MODELS/METH. &gt; *")</f>
        <v>0</v>
      </c>
      <c r="M98" s="17">
        <f>COUNTIFS('Prácticas_Revisiones'!$S$2:$S$282,"T085",'Prácticas_Revisiones'!$T$2:$T$282,"SOFTWARE QUALITY &gt; *")+COUNTIFS('Prácticas_Snowballing'!$AB$2:$AB$281,"T085",'Prácticas_Snowballing'!$AC$2:$AC$281,"SOFTWARE QUALITY &gt; *")</f>
        <v>0</v>
      </c>
      <c r="N98" s="17">
        <f>COUNTIFS('Prácticas_Revisiones'!$S$2:$S$282,"T085",'Prácticas_Revisiones'!$T$2:$T$282,"SOFTWARE SECURITY &gt; *")+COUNTIFS('Prácticas_Snowballing'!$AB$2:$AB$281,"T085",'Prácticas_Snowballing'!$AC$2:$AC$281,"SOFTWARE SECURITY &gt; *")</f>
        <v>0</v>
      </c>
      <c r="O98" s="17">
        <f>COUNTIFS('Prácticas_Revisiones'!$S$2:$S$282,"T085",'Prácticas_Revisiones'!$T$2:$T$282,"PROFESSIONAL PRACTICE &gt; *")+COUNTIFS('Prácticas_Snowballing'!$AB$2:$AB$281,"T085",'Prácticas_Snowballing'!$AC$2:$AC$281,"PROFESSIONAL PRACTICE &gt; *")</f>
        <v>0</v>
      </c>
      <c r="P98" s="17">
        <f>COUNTIFS('Prácticas_Revisiones'!$S$2:$S$282,"T085",'Prácticas_Revisiones'!$T$2:$T$282,"SOFTWARE ENG. ECONOMICS &gt; *")+COUNTIFS('Prácticas_Snowballing'!$AB$2:$AB$281,"T085",'Prácticas_Snowballing'!$AC$2:$AC$281,"SOFTWARE ENG. ECONOMICS &gt; *")</f>
        <v>0</v>
      </c>
      <c r="Q98" s="17">
        <f>COUNTIFS('Prácticas_Revisiones'!$S$2:$S$282,"T085",'Prácticas_Revisiones'!$T$2:$T$282,"SOFTWARE ENG. MANAGEMENT &gt; *")+COUNTIFS('Prácticas_Snowballing'!$AB$2:$AB$281,"T085",'Prácticas_Snowballing'!$AC$2:$AC$281,"SOFTWARE ENG. MANAGEMENT &gt; *")</f>
        <v>0</v>
      </c>
      <c r="R98" s="17">
        <f>COUNTIFS('Prácticas_Revisiones'!$S$2:$S$282,"T085",'Prácticas_Revisiones'!$T$2:$T$282,"Sin área SWEBOK")+COUNTIFS('Prácticas_Snowballing'!$AB$2:$AB$281,"T085",'Prácticas_Snowballing'!$AC$2:$AC$281,"Sin área SWEBOK")</f>
        <v>0</v>
      </c>
      <c r="S98" s="27">
        <f t="shared" si="9"/>
        <v>0</v>
      </c>
    </row>
    <row r="99" ht="15.75" customHeight="1">
      <c r="A99" s="28"/>
      <c r="B99" s="16" t="s">
        <v>2810</v>
      </c>
      <c r="C99" s="17">
        <f>COUNTIFS('Prácticas_Revisiones'!$S$2:$S$282,"T086",'Prácticas_Revisiones'!$T$2:$T$282,"REQUIREMENTS &gt; *")+COUNTIFS('Prácticas_Snowballing'!$AB$2:$AB$281,"T086",'Prácticas_Snowballing'!$AC$2:$AC$281,"REQUIREMENTS &gt; *")</f>
        <v>0</v>
      </c>
      <c r="D99" s="17">
        <f>COUNTIFS('Prácticas_Revisiones'!$S$2:$S$282,"T086",'Prácticas_Revisiones'!$T$2:$T$282,"ARCHITECTURE &gt; *")+COUNTIFS('Prácticas_Snowballing'!$AB$2:$AB$281,"T086",'Prácticas_Snowballing'!$AC$2:$AC$281,"ARCHITECTURE &gt; *")</f>
        <v>0</v>
      </c>
      <c r="E99" s="17">
        <f>COUNTIFS('Prácticas_Revisiones'!$S$2:$S$282,"T086",'Prácticas_Revisiones'!$T$2:$T$282,"DESIGN &gt; *")+COUNTIFS('Prácticas_Snowballing'!$AB$2:$AB$281,"T086",'Prácticas_Snowballing'!$AC$2:$AC$281,"DESIGN &gt; *")</f>
        <v>0</v>
      </c>
      <c r="F99" s="17">
        <f>COUNTIFS('Prácticas_Revisiones'!$S$2:$S$282,"T086",'Prácticas_Revisiones'!$T$2:$T$282,"CONSTRUCTION &gt; *")+COUNTIFS('Prácticas_Snowballing'!$AB$2:$AB$281,"T086",'Prácticas_Snowballing'!$AC$2:$AC$281,"CONSTRUCTION &gt; *")</f>
        <v>0</v>
      </c>
      <c r="G99" s="17">
        <f>COUNTIFS('Prácticas_Revisiones'!$S$2:$S$282,"T086",'Prácticas_Revisiones'!$T$2:$T$282,"SOFTWARE TESTING &gt; *")+COUNTIFS('Prácticas_Snowballing'!$AB$2:$AB$281,"T086",'Prácticas_Snowballing'!$AC$2:$AC$281,"SOFTWARE TESTING &gt; *")</f>
        <v>0</v>
      </c>
      <c r="H99" s="17">
        <f>COUNTIFS('Prácticas_Revisiones'!$S$2:$S$282,"T086",'Prácticas_Revisiones'!$T$2:$T$282,"SOFTWARE ENG. OPERATIONS &gt; *")+COUNTIFS('Prácticas_Snowballing'!$AB$2:$AB$281,"T086",'Prácticas_Snowballing'!$AC$2:$AC$281,"SOFTWARE ENG. OPERATIONS &gt; *")</f>
        <v>0</v>
      </c>
      <c r="I99" s="17">
        <f>COUNTIFS('Prácticas_Revisiones'!$S$2:$S$282,"T086",'Prácticas_Revisiones'!$T$2:$T$282,"MAINTENANCE &gt; *")+COUNTIFS('Prácticas_Snowballing'!$AB$2:$AB$281,"T086",'Prácticas_Snowballing'!$AC$2:$AC$281,"MAINTENANCE &gt; *")</f>
        <v>0</v>
      </c>
      <c r="J99" s="17">
        <f>COUNTIFS('Prácticas_Revisiones'!$S$2:$S$282,"T086",'Prácticas_Revisiones'!$T$2:$T$282,"SOFTWARE CONFIG. MGMT. &gt; *")+COUNTIFS('Prácticas_Snowballing'!$AB$2:$AB$281,"T086",'Prácticas_Snowballing'!$AC$2:$AC$281,"SOFTWARE CONFIG. MGMT. &gt; *")</f>
        <v>0</v>
      </c>
      <c r="K99" s="17">
        <f>COUNTIFS('Prácticas_Revisiones'!$S$2:$S$282,"T086",'Prácticas_Revisiones'!$T$2:$T$282,"SOFTWARE ENG. PROCESS &gt; *")+COUNTIFS('Prácticas_Snowballing'!$AB$2:$AB$281,"T086",'Prácticas_Snowballing'!$AC$2:$AC$281,"SOFTWARE ENG. PROCESS &gt; *")</f>
        <v>0</v>
      </c>
      <c r="L99" s="17">
        <f>COUNTIFS('Prácticas_Revisiones'!$S$2:$S$282,"T086",'Prácticas_Revisiones'!$T$2:$T$282,"SOFTWARE ENG. MODELS/METH. &gt; *")+COUNTIFS('Prácticas_Snowballing'!$AB$2:$AB$281,"T086",'Prácticas_Snowballing'!$AC$2:$AC$281,"SOFTWARE ENG. MODELS/METH. &gt; *")</f>
        <v>0</v>
      </c>
      <c r="M99" s="17">
        <f>COUNTIFS('Prácticas_Revisiones'!$S$2:$S$282,"T086",'Prácticas_Revisiones'!$T$2:$T$282,"SOFTWARE QUALITY &gt; *")+COUNTIFS('Prácticas_Snowballing'!$AB$2:$AB$281,"T086",'Prácticas_Snowballing'!$AC$2:$AC$281,"SOFTWARE QUALITY &gt; *")</f>
        <v>0</v>
      </c>
      <c r="N99" s="17">
        <f>COUNTIFS('Prácticas_Revisiones'!$S$2:$S$282,"T086",'Prácticas_Revisiones'!$T$2:$T$282,"SOFTWARE SECURITY &gt; *")+COUNTIFS('Prácticas_Snowballing'!$AB$2:$AB$281,"T086",'Prácticas_Snowballing'!$AC$2:$AC$281,"SOFTWARE SECURITY &gt; *")</f>
        <v>0</v>
      </c>
      <c r="O99" s="17">
        <f>COUNTIFS('Prácticas_Revisiones'!$S$2:$S$282,"T086",'Prácticas_Revisiones'!$T$2:$T$282,"PROFESSIONAL PRACTICE &gt; *")+COUNTIFS('Prácticas_Snowballing'!$AB$2:$AB$281,"T086",'Prácticas_Snowballing'!$AC$2:$AC$281,"PROFESSIONAL PRACTICE &gt; *")</f>
        <v>0</v>
      </c>
      <c r="P99" s="17">
        <f>COUNTIFS('Prácticas_Revisiones'!$S$2:$S$282,"T086",'Prácticas_Revisiones'!$T$2:$T$282,"SOFTWARE ENG. ECONOMICS &gt; *")+COUNTIFS('Prácticas_Snowballing'!$AB$2:$AB$281,"T086",'Prácticas_Snowballing'!$AC$2:$AC$281,"SOFTWARE ENG. ECONOMICS &gt; *")</f>
        <v>0</v>
      </c>
      <c r="Q99" s="17">
        <f>COUNTIFS('Prácticas_Revisiones'!$S$2:$S$282,"T086",'Prácticas_Revisiones'!$T$2:$T$282,"SOFTWARE ENG. MANAGEMENT &gt; *")+COUNTIFS('Prácticas_Snowballing'!$AB$2:$AB$281,"T086",'Prácticas_Snowballing'!$AC$2:$AC$281,"SOFTWARE ENG. MANAGEMENT &gt; *")</f>
        <v>0</v>
      </c>
      <c r="R99" s="17">
        <f>COUNTIFS('Prácticas_Revisiones'!$S$2:$S$282,"T086",'Prácticas_Revisiones'!$T$2:$T$282,"Sin área SWEBOK")+COUNTIFS('Prácticas_Snowballing'!$AB$2:$AB$281,"T086",'Prácticas_Snowballing'!$AC$2:$AC$281,"Sin área SWEBOK")</f>
        <v>0</v>
      </c>
      <c r="S99" s="27">
        <f t="shared" si="9"/>
        <v>0</v>
      </c>
    </row>
    <row r="100" ht="15.75" customHeight="1">
      <c r="A100" s="28"/>
      <c r="B100" s="16" t="s">
        <v>2807</v>
      </c>
      <c r="C100" s="17">
        <f>COUNTIFS('Prácticas_Revisiones'!$S$2:$S$282,"T087",'Prácticas_Revisiones'!$T$2:$T$282,"REQUIREMENTS &gt; *")+COUNTIFS('Prácticas_Snowballing'!$AB$2:$AB$281,"T087",'Prácticas_Snowballing'!$AC$2:$AC$281,"REQUIREMENTS &gt; *")</f>
        <v>0</v>
      </c>
      <c r="D100" s="17">
        <f>COUNTIFS('Prácticas_Revisiones'!$S$2:$S$282,"T087",'Prácticas_Revisiones'!$T$2:$T$282,"ARCHITECTURE &gt; *")+COUNTIFS('Prácticas_Snowballing'!$AB$2:$AB$281,"T087",'Prácticas_Snowballing'!$AC$2:$AC$281,"ARCHITECTURE &gt; *")</f>
        <v>0</v>
      </c>
      <c r="E100" s="17">
        <f>COUNTIFS('Prácticas_Revisiones'!$S$2:$S$282,"T087",'Prácticas_Revisiones'!$T$2:$T$282,"DESIGN &gt; *")+COUNTIFS('Prácticas_Snowballing'!$AB$2:$AB$281,"T087",'Prácticas_Snowballing'!$AC$2:$AC$281,"DESIGN &gt; *")</f>
        <v>0</v>
      </c>
      <c r="F100" s="17">
        <f>COUNTIFS('Prácticas_Revisiones'!$S$2:$S$282,"T087",'Prácticas_Revisiones'!$T$2:$T$282,"CONSTRUCTION &gt; *")+COUNTIFS('Prácticas_Snowballing'!$AB$2:$AB$281,"T087",'Prácticas_Snowballing'!$AC$2:$AC$281,"CONSTRUCTION &gt; *")</f>
        <v>0</v>
      </c>
      <c r="G100" s="17">
        <f>COUNTIFS('Prácticas_Revisiones'!$S$2:$S$282,"T087",'Prácticas_Revisiones'!$T$2:$T$282,"SOFTWARE TESTING &gt; *")+COUNTIFS('Prácticas_Snowballing'!$AB$2:$AB$281,"T087",'Prácticas_Snowballing'!$AC$2:$AC$281,"SOFTWARE TESTING &gt; *")</f>
        <v>0</v>
      </c>
      <c r="H100" s="17">
        <f>COUNTIFS('Prácticas_Revisiones'!$S$2:$S$282,"T087",'Prácticas_Revisiones'!$T$2:$T$282,"SOFTWARE ENG. OPERATIONS &gt; *")+COUNTIFS('Prácticas_Snowballing'!$AB$2:$AB$281,"T087",'Prácticas_Snowballing'!$AC$2:$AC$281,"SOFTWARE ENG. OPERATIONS &gt; *")</f>
        <v>0</v>
      </c>
      <c r="I100" s="17">
        <f>COUNTIFS('Prácticas_Revisiones'!$S$2:$S$282,"T087",'Prácticas_Revisiones'!$T$2:$T$282,"MAINTENANCE &gt; *")+COUNTIFS('Prácticas_Snowballing'!$AB$2:$AB$281,"T087",'Prácticas_Snowballing'!$AC$2:$AC$281,"MAINTENANCE &gt; *")</f>
        <v>0</v>
      </c>
      <c r="J100" s="17">
        <f>COUNTIFS('Prácticas_Revisiones'!$S$2:$S$282,"T087",'Prácticas_Revisiones'!$T$2:$T$282,"SOFTWARE CONFIG. MGMT. &gt; *")+COUNTIFS('Prácticas_Snowballing'!$AB$2:$AB$281,"T087",'Prácticas_Snowballing'!$AC$2:$AC$281,"SOFTWARE CONFIG. MGMT. &gt; *")</f>
        <v>0</v>
      </c>
      <c r="K100" s="17">
        <f>COUNTIFS('Prácticas_Revisiones'!$S$2:$S$282,"T087",'Prácticas_Revisiones'!$T$2:$T$282,"SOFTWARE ENG. PROCESS &gt; *")+COUNTIFS('Prácticas_Snowballing'!$AB$2:$AB$281,"T087",'Prácticas_Snowballing'!$AC$2:$AC$281,"SOFTWARE ENG. PROCESS &gt; *")</f>
        <v>0</v>
      </c>
      <c r="L100" s="17">
        <f>COUNTIFS('Prácticas_Revisiones'!$S$2:$S$282,"T087",'Prácticas_Revisiones'!$T$2:$T$282,"SOFTWARE ENG. MODELS/METH. &gt; *")+COUNTIFS('Prácticas_Snowballing'!$AB$2:$AB$281,"T087",'Prácticas_Snowballing'!$AC$2:$AC$281,"SOFTWARE ENG. MODELS/METH. &gt; *")</f>
        <v>0</v>
      </c>
      <c r="M100" s="17">
        <f>COUNTIFS('Prácticas_Revisiones'!$S$2:$S$282,"T087",'Prácticas_Revisiones'!$T$2:$T$282,"SOFTWARE QUALITY &gt; *")+COUNTIFS('Prácticas_Snowballing'!$AB$2:$AB$281,"T087",'Prácticas_Snowballing'!$AC$2:$AC$281,"SOFTWARE QUALITY &gt; *")</f>
        <v>0</v>
      </c>
      <c r="N100" s="17">
        <f>COUNTIFS('Prácticas_Revisiones'!$S$2:$S$282,"T087",'Prácticas_Revisiones'!$T$2:$T$282,"SOFTWARE SECURITY &gt; *")+COUNTIFS('Prácticas_Snowballing'!$AB$2:$AB$281,"T087",'Prácticas_Snowballing'!$AC$2:$AC$281,"SOFTWARE SECURITY &gt; *")</f>
        <v>0</v>
      </c>
      <c r="O100" s="17">
        <f>COUNTIFS('Prácticas_Revisiones'!$S$2:$S$282,"T087",'Prácticas_Revisiones'!$T$2:$T$282,"PROFESSIONAL PRACTICE &gt; *")+COUNTIFS('Prácticas_Snowballing'!$AB$2:$AB$281,"T087",'Prácticas_Snowballing'!$AC$2:$AC$281,"PROFESSIONAL PRACTICE &gt; *")</f>
        <v>0</v>
      </c>
      <c r="P100" s="17">
        <f>COUNTIFS('Prácticas_Revisiones'!$S$2:$S$282,"T087",'Prácticas_Revisiones'!$T$2:$T$282,"SOFTWARE ENG. ECONOMICS &gt; *")+COUNTIFS('Prácticas_Snowballing'!$AB$2:$AB$281,"T087",'Prácticas_Snowballing'!$AC$2:$AC$281,"SOFTWARE ENG. ECONOMICS &gt; *")</f>
        <v>0</v>
      </c>
      <c r="Q100" s="17">
        <f>COUNTIFS('Prácticas_Revisiones'!$S$2:$S$282,"T087",'Prácticas_Revisiones'!$T$2:$T$282,"SOFTWARE ENG. MANAGEMENT &gt; *")+COUNTIFS('Prácticas_Snowballing'!$AB$2:$AB$281,"T087",'Prácticas_Snowballing'!$AC$2:$AC$281,"SOFTWARE ENG. MANAGEMENT &gt; *")</f>
        <v>0</v>
      </c>
      <c r="R100" s="17">
        <f>COUNTIFS('Prácticas_Revisiones'!$S$2:$S$282,"T087",'Prácticas_Revisiones'!$T$2:$T$282,"Sin área SWEBOK")+COUNTIFS('Prácticas_Snowballing'!$AB$2:$AB$281,"T087",'Prácticas_Snowballing'!$AC$2:$AC$281,"Sin área SWEBOK")</f>
        <v>0</v>
      </c>
      <c r="S100" s="27">
        <f t="shared" si="9"/>
        <v>0</v>
      </c>
    </row>
    <row r="101" ht="15.75" customHeight="1">
      <c r="A101" s="28"/>
      <c r="B101" s="16" t="s">
        <v>2805</v>
      </c>
      <c r="C101" s="17">
        <f>COUNTIFS('Prácticas_Revisiones'!$S$2:$S$282,"T088",'Prácticas_Revisiones'!$T$2:$T$282,"REQUIREMENTS &gt; *")+COUNTIFS('Prácticas_Snowballing'!$AB$2:$AB$281,"T088",'Prácticas_Snowballing'!$AC$2:$AC$281,"REQUIREMENTS &gt; *")</f>
        <v>0</v>
      </c>
      <c r="D101" s="17">
        <f>COUNTIFS('Prácticas_Revisiones'!$S$2:$S$282,"T088",'Prácticas_Revisiones'!$T$2:$T$282,"ARCHITECTURE &gt; *")+COUNTIFS('Prácticas_Snowballing'!$AB$2:$AB$281,"T088",'Prácticas_Snowballing'!$AC$2:$AC$281,"ARCHITECTURE &gt; *")</f>
        <v>0</v>
      </c>
      <c r="E101" s="17">
        <f>COUNTIFS('Prácticas_Revisiones'!$S$2:$S$282,"T088",'Prácticas_Revisiones'!$T$2:$T$282,"DESIGN &gt; *")+COUNTIFS('Prácticas_Snowballing'!$AB$2:$AB$281,"T088",'Prácticas_Snowballing'!$AC$2:$AC$281,"DESIGN &gt; *")</f>
        <v>0</v>
      </c>
      <c r="F101" s="17">
        <f>COUNTIFS('Prácticas_Revisiones'!$S$2:$S$282,"T088",'Prácticas_Revisiones'!$T$2:$T$282,"CONSTRUCTION &gt; *")+COUNTIFS('Prácticas_Snowballing'!$AB$2:$AB$281,"T088",'Prácticas_Snowballing'!$AC$2:$AC$281,"CONSTRUCTION &gt; *")</f>
        <v>0</v>
      </c>
      <c r="G101" s="17">
        <f>COUNTIFS('Prácticas_Revisiones'!$S$2:$S$282,"T088",'Prácticas_Revisiones'!$T$2:$T$282,"SOFTWARE TESTING &gt; *")+COUNTIFS('Prácticas_Snowballing'!$AB$2:$AB$281,"T088",'Prácticas_Snowballing'!$AC$2:$AC$281,"SOFTWARE TESTING &gt; *")</f>
        <v>0</v>
      </c>
      <c r="H101" s="17">
        <f>COUNTIFS('Prácticas_Revisiones'!$S$2:$S$282,"T088",'Prácticas_Revisiones'!$T$2:$T$282,"SOFTWARE ENG. OPERATIONS &gt; *")+COUNTIFS('Prácticas_Snowballing'!$AB$2:$AB$281,"T088",'Prácticas_Snowballing'!$AC$2:$AC$281,"SOFTWARE ENG. OPERATIONS &gt; *")</f>
        <v>0</v>
      </c>
      <c r="I101" s="17">
        <f>COUNTIFS('Prácticas_Revisiones'!$S$2:$S$282,"T088",'Prácticas_Revisiones'!$T$2:$T$282,"MAINTENANCE &gt; *")+COUNTIFS('Prácticas_Snowballing'!$AB$2:$AB$281,"T088",'Prácticas_Snowballing'!$AC$2:$AC$281,"MAINTENANCE &gt; *")</f>
        <v>0</v>
      </c>
      <c r="J101" s="17">
        <f>COUNTIFS('Prácticas_Revisiones'!$S$2:$S$282,"T088",'Prácticas_Revisiones'!$T$2:$T$282,"SOFTWARE CONFIG. MGMT. &gt; *")+COUNTIFS('Prácticas_Snowballing'!$AB$2:$AB$281,"T088",'Prácticas_Snowballing'!$AC$2:$AC$281,"SOFTWARE CONFIG. MGMT. &gt; *")</f>
        <v>0</v>
      </c>
      <c r="K101" s="17">
        <f>COUNTIFS('Prácticas_Revisiones'!$S$2:$S$282,"T088",'Prácticas_Revisiones'!$T$2:$T$282,"SOFTWARE ENG. PROCESS &gt; *")+COUNTIFS('Prácticas_Snowballing'!$AB$2:$AB$281,"T088",'Prácticas_Snowballing'!$AC$2:$AC$281,"SOFTWARE ENG. PROCESS &gt; *")</f>
        <v>0</v>
      </c>
      <c r="L101" s="17">
        <f>COUNTIFS('Prácticas_Revisiones'!$S$2:$S$282,"T088",'Prácticas_Revisiones'!$T$2:$T$282,"SOFTWARE ENG. MODELS/METH. &gt; *")+COUNTIFS('Prácticas_Snowballing'!$AB$2:$AB$281,"T088",'Prácticas_Snowballing'!$AC$2:$AC$281,"SOFTWARE ENG. MODELS/METH. &gt; *")</f>
        <v>0</v>
      </c>
      <c r="M101" s="17">
        <f>COUNTIFS('Prácticas_Revisiones'!$S$2:$S$282,"T088",'Prácticas_Revisiones'!$T$2:$T$282,"SOFTWARE QUALITY &gt; *")+COUNTIFS('Prácticas_Snowballing'!$AB$2:$AB$281,"T088",'Prácticas_Snowballing'!$AC$2:$AC$281,"SOFTWARE QUALITY &gt; *")</f>
        <v>0</v>
      </c>
      <c r="N101" s="17">
        <f>COUNTIFS('Prácticas_Revisiones'!$S$2:$S$282,"T088",'Prácticas_Revisiones'!$T$2:$T$282,"SOFTWARE SECURITY &gt; *")+COUNTIFS('Prácticas_Snowballing'!$AB$2:$AB$281,"T088",'Prácticas_Snowballing'!$AC$2:$AC$281,"SOFTWARE SECURITY &gt; *")</f>
        <v>0</v>
      </c>
      <c r="O101" s="17">
        <f>COUNTIFS('Prácticas_Revisiones'!$S$2:$S$282,"T088",'Prácticas_Revisiones'!$T$2:$T$282,"PROFESSIONAL PRACTICE &gt; *")+COUNTIFS('Prácticas_Snowballing'!$AB$2:$AB$281,"T088",'Prácticas_Snowballing'!$AC$2:$AC$281,"PROFESSIONAL PRACTICE &gt; *")</f>
        <v>0</v>
      </c>
      <c r="P101" s="17">
        <f>COUNTIFS('Prácticas_Revisiones'!$S$2:$S$282,"T088",'Prácticas_Revisiones'!$T$2:$T$282,"SOFTWARE ENG. ECONOMICS &gt; *")+COUNTIFS('Prácticas_Snowballing'!$AB$2:$AB$281,"T088",'Prácticas_Snowballing'!$AC$2:$AC$281,"SOFTWARE ENG. ECONOMICS &gt; *")</f>
        <v>0</v>
      </c>
      <c r="Q101" s="17">
        <f>COUNTIFS('Prácticas_Revisiones'!$S$2:$S$282,"T088",'Prácticas_Revisiones'!$T$2:$T$282,"SOFTWARE ENG. MANAGEMENT &gt; *")+COUNTIFS('Prácticas_Snowballing'!$AB$2:$AB$281,"T088",'Prácticas_Snowballing'!$AC$2:$AC$281,"SOFTWARE ENG. MANAGEMENT &gt; *")</f>
        <v>0</v>
      </c>
      <c r="R101" s="17">
        <f>COUNTIFS('Prácticas_Revisiones'!$S$2:$S$282,"T088",'Prácticas_Revisiones'!$T$2:$T$282,"Sin área SWEBOK")+COUNTIFS('Prácticas_Snowballing'!$AB$2:$AB$281,"T088",'Prácticas_Snowballing'!$AC$2:$AC$281,"Sin área SWEBOK")</f>
        <v>0</v>
      </c>
      <c r="S101" s="27">
        <f t="shared" si="9"/>
        <v>0</v>
      </c>
    </row>
    <row r="102" ht="15.75" customHeight="1">
      <c r="A102" s="23"/>
      <c r="B102" s="9" t="s">
        <v>2199</v>
      </c>
      <c r="C102" s="17">
        <f>COUNTIFS('Prácticas_Revisiones'!$S$2:$S$282,"Sin equivalente en catálogo (SINTETIZAR)",'Prácticas_Revisiones'!$T$2:$T$282,"REQUIREMENTS &gt; *")+COUNTIFS('Prácticas_Snowballing'!$AB$2:$AB$281,"Sin equivalente en catálogo (SINTETIZAR)",'Prácticas_Snowballing'!$AC$2:$AC$281,"REQUIREMENTS &gt; *")</f>
        <v>0</v>
      </c>
      <c r="D102" s="17">
        <f>COUNTIFS('Prácticas_Revisiones'!$S$2:$S$282,"Sin equivalente en catálogo (SINTETIZAR)",'Prácticas_Revisiones'!$T$2:$T$282,"ARCHITECTURE &gt; *")+COUNTIFS('Prácticas_Snowballing'!$AB$2:$AB$281,"Sin equivalente en catálogo (SINTETIZAR)",'Prácticas_Snowballing'!$AC$2:$AC$281,"ARCHITECTURE &gt; *")</f>
        <v>0</v>
      </c>
      <c r="E102" s="17">
        <f>COUNTIFS('Prácticas_Revisiones'!$S$2:$S$282,"Sin equivalente en catálogo (SINTETIZAR)",'Prácticas_Revisiones'!$T$2:$T$282,"DESIGN &gt; *")+COUNTIFS('Prácticas_Snowballing'!$AB$2:$AB$281,"Sin equivalente en catálogo (SINTETIZAR)",'Prácticas_Snowballing'!$AC$2:$AC$281,"DESIGN &gt; *")</f>
        <v>0</v>
      </c>
      <c r="F102" s="17">
        <f>COUNTIFS('Prácticas_Revisiones'!$S$2:$S$282,"Sin equivalente en catálogo (SINTETIZAR)",'Prácticas_Revisiones'!$T$2:$T$282,"CONSTRUCTION &gt; *")+COUNTIFS('Prácticas_Snowballing'!$AB$2:$AB$281,"Sin equivalente en catálogo (SINTETIZAR)",'Prácticas_Snowballing'!$AC$2:$AC$281,"CONSTRUCTION &gt; *")</f>
        <v>0</v>
      </c>
      <c r="G102" s="17">
        <f>COUNTIFS('Prácticas_Revisiones'!$S$2:$S$282,"Sin equivalente en catálogo (SINTETIZAR)",'Prácticas_Revisiones'!$T$2:$T$282,"SOFTWARE TESTING &gt; *")+COUNTIFS('Prácticas_Snowballing'!$AB$2:$AB$281,"Sin equivalente en catálogo (SINTETIZAR)",'Prácticas_Snowballing'!$AC$2:$AC$281,"SOFTWARE TESTING &gt; *")</f>
        <v>0</v>
      </c>
      <c r="H102" s="17">
        <f>COUNTIFS('Prácticas_Revisiones'!$S$2:$S$282,"Sin equivalente en catálogo (SINTETIZAR)",'Prácticas_Revisiones'!$T$2:$T$282,"SOFTWARE ENG. OPERATIONS &gt; *")+COUNTIFS('Prácticas_Snowballing'!$AB$2:$AB$281,"Sin equivalente en catálogo (SINTETIZAR)",'Prácticas_Snowballing'!$AC$2:$AC$281,"SOFTWARE ENG. OPERATIONS &gt; *")</f>
        <v>0</v>
      </c>
      <c r="I102" s="17">
        <f>COUNTIFS('Prácticas_Revisiones'!$S$2:$S$282,"Sin equivalente en catálogo (SINTETIZAR)",'Prácticas_Revisiones'!$T$2:$T$282,"MAINTENANCE &gt; *")+COUNTIFS('Prácticas_Snowballing'!$AB$2:$AB$281,"Sin equivalente en catálogo (SINTETIZAR)",'Prácticas_Snowballing'!$AC$2:$AC$281,"MAINTENANCE &gt; *")</f>
        <v>0</v>
      </c>
      <c r="J102" s="17">
        <f>COUNTIFS('Prácticas_Revisiones'!$S$2:$S$282,"Sin equivalente en catálogo (SINTETIZAR)",'Prácticas_Revisiones'!$T$2:$T$282,"SOFTWARE CONFIG. MGMT. &gt; *")+COUNTIFS('Prácticas_Snowballing'!$AB$2:$AB$281,"Sin equivalente en catálogo (SINTETIZAR)",'Prácticas_Snowballing'!$AC$2:$AC$281,"SOFTWARE CONFIG. MGMT. &gt; *")</f>
        <v>0</v>
      </c>
      <c r="K102" s="17">
        <f>COUNTIFS('Prácticas_Revisiones'!$S$2:$S$282,"Sin equivalente en catálogo (SINTETIZAR)",'Prácticas_Revisiones'!$T$2:$T$282,"SOFTWARE ENG. PROCESS &gt; *")+COUNTIFS('Prácticas_Snowballing'!$AB$2:$AB$281,"Sin equivalente en catálogo (SINTETIZAR)",'Prácticas_Snowballing'!$AC$2:$AC$281,"SOFTWARE ENG. PROCESS &gt; *")</f>
        <v>0</v>
      </c>
      <c r="L102" s="17">
        <f>COUNTIFS('Prácticas_Revisiones'!$S$2:$S$282,"Sin equivalente en catálogo (SINTETIZAR)",'Prácticas_Revisiones'!$T$2:$T$282,"SOFTWARE ENG. MODELS/METH. &gt; *")+COUNTIFS('Prácticas_Snowballing'!$AB$2:$AB$281,"Sin equivalente en catálogo (SINTETIZAR)",'Prácticas_Snowballing'!$AC$2:$AC$281,"SOFTWARE ENG. MODELS/METH. &gt; *")</f>
        <v>0</v>
      </c>
      <c r="M102" s="17">
        <f>COUNTIFS('Prácticas_Revisiones'!$S$2:$S$282,"Sin equivalente en catálogo (SINTETIZAR)",'Prácticas_Revisiones'!$T$2:$T$282,"SOFTWARE QUALITY &gt; *")+COUNTIFS('Prácticas_Snowballing'!$AB$2:$AB$281,"Sin equivalente en catálogo (SINTETIZAR)",'Prácticas_Snowballing'!$AC$2:$AC$281,"SOFTWARE QUALITY &gt; *")</f>
        <v>0</v>
      </c>
      <c r="N102" s="17">
        <f>COUNTIFS('Prácticas_Revisiones'!$S$2:$S$282,"Sin equivalente en catálogo (SINTETIZAR)",'Prácticas_Revisiones'!$T$2:$T$282,"SOFTWARE SECURITY &gt; *")+COUNTIFS('Prácticas_Snowballing'!$AB$2:$AB$281,"Sin equivalente en catálogo (SINTETIZAR)",'Prácticas_Snowballing'!$AC$2:$AC$281,"SOFTWARE SECURITY &gt; *")</f>
        <v>0</v>
      </c>
      <c r="O102" s="17">
        <f>COUNTIFS('Prácticas_Revisiones'!$S$2:$S$282,"Sin equivalente en catálogo (SINTETIZAR)",'Prácticas_Revisiones'!$T$2:$T$282,"PROFESSIONAL PRACTICE &gt; *")+COUNTIFS('Prácticas_Snowballing'!$AB$2:$AB$281,"Sin equivalente en catálogo (SINTETIZAR)",'Prácticas_Snowballing'!$AC$2:$AC$281,"PROFESSIONAL PRACTICE &gt; *")</f>
        <v>0</v>
      </c>
      <c r="P102" s="17">
        <f>COUNTIFS('Prácticas_Revisiones'!$S$2:$S$282,"Sin equivalente en catálogo (SINTETIZAR)",'Prácticas_Revisiones'!$T$2:$T$282,"SOFTWARE ENG. ECONOMICS &gt; *")+COUNTIFS('Prácticas_Snowballing'!$AB$2:$AB$281,"Sin equivalente en catálogo (SINTETIZAR)",'Prácticas_Snowballing'!$AC$2:$AC$281,"SOFTWARE ENG. ECONOMICS &gt; *")</f>
        <v>0</v>
      </c>
      <c r="Q102" s="17">
        <f>COUNTIFS('Prácticas_Revisiones'!$S$2:$S$282,"Sin equivalente en catálogo (SINTETIZAR)",'Prácticas_Revisiones'!$T$2:$T$282,"SOFTWARE ENG. MANAGEMENT &gt; *")+COUNTIFS('Prácticas_Snowballing'!$AB$2:$AB$281,"Sin equivalente en catálogo (SINTETIZAR)",'Prácticas_Snowballing'!$AC$2:$AC$281,"SOFTWARE ENG. MANAGEMENT &gt; *")</f>
        <v>0</v>
      </c>
      <c r="R102" s="17">
        <f>COUNTIFS('Prácticas_Revisiones'!$S$2:$S$282,"Sin equivalente en catálogo (SINTETIZAR)",'Prácticas_Revisiones'!$T$2:$T$282,"Sin área SWEBOK")+COUNTIFS('Prácticas_Snowballing'!$AB$2:$AB$281,"Sin equivalente en catálogo (SINTETIZAR)",'Prácticas_Snowballing'!$AC$2:$AC$281,"Sin área SWEBOK")</f>
        <v>0</v>
      </c>
      <c r="S102" s="27">
        <f t="shared" si="9"/>
        <v>0</v>
      </c>
    </row>
    <row r="103" ht="15.75" customHeight="1">
      <c r="A103" s="35" t="s">
        <v>2873</v>
      </c>
      <c r="B103" s="20"/>
      <c r="C103" s="29">
        <f t="shared" ref="C103:S103" si="10">SUM(C88:C102)</f>
        <v>0</v>
      </c>
      <c r="D103" s="29">
        <f t="shared" si="10"/>
        <v>0</v>
      </c>
      <c r="E103" s="29">
        <f t="shared" si="10"/>
        <v>4</v>
      </c>
      <c r="F103" s="29">
        <f t="shared" si="10"/>
        <v>0</v>
      </c>
      <c r="G103" s="29">
        <f t="shared" si="10"/>
        <v>1</v>
      </c>
      <c r="H103" s="29">
        <f t="shared" si="10"/>
        <v>0</v>
      </c>
      <c r="I103" s="29">
        <f t="shared" si="10"/>
        <v>0</v>
      </c>
      <c r="J103" s="29">
        <f t="shared" si="10"/>
        <v>0</v>
      </c>
      <c r="K103" s="29">
        <f t="shared" si="10"/>
        <v>0</v>
      </c>
      <c r="L103" s="29">
        <f t="shared" si="10"/>
        <v>0</v>
      </c>
      <c r="M103" s="29">
        <f t="shared" si="10"/>
        <v>0</v>
      </c>
      <c r="N103" s="29">
        <f t="shared" si="10"/>
        <v>0</v>
      </c>
      <c r="O103" s="29">
        <f t="shared" si="10"/>
        <v>0</v>
      </c>
      <c r="P103" s="29">
        <f t="shared" si="10"/>
        <v>0</v>
      </c>
      <c r="Q103" s="29">
        <f t="shared" si="10"/>
        <v>0</v>
      </c>
      <c r="R103" s="29">
        <f t="shared" si="10"/>
        <v>1</v>
      </c>
      <c r="S103" s="29">
        <f t="shared" si="10"/>
        <v>6</v>
      </c>
    </row>
    <row r="104" ht="15.75" customHeight="1">
      <c r="A104" s="15" t="s">
        <v>50</v>
      </c>
      <c r="B104" s="16" t="s">
        <v>2802</v>
      </c>
      <c r="C104" s="17">
        <f>COUNTIFS('Prácticas_Revisiones'!$S$2:$S$282,"T089",'Prácticas_Revisiones'!$T$2:$T$282,"REQUIREMENTS &gt; *")+COUNTIFS('Prácticas_Snowballing'!$AB$2:$AB$281,"T089",'Prácticas_Snowballing'!$AC$2:$AC$281,"REQUIREMENTS &gt; *")</f>
        <v>0</v>
      </c>
      <c r="D104" s="17">
        <f>COUNTIFS('Prácticas_Revisiones'!$S$2:$S$282,"T089",'Prácticas_Revisiones'!$T$2:$T$282,"ARCHITECTURE &gt; *")+COUNTIFS('Prácticas_Snowballing'!$AB$2:$AB$281,"T089",'Prácticas_Snowballing'!$AC$2:$AC$281,"ARCHITECTURE &gt; *")</f>
        <v>0</v>
      </c>
      <c r="E104" s="17">
        <f>COUNTIFS('Prácticas_Revisiones'!$S$2:$S$282,"T089",'Prácticas_Revisiones'!$T$2:$T$282,"DESIGN &gt; *")+COUNTIFS('Prácticas_Snowballing'!$AB$2:$AB$281,"T089",'Prácticas_Snowballing'!$AC$2:$AC$281,"DESIGN &gt; *")</f>
        <v>0</v>
      </c>
      <c r="F104" s="17">
        <f>COUNTIFS('Prácticas_Revisiones'!$S$2:$S$282,"T089",'Prácticas_Revisiones'!$T$2:$T$282,"CONSTRUCTION &gt; *")+COUNTIFS('Prácticas_Snowballing'!$AB$2:$AB$281,"T089",'Prácticas_Snowballing'!$AC$2:$AC$281,"CONSTRUCTION &gt; *")</f>
        <v>0</v>
      </c>
      <c r="G104" s="17">
        <f>COUNTIFS('Prácticas_Revisiones'!$S$2:$S$282,"T089",'Prácticas_Revisiones'!$T$2:$T$282,"SOFTWARE TESTING &gt; *")+COUNTIFS('Prácticas_Snowballing'!$AB$2:$AB$281,"T089",'Prácticas_Snowballing'!$AC$2:$AC$281,"SOFTWARE TESTING &gt; *")</f>
        <v>0</v>
      </c>
      <c r="H104" s="17">
        <f>COUNTIFS('Prácticas_Revisiones'!$S$2:$S$282,"T089",'Prácticas_Revisiones'!$T$2:$T$282,"SOFTWARE ENG. OPERATIONS &gt; *")+COUNTIFS('Prácticas_Snowballing'!$AB$2:$AB$281,"T089",'Prácticas_Snowballing'!$AC$2:$AC$281,"SOFTWARE ENG. OPERATIONS &gt; *")</f>
        <v>0</v>
      </c>
      <c r="I104" s="17">
        <f>COUNTIFS('Prácticas_Revisiones'!$S$2:$S$282,"T089",'Prácticas_Revisiones'!$T$2:$T$282,"MAINTENANCE &gt; *")+COUNTIFS('Prácticas_Snowballing'!$AB$2:$AB$281,"T089",'Prácticas_Snowballing'!$AC$2:$AC$281,"MAINTENANCE &gt; *")</f>
        <v>0</v>
      </c>
      <c r="J104" s="17">
        <f>COUNTIFS('Prácticas_Revisiones'!$S$2:$S$282,"T089",'Prácticas_Revisiones'!$T$2:$T$282,"SOFTWARE CONFIG. MGMT. &gt; *")+COUNTIFS('Prácticas_Snowballing'!$AB$2:$AB$281,"T089",'Prácticas_Snowballing'!$AC$2:$AC$281,"SOFTWARE CONFIG. MGMT. &gt; *")</f>
        <v>0</v>
      </c>
      <c r="K104" s="17">
        <f>COUNTIFS('Prácticas_Revisiones'!$S$2:$S$282,"T089",'Prácticas_Revisiones'!$T$2:$T$282,"SOFTWARE ENG. PROCESS &gt; *")+COUNTIFS('Prácticas_Snowballing'!$AB$2:$AB$281,"T089",'Prácticas_Snowballing'!$AC$2:$AC$281,"SOFTWARE ENG. PROCESS &gt; *")</f>
        <v>0</v>
      </c>
      <c r="L104" s="17">
        <f>COUNTIFS('Prácticas_Revisiones'!$S$2:$S$282,"T089",'Prácticas_Revisiones'!$T$2:$T$282,"SOFTWARE ENG. MODELS/METH. &gt; *")+COUNTIFS('Prácticas_Snowballing'!$AB$2:$AB$281,"T089",'Prácticas_Snowballing'!$AC$2:$AC$281,"SOFTWARE ENG. MODELS/METH. &gt; *")</f>
        <v>0</v>
      </c>
      <c r="M104" s="17">
        <f>COUNTIFS('Prácticas_Revisiones'!$S$2:$S$282,"T089",'Prácticas_Revisiones'!$T$2:$T$282,"SOFTWARE QUALITY &gt; *")+COUNTIFS('Prácticas_Snowballing'!$AB$2:$AB$281,"T089",'Prácticas_Snowballing'!$AC$2:$AC$281,"SOFTWARE QUALITY &gt; *")</f>
        <v>0</v>
      </c>
      <c r="N104" s="17">
        <f>COUNTIFS('Prácticas_Revisiones'!$S$2:$S$282,"T089",'Prácticas_Revisiones'!$T$2:$T$282,"SOFTWARE SECURITY &gt; *")+COUNTIFS('Prácticas_Snowballing'!$AB$2:$AB$281,"T089",'Prácticas_Snowballing'!$AC$2:$AC$281,"SOFTWARE SECURITY &gt; *")</f>
        <v>0</v>
      </c>
      <c r="O104" s="17">
        <f>COUNTIFS('Prácticas_Revisiones'!$S$2:$S$282,"T089",'Prácticas_Revisiones'!$T$2:$T$282,"PROFESSIONAL PRACTICE &gt; *")+COUNTIFS('Prácticas_Snowballing'!$AB$2:$AB$281,"T089",'Prácticas_Snowballing'!$AC$2:$AC$281,"PROFESSIONAL PRACTICE &gt; *")</f>
        <v>0</v>
      </c>
      <c r="P104" s="17">
        <f>COUNTIFS('Prácticas_Revisiones'!$S$2:$S$282,"T089",'Prácticas_Revisiones'!$T$2:$T$282,"SOFTWARE ENG. ECONOMICS &gt; *")+COUNTIFS('Prácticas_Snowballing'!$AB$2:$AB$281,"T089",'Prácticas_Snowballing'!$AC$2:$AC$281,"SOFTWARE ENG. ECONOMICS &gt; *")</f>
        <v>0</v>
      </c>
      <c r="Q104" s="17">
        <f>COUNTIFS('Prácticas_Revisiones'!$S$2:$S$282,"T089",'Prácticas_Revisiones'!$T$2:$T$282,"SOFTWARE ENG. MANAGEMENT &gt; *")+COUNTIFS('Prácticas_Snowballing'!$AB$2:$AB$281,"T089",'Prácticas_Snowballing'!$AC$2:$AC$281,"SOFTWARE ENG. MANAGEMENT &gt; *")</f>
        <v>0</v>
      </c>
      <c r="R104" s="17">
        <f>COUNTIFS('Prácticas_Revisiones'!$S$2:$S$282,"T089",'Prácticas_Revisiones'!$T$2:$T$282,"Sin área SWEBOK")+COUNTIFS('Prácticas_Snowballing'!$AB$2:$AB$281,"T089",'Prácticas_Snowballing'!$AC$2:$AC$281,"Sin área SWEBOK")</f>
        <v>0</v>
      </c>
      <c r="S104" s="27">
        <f t="shared" ref="S104:S116" si="11">SUM(C104:R104)</f>
        <v>0</v>
      </c>
    </row>
    <row r="105" ht="15.75" customHeight="1">
      <c r="A105" s="28"/>
      <c r="B105" s="16" t="s">
        <v>2767</v>
      </c>
      <c r="C105" s="17">
        <f>COUNTIFS('Prácticas_Revisiones'!$S$2:$S$282,"T090",'Prácticas_Revisiones'!$T$2:$T$282,"REQUIREMENTS &gt; *")+COUNTIFS('Prácticas_Snowballing'!$AB$2:$AB$281,"T090",'Prácticas_Snowballing'!$AC$2:$AC$281,"REQUIREMENTS &gt; *")</f>
        <v>0</v>
      </c>
      <c r="D105" s="17">
        <f>COUNTIFS('Prácticas_Revisiones'!$S$2:$S$282,"T090",'Prácticas_Revisiones'!$T$2:$T$282,"ARCHITECTURE &gt; *")+COUNTIFS('Prácticas_Snowballing'!$AB$2:$AB$281,"T090",'Prácticas_Snowballing'!$AC$2:$AC$281,"ARCHITECTURE &gt; *")</f>
        <v>0</v>
      </c>
      <c r="E105" s="17">
        <f>COUNTIFS('Prácticas_Revisiones'!$S$2:$S$282,"T090",'Prácticas_Revisiones'!$T$2:$T$282,"DESIGN &gt; *")+COUNTIFS('Prácticas_Snowballing'!$AB$2:$AB$281,"T090",'Prácticas_Snowballing'!$AC$2:$AC$281,"DESIGN &gt; *")</f>
        <v>0</v>
      </c>
      <c r="F105" s="17">
        <f>COUNTIFS('Prácticas_Revisiones'!$S$2:$S$282,"T090",'Prácticas_Revisiones'!$T$2:$T$282,"CONSTRUCTION &gt; *")+COUNTIFS('Prácticas_Snowballing'!$AB$2:$AB$281,"T090",'Prácticas_Snowballing'!$AC$2:$AC$281,"CONSTRUCTION &gt; *")</f>
        <v>0</v>
      </c>
      <c r="G105" s="17">
        <f>COUNTIFS('Prácticas_Revisiones'!$S$2:$S$282,"T090",'Prácticas_Revisiones'!$T$2:$T$282,"SOFTWARE TESTING &gt; *")+COUNTIFS('Prácticas_Snowballing'!$AB$2:$AB$281,"T090",'Prácticas_Snowballing'!$AC$2:$AC$281,"SOFTWARE TESTING &gt; *")</f>
        <v>0</v>
      </c>
      <c r="H105" s="17">
        <f>COUNTIFS('Prácticas_Revisiones'!$S$2:$S$282,"T090",'Prácticas_Revisiones'!$T$2:$T$282,"SOFTWARE ENG. OPERATIONS &gt; *")+COUNTIFS('Prácticas_Snowballing'!$AB$2:$AB$281,"T090",'Prácticas_Snowballing'!$AC$2:$AC$281,"SOFTWARE ENG. OPERATIONS &gt; *")</f>
        <v>0</v>
      </c>
      <c r="I105" s="17">
        <f>COUNTIFS('Prácticas_Revisiones'!$S$2:$S$282,"T090",'Prácticas_Revisiones'!$T$2:$T$282,"MAINTENANCE &gt; *")+COUNTIFS('Prácticas_Snowballing'!$AB$2:$AB$281,"T090",'Prácticas_Snowballing'!$AC$2:$AC$281,"MAINTENANCE &gt; *")</f>
        <v>0</v>
      </c>
      <c r="J105" s="17">
        <f>COUNTIFS('Prácticas_Revisiones'!$S$2:$S$282,"T090",'Prácticas_Revisiones'!$T$2:$T$282,"SOFTWARE CONFIG. MGMT. &gt; *")+COUNTIFS('Prácticas_Snowballing'!$AB$2:$AB$281,"T090",'Prácticas_Snowballing'!$AC$2:$AC$281,"SOFTWARE CONFIG. MGMT. &gt; *")</f>
        <v>0</v>
      </c>
      <c r="K105" s="17">
        <f>COUNTIFS('Prácticas_Revisiones'!$S$2:$S$282,"T090",'Prácticas_Revisiones'!$T$2:$T$282,"SOFTWARE ENG. PROCESS &gt; *")+COUNTIFS('Prácticas_Snowballing'!$AB$2:$AB$281,"T090",'Prácticas_Snowballing'!$AC$2:$AC$281,"SOFTWARE ENG. PROCESS &gt; *")</f>
        <v>0</v>
      </c>
      <c r="L105" s="17">
        <f>COUNTIFS('Prácticas_Revisiones'!$S$2:$S$282,"T090",'Prácticas_Revisiones'!$T$2:$T$282,"SOFTWARE ENG. MODELS/METH. &gt; *")+COUNTIFS('Prácticas_Snowballing'!$AB$2:$AB$281,"T090",'Prácticas_Snowballing'!$AC$2:$AC$281,"SOFTWARE ENG. MODELS/METH. &gt; *")</f>
        <v>0</v>
      </c>
      <c r="M105" s="17">
        <f>COUNTIFS('Prácticas_Revisiones'!$S$2:$S$282,"T090",'Prácticas_Revisiones'!$T$2:$T$282,"SOFTWARE QUALITY &gt; *")+COUNTIFS('Prácticas_Snowballing'!$AB$2:$AB$281,"T090",'Prácticas_Snowballing'!$AC$2:$AC$281,"SOFTWARE QUALITY &gt; *")</f>
        <v>0</v>
      </c>
      <c r="N105" s="17">
        <f>COUNTIFS('Prácticas_Revisiones'!$S$2:$S$282,"T090",'Prácticas_Revisiones'!$T$2:$T$282,"SOFTWARE SECURITY &gt; *")+COUNTIFS('Prácticas_Snowballing'!$AB$2:$AB$281,"T090",'Prácticas_Snowballing'!$AC$2:$AC$281,"SOFTWARE SECURITY &gt; *")</f>
        <v>0</v>
      </c>
      <c r="O105" s="17">
        <f>COUNTIFS('Prácticas_Revisiones'!$S$2:$S$282,"T090",'Prácticas_Revisiones'!$T$2:$T$282,"PROFESSIONAL PRACTICE &gt; *")+COUNTIFS('Prácticas_Snowballing'!$AB$2:$AB$281,"T090",'Prácticas_Snowballing'!$AC$2:$AC$281,"PROFESSIONAL PRACTICE &gt; *")</f>
        <v>0</v>
      </c>
      <c r="P105" s="17">
        <f>COUNTIFS('Prácticas_Revisiones'!$S$2:$S$282,"T090",'Prácticas_Revisiones'!$T$2:$T$282,"SOFTWARE ENG. ECONOMICS &gt; *")+COUNTIFS('Prácticas_Snowballing'!$AB$2:$AB$281,"T090",'Prácticas_Snowballing'!$AC$2:$AC$281,"SOFTWARE ENG. ECONOMICS &gt; *")</f>
        <v>0</v>
      </c>
      <c r="Q105" s="17">
        <f>COUNTIFS('Prácticas_Revisiones'!$S$2:$S$282,"T090",'Prácticas_Revisiones'!$T$2:$T$282,"SOFTWARE ENG. MANAGEMENT &gt; *")+COUNTIFS('Prácticas_Snowballing'!$AB$2:$AB$281,"T090",'Prácticas_Snowballing'!$AC$2:$AC$281,"SOFTWARE ENG. MANAGEMENT &gt; *")</f>
        <v>0</v>
      </c>
      <c r="R105" s="17">
        <f>COUNTIFS('Prácticas_Revisiones'!$S$2:$S$282,"T090",'Prácticas_Revisiones'!$T$2:$T$282,"Sin área SWEBOK")+COUNTIFS('Prácticas_Snowballing'!$AB$2:$AB$281,"T090",'Prácticas_Snowballing'!$AC$2:$AC$281,"Sin área SWEBOK")</f>
        <v>1</v>
      </c>
      <c r="S105" s="27">
        <f t="shared" si="11"/>
        <v>1</v>
      </c>
    </row>
    <row r="106" ht="15.75" customHeight="1">
      <c r="A106" s="28"/>
      <c r="B106" s="16" t="s">
        <v>2800</v>
      </c>
      <c r="C106" s="17">
        <f>COUNTIFS('Prácticas_Revisiones'!$S$2:$S$282,"T091",'Prácticas_Revisiones'!$T$2:$T$282,"REQUIREMENTS &gt; *")+COUNTIFS('Prácticas_Snowballing'!$AB$2:$AB$281,"T091",'Prácticas_Snowballing'!$AC$2:$AC$281,"REQUIREMENTS &gt; *")</f>
        <v>0</v>
      </c>
      <c r="D106" s="17">
        <f>COUNTIFS('Prácticas_Revisiones'!$S$2:$S$282,"T091",'Prácticas_Revisiones'!$T$2:$T$282,"ARCHITECTURE &gt; *")+COUNTIFS('Prácticas_Snowballing'!$AB$2:$AB$281,"T091",'Prácticas_Snowballing'!$AC$2:$AC$281,"ARCHITECTURE &gt; *")</f>
        <v>0</v>
      </c>
      <c r="E106" s="17">
        <f>COUNTIFS('Prácticas_Revisiones'!$S$2:$S$282,"T091",'Prácticas_Revisiones'!$T$2:$T$282,"DESIGN &gt; *")+COUNTIFS('Prácticas_Snowballing'!$AB$2:$AB$281,"T091",'Prácticas_Snowballing'!$AC$2:$AC$281,"DESIGN &gt; *")</f>
        <v>0</v>
      </c>
      <c r="F106" s="17">
        <f>COUNTIFS('Prácticas_Revisiones'!$S$2:$S$282,"T091",'Prácticas_Revisiones'!$T$2:$T$282,"CONSTRUCTION &gt; *")+COUNTIFS('Prácticas_Snowballing'!$AB$2:$AB$281,"T091",'Prácticas_Snowballing'!$AC$2:$AC$281,"CONSTRUCTION &gt; *")</f>
        <v>0</v>
      </c>
      <c r="G106" s="17">
        <f>COUNTIFS('Prácticas_Revisiones'!$S$2:$S$282,"T091",'Prácticas_Revisiones'!$T$2:$T$282,"SOFTWARE TESTING &gt; *")+COUNTIFS('Prácticas_Snowballing'!$AB$2:$AB$281,"T091",'Prácticas_Snowballing'!$AC$2:$AC$281,"SOFTWARE TESTING &gt; *")</f>
        <v>0</v>
      </c>
      <c r="H106" s="17">
        <f>COUNTIFS('Prácticas_Revisiones'!$S$2:$S$282,"T091",'Prácticas_Revisiones'!$T$2:$T$282,"SOFTWARE ENG. OPERATIONS &gt; *")+COUNTIFS('Prácticas_Snowballing'!$AB$2:$AB$281,"T091",'Prácticas_Snowballing'!$AC$2:$AC$281,"SOFTWARE ENG. OPERATIONS &gt; *")</f>
        <v>0</v>
      </c>
      <c r="I106" s="17">
        <f>COUNTIFS('Prácticas_Revisiones'!$S$2:$S$282,"T091",'Prácticas_Revisiones'!$T$2:$T$282,"MAINTENANCE &gt; *")+COUNTIFS('Prácticas_Snowballing'!$AB$2:$AB$281,"T091",'Prácticas_Snowballing'!$AC$2:$AC$281,"MAINTENANCE &gt; *")</f>
        <v>0</v>
      </c>
      <c r="J106" s="17">
        <f>COUNTIFS('Prácticas_Revisiones'!$S$2:$S$282,"T091",'Prácticas_Revisiones'!$T$2:$T$282,"SOFTWARE CONFIG. MGMT. &gt; *")+COUNTIFS('Prácticas_Snowballing'!$AB$2:$AB$281,"T091",'Prácticas_Snowballing'!$AC$2:$AC$281,"SOFTWARE CONFIG. MGMT. &gt; *")</f>
        <v>0</v>
      </c>
      <c r="K106" s="17">
        <f>COUNTIFS('Prácticas_Revisiones'!$S$2:$S$282,"T091",'Prácticas_Revisiones'!$T$2:$T$282,"SOFTWARE ENG. PROCESS &gt; *")+COUNTIFS('Prácticas_Snowballing'!$AB$2:$AB$281,"T091",'Prácticas_Snowballing'!$AC$2:$AC$281,"SOFTWARE ENG. PROCESS &gt; *")</f>
        <v>0</v>
      </c>
      <c r="L106" s="17">
        <f>COUNTIFS('Prácticas_Revisiones'!$S$2:$S$282,"T091",'Prácticas_Revisiones'!$T$2:$T$282,"SOFTWARE ENG. MODELS/METH. &gt; *")+COUNTIFS('Prácticas_Snowballing'!$AB$2:$AB$281,"T091",'Prácticas_Snowballing'!$AC$2:$AC$281,"SOFTWARE ENG. MODELS/METH. &gt; *")</f>
        <v>0</v>
      </c>
      <c r="M106" s="17">
        <f>COUNTIFS('Prácticas_Revisiones'!$S$2:$S$282,"T091",'Prácticas_Revisiones'!$T$2:$T$282,"SOFTWARE QUALITY &gt; *")+COUNTIFS('Prácticas_Snowballing'!$AB$2:$AB$281,"T091",'Prácticas_Snowballing'!$AC$2:$AC$281,"SOFTWARE QUALITY &gt; *")</f>
        <v>0</v>
      </c>
      <c r="N106" s="17">
        <f>COUNTIFS('Prácticas_Revisiones'!$S$2:$S$282,"T091",'Prácticas_Revisiones'!$T$2:$T$282,"SOFTWARE SECURITY &gt; *")+COUNTIFS('Prácticas_Snowballing'!$AB$2:$AB$281,"T091",'Prácticas_Snowballing'!$AC$2:$AC$281,"SOFTWARE SECURITY &gt; *")</f>
        <v>0</v>
      </c>
      <c r="O106" s="17">
        <f>COUNTIFS('Prácticas_Revisiones'!$S$2:$S$282,"T091",'Prácticas_Revisiones'!$T$2:$T$282,"PROFESSIONAL PRACTICE &gt; *")+COUNTIFS('Prácticas_Snowballing'!$AB$2:$AB$281,"T091",'Prácticas_Snowballing'!$AC$2:$AC$281,"PROFESSIONAL PRACTICE &gt; *")</f>
        <v>0</v>
      </c>
      <c r="P106" s="17">
        <f>COUNTIFS('Prácticas_Revisiones'!$S$2:$S$282,"T091",'Prácticas_Revisiones'!$T$2:$T$282,"SOFTWARE ENG. ECONOMICS &gt; *")+COUNTIFS('Prácticas_Snowballing'!$AB$2:$AB$281,"T091",'Prácticas_Snowballing'!$AC$2:$AC$281,"SOFTWARE ENG. ECONOMICS &gt; *")</f>
        <v>0</v>
      </c>
      <c r="Q106" s="17">
        <f>COUNTIFS('Prácticas_Revisiones'!$S$2:$S$282,"T091",'Prácticas_Revisiones'!$T$2:$T$282,"SOFTWARE ENG. MANAGEMENT &gt; *")+COUNTIFS('Prácticas_Snowballing'!$AB$2:$AB$281,"T091",'Prácticas_Snowballing'!$AC$2:$AC$281,"SOFTWARE ENG. MANAGEMENT &gt; *")</f>
        <v>0</v>
      </c>
      <c r="R106" s="17">
        <f>COUNTIFS('Prácticas_Revisiones'!$S$2:$S$282,"T091",'Prácticas_Revisiones'!$T$2:$T$282,"Sin área SWEBOK")+COUNTIFS('Prácticas_Snowballing'!$AB$2:$AB$281,"T091",'Prácticas_Snowballing'!$AC$2:$AC$281,"Sin área SWEBOK")</f>
        <v>0</v>
      </c>
      <c r="S106" s="27">
        <f t="shared" si="11"/>
        <v>0</v>
      </c>
    </row>
    <row r="107" ht="15.75" customHeight="1">
      <c r="A107" s="28"/>
      <c r="B107" s="16" t="s">
        <v>2797</v>
      </c>
      <c r="C107" s="17">
        <f>COUNTIFS('Prácticas_Revisiones'!$S$2:$S$282,"T092",'Prácticas_Revisiones'!$T$2:$T$282,"REQUIREMENTS &gt; *")+COUNTIFS('Prácticas_Snowballing'!$AB$2:$AB$281,"T092",'Prácticas_Snowballing'!$AC$2:$AC$281,"REQUIREMENTS &gt; *")</f>
        <v>0</v>
      </c>
      <c r="D107" s="17">
        <f>COUNTIFS('Prácticas_Revisiones'!$S$2:$S$282,"T092",'Prácticas_Revisiones'!$T$2:$T$282,"ARCHITECTURE &gt; *")+COUNTIFS('Prácticas_Snowballing'!$AB$2:$AB$281,"T092",'Prácticas_Snowballing'!$AC$2:$AC$281,"ARCHITECTURE &gt; *")</f>
        <v>0</v>
      </c>
      <c r="E107" s="17">
        <f>COUNTIFS('Prácticas_Revisiones'!$S$2:$S$282,"T092",'Prácticas_Revisiones'!$T$2:$T$282,"DESIGN &gt; *")+COUNTIFS('Prácticas_Snowballing'!$AB$2:$AB$281,"T092",'Prácticas_Snowballing'!$AC$2:$AC$281,"DESIGN &gt; *")</f>
        <v>0</v>
      </c>
      <c r="F107" s="17">
        <f>COUNTIFS('Prácticas_Revisiones'!$S$2:$S$282,"T092",'Prácticas_Revisiones'!$T$2:$T$282,"CONSTRUCTION &gt; *")+COUNTIFS('Prácticas_Snowballing'!$AB$2:$AB$281,"T092",'Prácticas_Snowballing'!$AC$2:$AC$281,"CONSTRUCTION &gt; *")</f>
        <v>0</v>
      </c>
      <c r="G107" s="17">
        <f>COUNTIFS('Prácticas_Revisiones'!$S$2:$S$282,"T092",'Prácticas_Revisiones'!$T$2:$T$282,"SOFTWARE TESTING &gt; *")+COUNTIFS('Prácticas_Snowballing'!$AB$2:$AB$281,"T092",'Prácticas_Snowballing'!$AC$2:$AC$281,"SOFTWARE TESTING &gt; *")</f>
        <v>0</v>
      </c>
      <c r="H107" s="17">
        <f>COUNTIFS('Prácticas_Revisiones'!$S$2:$S$282,"T092",'Prácticas_Revisiones'!$T$2:$T$282,"SOFTWARE ENG. OPERATIONS &gt; *")+COUNTIFS('Prácticas_Snowballing'!$AB$2:$AB$281,"T092",'Prácticas_Snowballing'!$AC$2:$AC$281,"SOFTWARE ENG. OPERATIONS &gt; *")</f>
        <v>0</v>
      </c>
      <c r="I107" s="17">
        <f>COUNTIFS('Prácticas_Revisiones'!$S$2:$S$282,"T092",'Prácticas_Revisiones'!$T$2:$T$282,"MAINTENANCE &gt; *")+COUNTIFS('Prácticas_Snowballing'!$AB$2:$AB$281,"T092",'Prácticas_Snowballing'!$AC$2:$AC$281,"MAINTENANCE &gt; *")</f>
        <v>0</v>
      </c>
      <c r="J107" s="17">
        <f>COUNTIFS('Prácticas_Revisiones'!$S$2:$S$282,"T092",'Prácticas_Revisiones'!$T$2:$T$282,"SOFTWARE CONFIG. MGMT. &gt; *")+COUNTIFS('Prácticas_Snowballing'!$AB$2:$AB$281,"T092",'Prácticas_Snowballing'!$AC$2:$AC$281,"SOFTWARE CONFIG. MGMT. &gt; *")</f>
        <v>0</v>
      </c>
      <c r="K107" s="17">
        <f>COUNTIFS('Prácticas_Revisiones'!$S$2:$S$282,"T092",'Prácticas_Revisiones'!$T$2:$T$282,"SOFTWARE ENG. PROCESS &gt; *")+COUNTIFS('Prácticas_Snowballing'!$AB$2:$AB$281,"T092",'Prácticas_Snowballing'!$AC$2:$AC$281,"SOFTWARE ENG. PROCESS &gt; *")</f>
        <v>0</v>
      </c>
      <c r="L107" s="17">
        <f>COUNTIFS('Prácticas_Revisiones'!$S$2:$S$282,"T092",'Prácticas_Revisiones'!$T$2:$T$282,"SOFTWARE ENG. MODELS/METH. &gt; *")+COUNTIFS('Prácticas_Snowballing'!$AB$2:$AB$281,"T092",'Prácticas_Snowballing'!$AC$2:$AC$281,"SOFTWARE ENG. MODELS/METH. &gt; *")</f>
        <v>0</v>
      </c>
      <c r="M107" s="17">
        <f>COUNTIFS('Prácticas_Revisiones'!$S$2:$S$282,"T092",'Prácticas_Revisiones'!$T$2:$T$282,"SOFTWARE QUALITY &gt; *")+COUNTIFS('Prácticas_Snowballing'!$AB$2:$AB$281,"T092",'Prácticas_Snowballing'!$AC$2:$AC$281,"SOFTWARE QUALITY &gt; *")</f>
        <v>0</v>
      </c>
      <c r="N107" s="17">
        <f>COUNTIFS('Prácticas_Revisiones'!$S$2:$S$282,"T092",'Prácticas_Revisiones'!$T$2:$T$282,"SOFTWARE SECURITY &gt; *")+COUNTIFS('Prácticas_Snowballing'!$AB$2:$AB$281,"T092",'Prácticas_Snowballing'!$AC$2:$AC$281,"SOFTWARE SECURITY &gt; *")</f>
        <v>0</v>
      </c>
      <c r="O107" s="17">
        <f>COUNTIFS('Prácticas_Revisiones'!$S$2:$S$282,"T092",'Prácticas_Revisiones'!$T$2:$T$282,"PROFESSIONAL PRACTICE &gt; *")+COUNTIFS('Prácticas_Snowballing'!$AB$2:$AB$281,"T092",'Prácticas_Snowballing'!$AC$2:$AC$281,"PROFESSIONAL PRACTICE &gt; *")</f>
        <v>0</v>
      </c>
      <c r="P107" s="17">
        <f>COUNTIFS('Prácticas_Revisiones'!$S$2:$S$282,"T092",'Prácticas_Revisiones'!$T$2:$T$282,"SOFTWARE ENG. ECONOMICS &gt; *")+COUNTIFS('Prácticas_Snowballing'!$AB$2:$AB$281,"T092",'Prácticas_Snowballing'!$AC$2:$AC$281,"SOFTWARE ENG. ECONOMICS &gt; *")</f>
        <v>0</v>
      </c>
      <c r="Q107" s="17">
        <f>COUNTIFS('Prácticas_Revisiones'!$S$2:$S$282,"T092",'Prácticas_Revisiones'!$T$2:$T$282,"SOFTWARE ENG. MANAGEMENT &gt; *")+COUNTIFS('Prácticas_Snowballing'!$AB$2:$AB$281,"T092",'Prácticas_Snowballing'!$AC$2:$AC$281,"SOFTWARE ENG. MANAGEMENT &gt; *")</f>
        <v>0</v>
      </c>
      <c r="R107" s="17">
        <f>COUNTIFS('Prácticas_Revisiones'!$S$2:$S$282,"T092",'Prácticas_Revisiones'!$T$2:$T$282,"Sin área SWEBOK")+COUNTIFS('Prácticas_Snowballing'!$AB$2:$AB$281,"T092",'Prácticas_Snowballing'!$AC$2:$AC$281,"Sin área SWEBOK")</f>
        <v>0</v>
      </c>
      <c r="S107" s="27">
        <f t="shared" si="11"/>
        <v>0</v>
      </c>
    </row>
    <row r="108" ht="15.75" customHeight="1">
      <c r="A108" s="28"/>
      <c r="B108" s="16" t="s">
        <v>2794</v>
      </c>
      <c r="C108" s="17">
        <f>COUNTIFS('Prácticas_Revisiones'!$S$2:$S$282,"T093",'Prácticas_Revisiones'!$T$2:$T$282,"REQUIREMENTS &gt; *")+COUNTIFS('Prácticas_Snowballing'!$AB$2:$AB$281,"T093",'Prácticas_Snowballing'!$AC$2:$AC$281,"REQUIREMENTS &gt; *")</f>
        <v>0</v>
      </c>
      <c r="D108" s="17">
        <f>COUNTIFS('Prácticas_Revisiones'!$S$2:$S$282,"T093",'Prácticas_Revisiones'!$T$2:$T$282,"ARCHITECTURE &gt; *")+COUNTIFS('Prácticas_Snowballing'!$AB$2:$AB$281,"T093",'Prácticas_Snowballing'!$AC$2:$AC$281,"ARCHITECTURE &gt; *")</f>
        <v>0</v>
      </c>
      <c r="E108" s="17">
        <f>COUNTIFS('Prácticas_Revisiones'!$S$2:$S$282,"T093",'Prácticas_Revisiones'!$T$2:$T$282,"DESIGN &gt; *")+COUNTIFS('Prácticas_Snowballing'!$AB$2:$AB$281,"T093",'Prácticas_Snowballing'!$AC$2:$AC$281,"DESIGN &gt; *")</f>
        <v>0</v>
      </c>
      <c r="F108" s="17">
        <f>COUNTIFS('Prácticas_Revisiones'!$S$2:$S$282,"T093",'Prácticas_Revisiones'!$T$2:$T$282,"CONSTRUCTION &gt; *")+COUNTIFS('Prácticas_Snowballing'!$AB$2:$AB$281,"T093",'Prácticas_Snowballing'!$AC$2:$AC$281,"CONSTRUCTION &gt; *")</f>
        <v>0</v>
      </c>
      <c r="G108" s="17">
        <f>COUNTIFS('Prácticas_Revisiones'!$S$2:$S$282,"T093",'Prácticas_Revisiones'!$T$2:$T$282,"SOFTWARE TESTING &gt; *")+COUNTIFS('Prácticas_Snowballing'!$AB$2:$AB$281,"T093",'Prácticas_Snowballing'!$AC$2:$AC$281,"SOFTWARE TESTING &gt; *")</f>
        <v>0</v>
      </c>
      <c r="H108" s="17">
        <f>COUNTIFS('Prácticas_Revisiones'!$S$2:$S$282,"T093",'Prácticas_Revisiones'!$T$2:$T$282,"SOFTWARE ENG. OPERATIONS &gt; *")+COUNTIFS('Prácticas_Snowballing'!$AB$2:$AB$281,"T093",'Prácticas_Snowballing'!$AC$2:$AC$281,"SOFTWARE ENG. OPERATIONS &gt; *")</f>
        <v>0</v>
      </c>
      <c r="I108" s="17">
        <f>COUNTIFS('Prácticas_Revisiones'!$S$2:$S$282,"T093",'Prácticas_Revisiones'!$T$2:$T$282,"MAINTENANCE &gt; *")+COUNTIFS('Prácticas_Snowballing'!$AB$2:$AB$281,"T093",'Prácticas_Snowballing'!$AC$2:$AC$281,"MAINTENANCE &gt; *")</f>
        <v>0</v>
      </c>
      <c r="J108" s="17">
        <f>COUNTIFS('Prácticas_Revisiones'!$S$2:$S$282,"T093",'Prácticas_Revisiones'!$T$2:$T$282,"SOFTWARE CONFIG. MGMT. &gt; *")+COUNTIFS('Prácticas_Snowballing'!$AB$2:$AB$281,"T093",'Prácticas_Snowballing'!$AC$2:$AC$281,"SOFTWARE CONFIG. MGMT. &gt; *")</f>
        <v>0</v>
      </c>
      <c r="K108" s="17">
        <f>COUNTIFS('Prácticas_Revisiones'!$S$2:$S$282,"T093",'Prácticas_Revisiones'!$T$2:$T$282,"SOFTWARE ENG. PROCESS &gt; *")+COUNTIFS('Prácticas_Snowballing'!$AB$2:$AB$281,"T093",'Prácticas_Snowballing'!$AC$2:$AC$281,"SOFTWARE ENG. PROCESS &gt; *")</f>
        <v>0</v>
      </c>
      <c r="L108" s="17">
        <f>COUNTIFS('Prácticas_Revisiones'!$S$2:$S$282,"T093",'Prácticas_Revisiones'!$T$2:$T$282,"SOFTWARE ENG. MODELS/METH. &gt; *")+COUNTIFS('Prácticas_Snowballing'!$AB$2:$AB$281,"T093",'Prácticas_Snowballing'!$AC$2:$AC$281,"SOFTWARE ENG. MODELS/METH. &gt; *")</f>
        <v>0</v>
      </c>
      <c r="M108" s="17">
        <f>COUNTIFS('Prácticas_Revisiones'!$S$2:$S$282,"T093",'Prácticas_Revisiones'!$T$2:$T$282,"SOFTWARE QUALITY &gt; *")+COUNTIFS('Prácticas_Snowballing'!$AB$2:$AB$281,"T093",'Prácticas_Snowballing'!$AC$2:$AC$281,"SOFTWARE QUALITY &gt; *")</f>
        <v>0</v>
      </c>
      <c r="N108" s="17">
        <f>COUNTIFS('Prácticas_Revisiones'!$S$2:$S$282,"T093",'Prácticas_Revisiones'!$T$2:$T$282,"SOFTWARE SECURITY &gt; *")+COUNTIFS('Prácticas_Snowballing'!$AB$2:$AB$281,"T093",'Prácticas_Snowballing'!$AC$2:$AC$281,"SOFTWARE SECURITY &gt; *")</f>
        <v>0</v>
      </c>
      <c r="O108" s="17">
        <f>COUNTIFS('Prácticas_Revisiones'!$S$2:$S$282,"T093",'Prácticas_Revisiones'!$T$2:$T$282,"PROFESSIONAL PRACTICE &gt; *")+COUNTIFS('Prácticas_Snowballing'!$AB$2:$AB$281,"T093",'Prácticas_Snowballing'!$AC$2:$AC$281,"PROFESSIONAL PRACTICE &gt; *")</f>
        <v>0</v>
      </c>
      <c r="P108" s="17">
        <f>COUNTIFS('Prácticas_Revisiones'!$S$2:$S$282,"T093",'Prácticas_Revisiones'!$T$2:$T$282,"SOFTWARE ENG. ECONOMICS &gt; *")+COUNTIFS('Prácticas_Snowballing'!$AB$2:$AB$281,"T093",'Prácticas_Snowballing'!$AC$2:$AC$281,"SOFTWARE ENG. ECONOMICS &gt; *")</f>
        <v>0</v>
      </c>
      <c r="Q108" s="17">
        <f>COUNTIFS('Prácticas_Revisiones'!$S$2:$S$282,"T093",'Prácticas_Revisiones'!$T$2:$T$282,"SOFTWARE ENG. MANAGEMENT &gt; *")+COUNTIFS('Prácticas_Snowballing'!$AB$2:$AB$281,"T093",'Prácticas_Snowballing'!$AC$2:$AC$281,"SOFTWARE ENG. MANAGEMENT &gt; *")</f>
        <v>0</v>
      </c>
      <c r="R108" s="17">
        <f>COUNTIFS('Prácticas_Revisiones'!$S$2:$S$282,"T093",'Prácticas_Revisiones'!$T$2:$T$282,"Sin área SWEBOK")+COUNTIFS('Prácticas_Snowballing'!$AB$2:$AB$281,"T093",'Prácticas_Snowballing'!$AC$2:$AC$281,"Sin área SWEBOK")</f>
        <v>0</v>
      </c>
      <c r="S108" s="27">
        <f t="shared" si="11"/>
        <v>0</v>
      </c>
    </row>
    <row r="109" ht="15.75" customHeight="1">
      <c r="A109" s="28"/>
      <c r="B109" s="16" t="s">
        <v>2864</v>
      </c>
      <c r="C109" s="17">
        <f>COUNTIFS('Prácticas_Revisiones'!$S$2:$S$282,"T094",'Prácticas_Revisiones'!$T$2:$T$282,"REQUIREMENTS &gt; *")+COUNTIFS('Prácticas_Snowballing'!$AB$2:$AB$281,"T094",'Prácticas_Snowballing'!$AC$2:$AC$281,"REQUIREMENTS &gt; *")</f>
        <v>0</v>
      </c>
      <c r="D109" s="17">
        <f>COUNTIFS('Prácticas_Revisiones'!$S$2:$S$282,"T094",'Prácticas_Revisiones'!$T$2:$T$282,"ARCHITECTURE &gt; *")+COUNTIFS('Prácticas_Snowballing'!$AB$2:$AB$281,"T094",'Prácticas_Snowballing'!$AC$2:$AC$281,"ARCHITECTURE &gt; *")</f>
        <v>0</v>
      </c>
      <c r="E109" s="17">
        <f>COUNTIFS('Prácticas_Revisiones'!$S$2:$S$282,"T094",'Prácticas_Revisiones'!$T$2:$T$282,"DESIGN &gt; *")+COUNTIFS('Prácticas_Snowballing'!$AB$2:$AB$281,"T094",'Prácticas_Snowballing'!$AC$2:$AC$281,"DESIGN &gt; *")</f>
        <v>0</v>
      </c>
      <c r="F109" s="17">
        <f>COUNTIFS('Prácticas_Revisiones'!$S$2:$S$282,"T094",'Prácticas_Revisiones'!$T$2:$T$282,"CONSTRUCTION &gt; *")+COUNTIFS('Prácticas_Snowballing'!$AB$2:$AB$281,"T094",'Prácticas_Snowballing'!$AC$2:$AC$281,"CONSTRUCTION &gt; *")</f>
        <v>0</v>
      </c>
      <c r="G109" s="17">
        <f>COUNTIFS('Prácticas_Revisiones'!$S$2:$S$282,"T094",'Prácticas_Revisiones'!$T$2:$T$282,"SOFTWARE TESTING &gt; *")+COUNTIFS('Prácticas_Snowballing'!$AB$2:$AB$281,"T094",'Prácticas_Snowballing'!$AC$2:$AC$281,"SOFTWARE TESTING &gt; *")</f>
        <v>0</v>
      </c>
      <c r="H109" s="17">
        <f>COUNTIFS('Prácticas_Revisiones'!$S$2:$S$282,"T094",'Prácticas_Revisiones'!$T$2:$T$282,"SOFTWARE ENG. OPERATIONS &gt; *")+COUNTIFS('Prácticas_Snowballing'!$AB$2:$AB$281,"T094",'Prácticas_Snowballing'!$AC$2:$AC$281,"SOFTWARE ENG. OPERATIONS &gt; *")</f>
        <v>0</v>
      </c>
      <c r="I109" s="17">
        <f>COUNTIFS('Prácticas_Revisiones'!$S$2:$S$282,"T094",'Prácticas_Revisiones'!$T$2:$T$282,"MAINTENANCE &gt; *")+COUNTIFS('Prácticas_Snowballing'!$AB$2:$AB$281,"T094",'Prácticas_Snowballing'!$AC$2:$AC$281,"MAINTENANCE &gt; *")</f>
        <v>0</v>
      </c>
      <c r="J109" s="17">
        <f>COUNTIFS('Prácticas_Revisiones'!$S$2:$S$282,"T094",'Prácticas_Revisiones'!$T$2:$T$282,"SOFTWARE CONFIG. MGMT. &gt; *")+COUNTIFS('Prácticas_Snowballing'!$AB$2:$AB$281,"T094",'Prácticas_Snowballing'!$AC$2:$AC$281,"SOFTWARE CONFIG. MGMT. &gt; *")</f>
        <v>1</v>
      </c>
      <c r="K109" s="17">
        <f>COUNTIFS('Prácticas_Revisiones'!$S$2:$S$282,"T094",'Prácticas_Revisiones'!$T$2:$T$282,"SOFTWARE ENG. PROCESS &gt; *")+COUNTIFS('Prácticas_Snowballing'!$AB$2:$AB$281,"T094",'Prácticas_Snowballing'!$AC$2:$AC$281,"SOFTWARE ENG. PROCESS &gt; *")</f>
        <v>0</v>
      </c>
      <c r="L109" s="17">
        <f>COUNTIFS('Prácticas_Revisiones'!$S$2:$S$282,"T094",'Prácticas_Revisiones'!$T$2:$T$282,"SOFTWARE ENG. MODELS/METH. &gt; *")+COUNTIFS('Prácticas_Snowballing'!$AB$2:$AB$281,"T094",'Prácticas_Snowballing'!$AC$2:$AC$281,"SOFTWARE ENG. MODELS/METH. &gt; *")</f>
        <v>0</v>
      </c>
      <c r="M109" s="17">
        <f>COUNTIFS('Prácticas_Revisiones'!$S$2:$S$282,"T094",'Prácticas_Revisiones'!$T$2:$T$282,"SOFTWARE QUALITY &gt; *")+COUNTIFS('Prácticas_Snowballing'!$AB$2:$AB$281,"T094",'Prácticas_Snowballing'!$AC$2:$AC$281,"SOFTWARE QUALITY &gt; *")</f>
        <v>0</v>
      </c>
      <c r="N109" s="17">
        <f>COUNTIFS('Prácticas_Revisiones'!$S$2:$S$282,"T094",'Prácticas_Revisiones'!$T$2:$T$282,"SOFTWARE SECURITY &gt; *")+COUNTIFS('Prácticas_Snowballing'!$AB$2:$AB$281,"T094",'Prácticas_Snowballing'!$AC$2:$AC$281,"SOFTWARE SECURITY &gt; *")</f>
        <v>0</v>
      </c>
      <c r="O109" s="17">
        <f>COUNTIFS('Prácticas_Revisiones'!$S$2:$S$282,"T094",'Prácticas_Revisiones'!$T$2:$T$282,"PROFESSIONAL PRACTICE &gt; *")+COUNTIFS('Prácticas_Snowballing'!$AB$2:$AB$281,"T094",'Prácticas_Snowballing'!$AC$2:$AC$281,"PROFESSIONAL PRACTICE &gt; *")</f>
        <v>1</v>
      </c>
      <c r="P109" s="17">
        <f>COUNTIFS('Prácticas_Revisiones'!$S$2:$S$282,"T094",'Prácticas_Revisiones'!$T$2:$T$282,"SOFTWARE ENG. ECONOMICS &gt; *")+COUNTIFS('Prácticas_Snowballing'!$AB$2:$AB$281,"T094",'Prácticas_Snowballing'!$AC$2:$AC$281,"SOFTWARE ENG. ECONOMICS &gt; *")</f>
        <v>0</v>
      </c>
      <c r="Q109" s="17">
        <f>COUNTIFS('Prácticas_Revisiones'!$S$2:$S$282,"T094",'Prácticas_Revisiones'!$T$2:$T$282,"SOFTWARE ENG. MANAGEMENT &gt; *")+COUNTIFS('Prácticas_Snowballing'!$AB$2:$AB$281,"T094",'Prácticas_Snowballing'!$AC$2:$AC$281,"SOFTWARE ENG. MANAGEMENT &gt; *")</f>
        <v>0</v>
      </c>
      <c r="R109" s="17">
        <f>COUNTIFS('Prácticas_Revisiones'!$S$2:$S$282,"T094",'Prácticas_Revisiones'!$T$2:$T$282,"Sin área SWEBOK")+COUNTIFS('Prácticas_Snowballing'!$AB$2:$AB$281,"T094",'Prácticas_Snowballing'!$AC$2:$AC$281,"Sin área SWEBOK")</f>
        <v>0</v>
      </c>
      <c r="S109" s="27">
        <f t="shared" si="11"/>
        <v>2</v>
      </c>
    </row>
    <row r="110" ht="15.75" customHeight="1">
      <c r="A110" s="28"/>
      <c r="B110" s="16" t="s">
        <v>2865</v>
      </c>
      <c r="C110" s="17">
        <f>COUNTIFS('Prácticas_Revisiones'!$S$2:$S$282,"T095",'Prácticas_Revisiones'!$T$2:$T$282,"REQUIREMENTS &gt; *")+COUNTIFS('Prácticas_Snowballing'!$AB$2:$AB$281,"T095",'Prácticas_Snowballing'!$AC$2:$AC$281,"REQUIREMENTS &gt; *")</f>
        <v>0</v>
      </c>
      <c r="D110" s="17">
        <f>COUNTIFS('Prácticas_Revisiones'!$S$2:$S$282,"T095",'Prácticas_Revisiones'!$T$2:$T$282,"ARCHITECTURE &gt; *")+COUNTIFS('Prácticas_Snowballing'!$AB$2:$AB$281,"T095",'Prácticas_Snowballing'!$AC$2:$AC$281,"ARCHITECTURE &gt; *")</f>
        <v>0</v>
      </c>
      <c r="E110" s="17">
        <f>COUNTIFS('Prácticas_Revisiones'!$S$2:$S$282,"T095",'Prácticas_Revisiones'!$T$2:$T$282,"DESIGN &gt; *")+COUNTIFS('Prácticas_Snowballing'!$AB$2:$AB$281,"T095",'Prácticas_Snowballing'!$AC$2:$AC$281,"DESIGN &gt; *")</f>
        <v>0</v>
      </c>
      <c r="F110" s="17">
        <f>COUNTIFS('Prácticas_Revisiones'!$S$2:$S$282,"T095",'Prácticas_Revisiones'!$T$2:$T$282,"CONSTRUCTION &gt; *")+COUNTIFS('Prácticas_Snowballing'!$AB$2:$AB$281,"T095",'Prácticas_Snowballing'!$AC$2:$AC$281,"CONSTRUCTION &gt; *")</f>
        <v>10</v>
      </c>
      <c r="G110" s="17">
        <f>COUNTIFS('Prácticas_Revisiones'!$S$2:$S$282,"T095",'Prácticas_Revisiones'!$T$2:$T$282,"SOFTWARE TESTING &gt; *")+COUNTIFS('Prácticas_Snowballing'!$AB$2:$AB$281,"T095",'Prácticas_Snowballing'!$AC$2:$AC$281,"SOFTWARE TESTING &gt; *")</f>
        <v>0</v>
      </c>
      <c r="H110" s="17">
        <f>COUNTIFS('Prácticas_Revisiones'!$S$2:$S$282,"T095",'Prácticas_Revisiones'!$T$2:$T$282,"SOFTWARE ENG. OPERATIONS &gt; *")+COUNTIFS('Prácticas_Snowballing'!$AB$2:$AB$281,"T095",'Prácticas_Snowballing'!$AC$2:$AC$281,"SOFTWARE ENG. OPERATIONS &gt; *")</f>
        <v>0</v>
      </c>
      <c r="I110" s="17">
        <f>COUNTIFS('Prácticas_Revisiones'!$S$2:$S$282,"T095",'Prácticas_Revisiones'!$T$2:$T$282,"MAINTENANCE &gt; *")+COUNTIFS('Prácticas_Snowballing'!$AB$2:$AB$281,"T095",'Prácticas_Snowballing'!$AC$2:$AC$281,"MAINTENANCE &gt; *")</f>
        <v>0</v>
      </c>
      <c r="J110" s="17">
        <f>COUNTIFS('Prácticas_Revisiones'!$S$2:$S$282,"T095",'Prácticas_Revisiones'!$T$2:$T$282,"SOFTWARE CONFIG. MGMT. &gt; *")+COUNTIFS('Prácticas_Snowballing'!$AB$2:$AB$281,"T095",'Prácticas_Snowballing'!$AC$2:$AC$281,"SOFTWARE CONFIG. MGMT. &gt; *")</f>
        <v>0</v>
      </c>
      <c r="K110" s="17">
        <f>COUNTIFS('Prácticas_Revisiones'!$S$2:$S$282,"T095",'Prácticas_Revisiones'!$T$2:$T$282,"SOFTWARE ENG. PROCESS &gt; *")+COUNTIFS('Prácticas_Snowballing'!$AB$2:$AB$281,"T095",'Prácticas_Snowballing'!$AC$2:$AC$281,"SOFTWARE ENG. PROCESS &gt; *")</f>
        <v>0</v>
      </c>
      <c r="L110" s="17">
        <f>COUNTIFS('Prácticas_Revisiones'!$S$2:$S$282,"T095",'Prácticas_Revisiones'!$T$2:$T$282,"SOFTWARE ENG. MODELS/METH. &gt; *")+COUNTIFS('Prácticas_Snowballing'!$AB$2:$AB$281,"T095",'Prácticas_Snowballing'!$AC$2:$AC$281,"SOFTWARE ENG. MODELS/METH. &gt; *")</f>
        <v>0</v>
      </c>
      <c r="M110" s="17">
        <f>COUNTIFS('Prácticas_Revisiones'!$S$2:$S$282,"T095",'Prácticas_Revisiones'!$T$2:$T$282,"SOFTWARE QUALITY &gt; *")+COUNTIFS('Prácticas_Snowballing'!$AB$2:$AB$281,"T095",'Prácticas_Snowballing'!$AC$2:$AC$281,"SOFTWARE QUALITY &gt; *")</f>
        <v>0</v>
      </c>
      <c r="N110" s="17">
        <f>COUNTIFS('Prácticas_Revisiones'!$S$2:$S$282,"T095",'Prácticas_Revisiones'!$T$2:$T$282,"SOFTWARE SECURITY &gt; *")+COUNTIFS('Prácticas_Snowballing'!$AB$2:$AB$281,"T095",'Prácticas_Snowballing'!$AC$2:$AC$281,"SOFTWARE SECURITY &gt; *")</f>
        <v>0</v>
      </c>
      <c r="O110" s="17">
        <f>COUNTIFS('Prácticas_Revisiones'!$S$2:$S$282,"T095",'Prácticas_Revisiones'!$T$2:$T$282,"PROFESSIONAL PRACTICE &gt; *")+COUNTIFS('Prácticas_Snowballing'!$AB$2:$AB$281,"T095",'Prácticas_Snowballing'!$AC$2:$AC$281,"PROFESSIONAL PRACTICE &gt; *")</f>
        <v>0</v>
      </c>
      <c r="P110" s="17">
        <f>COUNTIFS('Prácticas_Revisiones'!$S$2:$S$282,"T095",'Prácticas_Revisiones'!$T$2:$T$282,"SOFTWARE ENG. ECONOMICS &gt; *")+COUNTIFS('Prácticas_Snowballing'!$AB$2:$AB$281,"T095",'Prácticas_Snowballing'!$AC$2:$AC$281,"SOFTWARE ENG. ECONOMICS &gt; *")</f>
        <v>0</v>
      </c>
      <c r="Q110" s="17">
        <f>COUNTIFS('Prácticas_Revisiones'!$S$2:$S$282,"T095",'Prácticas_Revisiones'!$T$2:$T$282,"SOFTWARE ENG. MANAGEMENT &gt; *")+COUNTIFS('Prácticas_Snowballing'!$AB$2:$AB$281,"T095",'Prácticas_Snowballing'!$AC$2:$AC$281,"SOFTWARE ENG. MANAGEMENT &gt; *")</f>
        <v>0</v>
      </c>
      <c r="R110" s="17">
        <f>COUNTIFS('Prácticas_Revisiones'!$S$2:$S$282,"T095",'Prácticas_Revisiones'!$T$2:$T$282,"Sin área SWEBOK")+COUNTIFS('Prácticas_Snowballing'!$AB$2:$AB$281,"T095",'Prácticas_Snowballing'!$AC$2:$AC$281,"Sin área SWEBOK")</f>
        <v>1</v>
      </c>
      <c r="S110" s="27">
        <f t="shared" si="11"/>
        <v>11</v>
      </c>
    </row>
    <row r="111" ht="15.75" customHeight="1">
      <c r="A111" s="28"/>
      <c r="B111" s="16" t="s">
        <v>2866</v>
      </c>
      <c r="C111" s="17">
        <f>COUNTIFS('Prácticas_Revisiones'!$S$2:$S$282,"T096",'Prácticas_Revisiones'!$T$2:$T$282,"REQUIREMENTS &gt; *")+COUNTIFS('Prácticas_Snowballing'!$AB$2:$AB$281,"T096",'Prácticas_Snowballing'!$AC$2:$AC$281,"REQUIREMENTS &gt; *")</f>
        <v>1</v>
      </c>
      <c r="D111" s="17">
        <f>COUNTIFS('Prácticas_Revisiones'!$S$2:$S$282,"T096",'Prácticas_Revisiones'!$T$2:$T$282,"ARCHITECTURE &gt; *")+COUNTIFS('Prácticas_Snowballing'!$AB$2:$AB$281,"T096",'Prácticas_Snowballing'!$AC$2:$AC$281,"ARCHITECTURE &gt; *")</f>
        <v>1</v>
      </c>
      <c r="E111" s="17">
        <f>COUNTIFS('Prácticas_Revisiones'!$S$2:$S$282,"T096",'Prácticas_Revisiones'!$T$2:$T$282,"DESIGN &gt; *")+COUNTIFS('Prácticas_Snowballing'!$AB$2:$AB$281,"T096",'Prácticas_Snowballing'!$AC$2:$AC$281,"DESIGN &gt; *")</f>
        <v>1</v>
      </c>
      <c r="F111" s="17">
        <f>COUNTIFS('Prácticas_Revisiones'!$S$2:$S$282,"T096",'Prácticas_Revisiones'!$T$2:$T$282,"CONSTRUCTION &gt; *")+COUNTIFS('Prácticas_Snowballing'!$AB$2:$AB$281,"T096",'Prácticas_Snowballing'!$AC$2:$AC$281,"CONSTRUCTION &gt; *")</f>
        <v>17</v>
      </c>
      <c r="G111" s="17">
        <f>COUNTIFS('Prácticas_Revisiones'!$S$2:$S$282,"T096",'Prácticas_Revisiones'!$T$2:$T$282,"SOFTWARE TESTING &gt; *")+COUNTIFS('Prácticas_Snowballing'!$AB$2:$AB$281,"T096",'Prácticas_Snowballing'!$AC$2:$AC$281,"SOFTWARE TESTING &gt; *")</f>
        <v>2</v>
      </c>
      <c r="H111" s="17">
        <f>COUNTIFS('Prácticas_Revisiones'!$S$2:$S$282,"T096",'Prácticas_Revisiones'!$T$2:$T$282,"SOFTWARE ENG. OPERATIONS &gt; *")+COUNTIFS('Prácticas_Snowballing'!$AB$2:$AB$281,"T096",'Prácticas_Snowballing'!$AC$2:$AC$281,"SOFTWARE ENG. OPERATIONS &gt; *")</f>
        <v>0</v>
      </c>
      <c r="I111" s="17">
        <f>COUNTIFS('Prácticas_Revisiones'!$S$2:$S$282,"T096",'Prácticas_Revisiones'!$T$2:$T$282,"MAINTENANCE &gt; *")+COUNTIFS('Prácticas_Snowballing'!$AB$2:$AB$281,"T096",'Prácticas_Snowballing'!$AC$2:$AC$281,"MAINTENANCE &gt; *")</f>
        <v>0</v>
      </c>
      <c r="J111" s="17">
        <f>COUNTIFS('Prácticas_Revisiones'!$S$2:$S$282,"T096",'Prácticas_Revisiones'!$T$2:$T$282,"SOFTWARE CONFIG. MGMT. &gt; *")+COUNTIFS('Prácticas_Snowballing'!$AB$2:$AB$281,"T096",'Prácticas_Snowballing'!$AC$2:$AC$281,"SOFTWARE CONFIG. MGMT. &gt; *")</f>
        <v>0</v>
      </c>
      <c r="K111" s="17">
        <f>COUNTIFS('Prácticas_Revisiones'!$S$2:$S$282,"T096",'Prácticas_Revisiones'!$T$2:$T$282,"SOFTWARE ENG. PROCESS &gt; *")+COUNTIFS('Prácticas_Snowballing'!$AB$2:$AB$281,"T096",'Prácticas_Snowballing'!$AC$2:$AC$281,"SOFTWARE ENG. PROCESS &gt; *")</f>
        <v>1</v>
      </c>
      <c r="L111" s="17">
        <f>COUNTIFS('Prácticas_Revisiones'!$S$2:$S$282,"T096",'Prácticas_Revisiones'!$T$2:$T$282,"SOFTWARE ENG. MODELS/METH. &gt; *")+COUNTIFS('Prácticas_Snowballing'!$AB$2:$AB$281,"T096",'Prácticas_Snowballing'!$AC$2:$AC$281,"SOFTWARE ENG. MODELS/METH. &gt; *")</f>
        <v>0</v>
      </c>
      <c r="M111" s="17">
        <f>COUNTIFS('Prácticas_Revisiones'!$S$2:$S$282,"T096",'Prácticas_Revisiones'!$T$2:$T$282,"SOFTWARE QUALITY &gt; *")+COUNTIFS('Prácticas_Snowballing'!$AB$2:$AB$281,"T096",'Prácticas_Snowballing'!$AC$2:$AC$281,"SOFTWARE QUALITY &gt; *")</f>
        <v>0</v>
      </c>
      <c r="N111" s="17">
        <f>COUNTIFS('Prácticas_Revisiones'!$S$2:$S$282,"T096",'Prácticas_Revisiones'!$T$2:$T$282,"SOFTWARE SECURITY &gt; *")+COUNTIFS('Prácticas_Snowballing'!$AB$2:$AB$281,"T096",'Prácticas_Snowballing'!$AC$2:$AC$281,"SOFTWARE SECURITY &gt; *")</f>
        <v>0</v>
      </c>
      <c r="O111" s="17">
        <f>COUNTIFS('Prácticas_Revisiones'!$S$2:$S$282,"T096",'Prácticas_Revisiones'!$T$2:$T$282,"PROFESSIONAL PRACTICE &gt; *")+COUNTIFS('Prácticas_Snowballing'!$AB$2:$AB$281,"T096",'Prácticas_Snowballing'!$AC$2:$AC$281,"PROFESSIONAL PRACTICE &gt; *")</f>
        <v>1</v>
      </c>
      <c r="P111" s="17">
        <f>COUNTIFS('Prácticas_Revisiones'!$S$2:$S$282,"T096",'Prácticas_Revisiones'!$T$2:$T$282,"SOFTWARE ENG. ECONOMICS &gt; *")+COUNTIFS('Prácticas_Snowballing'!$AB$2:$AB$281,"T096",'Prácticas_Snowballing'!$AC$2:$AC$281,"SOFTWARE ENG. ECONOMICS &gt; *")</f>
        <v>0</v>
      </c>
      <c r="Q111" s="17">
        <f>COUNTIFS('Prácticas_Revisiones'!$S$2:$S$282,"T096",'Prácticas_Revisiones'!$T$2:$T$282,"SOFTWARE ENG. MANAGEMENT &gt; *")+COUNTIFS('Prácticas_Snowballing'!$AB$2:$AB$281,"T096",'Prácticas_Snowballing'!$AC$2:$AC$281,"SOFTWARE ENG. MANAGEMENT &gt; *")</f>
        <v>1</v>
      </c>
      <c r="R111" s="17">
        <f>COUNTIFS('Prácticas_Revisiones'!$S$2:$S$282,"T096",'Prácticas_Revisiones'!$T$2:$T$282,"Sin área SWEBOK")+COUNTIFS('Prácticas_Snowballing'!$AB$2:$AB$281,"T096",'Prácticas_Snowballing'!$AC$2:$AC$281,"Sin área SWEBOK")</f>
        <v>1</v>
      </c>
      <c r="S111" s="27">
        <f t="shared" si="11"/>
        <v>26</v>
      </c>
    </row>
    <row r="112" ht="15.75" customHeight="1">
      <c r="A112" s="28"/>
      <c r="B112" s="16" t="s">
        <v>2791</v>
      </c>
      <c r="C112" s="17">
        <f>COUNTIFS('Prácticas_Revisiones'!$S$2:$S$282,"T097",'Prácticas_Revisiones'!$T$2:$T$282,"REQUIREMENTS &gt; *")+COUNTIFS('Prácticas_Snowballing'!$AB$2:$AB$281,"T097",'Prácticas_Snowballing'!$AC$2:$AC$281,"REQUIREMENTS &gt; *")</f>
        <v>0</v>
      </c>
      <c r="D112" s="17">
        <f>COUNTIFS('Prácticas_Revisiones'!$S$2:$S$282,"T097",'Prácticas_Revisiones'!$T$2:$T$282,"ARCHITECTURE &gt; *")+COUNTIFS('Prácticas_Snowballing'!$AB$2:$AB$281,"T097",'Prácticas_Snowballing'!$AC$2:$AC$281,"ARCHITECTURE &gt; *")</f>
        <v>0</v>
      </c>
      <c r="E112" s="17">
        <f>COUNTIFS('Prácticas_Revisiones'!$S$2:$S$282,"T097",'Prácticas_Revisiones'!$T$2:$T$282,"DESIGN &gt; *")+COUNTIFS('Prácticas_Snowballing'!$AB$2:$AB$281,"T097",'Prácticas_Snowballing'!$AC$2:$AC$281,"DESIGN &gt; *")</f>
        <v>0</v>
      </c>
      <c r="F112" s="17">
        <f>COUNTIFS('Prácticas_Revisiones'!$S$2:$S$282,"T097",'Prácticas_Revisiones'!$T$2:$T$282,"CONSTRUCTION &gt; *")+COUNTIFS('Prácticas_Snowballing'!$AB$2:$AB$281,"T097",'Prácticas_Snowballing'!$AC$2:$AC$281,"CONSTRUCTION &gt; *")</f>
        <v>0</v>
      </c>
      <c r="G112" s="17">
        <f>COUNTIFS('Prácticas_Revisiones'!$S$2:$S$282,"T097",'Prácticas_Revisiones'!$T$2:$T$282,"SOFTWARE TESTING &gt; *")+COUNTIFS('Prácticas_Snowballing'!$AB$2:$AB$281,"T097",'Prácticas_Snowballing'!$AC$2:$AC$281,"SOFTWARE TESTING &gt; *")</f>
        <v>0</v>
      </c>
      <c r="H112" s="17">
        <f>COUNTIFS('Prácticas_Revisiones'!$S$2:$S$282,"T097",'Prácticas_Revisiones'!$T$2:$T$282,"SOFTWARE ENG. OPERATIONS &gt; *")+COUNTIFS('Prácticas_Snowballing'!$AB$2:$AB$281,"T097",'Prácticas_Snowballing'!$AC$2:$AC$281,"SOFTWARE ENG. OPERATIONS &gt; *")</f>
        <v>0</v>
      </c>
      <c r="I112" s="17">
        <f>COUNTIFS('Prácticas_Revisiones'!$S$2:$S$282,"T097",'Prácticas_Revisiones'!$T$2:$T$282,"MAINTENANCE &gt; *")+COUNTIFS('Prácticas_Snowballing'!$AB$2:$AB$281,"T097",'Prácticas_Snowballing'!$AC$2:$AC$281,"MAINTENANCE &gt; *")</f>
        <v>0</v>
      </c>
      <c r="J112" s="17">
        <f>COUNTIFS('Prácticas_Revisiones'!$S$2:$S$282,"T097",'Prácticas_Revisiones'!$T$2:$T$282,"SOFTWARE CONFIG. MGMT. &gt; *")+COUNTIFS('Prácticas_Snowballing'!$AB$2:$AB$281,"T097",'Prácticas_Snowballing'!$AC$2:$AC$281,"SOFTWARE CONFIG. MGMT. &gt; *")</f>
        <v>0</v>
      </c>
      <c r="K112" s="17">
        <f>COUNTIFS('Prácticas_Revisiones'!$S$2:$S$282,"T097",'Prácticas_Revisiones'!$T$2:$T$282,"SOFTWARE ENG. PROCESS &gt; *")+COUNTIFS('Prácticas_Snowballing'!$AB$2:$AB$281,"T097",'Prácticas_Snowballing'!$AC$2:$AC$281,"SOFTWARE ENG. PROCESS &gt; *")</f>
        <v>0</v>
      </c>
      <c r="L112" s="17">
        <f>COUNTIFS('Prácticas_Revisiones'!$S$2:$S$282,"T097",'Prácticas_Revisiones'!$T$2:$T$282,"SOFTWARE ENG. MODELS/METH. &gt; *")+COUNTIFS('Prácticas_Snowballing'!$AB$2:$AB$281,"T097",'Prácticas_Snowballing'!$AC$2:$AC$281,"SOFTWARE ENG. MODELS/METH. &gt; *")</f>
        <v>0</v>
      </c>
      <c r="M112" s="17">
        <f>COUNTIFS('Prácticas_Revisiones'!$S$2:$S$282,"T097",'Prácticas_Revisiones'!$T$2:$T$282,"SOFTWARE QUALITY &gt; *")+COUNTIFS('Prácticas_Snowballing'!$AB$2:$AB$281,"T097",'Prácticas_Snowballing'!$AC$2:$AC$281,"SOFTWARE QUALITY &gt; *")</f>
        <v>0</v>
      </c>
      <c r="N112" s="17">
        <f>COUNTIFS('Prácticas_Revisiones'!$S$2:$S$282,"T097",'Prácticas_Revisiones'!$T$2:$T$282,"SOFTWARE SECURITY &gt; *")+COUNTIFS('Prácticas_Snowballing'!$AB$2:$AB$281,"T097",'Prácticas_Snowballing'!$AC$2:$AC$281,"SOFTWARE SECURITY &gt; *")</f>
        <v>0</v>
      </c>
      <c r="O112" s="17">
        <f>COUNTIFS('Prácticas_Revisiones'!$S$2:$S$282,"T097",'Prácticas_Revisiones'!$T$2:$T$282,"PROFESSIONAL PRACTICE &gt; *")+COUNTIFS('Prácticas_Snowballing'!$AB$2:$AB$281,"T097",'Prácticas_Snowballing'!$AC$2:$AC$281,"PROFESSIONAL PRACTICE &gt; *")</f>
        <v>0</v>
      </c>
      <c r="P112" s="17">
        <f>COUNTIFS('Prácticas_Revisiones'!$S$2:$S$282,"T097",'Prácticas_Revisiones'!$T$2:$T$282,"SOFTWARE ENG. ECONOMICS &gt; *")+COUNTIFS('Prácticas_Snowballing'!$AB$2:$AB$281,"T097",'Prácticas_Snowballing'!$AC$2:$AC$281,"SOFTWARE ENG. ECONOMICS &gt; *")</f>
        <v>0</v>
      </c>
      <c r="Q112" s="17">
        <f>COUNTIFS('Prácticas_Revisiones'!$S$2:$S$282,"T097",'Prácticas_Revisiones'!$T$2:$T$282,"SOFTWARE ENG. MANAGEMENT &gt; *")+COUNTIFS('Prácticas_Snowballing'!$AB$2:$AB$281,"T097",'Prácticas_Snowballing'!$AC$2:$AC$281,"SOFTWARE ENG. MANAGEMENT &gt; *")</f>
        <v>0</v>
      </c>
      <c r="R112" s="17">
        <f>COUNTIFS('Prácticas_Revisiones'!$S$2:$S$282,"T097",'Prácticas_Revisiones'!$T$2:$T$282,"Sin área SWEBOK")+COUNTIFS('Prácticas_Snowballing'!$AB$2:$AB$281,"T097",'Prácticas_Snowballing'!$AC$2:$AC$281,"Sin área SWEBOK")</f>
        <v>0</v>
      </c>
      <c r="S112" s="27">
        <f t="shared" si="11"/>
        <v>0</v>
      </c>
    </row>
    <row r="113" ht="15.75" customHeight="1">
      <c r="A113" s="28"/>
      <c r="B113" s="16" t="s">
        <v>2868</v>
      </c>
      <c r="C113" s="17">
        <f>COUNTIFS('Prácticas_Revisiones'!$S$2:$S$282,"T098",'Prácticas_Revisiones'!$T$2:$T$282,"REQUIREMENTS &gt; *")+COUNTIFS('Prácticas_Snowballing'!$AB$2:$AB$281,"T098",'Prácticas_Snowballing'!$AC$2:$AC$281,"REQUIREMENTS &gt; *")</f>
        <v>0</v>
      </c>
      <c r="D113" s="17">
        <f>COUNTIFS('Prácticas_Revisiones'!$S$2:$S$282,"T098",'Prácticas_Revisiones'!$T$2:$T$282,"ARCHITECTURE &gt; *")+COUNTIFS('Prácticas_Snowballing'!$AB$2:$AB$281,"T098",'Prácticas_Snowballing'!$AC$2:$AC$281,"ARCHITECTURE &gt; *")</f>
        <v>0</v>
      </c>
      <c r="E113" s="17">
        <f>COUNTIFS('Prácticas_Revisiones'!$S$2:$S$282,"T098",'Prácticas_Revisiones'!$T$2:$T$282,"DESIGN &gt; *")+COUNTIFS('Prácticas_Snowballing'!$AB$2:$AB$281,"T098",'Prácticas_Snowballing'!$AC$2:$AC$281,"DESIGN &gt; *")</f>
        <v>0</v>
      </c>
      <c r="F113" s="17">
        <f>COUNTIFS('Prácticas_Revisiones'!$S$2:$S$282,"T098",'Prácticas_Revisiones'!$T$2:$T$282,"CONSTRUCTION &gt; *")+COUNTIFS('Prácticas_Snowballing'!$AB$2:$AB$281,"T098",'Prácticas_Snowballing'!$AC$2:$AC$281,"CONSTRUCTION &gt; *")</f>
        <v>7</v>
      </c>
      <c r="G113" s="17">
        <f>COUNTIFS('Prácticas_Revisiones'!$S$2:$S$282,"T098",'Prácticas_Revisiones'!$T$2:$T$282,"SOFTWARE TESTING &gt; *")+COUNTIFS('Prácticas_Snowballing'!$AB$2:$AB$281,"T098",'Prácticas_Snowballing'!$AC$2:$AC$281,"SOFTWARE TESTING &gt; *")</f>
        <v>0</v>
      </c>
      <c r="H113" s="17">
        <f>COUNTIFS('Prácticas_Revisiones'!$S$2:$S$282,"T098",'Prácticas_Revisiones'!$T$2:$T$282,"SOFTWARE ENG. OPERATIONS &gt; *")+COUNTIFS('Prácticas_Snowballing'!$AB$2:$AB$281,"T098",'Prácticas_Snowballing'!$AC$2:$AC$281,"SOFTWARE ENG. OPERATIONS &gt; *")</f>
        <v>0</v>
      </c>
      <c r="I113" s="17">
        <f>COUNTIFS('Prácticas_Revisiones'!$S$2:$S$282,"T098",'Prácticas_Revisiones'!$T$2:$T$282,"MAINTENANCE &gt; *")+COUNTIFS('Prácticas_Snowballing'!$AB$2:$AB$281,"T098",'Prácticas_Snowballing'!$AC$2:$AC$281,"MAINTENANCE &gt; *")</f>
        <v>0</v>
      </c>
      <c r="J113" s="17">
        <f>COUNTIFS('Prácticas_Revisiones'!$S$2:$S$282,"T098",'Prácticas_Revisiones'!$T$2:$T$282,"SOFTWARE CONFIG. MGMT. &gt; *")+COUNTIFS('Prácticas_Snowballing'!$AB$2:$AB$281,"T098",'Prácticas_Snowballing'!$AC$2:$AC$281,"SOFTWARE CONFIG. MGMT. &gt; *")</f>
        <v>0</v>
      </c>
      <c r="K113" s="17">
        <f>COUNTIFS('Prácticas_Revisiones'!$S$2:$S$282,"T098",'Prácticas_Revisiones'!$T$2:$T$282,"SOFTWARE ENG. PROCESS &gt; *")+COUNTIFS('Prácticas_Snowballing'!$AB$2:$AB$281,"T098",'Prácticas_Snowballing'!$AC$2:$AC$281,"SOFTWARE ENG. PROCESS &gt; *")</f>
        <v>0</v>
      </c>
      <c r="L113" s="17">
        <f>COUNTIFS('Prácticas_Revisiones'!$S$2:$S$282,"T098",'Prácticas_Revisiones'!$T$2:$T$282,"SOFTWARE ENG. MODELS/METH. &gt; *")+COUNTIFS('Prácticas_Snowballing'!$AB$2:$AB$281,"T098",'Prácticas_Snowballing'!$AC$2:$AC$281,"SOFTWARE ENG. MODELS/METH. &gt; *")</f>
        <v>1</v>
      </c>
      <c r="M113" s="17">
        <f>COUNTIFS('Prácticas_Revisiones'!$S$2:$S$282,"T098",'Prácticas_Revisiones'!$T$2:$T$282,"SOFTWARE QUALITY &gt; *")+COUNTIFS('Prácticas_Snowballing'!$AB$2:$AB$281,"T098",'Prácticas_Snowballing'!$AC$2:$AC$281,"SOFTWARE QUALITY &gt; *")</f>
        <v>0</v>
      </c>
      <c r="N113" s="17">
        <f>COUNTIFS('Prácticas_Revisiones'!$S$2:$S$282,"T098",'Prácticas_Revisiones'!$T$2:$T$282,"SOFTWARE SECURITY &gt; *")+COUNTIFS('Prácticas_Snowballing'!$AB$2:$AB$281,"T098",'Prácticas_Snowballing'!$AC$2:$AC$281,"SOFTWARE SECURITY &gt; *")</f>
        <v>0</v>
      </c>
      <c r="O113" s="17">
        <f>COUNTIFS('Prácticas_Revisiones'!$S$2:$S$282,"T098",'Prácticas_Revisiones'!$T$2:$T$282,"PROFESSIONAL PRACTICE &gt; *")+COUNTIFS('Prácticas_Snowballing'!$AB$2:$AB$281,"T098",'Prácticas_Snowballing'!$AC$2:$AC$281,"PROFESSIONAL PRACTICE &gt; *")</f>
        <v>0</v>
      </c>
      <c r="P113" s="17">
        <f>COUNTIFS('Prácticas_Revisiones'!$S$2:$S$282,"T098",'Prácticas_Revisiones'!$T$2:$T$282,"SOFTWARE ENG. ECONOMICS &gt; *")+COUNTIFS('Prácticas_Snowballing'!$AB$2:$AB$281,"T098",'Prácticas_Snowballing'!$AC$2:$AC$281,"SOFTWARE ENG. ECONOMICS &gt; *")</f>
        <v>0</v>
      </c>
      <c r="Q113" s="17">
        <f>COUNTIFS('Prácticas_Revisiones'!$S$2:$S$282,"T098",'Prácticas_Revisiones'!$T$2:$T$282,"SOFTWARE ENG. MANAGEMENT &gt; *")+COUNTIFS('Prácticas_Snowballing'!$AB$2:$AB$281,"T098",'Prácticas_Snowballing'!$AC$2:$AC$281,"SOFTWARE ENG. MANAGEMENT &gt; *")</f>
        <v>0</v>
      </c>
      <c r="R113" s="17">
        <f>COUNTIFS('Prácticas_Revisiones'!$S$2:$S$282,"T098",'Prácticas_Revisiones'!$T$2:$T$282,"Sin área SWEBOK")+COUNTIFS('Prácticas_Snowballing'!$AB$2:$AB$281,"T098",'Prácticas_Snowballing'!$AC$2:$AC$281,"Sin área SWEBOK")</f>
        <v>0</v>
      </c>
      <c r="S113" s="27">
        <f t="shared" si="11"/>
        <v>8</v>
      </c>
    </row>
    <row r="114" ht="15.75" customHeight="1">
      <c r="A114" s="28"/>
      <c r="B114" s="16" t="s">
        <v>2869</v>
      </c>
      <c r="C114" s="17">
        <f>COUNTIFS('Prácticas_Revisiones'!$S$2:$S$282,"T099",'Prácticas_Revisiones'!$T$2:$T$282,"REQUIREMENTS &gt; *")+COUNTIFS('Prácticas_Snowballing'!$AB$2:$AB$281,"T099",'Prácticas_Snowballing'!$AC$2:$AC$281,"REQUIREMENTS &gt; *")</f>
        <v>2</v>
      </c>
      <c r="D114" s="17">
        <f>COUNTIFS('Prácticas_Revisiones'!$S$2:$S$282,"T099",'Prácticas_Revisiones'!$T$2:$T$282,"ARCHITECTURE &gt; *")+COUNTIFS('Prácticas_Snowballing'!$AB$2:$AB$281,"T099",'Prácticas_Snowballing'!$AC$2:$AC$281,"ARCHITECTURE &gt; *")</f>
        <v>0</v>
      </c>
      <c r="E114" s="17">
        <f>COUNTIFS('Prácticas_Revisiones'!$S$2:$S$282,"T099",'Prácticas_Revisiones'!$T$2:$T$282,"DESIGN &gt; *")+COUNTIFS('Prácticas_Snowballing'!$AB$2:$AB$281,"T099",'Prácticas_Snowballing'!$AC$2:$AC$281,"DESIGN &gt; *")</f>
        <v>2</v>
      </c>
      <c r="F114" s="17">
        <f>COUNTIFS('Prácticas_Revisiones'!$S$2:$S$282,"T099",'Prácticas_Revisiones'!$T$2:$T$282,"CONSTRUCTION &gt; *")+COUNTIFS('Prácticas_Snowballing'!$AB$2:$AB$281,"T099",'Prácticas_Snowballing'!$AC$2:$AC$281,"CONSTRUCTION &gt; *")</f>
        <v>3</v>
      </c>
      <c r="G114" s="17">
        <f>COUNTIFS('Prácticas_Revisiones'!$S$2:$S$282,"T099",'Prácticas_Revisiones'!$T$2:$T$282,"SOFTWARE TESTING &gt; *")+COUNTIFS('Prácticas_Snowballing'!$AB$2:$AB$281,"T099",'Prácticas_Snowballing'!$AC$2:$AC$281,"SOFTWARE TESTING &gt; *")</f>
        <v>0</v>
      </c>
      <c r="H114" s="17">
        <f>COUNTIFS('Prácticas_Revisiones'!$S$2:$S$282,"T099",'Prácticas_Revisiones'!$T$2:$T$282,"SOFTWARE ENG. OPERATIONS &gt; *")+COUNTIFS('Prácticas_Snowballing'!$AB$2:$AB$281,"T099",'Prácticas_Snowballing'!$AC$2:$AC$281,"SOFTWARE ENG. OPERATIONS &gt; *")</f>
        <v>0</v>
      </c>
      <c r="I114" s="17">
        <f>COUNTIFS('Prácticas_Revisiones'!$S$2:$S$282,"T099",'Prácticas_Revisiones'!$T$2:$T$282,"MAINTENANCE &gt; *")+COUNTIFS('Prácticas_Snowballing'!$AB$2:$AB$281,"T099",'Prácticas_Snowballing'!$AC$2:$AC$281,"MAINTENANCE &gt; *")</f>
        <v>0</v>
      </c>
      <c r="J114" s="17">
        <f>COUNTIFS('Prácticas_Revisiones'!$S$2:$S$282,"T099",'Prácticas_Revisiones'!$T$2:$T$282,"SOFTWARE CONFIG. MGMT. &gt; *")+COUNTIFS('Prácticas_Snowballing'!$AB$2:$AB$281,"T099",'Prácticas_Snowballing'!$AC$2:$AC$281,"SOFTWARE CONFIG. MGMT. &gt; *")</f>
        <v>0</v>
      </c>
      <c r="K114" s="17">
        <f>COUNTIFS('Prácticas_Revisiones'!$S$2:$S$282,"T099",'Prácticas_Revisiones'!$T$2:$T$282,"SOFTWARE ENG. PROCESS &gt; *")+COUNTIFS('Prácticas_Snowballing'!$AB$2:$AB$281,"T099",'Prácticas_Snowballing'!$AC$2:$AC$281,"SOFTWARE ENG. PROCESS &gt; *")</f>
        <v>0</v>
      </c>
      <c r="L114" s="17">
        <f>COUNTIFS('Prácticas_Revisiones'!$S$2:$S$282,"T099",'Prácticas_Revisiones'!$T$2:$T$282,"SOFTWARE ENG. MODELS/METH. &gt; *")+COUNTIFS('Prácticas_Snowballing'!$AB$2:$AB$281,"T099",'Prácticas_Snowballing'!$AC$2:$AC$281,"SOFTWARE ENG. MODELS/METH. &gt; *")</f>
        <v>0</v>
      </c>
      <c r="M114" s="17">
        <f>COUNTIFS('Prácticas_Revisiones'!$S$2:$S$282,"T099",'Prácticas_Revisiones'!$T$2:$T$282,"SOFTWARE QUALITY &gt; *")+COUNTIFS('Prácticas_Snowballing'!$AB$2:$AB$281,"T099",'Prácticas_Snowballing'!$AC$2:$AC$281,"SOFTWARE QUALITY &gt; *")</f>
        <v>0</v>
      </c>
      <c r="N114" s="17">
        <f>COUNTIFS('Prácticas_Revisiones'!$S$2:$S$282,"T099",'Prácticas_Revisiones'!$T$2:$T$282,"SOFTWARE SECURITY &gt; *")+COUNTIFS('Prácticas_Snowballing'!$AB$2:$AB$281,"T099",'Prácticas_Snowballing'!$AC$2:$AC$281,"SOFTWARE SECURITY &gt; *")</f>
        <v>0</v>
      </c>
      <c r="O114" s="17">
        <f>COUNTIFS('Prácticas_Revisiones'!$S$2:$S$282,"T099",'Prácticas_Revisiones'!$T$2:$T$282,"PROFESSIONAL PRACTICE &gt; *")+COUNTIFS('Prácticas_Snowballing'!$AB$2:$AB$281,"T099",'Prácticas_Snowballing'!$AC$2:$AC$281,"PROFESSIONAL PRACTICE &gt; *")</f>
        <v>1</v>
      </c>
      <c r="P114" s="17">
        <f>COUNTIFS('Prácticas_Revisiones'!$S$2:$S$282,"T099",'Prácticas_Revisiones'!$T$2:$T$282,"SOFTWARE ENG. ECONOMICS &gt; *")+COUNTIFS('Prácticas_Snowballing'!$AB$2:$AB$281,"T099",'Prácticas_Snowballing'!$AC$2:$AC$281,"SOFTWARE ENG. ECONOMICS &gt; *")</f>
        <v>0</v>
      </c>
      <c r="Q114" s="17">
        <f>COUNTIFS('Prácticas_Revisiones'!$S$2:$S$282,"T099",'Prácticas_Revisiones'!$T$2:$T$282,"SOFTWARE ENG. MANAGEMENT &gt; *")+COUNTIFS('Prácticas_Snowballing'!$AB$2:$AB$281,"T099",'Prácticas_Snowballing'!$AC$2:$AC$281,"SOFTWARE ENG. MANAGEMENT &gt; *")</f>
        <v>1</v>
      </c>
      <c r="R114" s="17">
        <f>COUNTIFS('Prácticas_Revisiones'!$S$2:$S$282,"T099",'Prácticas_Revisiones'!$T$2:$T$282,"Sin área SWEBOK")+COUNTIFS('Prácticas_Snowballing'!$AB$2:$AB$281,"T099",'Prácticas_Snowballing'!$AC$2:$AC$281,"Sin área SWEBOK")</f>
        <v>0</v>
      </c>
      <c r="S114" s="27">
        <f t="shared" si="11"/>
        <v>9</v>
      </c>
    </row>
    <row r="115" ht="15.75" customHeight="1">
      <c r="A115" s="28"/>
      <c r="B115" s="16" t="s">
        <v>2764</v>
      </c>
      <c r="C115" s="17">
        <f>COUNTIFS('Prácticas_Revisiones'!$S$2:$S$282,"T100",'Prácticas_Revisiones'!$T$2:$T$282,"REQUIREMENTS &gt; *")+COUNTIFS('Prácticas_Snowballing'!$AB$2:$AB$281,"T100",'Prácticas_Snowballing'!$AC$2:$AC$281,"REQUIREMENTS &gt; *")</f>
        <v>0</v>
      </c>
      <c r="D115" s="17">
        <f>COUNTIFS('Prácticas_Revisiones'!$S$2:$S$282,"T100",'Prácticas_Revisiones'!$T$2:$T$282,"ARCHITECTURE &gt; *")+COUNTIFS('Prácticas_Snowballing'!$AB$2:$AB$281,"T100",'Prácticas_Snowballing'!$AC$2:$AC$281,"ARCHITECTURE &gt; *")</f>
        <v>0</v>
      </c>
      <c r="E115" s="17">
        <f>COUNTIFS('Prácticas_Revisiones'!$S$2:$S$282,"T100",'Prácticas_Revisiones'!$T$2:$T$282,"DESIGN &gt; *")+COUNTIFS('Prácticas_Snowballing'!$AB$2:$AB$281,"T100",'Prácticas_Snowballing'!$AC$2:$AC$281,"DESIGN &gt; *")</f>
        <v>0</v>
      </c>
      <c r="F115" s="17">
        <f>COUNTIFS('Prácticas_Revisiones'!$S$2:$S$282,"T100",'Prácticas_Revisiones'!$T$2:$T$282,"CONSTRUCTION &gt; *")+COUNTIFS('Prácticas_Snowballing'!$AB$2:$AB$281,"T100",'Prácticas_Snowballing'!$AC$2:$AC$281,"CONSTRUCTION &gt; *")</f>
        <v>0</v>
      </c>
      <c r="G115" s="17">
        <f>COUNTIFS('Prácticas_Revisiones'!$S$2:$S$282,"T100",'Prácticas_Revisiones'!$T$2:$T$282,"SOFTWARE TESTING &gt; *")+COUNTIFS('Prácticas_Snowballing'!$AB$2:$AB$281,"T100",'Prácticas_Snowballing'!$AC$2:$AC$281,"SOFTWARE TESTING &gt; *")</f>
        <v>0</v>
      </c>
      <c r="H115" s="17">
        <f>COUNTIFS('Prácticas_Revisiones'!$S$2:$S$282,"T100",'Prácticas_Revisiones'!$T$2:$T$282,"SOFTWARE ENG. OPERATIONS &gt; *")+COUNTIFS('Prácticas_Snowballing'!$AB$2:$AB$281,"T100",'Prácticas_Snowballing'!$AC$2:$AC$281,"SOFTWARE ENG. OPERATIONS &gt; *")</f>
        <v>0</v>
      </c>
      <c r="I115" s="17">
        <f>COUNTIFS('Prácticas_Revisiones'!$S$2:$S$282,"T100",'Prácticas_Revisiones'!$T$2:$T$282,"MAINTENANCE &gt; *")+COUNTIFS('Prácticas_Snowballing'!$AB$2:$AB$281,"T100",'Prácticas_Snowballing'!$AC$2:$AC$281,"MAINTENANCE &gt; *")</f>
        <v>1</v>
      </c>
      <c r="J115" s="17">
        <f>COUNTIFS('Prácticas_Revisiones'!$S$2:$S$282,"T100",'Prácticas_Revisiones'!$T$2:$T$282,"SOFTWARE CONFIG. MGMT. &gt; *")+COUNTIFS('Prácticas_Snowballing'!$AB$2:$AB$281,"T100",'Prácticas_Snowballing'!$AC$2:$AC$281,"SOFTWARE CONFIG. MGMT. &gt; *")</f>
        <v>0</v>
      </c>
      <c r="K115" s="17">
        <f>COUNTIFS('Prácticas_Revisiones'!$S$2:$S$282,"T100",'Prácticas_Revisiones'!$T$2:$T$282,"SOFTWARE ENG. PROCESS &gt; *")+COUNTIFS('Prácticas_Snowballing'!$AB$2:$AB$281,"T100",'Prácticas_Snowballing'!$AC$2:$AC$281,"SOFTWARE ENG. PROCESS &gt; *")</f>
        <v>0</v>
      </c>
      <c r="L115" s="17">
        <f>COUNTIFS('Prácticas_Revisiones'!$S$2:$S$282,"T100",'Prácticas_Revisiones'!$T$2:$T$282,"SOFTWARE ENG. MODELS/METH. &gt; *")+COUNTIFS('Prácticas_Snowballing'!$AB$2:$AB$281,"T100",'Prácticas_Snowballing'!$AC$2:$AC$281,"SOFTWARE ENG. MODELS/METH. &gt; *")</f>
        <v>0</v>
      </c>
      <c r="M115" s="17">
        <f>COUNTIFS('Prácticas_Revisiones'!$S$2:$S$282,"T100",'Prácticas_Revisiones'!$T$2:$T$282,"SOFTWARE QUALITY &gt; *")+COUNTIFS('Prácticas_Snowballing'!$AB$2:$AB$281,"T100",'Prácticas_Snowballing'!$AC$2:$AC$281,"SOFTWARE QUALITY &gt; *")</f>
        <v>0</v>
      </c>
      <c r="N115" s="17">
        <f>COUNTIFS('Prácticas_Revisiones'!$S$2:$S$282,"T100",'Prácticas_Revisiones'!$T$2:$T$282,"SOFTWARE SECURITY &gt; *")+COUNTIFS('Prácticas_Snowballing'!$AB$2:$AB$281,"T100",'Prácticas_Snowballing'!$AC$2:$AC$281,"SOFTWARE SECURITY &gt; *")</f>
        <v>0</v>
      </c>
      <c r="O115" s="17">
        <f>COUNTIFS('Prácticas_Revisiones'!$S$2:$S$282,"T100",'Prácticas_Revisiones'!$T$2:$T$282,"PROFESSIONAL PRACTICE &gt; *")+COUNTIFS('Prácticas_Snowballing'!$AB$2:$AB$281,"T100",'Prácticas_Snowballing'!$AC$2:$AC$281,"PROFESSIONAL PRACTICE &gt; *")</f>
        <v>0</v>
      </c>
      <c r="P115" s="17">
        <f>COUNTIFS('Prácticas_Revisiones'!$S$2:$S$282,"T100",'Prácticas_Revisiones'!$T$2:$T$282,"SOFTWARE ENG. ECONOMICS &gt; *")+COUNTIFS('Prácticas_Snowballing'!$AB$2:$AB$281,"T100",'Prácticas_Snowballing'!$AC$2:$AC$281,"SOFTWARE ENG. ECONOMICS &gt; *")</f>
        <v>0</v>
      </c>
      <c r="Q115" s="17">
        <f>COUNTIFS('Prácticas_Revisiones'!$S$2:$S$282,"T100",'Prácticas_Revisiones'!$T$2:$T$282,"SOFTWARE ENG. MANAGEMENT &gt; *")+COUNTIFS('Prácticas_Snowballing'!$AB$2:$AB$281,"T100",'Prácticas_Snowballing'!$AC$2:$AC$281,"SOFTWARE ENG. MANAGEMENT &gt; *")</f>
        <v>0</v>
      </c>
      <c r="R115" s="17">
        <f>COUNTIFS('Prácticas_Revisiones'!$S$2:$S$282,"T100",'Prácticas_Revisiones'!$T$2:$T$282,"Sin área SWEBOK")+COUNTIFS('Prácticas_Snowballing'!$AB$2:$AB$281,"T100",'Prácticas_Snowballing'!$AC$2:$AC$281,"Sin área SWEBOK")</f>
        <v>0</v>
      </c>
      <c r="S115" s="27">
        <f t="shared" si="11"/>
        <v>1</v>
      </c>
    </row>
    <row r="116" ht="15.75" customHeight="1">
      <c r="A116" s="23"/>
      <c r="B116" s="9" t="s">
        <v>2199</v>
      </c>
      <c r="C116" s="17">
        <f>COUNTIFS('Prácticas_Revisiones'!$S$2:$S$282,"Sin equivalente en catálogo (CONSTRUIR)",'Prácticas_Revisiones'!$T$2:$T$282,"REQUIREMENTS &gt; *")+COUNTIFS('Prácticas_Snowballing'!$AB$2:$AB$281,"Sin equivalente en catálogo (CONSTRUIR)",'Prácticas_Snowballing'!$AC$2:$AC$281,"REQUIREMENTS &gt; *")</f>
        <v>0</v>
      </c>
      <c r="D116" s="17">
        <f>COUNTIFS('Prácticas_Revisiones'!$S$2:$S$282,"Sin equivalente en catálogo (CONSTRUIR)",'Prácticas_Revisiones'!$T$2:$T$282,"ARCHITECTURE &gt; *")+COUNTIFS('Prácticas_Snowballing'!$AB$2:$AB$281,"Sin equivalente en catálogo (CONSTRUIR)",'Prácticas_Snowballing'!$AC$2:$AC$281,"ARCHITECTURE &gt; *")</f>
        <v>0</v>
      </c>
      <c r="E116" s="17">
        <f>COUNTIFS('Prácticas_Revisiones'!$S$2:$S$282,"Sin equivalente en catálogo (CONSTRUIR)",'Prácticas_Revisiones'!$T$2:$T$282,"DESIGN &gt; *")+COUNTIFS('Prácticas_Snowballing'!$AB$2:$AB$281,"Sin equivalente en catálogo (CONSTRUIR)",'Prácticas_Snowballing'!$AC$2:$AC$281,"DESIGN &gt; *")</f>
        <v>0</v>
      </c>
      <c r="F116" s="17">
        <f>COUNTIFS('Prácticas_Revisiones'!$S$2:$S$282,"Sin equivalente en catálogo (CONSTRUIR)",'Prácticas_Revisiones'!$T$2:$T$282,"CONSTRUCTION &gt; *")+COUNTIFS('Prácticas_Snowballing'!$AB$2:$AB$281,"Sin equivalente en catálogo (CONSTRUIR)",'Prácticas_Snowballing'!$AC$2:$AC$281,"CONSTRUCTION &gt; *")</f>
        <v>0</v>
      </c>
      <c r="G116" s="17">
        <f>COUNTIFS('Prácticas_Revisiones'!$S$2:$S$282,"Sin equivalente en catálogo (CONSTRUIR)",'Prácticas_Revisiones'!$T$2:$T$282,"SOFTWARE TESTING &gt; *")+COUNTIFS('Prácticas_Snowballing'!$AB$2:$AB$281,"Sin equivalente en catálogo (CONSTRUIR)",'Prácticas_Snowballing'!$AC$2:$AC$281,"SOFTWARE TESTING &gt; *")</f>
        <v>0</v>
      </c>
      <c r="H116" s="17">
        <f>COUNTIFS('Prácticas_Revisiones'!$S$2:$S$282,"Sin equivalente en catálogo (CONSTRUIR)",'Prácticas_Revisiones'!$T$2:$T$282,"SOFTWARE ENG. OPERATIONS &gt; *")+COUNTIFS('Prácticas_Snowballing'!$AB$2:$AB$281,"Sin equivalente en catálogo (CONSTRUIR)",'Prácticas_Snowballing'!$AC$2:$AC$281,"SOFTWARE ENG. OPERATIONS &gt; *")</f>
        <v>0</v>
      </c>
      <c r="I116" s="17">
        <f>COUNTIFS('Prácticas_Revisiones'!$S$2:$S$282,"Sin equivalente en catálogo (CONSTRUIR)",'Prácticas_Revisiones'!$T$2:$T$282,"MAINTENANCE &gt; *")+COUNTIFS('Prácticas_Snowballing'!$AB$2:$AB$281,"Sin equivalente en catálogo (CONSTRUIR)",'Prácticas_Snowballing'!$AC$2:$AC$281,"MAINTENANCE &gt; *")</f>
        <v>0</v>
      </c>
      <c r="J116" s="17">
        <f>COUNTIFS('Prácticas_Revisiones'!$S$2:$S$282,"Sin equivalente en catálogo (CONSTRUIR)",'Prácticas_Revisiones'!$T$2:$T$282,"SOFTWARE CONFIG. MGMT. &gt; *")+COUNTIFS('Prácticas_Snowballing'!$AB$2:$AB$281,"Sin equivalente en catálogo (CONSTRUIR)",'Prácticas_Snowballing'!$AC$2:$AC$281,"SOFTWARE CONFIG. MGMT. &gt; *")</f>
        <v>0</v>
      </c>
      <c r="K116" s="17">
        <f>COUNTIFS('Prácticas_Revisiones'!$S$2:$S$282,"Sin equivalente en catálogo (CONSTRUIR)",'Prácticas_Revisiones'!$T$2:$T$282,"SOFTWARE ENG. PROCESS &gt; *")+COUNTIFS('Prácticas_Snowballing'!$AB$2:$AB$281,"Sin equivalente en catálogo (CONSTRUIR)",'Prácticas_Snowballing'!$AC$2:$AC$281,"SOFTWARE ENG. PROCESS &gt; *")</f>
        <v>0</v>
      </c>
      <c r="L116" s="17">
        <f>COUNTIFS('Prácticas_Revisiones'!$S$2:$S$282,"Sin equivalente en catálogo (CONSTRUIR)",'Prácticas_Revisiones'!$T$2:$T$282,"SOFTWARE ENG. MODELS/METH. &gt; *")+COUNTIFS('Prácticas_Snowballing'!$AB$2:$AB$281,"Sin equivalente en catálogo (CONSTRUIR)",'Prácticas_Snowballing'!$AC$2:$AC$281,"SOFTWARE ENG. MODELS/METH. &gt; *")</f>
        <v>0</v>
      </c>
      <c r="M116" s="17">
        <f>COUNTIFS('Prácticas_Revisiones'!$S$2:$S$282,"Sin equivalente en catálogo (CONSTRUIR)",'Prácticas_Revisiones'!$T$2:$T$282,"SOFTWARE QUALITY &gt; *")+COUNTIFS('Prácticas_Snowballing'!$AB$2:$AB$281,"Sin equivalente en catálogo (CONSTRUIR)",'Prácticas_Snowballing'!$AC$2:$AC$281,"SOFTWARE QUALITY &gt; *")</f>
        <v>0</v>
      </c>
      <c r="N116" s="17">
        <f>COUNTIFS('Prácticas_Revisiones'!$S$2:$S$282,"Sin equivalente en catálogo (CONSTRUIR)",'Prácticas_Revisiones'!$T$2:$T$282,"SOFTWARE SECURITY &gt; *")+COUNTIFS('Prácticas_Snowballing'!$AB$2:$AB$281,"Sin equivalente en catálogo (CONSTRUIR)",'Prácticas_Snowballing'!$AC$2:$AC$281,"SOFTWARE SECURITY &gt; *")</f>
        <v>0</v>
      </c>
      <c r="O116" s="17">
        <f>COUNTIFS('Prácticas_Revisiones'!$S$2:$S$282,"Sin equivalente en catálogo (CONSTRUIR)",'Prácticas_Revisiones'!$T$2:$T$282,"PROFESSIONAL PRACTICE &gt; *")+COUNTIFS('Prácticas_Snowballing'!$AB$2:$AB$281,"Sin equivalente en catálogo (CONSTRUIR)",'Prácticas_Snowballing'!$AC$2:$AC$281,"PROFESSIONAL PRACTICE &gt; *")</f>
        <v>0</v>
      </c>
      <c r="P116" s="17">
        <f>COUNTIFS('Prácticas_Revisiones'!$S$2:$S$282,"Sin equivalente en catálogo (CONSTRUIR)",'Prácticas_Revisiones'!$T$2:$T$282,"SOFTWARE ENG. ECONOMICS &gt; *")+COUNTIFS('Prácticas_Snowballing'!$AB$2:$AB$281,"Sin equivalente en catálogo (CONSTRUIR)",'Prácticas_Snowballing'!$AC$2:$AC$281,"SOFTWARE ENG. ECONOMICS &gt; *")</f>
        <v>0</v>
      </c>
      <c r="Q116" s="17">
        <f>COUNTIFS('Prácticas_Revisiones'!$S$2:$S$282,"Sin equivalente en catálogo (CONSTRUIR)",'Prácticas_Revisiones'!$T$2:$T$282,"SOFTWARE ENG. MANAGEMENT &gt; *")+COUNTIFS('Prácticas_Snowballing'!$AB$2:$AB$281,"Sin equivalente en catálogo (CONSTRUIR)",'Prácticas_Snowballing'!$AC$2:$AC$281,"SOFTWARE ENG. MANAGEMENT &gt; *")</f>
        <v>0</v>
      </c>
      <c r="R116" s="17">
        <f>COUNTIFS('Prácticas_Revisiones'!$S$2:$S$282,"Sin equivalente en catálogo (CONSTRUIR)",'Prácticas_Revisiones'!$T$2:$T$282,"Sin área SWEBOK")+COUNTIFS('Prácticas_Snowballing'!$AB$2:$AB$281,"Sin equivalente en catálogo (CONSTRUIR)",'Prácticas_Snowballing'!$AC$2:$AC$281,"Sin área SWEBOK")</f>
        <v>0</v>
      </c>
      <c r="S116" s="27">
        <f t="shared" si="11"/>
        <v>0</v>
      </c>
    </row>
    <row r="117" ht="15.75" customHeight="1">
      <c r="A117" s="35" t="s">
        <v>2874</v>
      </c>
      <c r="B117" s="20"/>
      <c r="C117" s="29">
        <f t="shared" ref="C117:S117" si="12">SUM(C104:C116)</f>
        <v>3</v>
      </c>
      <c r="D117" s="29">
        <f t="shared" si="12"/>
        <v>1</v>
      </c>
      <c r="E117" s="29">
        <f t="shared" si="12"/>
        <v>3</v>
      </c>
      <c r="F117" s="29">
        <f t="shared" si="12"/>
        <v>37</v>
      </c>
      <c r="G117" s="29">
        <f t="shared" si="12"/>
        <v>2</v>
      </c>
      <c r="H117" s="29">
        <f t="shared" si="12"/>
        <v>0</v>
      </c>
      <c r="I117" s="29">
        <f t="shared" si="12"/>
        <v>1</v>
      </c>
      <c r="J117" s="29">
        <f t="shared" si="12"/>
        <v>1</v>
      </c>
      <c r="K117" s="29">
        <f t="shared" si="12"/>
        <v>1</v>
      </c>
      <c r="L117" s="29">
        <f t="shared" si="12"/>
        <v>1</v>
      </c>
      <c r="M117" s="29">
        <f t="shared" si="12"/>
        <v>0</v>
      </c>
      <c r="N117" s="29">
        <f t="shared" si="12"/>
        <v>0</v>
      </c>
      <c r="O117" s="29">
        <f t="shared" si="12"/>
        <v>3</v>
      </c>
      <c r="P117" s="29">
        <f t="shared" si="12"/>
        <v>0</v>
      </c>
      <c r="Q117" s="29">
        <f t="shared" si="12"/>
        <v>2</v>
      </c>
      <c r="R117" s="29">
        <f t="shared" si="12"/>
        <v>3</v>
      </c>
      <c r="S117" s="29">
        <f t="shared" si="12"/>
        <v>58</v>
      </c>
    </row>
    <row r="118" ht="15.75" customHeight="1">
      <c r="A118" s="11" t="s">
        <v>2732</v>
      </c>
      <c r="B118" s="9" t="s">
        <v>2199</v>
      </c>
      <c r="C118" s="17">
        <f>COUNTIFS('Prácticas_Revisiones'!$S$2:$S$282,"Sin equivalente en catálogo (Nivel no cubierto)",'Prácticas_Revisiones'!$T$2:$T$282,"REQUIREMENTS &gt; *")+COUNTIFS('Prácticas_Snowballing'!$AB$2:$AB$281,"Sin equivalente en catálogo (Nivel no cubierto)",'Prácticas_Snowballing'!$AC$2:$AC$281,"REQUIREMENTS &gt; *")</f>
        <v>3</v>
      </c>
      <c r="D118" s="17">
        <f>COUNTIFS('Prácticas_Revisiones'!$S$2:$S$282,"Sin equivalente en catálogo (Nivel no cubierto)",'Prácticas_Revisiones'!$T$2:$T$282,"ARCHITECTURE &gt; *")+COUNTIFS('Prácticas_Snowballing'!$AB$2:$AB$281,"Sin equivalente en catálogo (Nivel no cubierto)",'Prácticas_Snowballing'!$AC$2:$AC$281,"ARCHITECTURE &gt; *")</f>
        <v>0</v>
      </c>
      <c r="E118" s="17">
        <f>COUNTIFS('Prácticas_Revisiones'!$S$2:$S$282,"Sin equivalente en catálogo (Nivel no cubierto)",'Prácticas_Revisiones'!$T$2:$T$282,"DESIGN &gt; *")+COUNTIFS('Prácticas_Snowballing'!$AB$2:$AB$281,"Sin equivalente en catálogo (Nivel no cubierto)",'Prácticas_Snowballing'!$AC$2:$AC$281,"DESIGN &gt; *")</f>
        <v>3</v>
      </c>
      <c r="F118" s="17">
        <f>COUNTIFS('Prácticas_Revisiones'!$S$2:$S$282,"Sin equivalente en catálogo (Nivel no cubierto)",'Prácticas_Revisiones'!$T$2:$T$282,"CONSTRUCTION &gt; *")+COUNTIFS('Prácticas_Snowballing'!$AB$2:$AB$281,"Sin equivalente en catálogo (Nivel no cubierto)",'Prácticas_Snowballing'!$AC$2:$AC$281,"CONSTRUCTION &gt; *")</f>
        <v>114</v>
      </c>
      <c r="G118" s="17">
        <f>COUNTIFS('Prácticas_Revisiones'!$S$2:$S$282,"Sin equivalente en catálogo (Nivel no cubierto)",'Prácticas_Revisiones'!$T$2:$T$282,"SOFTWARE TESTING &gt; *")+COUNTIFS('Prácticas_Snowballing'!$AB$2:$AB$281,"Sin equivalente en catálogo (Nivel no cubierto)",'Prácticas_Snowballing'!$AC$2:$AC$281,"SOFTWARE TESTING &gt; *")</f>
        <v>4</v>
      </c>
      <c r="H118" s="17">
        <f>COUNTIFS('Prácticas_Revisiones'!$S$2:$S$282,"Sin equivalente en catálogo (Nivel no cubierto)",'Prácticas_Revisiones'!$T$2:$T$282,"SOFTWARE ENG. OPERATIONS &gt; *")+COUNTIFS('Prácticas_Snowballing'!$AB$2:$AB$281,"Sin equivalente en catálogo (Nivel no cubierto)",'Prácticas_Snowballing'!$AC$2:$AC$281,"SOFTWARE ENG. OPERATIONS &gt; *")</f>
        <v>0</v>
      </c>
      <c r="I118" s="17">
        <f>COUNTIFS('Prácticas_Revisiones'!$S$2:$S$282,"Sin equivalente en catálogo (Nivel no cubierto)",'Prácticas_Revisiones'!$T$2:$T$282,"MAINTENANCE &gt; *")+COUNTIFS('Prácticas_Snowballing'!$AB$2:$AB$281,"Sin equivalente en catálogo (Nivel no cubierto)",'Prácticas_Snowballing'!$AC$2:$AC$281,"MAINTENANCE &gt; *")</f>
        <v>1</v>
      </c>
      <c r="J118" s="17">
        <f>COUNTIFS('Prácticas_Revisiones'!$S$2:$S$282,"Sin equivalente en catálogo (Nivel no cubierto)",'Prácticas_Revisiones'!$T$2:$T$282,"SOFTWARE CONFIG. MGMT. &gt; *")+COUNTIFS('Prácticas_Snowballing'!$AB$2:$AB$281,"Sin equivalente en catálogo (Nivel no cubierto)",'Prácticas_Snowballing'!$AC$2:$AC$281,"SOFTWARE CONFIG. MGMT. &gt; *")</f>
        <v>0</v>
      </c>
      <c r="K118" s="17">
        <f>COUNTIFS('Prácticas_Revisiones'!$S$2:$S$282,"Sin equivalente en catálogo (Nivel no cubierto)",'Prácticas_Revisiones'!$T$2:$T$282,"SOFTWARE ENG. PROCESS &gt; *")+COUNTIFS('Prácticas_Snowballing'!$AB$2:$AB$281,"Sin equivalente en catálogo (Nivel no cubierto)",'Prácticas_Snowballing'!$AC$2:$AC$281,"SOFTWARE ENG. PROCESS &gt; *")</f>
        <v>0</v>
      </c>
      <c r="L118" s="17">
        <f>COUNTIFS('Prácticas_Revisiones'!$S$2:$S$282,"Sin equivalente en catálogo (Nivel no cubierto)",'Prácticas_Revisiones'!$T$2:$T$282,"SOFTWARE ENG. MODELS/METH. &gt; *")+COUNTIFS('Prácticas_Snowballing'!$AB$2:$AB$281,"Sin equivalente en catálogo (Nivel no cubierto)",'Prácticas_Snowballing'!$AC$2:$AC$281,"SOFTWARE ENG. MODELS/METH. &gt; *")</f>
        <v>2</v>
      </c>
      <c r="M118" s="17">
        <f>COUNTIFS('Prácticas_Revisiones'!$S$2:$S$282,"Sin equivalente en catálogo (Nivel no cubierto)",'Prácticas_Revisiones'!$T$2:$T$282,"SOFTWARE QUALITY &gt; *")+COUNTIFS('Prácticas_Snowballing'!$AB$2:$AB$281,"Sin equivalente en catálogo (Nivel no cubierto)",'Prácticas_Snowballing'!$AC$2:$AC$281,"SOFTWARE QUALITY &gt; *")</f>
        <v>2</v>
      </c>
      <c r="N118" s="17">
        <f>COUNTIFS('Prácticas_Revisiones'!$S$2:$S$282,"Sin equivalente en catálogo (Nivel no cubierto)",'Prácticas_Revisiones'!$T$2:$T$282,"SOFTWARE SECURITY &gt; *")+COUNTIFS('Prácticas_Snowballing'!$AB$2:$AB$281,"Sin equivalente en catálogo (Nivel no cubierto)",'Prácticas_Snowballing'!$AC$2:$AC$281,"SOFTWARE SECURITY &gt; *")</f>
        <v>0</v>
      </c>
      <c r="O118" s="17">
        <f>COUNTIFS('Prácticas_Revisiones'!$S$2:$S$282,"Sin equivalente en catálogo (Nivel no cubierto)",'Prácticas_Revisiones'!$T$2:$T$282,"PROFESSIONAL PRACTICE &gt; *")+COUNTIFS('Prácticas_Snowballing'!$AB$2:$AB$281,"Sin equivalente en catálogo (Nivel no cubierto)",'Prácticas_Snowballing'!$AC$2:$AC$281,"PROFESSIONAL PRACTICE &gt; *")</f>
        <v>2</v>
      </c>
      <c r="P118" s="17">
        <f>COUNTIFS('Prácticas_Revisiones'!$S$2:$S$282,"Sin equivalente en catálogo (Nivel no cubierto)",'Prácticas_Revisiones'!$T$2:$T$282,"SOFTWARE ENG. ECONOMICS &gt; *")+COUNTIFS('Prácticas_Snowballing'!$AB$2:$AB$281,"Sin equivalente en catálogo (Nivel no cubierto)",'Prácticas_Snowballing'!$AC$2:$AC$281,"SOFTWARE ENG. ECONOMICS &gt; *")</f>
        <v>0</v>
      </c>
      <c r="Q118" s="17">
        <f>COUNTIFS('Prácticas_Revisiones'!$S$2:$S$282,"Sin equivalente en catálogo (Nivel no cubierto)",'Prácticas_Revisiones'!$T$2:$T$282,"SOFTWARE ENG. MANAGEMENT &gt; *")+COUNTIFS('Prácticas_Snowballing'!$AB$2:$AB$281,"Sin equivalente en catálogo (Nivel no cubierto)",'Prácticas_Snowballing'!$AC$2:$AC$281,"SOFTWARE ENG. MANAGEMENT &gt; *")</f>
        <v>0</v>
      </c>
      <c r="R118" s="17">
        <f>COUNTIFS('Prácticas_Revisiones'!$S$2:$S$282,"Sin equivalente en catálogo (Nivel no cubierto)",'Prácticas_Revisiones'!$T$2:$T$282,"Sin área SWEBOK")+COUNTIFS('Prácticas_Snowballing'!$AB$2:$AB$281,"Sin equivalente en catálogo (Nivel no cubierto)",'Prácticas_Snowballing'!$AC$2:$AC$281,"Sin área SWEBOK")</f>
        <v>14</v>
      </c>
      <c r="S118" s="27">
        <f>SUM(C118:R118)</f>
        <v>145</v>
      </c>
    </row>
    <row r="119" ht="15.75" customHeight="1">
      <c r="A119" s="35" t="s">
        <v>2875</v>
      </c>
      <c r="B119" s="20"/>
      <c r="C119" s="29">
        <f t="shared" ref="C119:S119" si="13">C118</f>
        <v>3</v>
      </c>
      <c r="D119" s="29">
        <f t="shared" si="13"/>
        <v>0</v>
      </c>
      <c r="E119" s="29">
        <f t="shared" si="13"/>
        <v>3</v>
      </c>
      <c r="F119" s="29">
        <f t="shared" si="13"/>
        <v>114</v>
      </c>
      <c r="G119" s="29">
        <f t="shared" si="13"/>
        <v>4</v>
      </c>
      <c r="H119" s="29">
        <f t="shared" si="13"/>
        <v>0</v>
      </c>
      <c r="I119" s="29">
        <f t="shared" si="13"/>
        <v>1</v>
      </c>
      <c r="J119" s="29">
        <f t="shared" si="13"/>
        <v>0</v>
      </c>
      <c r="K119" s="29">
        <f t="shared" si="13"/>
        <v>0</v>
      </c>
      <c r="L119" s="29">
        <f t="shared" si="13"/>
        <v>2</v>
      </c>
      <c r="M119" s="29">
        <f t="shared" si="13"/>
        <v>2</v>
      </c>
      <c r="N119" s="29">
        <f t="shared" si="13"/>
        <v>0</v>
      </c>
      <c r="O119" s="29">
        <f t="shared" si="13"/>
        <v>2</v>
      </c>
      <c r="P119" s="29">
        <f t="shared" si="13"/>
        <v>0</v>
      </c>
      <c r="Q119" s="29">
        <f t="shared" si="13"/>
        <v>0</v>
      </c>
      <c r="R119" s="29">
        <f t="shared" si="13"/>
        <v>14</v>
      </c>
      <c r="S119" s="29">
        <f t="shared" si="13"/>
        <v>145</v>
      </c>
    </row>
    <row r="120" ht="15.75" customHeight="1">
      <c r="A120" s="46" t="s">
        <v>2876</v>
      </c>
      <c r="B120" s="20"/>
      <c r="C120" s="27">
        <f t="shared" ref="C120:S120" si="14">C18+C39+C68+C87+C103+C117+C119</f>
        <v>16</v>
      </c>
      <c r="D120" s="27">
        <f t="shared" si="14"/>
        <v>1</v>
      </c>
      <c r="E120" s="27">
        <f t="shared" si="14"/>
        <v>21</v>
      </c>
      <c r="F120" s="27">
        <f t="shared" si="14"/>
        <v>407</v>
      </c>
      <c r="G120" s="27">
        <f t="shared" si="14"/>
        <v>19</v>
      </c>
      <c r="H120" s="27">
        <f t="shared" si="14"/>
        <v>0</v>
      </c>
      <c r="I120" s="27">
        <f t="shared" si="14"/>
        <v>11</v>
      </c>
      <c r="J120" s="27">
        <f t="shared" si="14"/>
        <v>2</v>
      </c>
      <c r="K120" s="27">
        <f t="shared" si="14"/>
        <v>2</v>
      </c>
      <c r="L120" s="27">
        <f t="shared" si="14"/>
        <v>5</v>
      </c>
      <c r="M120" s="27">
        <f t="shared" si="14"/>
        <v>14</v>
      </c>
      <c r="N120" s="27">
        <f t="shared" si="14"/>
        <v>2</v>
      </c>
      <c r="O120" s="27">
        <f t="shared" si="14"/>
        <v>12</v>
      </c>
      <c r="P120" s="27">
        <f t="shared" si="14"/>
        <v>0</v>
      </c>
      <c r="Q120" s="27">
        <f t="shared" si="14"/>
        <v>4</v>
      </c>
      <c r="R120" s="27">
        <f t="shared" si="14"/>
        <v>25</v>
      </c>
      <c r="S120" s="27">
        <f t="shared" si="14"/>
        <v>541</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69:A86"/>
    <mergeCell ref="A87:B87"/>
    <mergeCell ref="A88:A102"/>
    <mergeCell ref="A103:B103"/>
    <mergeCell ref="A104:A116"/>
    <mergeCell ref="A117:B117"/>
    <mergeCell ref="A119:B119"/>
    <mergeCell ref="A120:B120"/>
    <mergeCell ref="A1:F1"/>
    <mergeCell ref="A6:A17"/>
    <mergeCell ref="A18:B18"/>
    <mergeCell ref="A19:A38"/>
    <mergeCell ref="A39:B39"/>
    <mergeCell ref="A40:A67"/>
    <mergeCell ref="A68:B68"/>
  </mergeCells>
  <conditionalFormatting sqref="C6:C118">
    <cfRule type="cellIs" dxfId="0" priority="1" operator="equal">
      <formula>1</formula>
    </cfRule>
  </conditionalFormatting>
  <conditionalFormatting sqref="C6:C118">
    <cfRule type="cellIs" dxfId="1" priority="2" operator="equal">
      <formula>2</formula>
    </cfRule>
  </conditionalFormatting>
  <conditionalFormatting sqref="C6:C118">
    <cfRule type="cellIs" dxfId="2" priority="3" operator="between">
      <formula>3</formula>
      <formula>5</formula>
    </cfRule>
  </conditionalFormatting>
  <conditionalFormatting sqref="C6:C118">
    <cfRule type="cellIs" dxfId="3" priority="4" operator="greaterThanOrEqual">
      <formula>6</formula>
    </cfRule>
  </conditionalFormatting>
  <conditionalFormatting sqref="D6:D118">
    <cfRule type="cellIs" dxfId="0" priority="5" operator="equal">
      <formula>1</formula>
    </cfRule>
  </conditionalFormatting>
  <conditionalFormatting sqref="D6:D118">
    <cfRule type="cellIs" dxfId="1" priority="6" operator="equal">
      <formula>2</formula>
    </cfRule>
  </conditionalFormatting>
  <conditionalFormatting sqref="D6:D118">
    <cfRule type="cellIs" dxfId="2" priority="7" operator="between">
      <formula>3</formula>
      <formula>5</formula>
    </cfRule>
  </conditionalFormatting>
  <conditionalFormatting sqref="D6:D118">
    <cfRule type="cellIs" dxfId="3" priority="8" operator="greaterThanOrEqual">
      <formula>6</formula>
    </cfRule>
  </conditionalFormatting>
  <conditionalFormatting sqref="E6:E118">
    <cfRule type="cellIs" dxfId="0" priority="9" operator="equal">
      <formula>1</formula>
    </cfRule>
  </conditionalFormatting>
  <conditionalFormatting sqref="E6:E118">
    <cfRule type="cellIs" dxfId="1" priority="10" operator="equal">
      <formula>2</formula>
    </cfRule>
  </conditionalFormatting>
  <conditionalFormatting sqref="E6:E118">
    <cfRule type="cellIs" dxfId="2" priority="11" operator="between">
      <formula>3</formula>
      <formula>5</formula>
    </cfRule>
  </conditionalFormatting>
  <conditionalFormatting sqref="E6:E118">
    <cfRule type="cellIs" dxfId="3" priority="12" operator="greaterThanOrEqual">
      <formula>6</formula>
    </cfRule>
  </conditionalFormatting>
  <conditionalFormatting sqref="F6:F118">
    <cfRule type="cellIs" dxfId="0" priority="13" operator="equal">
      <formula>1</formula>
    </cfRule>
  </conditionalFormatting>
  <conditionalFormatting sqref="F6:F118">
    <cfRule type="cellIs" dxfId="1" priority="14" operator="equal">
      <formula>2</formula>
    </cfRule>
  </conditionalFormatting>
  <conditionalFormatting sqref="F6:F118">
    <cfRule type="cellIs" dxfId="2" priority="15" operator="between">
      <formula>3</formula>
      <formula>5</formula>
    </cfRule>
  </conditionalFormatting>
  <conditionalFormatting sqref="F6:F118">
    <cfRule type="cellIs" dxfId="3" priority="16" operator="greaterThanOrEqual">
      <formula>6</formula>
    </cfRule>
  </conditionalFormatting>
  <conditionalFormatting sqref="G6:G118">
    <cfRule type="cellIs" dxfId="0" priority="17" operator="equal">
      <formula>1</formula>
    </cfRule>
  </conditionalFormatting>
  <conditionalFormatting sqref="G6:G118">
    <cfRule type="cellIs" dxfId="1" priority="18" operator="equal">
      <formula>2</formula>
    </cfRule>
  </conditionalFormatting>
  <conditionalFormatting sqref="G6:G118">
    <cfRule type="cellIs" dxfId="2" priority="19" operator="between">
      <formula>3</formula>
      <formula>5</formula>
    </cfRule>
  </conditionalFormatting>
  <conditionalFormatting sqref="G6:G118">
    <cfRule type="cellIs" dxfId="3" priority="20" operator="greaterThanOrEqual">
      <formula>6</formula>
    </cfRule>
  </conditionalFormatting>
  <conditionalFormatting sqref="H6:H118">
    <cfRule type="cellIs" dxfId="0" priority="21" operator="equal">
      <formula>1</formula>
    </cfRule>
  </conditionalFormatting>
  <conditionalFormatting sqref="H6:H118">
    <cfRule type="cellIs" dxfId="1" priority="22" operator="equal">
      <formula>2</formula>
    </cfRule>
  </conditionalFormatting>
  <conditionalFormatting sqref="H6:H118">
    <cfRule type="cellIs" dxfId="2" priority="23" operator="between">
      <formula>3</formula>
      <formula>5</formula>
    </cfRule>
  </conditionalFormatting>
  <conditionalFormatting sqref="H6:H118">
    <cfRule type="cellIs" dxfId="3" priority="24" operator="greaterThanOrEqual">
      <formula>6</formula>
    </cfRule>
  </conditionalFormatting>
  <conditionalFormatting sqref="I6:I118">
    <cfRule type="cellIs" dxfId="0" priority="25" operator="equal">
      <formula>1</formula>
    </cfRule>
  </conditionalFormatting>
  <conditionalFormatting sqref="I6:I118">
    <cfRule type="cellIs" dxfId="1" priority="26" operator="equal">
      <formula>2</formula>
    </cfRule>
  </conditionalFormatting>
  <conditionalFormatting sqref="I6:I118">
    <cfRule type="cellIs" dxfId="2" priority="27" operator="between">
      <formula>3</formula>
      <formula>5</formula>
    </cfRule>
  </conditionalFormatting>
  <conditionalFormatting sqref="I6:I118">
    <cfRule type="cellIs" dxfId="3" priority="28" operator="greaterThanOrEqual">
      <formula>6</formula>
    </cfRule>
  </conditionalFormatting>
  <conditionalFormatting sqref="J6:J118">
    <cfRule type="cellIs" dxfId="0" priority="29" operator="equal">
      <formula>1</formula>
    </cfRule>
  </conditionalFormatting>
  <conditionalFormatting sqref="J6:J118">
    <cfRule type="cellIs" dxfId="1" priority="30" operator="equal">
      <formula>2</formula>
    </cfRule>
  </conditionalFormatting>
  <conditionalFormatting sqref="J6:J118">
    <cfRule type="cellIs" dxfId="2" priority="31" operator="between">
      <formula>3</formula>
      <formula>5</formula>
    </cfRule>
  </conditionalFormatting>
  <conditionalFormatting sqref="J6:J118">
    <cfRule type="cellIs" dxfId="3" priority="32" operator="greaterThanOrEqual">
      <formula>6</formula>
    </cfRule>
  </conditionalFormatting>
  <conditionalFormatting sqref="K6:K118">
    <cfRule type="cellIs" dxfId="0" priority="33" operator="equal">
      <formula>1</formula>
    </cfRule>
  </conditionalFormatting>
  <conditionalFormatting sqref="K6:K118">
    <cfRule type="cellIs" dxfId="1" priority="34" operator="equal">
      <formula>2</formula>
    </cfRule>
  </conditionalFormatting>
  <conditionalFormatting sqref="K6:K118">
    <cfRule type="cellIs" dxfId="2" priority="35" operator="between">
      <formula>3</formula>
      <formula>5</formula>
    </cfRule>
  </conditionalFormatting>
  <conditionalFormatting sqref="K6:K118">
    <cfRule type="cellIs" dxfId="3" priority="36" operator="greaterThanOrEqual">
      <formula>6</formula>
    </cfRule>
  </conditionalFormatting>
  <conditionalFormatting sqref="L6:L118">
    <cfRule type="cellIs" dxfId="0" priority="37" operator="equal">
      <formula>1</formula>
    </cfRule>
  </conditionalFormatting>
  <conditionalFormatting sqref="L6:L118">
    <cfRule type="cellIs" dxfId="1" priority="38" operator="equal">
      <formula>2</formula>
    </cfRule>
  </conditionalFormatting>
  <conditionalFormatting sqref="L6:L118">
    <cfRule type="cellIs" dxfId="2" priority="39" operator="between">
      <formula>3</formula>
      <formula>5</formula>
    </cfRule>
  </conditionalFormatting>
  <conditionalFormatting sqref="L6:L118">
    <cfRule type="cellIs" dxfId="3" priority="40" operator="greaterThanOrEqual">
      <formula>6</formula>
    </cfRule>
  </conditionalFormatting>
  <conditionalFormatting sqref="M6:M118">
    <cfRule type="cellIs" dxfId="0" priority="41" operator="equal">
      <formula>1</formula>
    </cfRule>
  </conditionalFormatting>
  <conditionalFormatting sqref="M6:M118">
    <cfRule type="cellIs" dxfId="1" priority="42" operator="equal">
      <formula>2</formula>
    </cfRule>
  </conditionalFormatting>
  <conditionalFormatting sqref="M6:M118">
    <cfRule type="cellIs" dxfId="2" priority="43" operator="between">
      <formula>3</formula>
      <formula>5</formula>
    </cfRule>
  </conditionalFormatting>
  <conditionalFormatting sqref="M6:M118">
    <cfRule type="cellIs" dxfId="3" priority="44" operator="greaterThanOrEqual">
      <formula>6</formula>
    </cfRule>
  </conditionalFormatting>
  <conditionalFormatting sqref="N6:N118">
    <cfRule type="cellIs" dxfId="0" priority="45" operator="equal">
      <formula>1</formula>
    </cfRule>
  </conditionalFormatting>
  <conditionalFormatting sqref="N6:N118">
    <cfRule type="cellIs" dxfId="1" priority="46" operator="equal">
      <formula>2</formula>
    </cfRule>
  </conditionalFormatting>
  <conditionalFormatting sqref="N6:N118">
    <cfRule type="cellIs" dxfId="2" priority="47" operator="between">
      <formula>3</formula>
      <formula>5</formula>
    </cfRule>
  </conditionalFormatting>
  <conditionalFormatting sqref="N6:N118">
    <cfRule type="cellIs" dxfId="3" priority="48" operator="greaterThanOrEqual">
      <formula>6</formula>
    </cfRule>
  </conditionalFormatting>
  <conditionalFormatting sqref="O6:O118">
    <cfRule type="cellIs" dxfId="0" priority="49" operator="equal">
      <formula>1</formula>
    </cfRule>
  </conditionalFormatting>
  <conditionalFormatting sqref="O6:O118">
    <cfRule type="cellIs" dxfId="1" priority="50" operator="equal">
      <formula>2</formula>
    </cfRule>
  </conditionalFormatting>
  <conditionalFormatting sqref="O6:O118">
    <cfRule type="cellIs" dxfId="2" priority="51" operator="between">
      <formula>3</formula>
      <formula>5</formula>
    </cfRule>
  </conditionalFormatting>
  <conditionalFormatting sqref="O6:O118">
    <cfRule type="cellIs" dxfId="3" priority="52" operator="greaterThanOrEqual">
      <formula>6</formula>
    </cfRule>
  </conditionalFormatting>
  <conditionalFormatting sqref="P6:P118">
    <cfRule type="cellIs" dxfId="0" priority="53" operator="equal">
      <formula>1</formula>
    </cfRule>
  </conditionalFormatting>
  <conditionalFormatting sqref="P6:P118">
    <cfRule type="cellIs" dxfId="1" priority="54" operator="equal">
      <formula>2</formula>
    </cfRule>
  </conditionalFormatting>
  <conditionalFormatting sqref="P6:P118">
    <cfRule type="cellIs" dxfId="2" priority="55" operator="between">
      <formula>3</formula>
      <formula>5</formula>
    </cfRule>
  </conditionalFormatting>
  <conditionalFormatting sqref="P6:P118">
    <cfRule type="cellIs" dxfId="3" priority="56" operator="greaterThanOrEqual">
      <formula>6</formula>
    </cfRule>
  </conditionalFormatting>
  <conditionalFormatting sqref="Q6:Q118">
    <cfRule type="cellIs" dxfId="0" priority="57" operator="equal">
      <formula>1</formula>
    </cfRule>
  </conditionalFormatting>
  <conditionalFormatting sqref="Q6:Q118">
    <cfRule type="cellIs" dxfId="1" priority="58" operator="equal">
      <formula>2</formula>
    </cfRule>
  </conditionalFormatting>
  <conditionalFormatting sqref="Q6:Q118">
    <cfRule type="cellIs" dxfId="2" priority="59" operator="between">
      <formula>3</formula>
      <formula>5</formula>
    </cfRule>
  </conditionalFormatting>
  <conditionalFormatting sqref="Q6:Q118">
    <cfRule type="cellIs" dxfId="3" priority="60" operator="greaterThanOrEqual">
      <formula>6</formula>
    </cfRule>
  </conditionalFormatting>
  <conditionalFormatting sqref="R6:R118">
    <cfRule type="cellIs" dxfId="0" priority="61" operator="equal">
      <formula>1</formula>
    </cfRule>
  </conditionalFormatting>
  <conditionalFormatting sqref="R6:R118">
    <cfRule type="cellIs" dxfId="1" priority="62" operator="equal">
      <formula>2</formula>
    </cfRule>
  </conditionalFormatting>
  <conditionalFormatting sqref="R6:R118">
    <cfRule type="cellIs" dxfId="2" priority="63" operator="between">
      <formula>3</formula>
      <formula>5</formula>
    </cfRule>
  </conditionalFormatting>
  <conditionalFormatting sqref="R6:R118">
    <cfRule type="cellIs" dxfId="3" priority="64" operator="greaterThanOrEqual">
      <formula>6</formula>
    </cfRule>
  </conditionalFormatting>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14.0"/>
    <col customWidth="1" min="2" max="2" width="32.0"/>
    <col customWidth="1" min="3" max="11" width="5.43"/>
    <col customWidth="1" min="12" max="12" width="6.43"/>
    <col customWidth="1" min="13" max="17" width="5.43"/>
    <col customWidth="1" min="18" max="18" width="6.43"/>
    <col customWidth="1" min="19" max="25" width="5.43"/>
    <col customWidth="1" min="26" max="26" width="6.43"/>
    <col customWidth="1" min="27" max="32" width="5.43"/>
    <col customWidth="1" min="33" max="33" width="6.43"/>
    <col customWidth="1" min="34" max="42" width="5.43"/>
    <col customWidth="1" min="43" max="43" width="6.43"/>
    <col customWidth="1" min="44" max="50" width="5.43"/>
    <col customWidth="1" min="51" max="51" width="6.43"/>
    <col customWidth="1" min="52" max="57" width="5.43"/>
    <col customWidth="1" min="58" max="58" width="6.43"/>
    <col customWidth="1" min="59" max="66" width="5.43"/>
    <col customWidth="1" min="67" max="67" width="6.43"/>
    <col customWidth="1" min="68" max="71" width="5.43"/>
    <col customWidth="1" min="72" max="72" width="6.43"/>
    <col customWidth="1" min="73" max="77" width="5.43"/>
    <col customWidth="1" min="78" max="78" width="6.43"/>
    <col customWidth="1" min="79" max="83" width="5.43"/>
    <col customWidth="1" min="84" max="84" width="6.43"/>
    <col customWidth="1" min="85" max="91" width="5.43"/>
    <col customWidth="1" min="92" max="92" width="6.43"/>
    <col customWidth="1" min="93" max="96" width="5.43"/>
    <col customWidth="1" min="97" max="97" width="6.43"/>
    <col customWidth="1" min="98" max="108" width="5.43"/>
    <col customWidth="1" min="109" max="109" width="6.43"/>
    <col customWidth="1" min="110" max="117" width="5.43"/>
    <col customWidth="1" min="118" max="118" width="6.43"/>
    <col customWidth="1" min="119" max="119" width="7.0"/>
    <col customWidth="1" min="120" max="120" width="9.0"/>
  </cols>
  <sheetData>
    <row r="1">
      <c r="A1" s="2" t="s">
        <v>94</v>
      </c>
    </row>
    <row r="3">
      <c r="A3" s="3" t="s">
        <v>13</v>
      </c>
      <c r="C3" s="5" t="s">
        <v>16</v>
      </c>
      <c r="E3" s="6" t="s">
        <v>23</v>
      </c>
      <c r="G3" s="8" t="s">
        <v>26</v>
      </c>
      <c r="I3" s="9" t="s">
        <v>122</v>
      </c>
      <c r="L3" s="10" t="s">
        <v>43</v>
      </c>
    </row>
    <row r="5">
      <c r="A5" s="15" t="s">
        <v>8</v>
      </c>
      <c r="B5" s="15" t="s">
        <v>53</v>
      </c>
      <c r="C5" s="18" t="s">
        <v>57</v>
      </c>
      <c r="D5" s="19"/>
      <c r="E5" s="19"/>
      <c r="F5" s="19"/>
      <c r="G5" s="19"/>
      <c r="H5" s="19"/>
      <c r="I5" s="19"/>
      <c r="J5" s="19"/>
      <c r="K5" s="19"/>
      <c r="L5" s="20"/>
      <c r="M5" s="18" t="s">
        <v>61</v>
      </c>
      <c r="N5" s="19"/>
      <c r="O5" s="19"/>
      <c r="P5" s="19"/>
      <c r="Q5" s="19"/>
      <c r="R5" s="20"/>
      <c r="S5" s="18" t="s">
        <v>62</v>
      </c>
      <c r="T5" s="19"/>
      <c r="U5" s="19"/>
      <c r="V5" s="19"/>
      <c r="W5" s="19"/>
      <c r="X5" s="19"/>
      <c r="Y5" s="19"/>
      <c r="Z5" s="20"/>
      <c r="AA5" s="18" t="s">
        <v>47</v>
      </c>
      <c r="AB5" s="19"/>
      <c r="AC5" s="19"/>
      <c r="AD5" s="19"/>
      <c r="AE5" s="19"/>
      <c r="AF5" s="19"/>
      <c r="AG5" s="20"/>
      <c r="AH5" s="18" t="s">
        <v>64</v>
      </c>
      <c r="AI5" s="19"/>
      <c r="AJ5" s="19"/>
      <c r="AK5" s="19"/>
      <c r="AL5" s="19"/>
      <c r="AM5" s="19"/>
      <c r="AN5" s="19"/>
      <c r="AO5" s="19"/>
      <c r="AP5" s="19"/>
      <c r="AQ5" s="20"/>
      <c r="AR5" s="18" t="s">
        <v>65</v>
      </c>
      <c r="AS5" s="19"/>
      <c r="AT5" s="19"/>
      <c r="AU5" s="19"/>
      <c r="AV5" s="19"/>
      <c r="AW5" s="19"/>
      <c r="AX5" s="19"/>
      <c r="AY5" s="20"/>
      <c r="AZ5" s="18" t="s">
        <v>66</v>
      </c>
      <c r="BA5" s="19"/>
      <c r="BB5" s="19"/>
      <c r="BC5" s="19"/>
      <c r="BD5" s="19"/>
      <c r="BE5" s="19"/>
      <c r="BF5" s="20"/>
      <c r="BG5" s="18" t="s">
        <v>68</v>
      </c>
      <c r="BH5" s="19"/>
      <c r="BI5" s="19"/>
      <c r="BJ5" s="19"/>
      <c r="BK5" s="19"/>
      <c r="BL5" s="19"/>
      <c r="BM5" s="19"/>
      <c r="BN5" s="19"/>
      <c r="BO5" s="20"/>
      <c r="BP5" s="18" t="s">
        <v>28</v>
      </c>
      <c r="BQ5" s="19"/>
      <c r="BR5" s="19"/>
      <c r="BS5" s="19"/>
      <c r="BT5" s="20"/>
      <c r="BU5" s="18" t="s">
        <v>71</v>
      </c>
      <c r="BV5" s="19"/>
      <c r="BW5" s="19"/>
      <c r="BX5" s="19"/>
      <c r="BY5" s="19"/>
      <c r="BZ5" s="20"/>
      <c r="CA5" s="18" t="s">
        <v>73</v>
      </c>
      <c r="CB5" s="19"/>
      <c r="CC5" s="19"/>
      <c r="CD5" s="19"/>
      <c r="CE5" s="19"/>
      <c r="CF5" s="20"/>
      <c r="CG5" s="18" t="s">
        <v>74</v>
      </c>
      <c r="CH5" s="19"/>
      <c r="CI5" s="19"/>
      <c r="CJ5" s="19"/>
      <c r="CK5" s="19"/>
      <c r="CL5" s="19"/>
      <c r="CM5" s="19"/>
      <c r="CN5" s="20"/>
      <c r="CO5" s="18" t="s">
        <v>30</v>
      </c>
      <c r="CP5" s="19"/>
      <c r="CQ5" s="19"/>
      <c r="CR5" s="19"/>
      <c r="CS5" s="20"/>
      <c r="CT5" s="18" t="s">
        <v>76</v>
      </c>
      <c r="CU5" s="19"/>
      <c r="CV5" s="19"/>
      <c r="CW5" s="19"/>
      <c r="CX5" s="19"/>
      <c r="CY5" s="19"/>
      <c r="CZ5" s="19"/>
      <c r="DA5" s="19"/>
      <c r="DB5" s="19"/>
      <c r="DC5" s="19"/>
      <c r="DD5" s="19"/>
      <c r="DE5" s="20"/>
      <c r="DF5" s="18" t="s">
        <v>77</v>
      </c>
      <c r="DG5" s="19"/>
      <c r="DH5" s="19"/>
      <c r="DI5" s="19"/>
      <c r="DJ5" s="19"/>
      <c r="DK5" s="19"/>
      <c r="DL5" s="19"/>
      <c r="DM5" s="19"/>
      <c r="DN5" s="20"/>
      <c r="DO5" s="21" t="s">
        <v>78</v>
      </c>
      <c r="DP5" s="22" t="s">
        <v>82</v>
      </c>
    </row>
    <row r="6" ht="178.5" customHeight="1">
      <c r="A6" s="23"/>
      <c r="B6" s="23"/>
      <c r="C6" s="24" t="s">
        <v>280</v>
      </c>
      <c r="D6" s="24" t="s">
        <v>282</v>
      </c>
      <c r="E6" s="24" t="s">
        <v>284</v>
      </c>
      <c r="F6" s="24" t="s">
        <v>190</v>
      </c>
      <c r="G6" s="24" t="s">
        <v>285</v>
      </c>
      <c r="H6" s="24" t="s">
        <v>287</v>
      </c>
      <c r="I6" s="24" t="s">
        <v>110</v>
      </c>
      <c r="J6" s="24" t="s">
        <v>290</v>
      </c>
      <c r="K6" s="25" t="s">
        <v>293</v>
      </c>
      <c r="L6" s="26" t="s">
        <v>297</v>
      </c>
      <c r="M6" s="24" t="s">
        <v>303</v>
      </c>
      <c r="N6" s="24" t="s">
        <v>305</v>
      </c>
      <c r="O6" s="24" t="s">
        <v>308</v>
      </c>
      <c r="P6" s="24" t="s">
        <v>309</v>
      </c>
      <c r="Q6" s="25" t="s">
        <v>293</v>
      </c>
      <c r="R6" s="26" t="s">
        <v>313</v>
      </c>
      <c r="S6" s="24" t="s">
        <v>315</v>
      </c>
      <c r="T6" s="24" t="s">
        <v>316</v>
      </c>
      <c r="U6" s="24" t="s">
        <v>317</v>
      </c>
      <c r="V6" s="24" t="s">
        <v>238</v>
      </c>
      <c r="W6" s="24" t="s">
        <v>270</v>
      </c>
      <c r="X6" s="24" t="s">
        <v>259</v>
      </c>
      <c r="Y6" s="25" t="s">
        <v>293</v>
      </c>
      <c r="Z6" s="26" t="s">
        <v>323</v>
      </c>
      <c r="AA6" s="24" t="s">
        <v>48</v>
      </c>
      <c r="AB6" s="24" t="s">
        <v>325</v>
      </c>
      <c r="AC6" s="24" t="s">
        <v>110</v>
      </c>
      <c r="AD6" s="24" t="s">
        <v>329</v>
      </c>
      <c r="AE6" s="24" t="s">
        <v>100</v>
      </c>
      <c r="AF6" s="25" t="s">
        <v>293</v>
      </c>
      <c r="AG6" s="26" t="s">
        <v>331</v>
      </c>
      <c r="AH6" s="24" t="s">
        <v>333</v>
      </c>
      <c r="AI6" s="24" t="s">
        <v>335</v>
      </c>
      <c r="AJ6" s="24" t="s">
        <v>132</v>
      </c>
      <c r="AK6" s="24" t="s">
        <v>337</v>
      </c>
      <c r="AL6" s="24" t="s">
        <v>339</v>
      </c>
      <c r="AM6" s="24" t="s">
        <v>342</v>
      </c>
      <c r="AN6" s="24" t="s">
        <v>344</v>
      </c>
      <c r="AO6" s="24" t="s">
        <v>346</v>
      </c>
      <c r="AP6" s="25" t="s">
        <v>293</v>
      </c>
      <c r="AQ6" s="26" t="s">
        <v>349</v>
      </c>
      <c r="AR6" s="24" t="s">
        <v>350</v>
      </c>
      <c r="AS6" s="24" t="s">
        <v>351</v>
      </c>
      <c r="AT6" s="24" t="s">
        <v>353</v>
      </c>
      <c r="AU6" s="24" t="s">
        <v>357</v>
      </c>
      <c r="AV6" s="24" t="s">
        <v>110</v>
      </c>
      <c r="AW6" s="24" t="s">
        <v>360</v>
      </c>
      <c r="AX6" s="25" t="s">
        <v>293</v>
      </c>
      <c r="AY6" s="26" t="s">
        <v>362</v>
      </c>
      <c r="AZ6" s="24" t="s">
        <v>364</v>
      </c>
      <c r="BA6" s="24" t="s">
        <v>365</v>
      </c>
      <c r="BB6" s="24" t="s">
        <v>367</v>
      </c>
      <c r="BC6" s="24" t="s">
        <v>191</v>
      </c>
      <c r="BD6" s="24" t="s">
        <v>370</v>
      </c>
      <c r="BE6" s="25" t="s">
        <v>293</v>
      </c>
      <c r="BF6" s="26" t="s">
        <v>372</v>
      </c>
      <c r="BG6" s="24" t="s">
        <v>373</v>
      </c>
      <c r="BH6" s="24" t="s">
        <v>374</v>
      </c>
      <c r="BI6" s="24" t="s">
        <v>216</v>
      </c>
      <c r="BJ6" s="24" t="s">
        <v>376</v>
      </c>
      <c r="BK6" s="24" t="s">
        <v>377</v>
      </c>
      <c r="BL6" s="24" t="s">
        <v>379</v>
      </c>
      <c r="BM6" s="24" t="s">
        <v>384</v>
      </c>
      <c r="BN6" s="25" t="s">
        <v>293</v>
      </c>
      <c r="BO6" s="26" t="s">
        <v>385</v>
      </c>
      <c r="BP6" s="24" t="s">
        <v>386</v>
      </c>
      <c r="BQ6" s="24" t="s">
        <v>29</v>
      </c>
      <c r="BR6" s="24" t="s">
        <v>387</v>
      </c>
      <c r="BS6" s="25" t="s">
        <v>293</v>
      </c>
      <c r="BT6" s="26" t="s">
        <v>389</v>
      </c>
      <c r="BU6" s="24" t="s">
        <v>390</v>
      </c>
      <c r="BV6" s="24" t="s">
        <v>391</v>
      </c>
      <c r="BW6" s="24" t="s">
        <v>392</v>
      </c>
      <c r="BX6" s="24" t="s">
        <v>394</v>
      </c>
      <c r="BY6" s="25" t="s">
        <v>293</v>
      </c>
      <c r="BZ6" s="26" t="s">
        <v>395</v>
      </c>
      <c r="CA6" s="24" t="s">
        <v>396</v>
      </c>
      <c r="CB6" s="24" t="s">
        <v>399</v>
      </c>
      <c r="CC6" s="24" t="s">
        <v>262</v>
      </c>
      <c r="CD6" s="24" t="s">
        <v>400</v>
      </c>
      <c r="CE6" s="25" t="s">
        <v>293</v>
      </c>
      <c r="CF6" s="26" t="s">
        <v>402</v>
      </c>
      <c r="CG6" s="24" t="s">
        <v>404</v>
      </c>
      <c r="CH6" s="24" t="s">
        <v>406</v>
      </c>
      <c r="CI6" s="24" t="s">
        <v>407</v>
      </c>
      <c r="CJ6" s="24" t="s">
        <v>409</v>
      </c>
      <c r="CK6" s="24" t="s">
        <v>410</v>
      </c>
      <c r="CL6" s="24" t="s">
        <v>411</v>
      </c>
      <c r="CM6" s="25" t="s">
        <v>293</v>
      </c>
      <c r="CN6" s="26" t="s">
        <v>414</v>
      </c>
      <c r="CO6" s="24" t="s">
        <v>156</v>
      </c>
      <c r="CP6" s="24" t="s">
        <v>31</v>
      </c>
      <c r="CQ6" s="24" t="s">
        <v>228</v>
      </c>
      <c r="CR6" s="25" t="s">
        <v>293</v>
      </c>
      <c r="CS6" s="26" t="s">
        <v>420</v>
      </c>
      <c r="CT6" s="24" t="s">
        <v>422</v>
      </c>
      <c r="CU6" s="24" t="s">
        <v>423</v>
      </c>
      <c r="CV6" s="24" t="s">
        <v>424</v>
      </c>
      <c r="CW6" s="24" t="s">
        <v>426</v>
      </c>
      <c r="CX6" s="24" t="s">
        <v>427</v>
      </c>
      <c r="CY6" s="24" t="s">
        <v>428</v>
      </c>
      <c r="CZ6" s="24" t="s">
        <v>430</v>
      </c>
      <c r="DA6" s="24" t="s">
        <v>432</v>
      </c>
      <c r="DB6" s="24" t="s">
        <v>110</v>
      </c>
      <c r="DC6" s="24" t="s">
        <v>434</v>
      </c>
      <c r="DD6" s="25" t="s">
        <v>293</v>
      </c>
      <c r="DE6" s="26" t="s">
        <v>437</v>
      </c>
      <c r="DF6" s="24" t="s">
        <v>439</v>
      </c>
      <c r="DG6" s="24" t="s">
        <v>440</v>
      </c>
      <c r="DH6" s="24" t="s">
        <v>442</v>
      </c>
      <c r="DI6" s="24" t="s">
        <v>443</v>
      </c>
      <c r="DJ6" s="24" t="s">
        <v>446</v>
      </c>
      <c r="DK6" s="24" t="s">
        <v>450</v>
      </c>
      <c r="DL6" s="24" t="s">
        <v>452</v>
      </c>
      <c r="DM6" s="25" t="s">
        <v>293</v>
      </c>
      <c r="DN6" s="26" t="s">
        <v>454</v>
      </c>
      <c r="DO6" s="23"/>
      <c r="DP6" s="23"/>
    </row>
    <row r="7">
      <c r="A7" s="15" t="s">
        <v>85</v>
      </c>
      <c r="B7" s="16" t="s">
        <v>92</v>
      </c>
      <c r="C7" s="17">
        <f>COUNTIFS('Prácticas_Revisiones'!$S$2:$S$282,"T001",'Prácticas_Revisiones'!$T$2:$T$282,"REQUIREMENTS &gt; Software Requirements Fundamentals")+COUNTIFS('Prácticas_Snowballing'!$AB$2:$AB$281,"T001",'Prácticas_Snowballing'!$AC$2:$AC$281,"REQUIREMENTS &gt; Software Requirements Fundamentals")</f>
        <v>0</v>
      </c>
      <c r="D7" s="17">
        <f>COUNTIFS('Prácticas_Revisiones'!$S$2:$S$282,"T001",'Prácticas_Revisiones'!$T$2:$T$282,"REQUIREMENTS &gt; Requirements Elicitation")+COUNTIFS('Prácticas_Snowballing'!$AB$2:$AB$281,"T001",'Prácticas_Snowballing'!$AC$2:$AC$281,"REQUIREMENTS &gt; Requirements Elicitation")</f>
        <v>0</v>
      </c>
      <c r="E7" s="17">
        <f>COUNTIFS('Prácticas_Revisiones'!$S$2:$S$282,"T001",'Prácticas_Revisiones'!$T$2:$T$282,"REQUIREMENTS &gt; Requirements Analysis")+COUNTIFS('Prácticas_Snowballing'!$AB$2:$AB$281,"T001",'Prácticas_Snowballing'!$AC$2:$AC$281,"REQUIREMENTS &gt; Requirements Analysis")</f>
        <v>0</v>
      </c>
      <c r="F7" s="17">
        <f>COUNTIFS('Prácticas_Revisiones'!$S$2:$S$282,"T001",'Prácticas_Revisiones'!$T$2:$T$282,"REQUIREMENTS &gt; Requirements Specification")+COUNTIFS('Prácticas_Snowballing'!$AB$2:$AB$281,"T001",'Prácticas_Snowballing'!$AC$2:$AC$281,"REQUIREMENTS &gt; Requirements Specification")</f>
        <v>0</v>
      </c>
      <c r="G7" s="17">
        <f>COUNTIFS('Prácticas_Revisiones'!$S$2:$S$282,"T001",'Prácticas_Revisiones'!$T$2:$T$282,"REQUIREMENTS &gt; Requirements Validation")+COUNTIFS('Prácticas_Snowballing'!$AB$2:$AB$281,"T001",'Prácticas_Snowballing'!$AC$2:$AC$281,"REQUIREMENTS &gt; Requirements Validation")</f>
        <v>0</v>
      </c>
      <c r="H7" s="17">
        <f>COUNTIFS('Prácticas_Revisiones'!$S$2:$S$282,"T001",'Prácticas_Revisiones'!$T$2:$T$282,"REQUIREMENTS &gt; Requirements Management Activities")+COUNTIFS('Prácticas_Snowballing'!$AB$2:$AB$281,"T001",'Prácticas_Snowballing'!$AC$2:$AC$281,"REQUIREMENTS &gt; Requirements Management Activities")</f>
        <v>0</v>
      </c>
      <c r="I7" s="17">
        <f>COUNTIFS('Prácticas_Revisiones'!$S$2:$S$282,"T001",'Prácticas_Revisiones'!$T$2:$T$282,"REQUIREMENTS &gt; Practical Considerations")+COUNTIFS('Prácticas_Snowballing'!$AB$2:$AB$281,"T001",'Prácticas_Snowballing'!$AC$2:$AC$281,"REQUIREMENTS &gt; Practical Considerations")</f>
        <v>0</v>
      </c>
      <c r="J7" s="17">
        <f>COUNTIFS('Prácticas_Revisiones'!$S$2:$S$282,"T001",'Prácticas_Revisiones'!$T$2:$T$282,"REQUIREMENTS &gt; Software Requirements Tools")+COUNTIFS('Prácticas_Snowballing'!$AB$2:$AB$281,"T001",'Prácticas_Snowballing'!$AC$2:$AC$281,"REQUIREMENTS &gt; Software Requirements Tools")</f>
        <v>0</v>
      </c>
      <c r="K7" s="17">
        <f>COUNTIFS('Prácticas_Revisiones'!$S$2:$S$282,"T001",'Prácticas_Revisiones'!$T$2:$T$282,"REQUIREMENTS &gt; Subárea no determinable")+COUNTIFS('Prácticas_Snowballing'!$AB$2:$AB$281,"T001",'Prácticas_Snowballing'!$AC$2:$AC$281,"REQUIREMENTS &gt; Subárea no determinable")</f>
        <v>0</v>
      </c>
      <c r="L7" s="29">
        <f t="shared" ref="L7:L18" si="1">SUM(C7:K7)</f>
        <v>0</v>
      </c>
      <c r="M7" s="17">
        <f>COUNTIFS('Prácticas_Revisiones'!$S$2:$S$282,"T001",'Prácticas_Revisiones'!$T$2:$T$282,"ARCHITECTURE &gt; Software Architecture Fundamentals")+COUNTIFS('Prácticas_Snowballing'!$AB$2:$AB$281,"T001",'Prácticas_Snowballing'!$AC$2:$AC$281,"ARCHITECTURE &gt; Software Architecture Fundamentals")</f>
        <v>0</v>
      </c>
      <c r="N7" s="17">
        <f>COUNTIFS('Prácticas_Revisiones'!$S$2:$S$282,"T001",'Prácticas_Revisiones'!$T$2:$T$282,"ARCHITECTURE &gt; Software Architecture Description")+COUNTIFS('Prácticas_Snowballing'!$AB$2:$AB$281,"T001",'Prácticas_Snowballing'!$AC$2:$AC$281,"ARCHITECTURE &gt; Software Architecture Description")</f>
        <v>0</v>
      </c>
      <c r="O7" s="17">
        <f>COUNTIFS('Prácticas_Revisiones'!$S$2:$S$282,"T001",'Prácticas_Revisiones'!$T$2:$T$282,"ARCHITECTURE &gt; Software Architecture Process")+COUNTIFS('Prácticas_Snowballing'!$AB$2:$AB$281,"T001",'Prácticas_Snowballing'!$AC$2:$AC$281,"ARCHITECTURE &gt; Software Architecture Process")</f>
        <v>0</v>
      </c>
      <c r="P7" s="17">
        <f>COUNTIFS('Prácticas_Revisiones'!$S$2:$S$282,"T001",'Prácticas_Revisiones'!$T$2:$T$282,"ARCHITECTURE &gt; Software Architecture Evaluation")+COUNTIFS('Prácticas_Snowballing'!$AB$2:$AB$281,"T001",'Prácticas_Snowballing'!$AC$2:$AC$281,"ARCHITECTURE &gt; Software Architecture Evaluation")</f>
        <v>0</v>
      </c>
      <c r="Q7" s="17">
        <f>COUNTIFS('Prácticas_Revisiones'!$S$2:$S$282,"T001",'Prácticas_Revisiones'!$T$2:$T$282,"ARCHITECTURE &gt; Subárea no determinable")+COUNTIFS('Prácticas_Snowballing'!$AB$2:$AB$281,"T001",'Prácticas_Snowballing'!$AC$2:$AC$281,"ARCHITECTURE &gt; Subárea no determinable")</f>
        <v>0</v>
      </c>
      <c r="R7" s="29">
        <f t="shared" ref="R7:R18" si="2">SUM(M7:Q7)</f>
        <v>0</v>
      </c>
      <c r="S7" s="17">
        <f>COUNTIFS('Prácticas_Revisiones'!$S$2:$S$282,"T001",'Prácticas_Revisiones'!$T$2:$T$282,"DESIGN &gt; Software Design Fundamentals")+COUNTIFS('Prácticas_Snowballing'!$AB$2:$AB$281,"T001",'Prácticas_Snowballing'!$AC$2:$AC$281,"DESIGN &gt; Software Design Fundamentals")</f>
        <v>0</v>
      </c>
      <c r="T7" s="17">
        <f>COUNTIFS('Prácticas_Revisiones'!$S$2:$S$282,"T001",'Prácticas_Revisiones'!$T$2:$T$282,"DESIGN &gt; Software Design Processes")+COUNTIFS('Prácticas_Snowballing'!$AB$2:$AB$281,"T001",'Prácticas_Snowballing'!$AC$2:$AC$281,"DESIGN &gt; Software Design Processes")</f>
        <v>0</v>
      </c>
      <c r="U7" s="17">
        <f>COUNTIFS('Prácticas_Revisiones'!$S$2:$S$282,"T001",'Prácticas_Revisiones'!$T$2:$T$282,"DESIGN &gt; Software Design Qualities")+COUNTIFS('Prácticas_Snowballing'!$AB$2:$AB$281,"T001",'Prácticas_Snowballing'!$AC$2:$AC$281,"DESIGN &gt; Software Design Qualities")</f>
        <v>0</v>
      </c>
      <c r="V7" s="17">
        <f>COUNTIFS('Prácticas_Revisiones'!$S$2:$S$282,"T001",'Prácticas_Revisiones'!$T$2:$T$282,"DESIGN &gt; Recording Software Design")+COUNTIFS('Prácticas_Snowballing'!$AB$2:$AB$281,"T001",'Prácticas_Snowballing'!$AC$2:$AC$281,"DESIGN &gt; Recording Software Design")</f>
        <v>0</v>
      </c>
      <c r="W7" s="17">
        <f>COUNTIFS('Prácticas_Revisiones'!$S$2:$S$282,"T001",'Prácticas_Revisiones'!$T$2:$T$282,"DESIGN &gt; Software Design Strategies and Methods")+COUNTIFS('Prácticas_Snowballing'!$AB$2:$AB$281,"T001",'Prácticas_Snowballing'!$AC$2:$AC$281,"DESIGN &gt; Software Design Strategies and Methods")</f>
        <v>0</v>
      </c>
      <c r="X7" s="17">
        <f>COUNTIFS('Prácticas_Revisiones'!$S$2:$S$282,"T001",'Prácticas_Revisiones'!$T$2:$T$282,"DESIGN &gt; Software Design Analysis and Evaluations")+COUNTIFS('Prácticas_Snowballing'!$AB$2:$AB$281,"T001",'Prácticas_Snowballing'!$AC$2:$AC$281,"DESIGN &gt; Software Design Analysis and Evaluations")</f>
        <v>1</v>
      </c>
      <c r="Y7" s="17">
        <f>COUNTIFS('Prácticas_Revisiones'!$S$2:$S$282,"T001",'Prácticas_Revisiones'!$T$2:$T$282,"DESIGN &gt; Subárea no determinable")+COUNTIFS('Prácticas_Snowballing'!$AB$2:$AB$281,"T001",'Prácticas_Snowballing'!$AC$2:$AC$281,"DESIGN &gt; Subárea no determinable")</f>
        <v>0</v>
      </c>
      <c r="Z7" s="29">
        <f t="shared" ref="Z7:Z18" si="3">SUM(S7:Y7)</f>
        <v>1</v>
      </c>
      <c r="AA7" s="17">
        <f>COUNTIFS('Prácticas_Revisiones'!$S$2:$S$282,"T001",'Prácticas_Revisiones'!$T$2:$T$282,"CONSTRUCTION &gt; Software Construction Fundamentals")+COUNTIFS('Prácticas_Snowballing'!$AB$2:$AB$281,"T001",'Prácticas_Snowballing'!$AC$2:$AC$281,"CONSTRUCTION &gt; Software Construction Fundamentals")</f>
        <v>2</v>
      </c>
      <c r="AB7" s="17">
        <f>COUNTIFS('Prácticas_Revisiones'!$S$2:$S$282,"T001",'Prácticas_Revisiones'!$T$2:$T$282,"CONSTRUCTION &gt; Managing Construction")+COUNTIFS('Prácticas_Snowballing'!$AB$2:$AB$281,"T001",'Prácticas_Snowballing'!$AC$2:$AC$281,"CONSTRUCTION &gt; Managing Construction")</f>
        <v>0</v>
      </c>
      <c r="AC7" s="17">
        <f>COUNTIFS('Prácticas_Revisiones'!$S$2:$S$282,"T001",'Prácticas_Revisiones'!$T$2:$T$282,"CONSTRUCTION &gt; Practical Considerations")+COUNTIFS('Prácticas_Snowballing'!$AB$2:$AB$281,"T001",'Prácticas_Snowballing'!$AC$2:$AC$281,"CONSTRUCTION &gt; Practical Considerations")</f>
        <v>2</v>
      </c>
      <c r="AD7" s="17">
        <f>COUNTIFS('Prácticas_Revisiones'!$S$2:$S$282,"T001",'Prácticas_Revisiones'!$T$2:$T$282,"CONSTRUCTION &gt; Construction Technologies")+COUNTIFS('Prácticas_Snowballing'!$AB$2:$AB$281,"T001",'Prácticas_Snowballing'!$AC$2:$AC$281,"CONSTRUCTION &gt; Construction Technologies")</f>
        <v>0</v>
      </c>
      <c r="AE7" s="17">
        <f>COUNTIFS('Prácticas_Revisiones'!$S$2:$S$282,"T001",'Prácticas_Revisiones'!$T$2:$T$282,"CONSTRUCTION &gt; Software Construction Tools")+COUNTIFS('Prácticas_Snowballing'!$AB$2:$AB$281,"T001",'Prácticas_Snowballing'!$AC$2:$AC$281,"CONSTRUCTION &gt; Software Construction Tools")</f>
        <v>1</v>
      </c>
      <c r="AF7" s="17">
        <f>COUNTIFS('Prácticas_Revisiones'!$S$2:$S$282,"T001",'Prácticas_Revisiones'!$T$2:$T$282,"CONSTRUCTION &gt; Subárea no determinable")+COUNTIFS('Prácticas_Snowballing'!$AB$2:$AB$281,"T001",'Prácticas_Snowballing'!$AC$2:$AC$281,"CONSTRUCTION &gt; Subárea no determinable")</f>
        <v>0</v>
      </c>
      <c r="AG7" s="29">
        <f t="shared" ref="AG7:AG18" si="4">SUM(AA7:AF7)</f>
        <v>5</v>
      </c>
      <c r="AH7" s="17">
        <f>COUNTIFS('Prácticas_Revisiones'!$S$2:$S$282,"T001",'Prácticas_Revisiones'!$T$2:$T$282,"SOFTWARE TESTING &gt; Software Testing Fundamentals")+COUNTIFS('Prácticas_Snowballing'!$AB$2:$AB$281,"T001",'Prácticas_Snowballing'!$AC$2:$AC$281,"SOFTWARE TESTING &gt; Software Testing Fundamentals")</f>
        <v>0</v>
      </c>
      <c r="AI7" s="17">
        <f>COUNTIFS('Prácticas_Revisiones'!$S$2:$S$282,"T001",'Prácticas_Revisiones'!$T$2:$T$282,"SOFTWARE TESTING &gt; Test Levels")+COUNTIFS('Prácticas_Snowballing'!$AB$2:$AB$281,"T001",'Prácticas_Snowballing'!$AC$2:$AC$281,"SOFTWARE TESTING &gt; Test Levels")</f>
        <v>0</v>
      </c>
      <c r="AJ7" s="17">
        <f>COUNTIFS('Prácticas_Revisiones'!$S$2:$S$282,"T001",'Prácticas_Revisiones'!$T$2:$T$282,"SOFTWARE TESTING &gt; Test Techniques")+COUNTIFS('Prácticas_Snowballing'!$AB$2:$AB$281,"T001",'Prácticas_Snowballing'!$AC$2:$AC$281,"SOFTWARE TESTING &gt; Test Techniques")</f>
        <v>0</v>
      </c>
      <c r="AK7" s="17">
        <f>COUNTIFS('Prácticas_Revisiones'!$S$2:$S$282,"T001",'Prácticas_Revisiones'!$T$2:$T$282,"SOFTWARE TESTING &gt; Test-Related Measures")+COUNTIFS('Prácticas_Snowballing'!$AB$2:$AB$281,"T001",'Prácticas_Snowballing'!$AC$2:$AC$281,"SOFTWARE TESTING &gt; Test-Related Measures")</f>
        <v>0</v>
      </c>
      <c r="AL7" s="17">
        <f>COUNTIFS('Prácticas_Revisiones'!$S$2:$S$282,"T001",'Prácticas_Revisiones'!$T$2:$T$282,"SOFTWARE TESTING &gt; Test Process")+COUNTIFS('Prácticas_Snowballing'!$AB$2:$AB$281,"T001",'Prácticas_Snowballing'!$AC$2:$AC$281,"SOFTWARE TESTING &gt; Test Process")</f>
        <v>0</v>
      </c>
      <c r="AM7" s="17">
        <f>COUNTIFS('Prácticas_Revisiones'!$S$2:$S$282,"T001",'Prácticas_Revisiones'!$T$2:$T$282,"SOFTWARE TESTING &gt; Software Testing in the Development Processes...")+COUNTIFS('Prácticas_Snowballing'!$AB$2:$AB$281,"T001",'Prácticas_Snowballing'!$AC$2:$AC$281,"SOFTWARE TESTING &gt; Software Testing in the Development Processes...")</f>
        <v>0</v>
      </c>
      <c r="AN7" s="17">
        <f>COUNTIFS('Prácticas_Revisiones'!$S$2:$S$282,"T001",'Prácticas_Revisiones'!$T$2:$T$282,"SOFTWARE TESTING &gt; Testing of and Testing Through Emerging Tech...")+COUNTIFS('Prácticas_Snowballing'!$AB$2:$AB$281,"T001",'Prácticas_Snowballing'!$AC$2:$AC$281,"SOFTWARE TESTING &gt; Testing of and Testing Through Emerging Tech...")</f>
        <v>0</v>
      </c>
      <c r="AO7" s="17">
        <f>COUNTIFS('Prácticas_Revisiones'!$S$2:$S$282,"T001",'Prácticas_Revisiones'!$T$2:$T$282,"SOFTWARE TESTING &gt; Software Testing Tools")+COUNTIFS('Prácticas_Snowballing'!$AB$2:$AB$281,"T001",'Prácticas_Snowballing'!$AC$2:$AC$281,"SOFTWARE TESTING &gt; Software Testing Tools")</f>
        <v>0</v>
      </c>
      <c r="AP7" s="17">
        <f>COUNTIFS('Prácticas_Revisiones'!$S$2:$S$282,"T001",'Prácticas_Revisiones'!$T$2:$T$282,"SOFTWARE TESTING &gt; Subárea no determinable")+COUNTIFS('Prácticas_Snowballing'!$AB$2:$AB$281,"T001",'Prácticas_Snowballing'!$AC$2:$AC$281,"SOFTWARE TESTING &gt; Subárea no determinable")</f>
        <v>0</v>
      </c>
      <c r="AQ7" s="29">
        <f t="shared" ref="AQ7:AQ18" si="5">SUM(AH7:AP7)</f>
        <v>0</v>
      </c>
      <c r="AR7" s="17">
        <f>COUNTIFS('Prácticas_Revisiones'!$S$2:$S$282,"T001",'Prácticas_Revisiones'!$T$2:$T$282,"SOFTWARE ENG. OPERATIONS &gt; Software Engineering Operations Fundamentals")+COUNTIFS('Prácticas_Snowballing'!$AB$2:$AB$281,"T001",'Prácticas_Snowballing'!$AC$2:$AC$281,"SOFTWARE ENG. OPERATIONS &gt; Software Engineering Operations Fundamentals")</f>
        <v>0</v>
      </c>
      <c r="AS7" s="17">
        <f>COUNTIFS('Prácticas_Revisiones'!$S$2:$S$282,"T001",'Prácticas_Revisiones'!$T$2:$T$282,"SOFTWARE ENG. OPERATIONS &gt; Software Engineering Operations Planning")+COUNTIFS('Prácticas_Snowballing'!$AB$2:$AB$281,"T001",'Prácticas_Snowballing'!$AC$2:$AC$281,"SOFTWARE ENG. OPERATIONS &gt; Software Engineering Operations Planning")</f>
        <v>0</v>
      </c>
      <c r="AT7" s="17">
        <f>COUNTIFS('Prácticas_Revisiones'!$S$2:$S$282,"T001",'Prácticas_Revisiones'!$T$2:$T$282,"SOFTWARE ENG. OPERATIONS &gt; Software Engineering Operations Delivery")+COUNTIFS('Prácticas_Snowballing'!$AB$2:$AB$281,"T001",'Prácticas_Snowballing'!$AC$2:$AC$281,"SOFTWARE ENG. OPERATIONS &gt; Software Engineering Operations Delivery")</f>
        <v>0</v>
      </c>
      <c r="AU7" s="17">
        <f>COUNTIFS('Prácticas_Revisiones'!$S$2:$S$282,"T001",'Prácticas_Revisiones'!$T$2:$T$282,"SOFTWARE ENG. OPERATIONS &gt; Software Engineering Operations Control")+COUNTIFS('Prácticas_Snowballing'!$AB$2:$AB$281,"T001",'Prácticas_Snowballing'!$AC$2:$AC$281,"SOFTWARE ENG. OPERATIONS &gt; Software Engineering Operations Control")</f>
        <v>0</v>
      </c>
      <c r="AV7" s="17">
        <f>COUNTIFS('Prácticas_Revisiones'!$S$2:$S$282,"T001",'Prácticas_Revisiones'!$T$2:$T$282,"SOFTWARE ENG. OPERATIONS &gt; Practical Considerations")+COUNTIFS('Prácticas_Snowballing'!$AB$2:$AB$281,"T001",'Prácticas_Snowballing'!$AC$2:$AC$281,"SOFTWARE ENG. OPERATIONS &gt; Practical Considerations")</f>
        <v>0</v>
      </c>
      <c r="AW7" s="17">
        <f>COUNTIFS('Prácticas_Revisiones'!$S$2:$S$282,"T001",'Prácticas_Revisiones'!$T$2:$T$282,"SOFTWARE ENG. OPERATIONS &gt; Software Engineering Operations Tools")+COUNTIFS('Prácticas_Snowballing'!$AB$2:$AB$281,"T001",'Prácticas_Snowballing'!$AC$2:$AC$281,"SOFTWARE ENG. OPERATIONS &gt; Software Engineering Operations Tools")</f>
        <v>0</v>
      </c>
      <c r="AX7" s="17">
        <f>COUNTIFS('Prácticas_Revisiones'!$S$2:$S$282,"T001",'Prácticas_Revisiones'!$T$2:$T$282,"SOFTWARE ENG. OPERATIONS &gt; Subárea no determinable")+COUNTIFS('Prácticas_Snowballing'!$AB$2:$AB$281,"T001",'Prácticas_Snowballing'!$AC$2:$AC$281,"SOFTWARE ENG. OPERATIONS &gt; Subárea no determinable")</f>
        <v>0</v>
      </c>
      <c r="AY7" s="29">
        <f t="shared" ref="AY7:AY18" si="6">SUM(AR7:AX7)</f>
        <v>0</v>
      </c>
      <c r="AZ7" s="17">
        <f>COUNTIFS('Prácticas_Revisiones'!$S$2:$S$282,"T001",'Prácticas_Revisiones'!$T$2:$T$282,"MAINTENANCE &gt; Software Maintenance Fundamentals")+COUNTIFS('Prácticas_Snowballing'!$AB$2:$AB$281,"T001",'Prácticas_Snowballing'!$AC$2:$AC$281,"MAINTENANCE &gt; Software Maintenance Fundamentals")</f>
        <v>0</v>
      </c>
      <c r="BA7" s="17">
        <f>COUNTIFS('Prácticas_Revisiones'!$S$2:$S$282,"T001",'Prácticas_Revisiones'!$T$2:$T$282,"MAINTENANCE &gt; Key Issues in Software Maintenance")+COUNTIFS('Prácticas_Snowballing'!$AB$2:$AB$281,"T001",'Prácticas_Snowballing'!$AC$2:$AC$281,"MAINTENANCE &gt; Key Issues in Software Maintenance")</f>
        <v>0</v>
      </c>
      <c r="BB7" s="17">
        <f>COUNTIFS('Prácticas_Revisiones'!$S$2:$S$282,"T001",'Prácticas_Revisiones'!$T$2:$T$282,"MAINTENANCE &gt; Software Maintenance Processes")+COUNTIFS('Prácticas_Snowballing'!$AB$2:$AB$281,"T001",'Prácticas_Snowballing'!$AC$2:$AC$281,"MAINTENANCE &gt; Software Maintenance Processes")</f>
        <v>0</v>
      </c>
      <c r="BC7" s="17">
        <f>COUNTIFS('Prácticas_Revisiones'!$S$2:$S$282,"T001",'Prácticas_Revisiones'!$T$2:$T$282,"MAINTENANCE &gt; Software Maintenance Techniques")+COUNTIFS('Prácticas_Snowballing'!$AB$2:$AB$281,"T001",'Prácticas_Snowballing'!$AC$2:$AC$281,"MAINTENANCE &gt; Software Maintenance Techniques")</f>
        <v>0</v>
      </c>
      <c r="BD7" s="17">
        <f>COUNTIFS('Prácticas_Revisiones'!$S$2:$S$282,"T001",'Prácticas_Revisiones'!$T$2:$T$282,"MAINTENANCE &gt; Software Maintenance Tools")+COUNTIFS('Prácticas_Snowballing'!$AB$2:$AB$281,"T001",'Prácticas_Snowballing'!$AC$2:$AC$281,"MAINTENANCE &gt; Software Maintenance Tools")</f>
        <v>0</v>
      </c>
      <c r="BE7" s="17">
        <f>COUNTIFS('Prácticas_Revisiones'!$S$2:$S$282,"T001",'Prácticas_Revisiones'!$T$2:$T$282,"MAINTENANCE &gt; Subárea no determinable")+COUNTIFS('Prácticas_Snowballing'!$AB$2:$AB$281,"T001",'Prácticas_Snowballing'!$AC$2:$AC$281,"MAINTENANCE &gt; Subárea no determinable")</f>
        <v>0</v>
      </c>
      <c r="BF7" s="29">
        <f t="shared" ref="BF7:BF18" si="7">SUM(AZ7:BE7)</f>
        <v>0</v>
      </c>
      <c r="BG7" s="17">
        <f>COUNTIFS('Prácticas_Revisiones'!$S$2:$S$282,"T001",'Prácticas_Revisiones'!$T$2:$T$282,"SOFTWARE CONFIG. MGMT. &gt; Management of the SCM Process")+COUNTIFS('Prácticas_Snowballing'!$AB$2:$AB$281,"T001",'Prácticas_Snowballing'!$AC$2:$AC$281,"SOFTWARE CONFIG. MGMT. &gt; Management of the SCM Process")</f>
        <v>0</v>
      </c>
      <c r="BH7" s="17">
        <f>COUNTIFS('Prácticas_Revisiones'!$S$2:$S$282,"T001",'Prácticas_Revisiones'!$T$2:$T$282,"SOFTWARE CONFIG. MGMT. &gt; Software Configuration Identification")+COUNTIFS('Prácticas_Snowballing'!$AB$2:$AB$281,"T001",'Prácticas_Snowballing'!$AC$2:$AC$281,"SOFTWARE CONFIG. MGMT. &gt; Software Configuration Identification")</f>
        <v>0</v>
      </c>
      <c r="BI7" s="17">
        <f>COUNTIFS('Prácticas_Revisiones'!$S$2:$S$282,"T001",'Prácticas_Revisiones'!$T$2:$T$282,"SOFTWARE CONFIG. MGMT. &gt; Software Configuration Change Control")+COUNTIFS('Prácticas_Snowballing'!$AB$2:$AB$281,"T001",'Prácticas_Snowballing'!$AC$2:$AC$281,"SOFTWARE CONFIG. MGMT. &gt; Software Configuration Change Control")</f>
        <v>0</v>
      </c>
      <c r="BJ7" s="17">
        <f>COUNTIFS('Prácticas_Revisiones'!$S$2:$S$282,"T001",'Prácticas_Revisiones'!$T$2:$T$282,"SOFTWARE CONFIG. MGMT. &gt; Software Configuration Status Accounting")+COUNTIFS('Prácticas_Snowballing'!$AB$2:$AB$281,"T001",'Prácticas_Snowballing'!$AC$2:$AC$281,"SOFTWARE CONFIG. MGMT. &gt; Software Configuration Status Accounting")</f>
        <v>0</v>
      </c>
      <c r="BK7" s="17">
        <f>COUNTIFS('Prácticas_Revisiones'!$S$2:$S$282,"T001",'Prácticas_Revisiones'!$T$2:$T$282,"SOFTWARE CONFIG. MGMT. &gt; Software Configuration Auditing")+COUNTIFS('Prácticas_Snowballing'!$AB$2:$AB$281,"T001",'Prácticas_Snowballing'!$AC$2:$AC$281,"SOFTWARE CONFIG. MGMT. &gt; Software Configuration Auditing")</f>
        <v>0</v>
      </c>
      <c r="BL7" s="17">
        <f>COUNTIFS('Prácticas_Revisiones'!$S$2:$S$282,"T001",'Prácticas_Revisiones'!$T$2:$T$282,"SOFTWARE CONFIG. MGMT. &gt; Software Release Management and Delivery")+COUNTIFS('Prácticas_Snowballing'!$AB$2:$AB$281,"T001",'Prácticas_Snowballing'!$AC$2:$AC$281,"SOFTWARE CONFIG. MGMT. &gt; Software Release Management and Delivery")</f>
        <v>0</v>
      </c>
      <c r="BM7" s="17">
        <f>COUNTIFS('Prácticas_Revisiones'!$S$2:$S$282,"T001",'Prácticas_Revisiones'!$T$2:$T$282,"SOFTWARE CONFIG. MGMT. &gt; Software Configuration Management Tools")+COUNTIFS('Prácticas_Snowballing'!$AB$2:$AB$281,"T001",'Prácticas_Snowballing'!$AC$2:$AC$281,"SOFTWARE CONFIG. MGMT. &gt; Software Configuration Management Tools")</f>
        <v>0</v>
      </c>
      <c r="BN7" s="17">
        <f>COUNTIFS('Prácticas_Revisiones'!$S$2:$S$282,"T001",'Prácticas_Revisiones'!$T$2:$T$282,"SOFTWARE CONFIG. MGMT. &gt; Subárea no determinable")+COUNTIFS('Prácticas_Snowballing'!$AB$2:$AB$281,"T001",'Prácticas_Snowballing'!$AC$2:$AC$281,"SOFTWARE CONFIG. MGMT. &gt; Subárea no determinable")</f>
        <v>0</v>
      </c>
      <c r="BO7" s="29">
        <f t="shared" ref="BO7:BO18" si="8">SUM(BG7:BN7)</f>
        <v>0</v>
      </c>
      <c r="BP7" s="17">
        <f>COUNTIFS('Prácticas_Revisiones'!$S$2:$S$282,"T001",'Prácticas_Revisiones'!$T$2:$T$282,"SOFTWARE ENG. PROCESS &gt; Software Engineering Process Fundamentals")+COUNTIFS('Prácticas_Snowballing'!$AB$2:$AB$281,"T001",'Prácticas_Snowballing'!$AC$2:$AC$281,"SOFTWARE ENG. PROCESS &gt; Software Engineering Process Fundamentals")</f>
        <v>0</v>
      </c>
      <c r="BQ7" s="17">
        <f>COUNTIFS('Prácticas_Revisiones'!$S$2:$S$282,"T001",'Prácticas_Revisiones'!$T$2:$T$282,"SOFTWARE ENG. PROCESS &gt; Life Cycles")+COUNTIFS('Prácticas_Snowballing'!$AB$2:$AB$281,"T001",'Prácticas_Snowballing'!$AC$2:$AC$281,"SOFTWARE ENG. PROCESS &gt; Life Cycles")</f>
        <v>0</v>
      </c>
      <c r="BR7" s="17">
        <f>COUNTIFS('Prácticas_Revisiones'!$S$2:$S$282,"T001",'Prácticas_Revisiones'!$T$2:$T$282,"SOFTWARE ENG. PROCESS &gt; Software Process Assessment and Improvement")+COUNTIFS('Prácticas_Snowballing'!$AB$2:$AB$281,"T001",'Prácticas_Snowballing'!$AC$2:$AC$281,"SOFTWARE ENG. PROCESS &gt; Software Process Assessment and Improvement")</f>
        <v>0</v>
      </c>
      <c r="BS7" s="17">
        <f>COUNTIFS('Prácticas_Revisiones'!$S$2:$S$282,"T001",'Prácticas_Revisiones'!$T$2:$T$282,"SOFTWARE ENG. PROCESS &gt; Subárea no determinable")+COUNTIFS('Prácticas_Snowballing'!$AB$2:$AB$281,"T001",'Prácticas_Snowballing'!$AC$2:$AC$281,"SOFTWARE ENG. PROCESS &gt; Subárea no determinable")</f>
        <v>0</v>
      </c>
      <c r="BT7" s="29">
        <f t="shared" ref="BT7:BT18" si="9">SUM(BP7:BS7)</f>
        <v>0</v>
      </c>
      <c r="BU7" s="17">
        <f>COUNTIFS('Prácticas_Revisiones'!$S$2:$S$282,"T001",'Prácticas_Revisiones'!$T$2:$T$282,"SOFTWARE ENG. MODELS/METH. &gt; Modeling")+COUNTIFS('Prácticas_Snowballing'!$AB$2:$AB$281,"T001",'Prácticas_Snowballing'!$AC$2:$AC$281,"SOFTWARE ENG. MODELS/METH. &gt; Modeling")</f>
        <v>0</v>
      </c>
      <c r="BV7" s="17">
        <f>COUNTIFS('Prácticas_Revisiones'!$S$2:$S$282,"T001",'Prácticas_Revisiones'!$T$2:$T$282,"SOFTWARE ENG. MODELS/METH. &gt; Types of Models")+COUNTIFS('Prácticas_Snowballing'!$AB$2:$AB$281,"T001",'Prácticas_Snowballing'!$AC$2:$AC$281,"SOFTWARE ENG. MODELS/METH. &gt; Types of Models")</f>
        <v>0</v>
      </c>
      <c r="BW7" s="17">
        <f>COUNTIFS('Prácticas_Revisiones'!$S$2:$S$282,"T001",'Prácticas_Revisiones'!$T$2:$T$282,"SOFTWARE ENG. MODELS/METH. &gt; Analysis of Models")+COUNTIFS('Prácticas_Snowballing'!$AB$2:$AB$281,"T001",'Prácticas_Snowballing'!$AC$2:$AC$281,"SOFTWARE ENG. MODELS/METH. &gt; Analysis of Models")</f>
        <v>0</v>
      </c>
      <c r="BX7" s="17">
        <f>COUNTIFS('Prácticas_Revisiones'!$S$2:$S$282,"T001",'Prácticas_Revisiones'!$T$2:$T$282,"SOFTWARE ENG. MODELS/METH. &gt; Software Engineering Methods")+COUNTIFS('Prácticas_Snowballing'!$AB$2:$AB$281,"T001",'Prácticas_Snowballing'!$AC$2:$AC$281,"SOFTWARE ENG. MODELS/METH. &gt; Software Engineering Methods")</f>
        <v>0</v>
      </c>
      <c r="BY7" s="17">
        <f>COUNTIFS('Prácticas_Revisiones'!$S$2:$S$282,"T001",'Prácticas_Revisiones'!$T$2:$T$282,"SOFTWARE ENG. MODELS/METH. &gt; Subárea no determinable")+COUNTIFS('Prácticas_Snowballing'!$AB$2:$AB$281,"T001",'Prácticas_Snowballing'!$AC$2:$AC$281,"SOFTWARE ENG. MODELS/METH. &gt; Subárea no determinable")</f>
        <v>0</v>
      </c>
      <c r="BZ7" s="29">
        <f t="shared" ref="BZ7:BZ18" si="10">SUM(BU7:BY7)</f>
        <v>0</v>
      </c>
      <c r="CA7" s="17">
        <f>COUNTIFS('Prácticas_Revisiones'!$S$2:$S$282,"T001",'Prácticas_Revisiones'!$T$2:$T$282,"SOFTWARE QUALITY &gt; Software Quality Fundamentals")+COUNTIFS('Prácticas_Snowballing'!$AB$2:$AB$281,"T001",'Prácticas_Snowballing'!$AC$2:$AC$281,"SOFTWARE QUALITY &gt; Software Quality Fundamentals")</f>
        <v>0</v>
      </c>
      <c r="CB7" s="17">
        <f>COUNTIFS('Prácticas_Revisiones'!$S$2:$S$282,"T001",'Prácticas_Revisiones'!$T$2:$T$282,"SOFTWARE QUALITY &gt; Software Quality Management Process")+COUNTIFS('Prácticas_Snowballing'!$AB$2:$AB$281,"T001",'Prácticas_Snowballing'!$AC$2:$AC$281,"SOFTWARE QUALITY &gt; Software Quality Management Process")</f>
        <v>0</v>
      </c>
      <c r="CC7" s="17">
        <f>COUNTIFS('Prácticas_Revisiones'!$S$2:$S$282,"T001",'Prácticas_Revisiones'!$T$2:$T$282,"SOFTWARE QUALITY &gt; Software Quality Assurance Process")+COUNTIFS('Prácticas_Snowballing'!$AB$2:$AB$281,"T001",'Prácticas_Snowballing'!$AC$2:$AC$281,"SOFTWARE QUALITY &gt; Software Quality Assurance Process")</f>
        <v>0</v>
      </c>
      <c r="CD7" s="17">
        <f>COUNTIFS('Prácticas_Revisiones'!$S$2:$S$282,"T001",'Prácticas_Revisiones'!$T$2:$T$282,"SOFTWARE QUALITY &gt; Software Quality Tools")+COUNTIFS('Prácticas_Snowballing'!$AB$2:$AB$281,"T001",'Prácticas_Snowballing'!$AC$2:$AC$281,"SOFTWARE QUALITY &gt; Software Quality Tools")</f>
        <v>0</v>
      </c>
      <c r="CE7" s="17">
        <f>COUNTIFS('Prácticas_Revisiones'!$S$2:$S$282,"T001",'Prácticas_Revisiones'!$T$2:$T$282,"SOFTWARE QUALITY &gt; Subárea no determinable")+COUNTIFS('Prácticas_Snowballing'!$AB$2:$AB$281,"T001",'Prácticas_Snowballing'!$AC$2:$AC$281,"SOFTWARE QUALITY &gt; Subárea no determinable")</f>
        <v>0</v>
      </c>
      <c r="CF7" s="29">
        <f t="shared" ref="CF7:CF18" si="11">SUM(CA7:CE7)</f>
        <v>0</v>
      </c>
      <c r="CG7" s="17">
        <f>COUNTIFS('Prácticas_Revisiones'!$S$2:$S$282,"T001",'Prácticas_Revisiones'!$T$2:$T$282,"SOFTWARE SECURITY &gt; Software Security Fundamentals")+COUNTIFS('Prácticas_Snowballing'!$AB$2:$AB$281,"T001",'Prácticas_Snowballing'!$AC$2:$AC$281,"SOFTWARE SECURITY &gt; Software Security Fundamentals")</f>
        <v>0</v>
      </c>
      <c r="CH7" s="17">
        <f>COUNTIFS('Prácticas_Revisiones'!$S$2:$S$282,"T001",'Prácticas_Revisiones'!$T$2:$T$282,"SOFTWARE SECURITY &gt; Security Management and Organization")+COUNTIFS('Prácticas_Snowballing'!$AB$2:$AB$281,"T001",'Prácticas_Snowballing'!$AC$2:$AC$281,"SOFTWARE SECURITY &gt; Security Management and Organization")</f>
        <v>0</v>
      </c>
      <c r="CI7" s="17">
        <f>COUNTIFS('Prácticas_Revisiones'!$S$2:$S$282,"T001",'Prácticas_Revisiones'!$T$2:$T$282,"SOFTWARE SECURITY &gt; Software Security Engineering and Process")+COUNTIFS('Prácticas_Snowballing'!$AB$2:$AB$281,"T001",'Prácticas_Snowballing'!$AC$2:$AC$281,"SOFTWARE SECURITY &gt; Software Security Engineering and Process")</f>
        <v>0</v>
      </c>
      <c r="CJ7" s="17">
        <f>COUNTIFS('Prácticas_Revisiones'!$S$2:$S$282,"T001",'Prácticas_Revisiones'!$T$2:$T$282,"SOFTWARE SECURITY &gt; Security Engineering for Software Systems")+COUNTIFS('Prácticas_Snowballing'!$AB$2:$AB$281,"T001",'Prácticas_Snowballing'!$AC$2:$AC$281,"SOFTWARE SECURITY &gt; Security Engineering for Software Systems")</f>
        <v>0</v>
      </c>
      <c r="CK7" s="17">
        <f>COUNTIFS('Prácticas_Revisiones'!$S$2:$S$282,"T001",'Prácticas_Revisiones'!$T$2:$T$282,"SOFTWARE SECURITY &gt; Software Security Tools")+COUNTIFS('Prácticas_Snowballing'!$AB$2:$AB$281,"T001",'Prácticas_Snowballing'!$AC$2:$AC$281,"SOFTWARE SECURITY &gt; Software Security Tools")</f>
        <v>0</v>
      </c>
      <c r="CL7" s="17">
        <f>COUNTIFS('Prácticas_Revisiones'!$S$2:$S$282,"T001",'Prácticas_Revisiones'!$T$2:$T$282,"SOFTWARE SECURITY &gt; Domain Specific Software Security")+COUNTIFS('Prácticas_Snowballing'!$AB$2:$AB$281,"T001",'Prácticas_Snowballing'!$AC$2:$AC$281,"SOFTWARE SECURITY &gt; Domain Specific Software Security")</f>
        <v>0</v>
      </c>
      <c r="CM7" s="17">
        <f>COUNTIFS('Prácticas_Revisiones'!$S$2:$S$282,"T001",'Prácticas_Revisiones'!$T$2:$T$282,"SOFTWARE SECURITY &gt; Subárea no determinable")+COUNTIFS('Prácticas_Snowballing'!$AB$2:$AB$281,"T001",'Prácticas_Snowballing'!$AC$2:$AC$281,"SOFTWARE SECURITY &gt; Subárea no determinable")</f>
        <v>0</v>
      </c>
      <c r="CN7" s="29">
        <f t="shared" ref="CN7:CN18" si="12">SUM(CG7:CM7)</f>
        <v>0</v>
      </c>
      <c r="CO7" s="17">
        <f>COUNTIFS('Prácticas_Revisiones'!$S$2:$S$282,"T001",'Prácticas_Revisiones'!$T$2:$T$282,"PROFESSIONAL PRACTICE &gt; Professionalism")+COUNTIFS('Prácticas_Snowballing'!$AB$2:$AB$281,"T001",'Prácticas_Snowballing'!$AC$2:$AC$281,"PROFESSIONAL PRACTICE &gt; Professionalism")</f>
        <v>0</v>
      </c>
      <c r="CP7" s="17">
        <f>COUNTIFS('Prácticas_Revisiones'!$S$2:$S$282,"T001",'Prácticas_Revisiones'!$T$2:$T$282,"PROFESSIONAL PRACTICE &gt; Group Dynamics and Psychology")+COUNTIFS('Prácticas_Snowballing'!$AB$2:$AB$281,"T001",'Prácticas_Snowballing'!$AC$2:$AC$281,"PROFESSIONAL PRACTICE &gt; Group Dynamics and Psychology")</f>
        <v>0</v>
      </c>
      <c r="CQ7" s="17">
        <f>COUNTIFS('Prácticas_Revisiones'!$S$2:$S$282,"T001",'Prácticas_Revisiones'!$T$2:$T$282,"PROFESSIONAL PRACTICE &gt; Communication Skills")+COUNTIFS('Prácticas_Snowballing'!$AB$2:$AB$281,"T001",'Prácticas_Snowballing'!$AC$2:$AC$281,"PROFESSIONAL PRACTICE &gt; Communication Skills")</f>
        <v>0</v>
      </c>
      <c r="CR7" s="17">
        <f>COUNTIFS('Prácticas_Revisiones'!$S$2:$S$282,"T001",'Prácticas_Revisiones'!$T$2:$T$282,"PROFESSIONAL PRACTICE &gt; Subárea no determinable")+COUNTIFS('Prácticas_Snowballing'!$AB$2:$AB$281,"T001",'Prácticas_Snowballing'!$AC$2:$AC$281,"PROFESSIONAL PRACTICE &gt; Subárea no determinable")</f>
        <v>0</v>
      </c>
      <c r="CS7" s="29">
        <f t="shared" ref="CS7:CS18" si="13">SUM(CO7:CR7)</f>
        <v>0</v>
      </c>
      <c r="CT7" s="17">
        <f>COUNTIFS('Prácticas_Revisiones'!$S$2:$S$282,"T001",'Prácticas_Revisiones'!$T$2:$T$282,"SOFTWARE ENG. ECONOMICS &gt; Software Engineering Economics Fundamentals")+COUNTIFS('Prácticas_Snowballing'!$AB$2:$AB$281,"T001",'Prácticas_Snowballing'!$AC$2:$AC$281,"SOFTWARE ENG. ECONOMICS &gt; Software Engineering Economics Fundamentals")</f>
        <v>0</v>
      </c>
      <c r="CU7" s="17">
        <f>COUNTIFS('Prácticas_Revisiones'!$S$2:$S$282,"T001",'Prácticas_Revisiones'!$T$2:$T$282,"SOFTWARE ENG. ECONOMICS &gt; The Engineering Decision-Making Process")+COUNTIFS('Prácticas_Snowballing'!$AB$2:$AB$281,"T001",'Prácticas_Snowballing'!$AC$2:$AC$281,"SOFTWARE ENG. ECONOMICS &gt; The Engineering Decision-Making Process")</f>
        <v>0</v>
      </c>
      <c r="CV7" s="17">
        <f>COUNTIFS('Prácticas_Revisiones'!$S$2:$S$282,"T001",'Prácticas_Revisiones'!$T$2:$T$282,"SOFTWARE ENG. ECONOMICS &gt; For-Profit Decision-Making")+COUNTIFS('Prácticas_Snowballing'!$AB$2:$AB$281,"T001",'Prácticas_Snowballing'!$AC$2:$AC$281,"SOFTWARE ENG. ECONOMICS &gt; For-Profit Decision-Making")</f>
        <v>0</v>
      </c>
      <c r="CW7" s="17">
        <f>COUNTIFS('Prácticas_Revisiones'!$S$2:$S$282,"T001",'Prácticas_Revisiones'!$T$2:$T$282,"SOFTWARE ENG. ECONOMICS &gt; Nonprofit Decision-Making")+COUNTIFS('Prácticas_Snowballing'!$AB$2:$AB$281,"T001",'Prácticas_Snowballing'!$AC$2:$AC$281,"SOFTWARE ENG. ECONOMICS &gt; Nonprofit Decision-Making")</f>
        <v>0</v>
      </c>
      <c r="CX7" s="17">
        <f>COUNTIFS('Prácticas_Revisiones'!$S$2:$S$282,"T001",'Prácticas_Revisiones'!$T$2:$T$282,"SOFTWARE ENG. ECONOMICS &gt; Present Economy Decision-Making")+COUNTIFS('Prácticas_Snowballing'!$AB$2:$AB$281,"T001",'Prácticas_Snowballing'!$AC$2:$AC$281,"SOFTWARE ENG. ECONOMICS &gt; Present Economy Decision-Making")</f>
        <v>0</v>
      </c>
      <c r="CY7" s="17">
        <f>COUNTIFS('Prácticas_Revisiones'!$S$2:$S$282,"T001",'Prácticas_Revisiones'!$T$2:$T$282,"SOFTWARE ENG. ECONOMICS &gt; Multiple-Attribute Decision-Making")+COUNTIFS('Prácticas_Snowballing'!$AB$2:$AB$281,"T001",'Prácticas_Snowballing'!$AC$2:$AC$281,"SOFTWARE ENG. ECONOMICS &gt; Multiple-Attribute Decision-Making")</f>
        <v>0</v>
      </c>
      <c r="CZ7" s="17">
        <f>COUNTIFS('Prácticas_Revisiones'!$S$2:$S$282,"T001",'Prácticas_Revisiones'!$T$2:$T$282,"SOFTWARE ENG. ECONOMICS &gt; Identifying and Characterizing Intangible Assets")+COUNTIFS('Prácticas_Snowballing'!$AB$2:$AB$281,"T001",'Prácticas_Snowballing'!$AC$2:$AC$281,"SOFTWARE ENG. ECONOMICS &gt; Identifying and Characterizing Intangible Assets")</f>
        <v>0</v>
      </c>
      <c r="DA7" s="17">
        <f>COUNTIFS('Prácticas_Revisiones'!$S$2:$S$282,"T001",'Prácticas_Revisiones'!$T$2:$T$282,"SOFTWARE ENG. ECONOMICS &gt; Estimation")+COUNTIFS('Prácticas_Snowballing'!$AB$2:$AB$281,"T001",'Prácticas_Snowballing'!$AC$2:$AC$281,"SOFTWARE ENG. ECONOMICS &gt; Estimation")</f>
        <v>0</v>
      </c>
      <c r="DB7" s="17">
        <f>COUNTIFS('Prácticas_Revisiones'!$S$2:$S$282,"T001",'Prácticas_Revisiones'!$T$2:$T$282,"SOFTWARE ENG. ECONOMICS &gt; Practical Considerations")+COUNTIFS('Prácticas_Snowballing'!$AB$2:$AB$281,"T001",'Prácticas_Snowballing'!$AC$2:$AC$281,"SOFTWARE ENG. ECONOMICS &gt; Practical Considerations")</f>
        <v>0</v>
      </c>
      <c r="DC7" s="17">
        <f>COUNTIFS('Prácticas_Revisiones'!$S$2:$S$282,"T001",'Prácticas_Revisiones'!$T$2:$T$282,"SOFTWARE ENG. ECONOMICS &gt; Related Concepts")+COUNTIFS('Prácticas_Snowballing'!$AB$2:$AB$281,"T001",'Prácticas_Snowballing'!$AC$2:$AC$281,"SOFTWARE ENG. ECONOMICS &gt; Related Concepts")</f>
        <v>0</v>
      </c>
      <c r="DD7" s="17">
        <f>COUNTIFS('Prácticas_Revisiones'!$S$2:$S$282,"T001",'Prácticas_Revisiones'!$T$2:$T$282,"SOFTWARE ENG. ECONOMICS &gt; Subárea no determinable")+COUNTIFS('Prácticas_Snowballing'!$AB$2:$AB$281,"T001",'Prácticas_Snowballing'!$AC$2:$AC$281,"SOFTWARE ENG. ECONOMICS &gt; Subárea no determinable")</f>
        <v>0</v>
      </c>
      <c r="DE7" s="29">
        <f t="shared" ref="DE7:DE18" si="14">SUM(CT7:DD7)</f>
        <v>0</v>
      </c>
      <c r="DF7" s="17">
        <f>COUNTIFS('Prácticas_Revisiones'!$S$2:$S$282,"T001",'Prácticas_Revisiones'!$T$2:$T$282,"SOFTWARE ENG. MANAGEMENT &gt; Software Engineering Management Fundamentals")+COUNTIFS('Prácticas_Snowballing'!$AB$2:$AB$281,"T001",'Prácticas_Snowballing'!$AC$2:$AC$281,"SOFTWARE ENG. MANAGEMENT &gt; Software Engineering Management Fundamentals")</f>
        <v>0</v>
      </c>
      <c r="DG7" s="17">
        <f>COUNTIFS('Prácticas_Revisiones'!$S$2:$S$282,"T001",'Prácticas_Revisiones'!$T$2:$T$282,"SOFTWARE ENG. MANAGEMENT &gt; Initiation and Scope Definition")+COUNTIFS('Prácticas_Snowballing'!$AB$2:$AB$281,"T001",'Prácticas_Snowballing'!$AC$2:$AC$281,"SOFTWARE ENG. MANAGEMENT &gt; Initiation and Scope Definition")</f>
        <v>0</v>
      </c>
      <c r="DH7" s="17">
        <f>COUNTIFS('Prácticas_Revisiones'!$S$2:$S$282,"T001",'Prácticas_Revisiones'!$T$2:$T$282,"SOFTWARE ENG. MANAGEMENT &gt; Software Project Planning")+COUNTIFS('Prácticas_Snowballing'!$AB$2:$AB$281,"T001",'Prácticas_Snowballing'!$AC$2:$AC$281,"SOFTWARE ENG. MANAGEMENT &gt; Software Project Planning")</f>
        <v>0</v>
      </c>
      <c r="DI7" s="17">
        <f>COUNTIFS('Prácticas_Revisiones'!$S$2:$S$282,"T001",'Prácticas_Revisiones'!$T$2:$T$282,"SOFTWARE ENG. MANAGEMENT &gt; Software Project Enactment")+COUNTIFS('Prácticas_Snowballing'!$AB$2:$AB$281,"T001",'Prácticas_Snowballing'!$AC$2:$AC$281,"SOFTWARE ENG. MANAGEMENT &gt; Software Project Enactment")</f>
        <v>0</v>
      </c>
      <c r="DJ7" s="17">
        <f>COUNTIFS('Prácticas_Revisiones'!$S$2:$S$282,"T001",'Prácticas_Revisiones'!$T$2:$T$282,"SOFTWARE ENG. MANAGEMENT &gt; Review and Evaluation")+COUNTIFS('Prácticas_Snowballing'!$AB$2:$AB$281,"T001",'Prácticas_Snowballing'!$AC$2:$AC$281,"SOFTWARE ENG. MANAGEMENT &gt; Review and Evaluation")</f>
        <v>0</v>
      </c>
      <c r="DK7" s="17">
        <f>COUNTIFS('Prácticas_Revisiones'!$S$2:$S$282,"T001",'Prácticas_Revisiones'!$T$2:$T$282,"SOFTWARE ENG. MANAGEMENT &gt; Closure")+COUNTIFS('Prácticas_Snowballing'!$AB$2:$AB$281,"T001",'Prácticas_Snowballing'!$AC$2:$AC$281,"SOFTWARE ENG. MANAGEMENT &gt; Closure")</f>
        <v>0</v>
      </c>
      <c r="DL7" s="17">
        <f>COUNTIFS('Prácticas_Revisiones'!$S$2:$S$282,"T001",'Prácticas_Revisiones'!$T$2:$T$282,"SOFTWARE ENG. MANAGEMENT &gt; Software Engineering Management Tools")+COUNTIFS('Prácticas_Snowballing'!$AB$2:$AB$281,"T001",'Prácticas_Snowballing'!$AC$2:$AC$281,"SOFTWARE ENG. MANAGEMENT &gt; Software Engineering Management Tools")</f>
        <v>0</v>
      </c>
      <c r="DM7" s="17">
        <f>COUNTIFS('Prácticas_Revisiones'!$S$2:$S$282,"T001",'Prácticas_Revisiones'!$T$2:$T$282,"SOFTWARE ENG. MANAGEMENT &gt; Subárea no determinable")+COUNTIFS('Prácticas_Snowballing'!$AB$2:$AB$281,"T001",'Prácticas_Snowballing'!$AC$2:$AC$281,"SOFTWARE ENG. MANAGEMENT &gt; Subárea no determinable")</f>
        <v>0</v>
      </c>
      <c r="DN7" s="29">
        <f t="shared" ref="DN7:DN18" si="15">SUM(DF7:DM7)</f>
        <v>0</v>
      </c>
      <c r="DO7" s="17">
        <f>COUNTIFS('Prácticas_Revisiones'!$S$2:$S$282,"T001",'Prácticas_Revisiones'!$T$2:$T$282,"Sin área SWEBOK")+COUNTIFS('Prácticas_Snowballing'!$AB$2:$AB$281,"T001",'Prácticas_Snowballing'!$AC$2:$AC$281,"Sin área SWEBOK")</f>
        <v>1</v>
      </c>
      <c r="DP7" s="27">
        <f t="shared" ref="DP7:DP18" si="16">SUM(C7:K7,M7:Q7,S7:Y7,AA7:AF7,AH7:AP7,AR7:AX7,AZ7:BE7,BG7:BN7,BP7:BS7,BU7:BY7,CA7:CE7,CG7:CM7,CO7:CR7,CT7:DD7,DF7:DM7,DO7)</f>
        <v>7</v>
      </c>
    </row>
    <row r="8">
      <c r="A8" s="28"/>
      <c r="B8" s="16" t="s">
        <v>355</v>
      </c>
      <c r="C8" s="17">
        <f>COUNTIFS('Prácticas_Revisiones'!$S$2:$S$282,"T002",'Prácticas_Revisiones'!$T$2:$T$282,"REQUIREMENTS &gt; Software Requirements Fundamentals")+COUNTIFS('Prácticas_Snowballing'!$AB$2:$AB$281,"T002",'Prácticas_Snowballing'!$AC$2:$AC$281,"REQUIREMENTS &gt; Software Requirements Fundamentals")</f>
        <v>0</v>
      </c>
      <c r="D8" s="17">
        <f>COUNTIFS('Prácticas_Revisiones'!$S$2:$S$282,"T002",'Prácticas_Revisiones'!$T$2:$T$282,"REQUIREMENTS &gt; Requirements Elicitation")+COUNTIFS('Prácticas_Snowballing'!$AB$2:$AB$281,"T002",'Prácticas_Snowballing'!$AC$2:$AC$281,"REQUIREMENTS &gt; Requirements Elicitation")</f>
        <v>0</v>
      </c>
      <c r="E8" s="17">
        <f>COUNTIFS('Prácticas_Revisiones'!$S$2:$S$282,"T002",'Prácticas_Revisiones'!$T$2:$T$282,"REQUIREMENTS &gt; Requirements Analysis")+COUNTIFS('Prácticas_Snowballing'!$AB$2:$AB$281,"T002",'Prácticas_Snowballing'!$AC$2:$AC$281,"REQUIREMENTS &gt; Requirements Analysis")</f>
        <v>0</v>
      </c>
      <c r="F8" s="17">
        <f>COUNTIFS('Prácticas_Revisiones'!$S$2:$S$282,"T002",'Prácticas_Revisiones'!$T$2:$T$282,"REQUIREMENTS &gt; Requirements Specification")+COUNTIFS('Prácticas_Snowballing'!$AB$2:$AB$281,"T002",'Prácticas_Snowballing'!$AC$2:$AC$281,"REQUIREMENTS &gt; Requirements Specification")</f>
        <v>0</v>
      </c>
      <c r="G8" s="17">
        <f>COUNTIFS('Prácticas_Revisiones'!$S$2:$S$282,"T002",'Prácticas_Revisiones'!$T$2:$T$282,"REQUIREMENTS &gt; Requirements Validation")+COUNTIFS('Prácticas_Snowballing'!$AB$2:$AB$281,"T002",'Prácticas_Snowballing'!$AC$2:$AC$281,"REQUIREMENTS &gt; Requirements Validation")</f>
        <v>0</v>
      </c>
      <c r="H8" s="17">
        <f>COUNTIFS('Prácticas_Revisiones'!$S$2:$S$282,"T002",'Prácticas_Revisiones'!$T$2:$T$282,"REQUIREMENTS &gt; Requirements Management Activities")+COUNTIFS('Prácticas_Snowballing'!$AB$2:$AB$281,"T002",'Prácticas_Snowballing'!$AC$2:$AC$281,"REQUIREMENTS &gt; Requirements Management Activities")</f>
        <v>0</v>
      </c>
      <c r="I8" s="17">
        <f>COUNTIFS('Prácticas_Revisiones'!$S$2:$S$282,"T002",'Prácticas_Revisiones'!$T$2:$T$282,"REQUIREMENTS &gt; Practical Considerations")+COUNTIFS('Prácticas_Snowballing'!$AB$2:$AB$281,"T002",'Prácticas_Snowballing'!$AC$2:$AC$281,"REQUIREMENTS &gt; Practical Considerations")</f>
        <v>0</v>
      </c>
      <c r="J8" s="17">
        <f>COUNTIFS('Prácticas_Revisiones'!$S$2:$S$282,"T002",'Prácticas_Revisiones'!$T$2:$T$282,"REQUIREMENTS &gt; Software Requirements Tools")+COUNTIFS('Prácticas_Snowballing'!$AB$2:$AB$281,"T002",'Prácticas_Snowballing'!$AC$2:$AC$281,"REQUIREMENTS &gt; Software Requirements Tools")</f>
        <v>0</v>
      </c>
      <c r="K8" s="17">
        <f>COUNTIFS('Prácticas_Revisiones'!$S$2:$S$282,"T002",'Prácticas_Revisiones'!$T$2:$T$282,"REQUIREMENTS &gt; Subárea no determinable")+COUNTIFS('Prácticas_Snowballing'!$AB$2:$AB$281,"T002",'Prácticas_Snowballing'!$AC$2:$AC$281,"REQUIREMENTS &gt; Subárea no determinable")</f>
        <v>0</v>
      </c>
      <c r="L8" s="29">
        <f t="shared" si="1"/>
        <v>0</v>
      </c>
      <c r="M8" s="17">
        <f>COUNTIFS('Prácticas_Revisiones'!$S$2:$S$282,"T002",'Prácticas_Revisiones'!$T$2:$T$282,"ARCHITECTURE &gt; Software Architecture Fundamentals")+COUNTIFS('Prácticas_Snowballing'!$AB$2:$AB$281,"T002",'Prácticas_Snowballing'!$AC$2:$AC$281,"ARCHITECTURE &gt; Software Architecture Fundamentals")</f>
        <v>0</v>
      </c>
      <c r="N8" s="17">
        <f>COUNTIFS('Prácticas_Revisiones'!$S$2:$S$282,"T002",'Prácticas_Revisiones'!$T$2:$T$282,"ARCHITECTURE &gt; Software Architecture Description")+COUNTIFS('Prácticas_Snowballing'!$AB$2:$AB$281,"T002",'Prácticas_Snowballing'!$AC$2:$AC$281,"ARCHITECTURE &gt; Software Architecture Description")</f>
        <v>0</v>
      </c>
      <c r="O8" s="17">
        <f>COUNTIFS('Prácticas_Revisiones'!$S$2:$S$282,"T002",'Prácticas_Revisiones'!$T$2:$T$282,"ARCHITECTURE &gt; Software Architecture Process")+COUNTIFS('Prácticas_Snowballing'!$AB$2:$AB$281,"T002",'Prácticas_Snowballing'!$AC$2:$AC$281,"ARCHITECTURE &gt; Software Architecture Process")</f>
        <v>0</v>
      </c>
      <c r="P8" s="17">
        <f>COUNTIFS('Prácticas_Revisiones'!$S$2:$S$282,"T002",'Prácticas_Revisiones'!$T$2:$T$282,"ARCHITECTURE &gt; Software Architecture Evaluation")+COUNTIFS('Prácticas_Snowballing'!$AB$2:$AB$281,"T002",'Prácticas_Snowballing'!$AC$2:$AC$281,"ARCHITECTURE &gt; Software Architecture Evaluation")</f>
        <v>0</v>
      </c>
      <c r="Q8" s="17">
        <f>COUNTIFS('Prácticas_Revisiones'!$S$2:$S$282,"T002",'Prácticas_Revisiones'!$T$2:$T$282,"ARCHITECTURE &gt; Subárea no determinable")+COUNTIFS('Prácticas_Snowballing'!$AB$2:$AB$281,"T002",'Prácticas_Snowballing'!$AC$2:$AC$281,"ARCHITECTURE &gt; Subárea no determinable")</f>
        <v>0</v>
      </c>
      <c r="R8" s="29">
        <f t="shared" si="2"/>
        <v>0</v>
      </c>
      <c r="S8" s="17">
        <f>COUNTIFS('Prácticas_Revisiones'!$S$2:$S$282,"T002",'Prácticas_Revisiones'!$T$2:$T$282,"DESIGN &gt; Software Design Fundamentals")+COUNTIFS('Prácticas_Snowballing'!$AB$2:$AB$281,"T002",'Prácticas_Snowballing'!$AC$2:$AC$281,"DESIGN &gt; Software Design Fundamentals")</f>
        <v>0</v>
      </c>
      <c r="T8" s="17">
        <f>COUNTIFS('Prácticas_Revisiones'!$S$2:$S$282,"T002",'Prácticas_Revisiones'!$T$2:$T$282,"DESIGN &gt; Software Design Processes")+COUNTIFS('Prácticas_Snowballing'!$AB$2:$AB$281,"T002",'Prácticas_Snowballing'!$AC$2:$AC$281,"DESIGN &gt; Software Design Processes")</f>
        <v>0</v>
      </c>
      <c r="U8" s="17">
        <f>COUNTIFS('Prácticas_Revisiones'!$S$2:$S$282,"T002",'Prácticas_Revisiones'!$T$2:$T$282,"DESIGN &gt; Software Design Qualities")+COUNTIFS('Prácticas_Snowballing'!$AB$2:$AB$281,"T002",'Prácticas_Snowballing'!$AC$2:$AC$281,"DESIGN &gt; Software Design Qualities")</f>
        <v>0</v>
      </c>
      <c r="V8" s="17">
        <f>COUNTIFS('Prácticas_Revisiones'!$S$2:$S$282,"T002",'Prácticas_Revisiones'!$T$2:$T$282,"DESIGN &gt; Recording Software Design")+COUNTIFS('Prácticas_Snowballing'!$AB$2:$AB$281,"T002",'Prácticas_Snowballing'!$AC$2:$AC$281,"DESIGN &gt; Recording Software Design")</f>
        <v>0</v>
      </c>
      <c r="W8" s="17">
        <f>COUNTIFS('Prácticas_Revisiones'!$S$2:$S$282,"T002",'Prácticas_Revisiones'!$T$2:$T$282,"DESIGN &gt; Software Design Strategies and Methods")+COUNTIFS('Prácticas_Snowballing'!$AB$2:$AB$281,"T002",'Prácticas_Snowballing'!$AC$2:$AC$281,"DESIGN &gt; Software Design Strategies and Methods")</f>
        <v>0</v>
      </c>
      <c r="X8" s="17">
        <f>COUNTIFS('Prácticas_Revisiones'!$S$2:$S$282,"T002",'Prácticas_Revisiones'!$T$2:$T$282,"DESIGN &gt; Software Design Analysis and Evaluations")+COUNTIFS('Prácticas_Snowballing'!$AB$2:$AB$281,"T002",'Prácticas_Snowballing'!$AC$2:$AC$281,"DESIGN &gt; Software Design Analysis and Evaluations")</f>
        <v>0</v>
      </c>
      <c r="Y8" s="17">
        <f>COUNTIFS('Prácticas_Revisiones'!$S$2:$S$282,"T002",'Prácticas_Revisiones'!$T$2:$T$282,"DESIGN &gt; Subárea no determinable")+COUNTIFS('Prácticas_Snowballing'!$AB$2:$AB$281,"T002",'Prácticas_Snowballing'!$AC$2:$AC$281,"DESIGN &gt; Subárea no determinable")</f>
        <v>0</v>
      </c>
      <c r="Z8" s="29">
        <f t="shared" si="3"/>
        <v>0</v>
      </c>
      <c r="AA8" s="17">
        <f>COUNTIFS('Prácticas_Revisiones'!$S$2:$S$282,"T002",'Prácticas_Revisiones'!$T$2:$T$282,"CONSTRUCTION &gt; Software Construction Fundamentals")+COUNTIFS('Prácticas_Snowballing'!$AB$2:$AB$281,"T002",'Prácticas_Snowballing'!$AC$2:$AC$281,"CONSTRUCTION &gt; Software Construction Fundamentals")</f>
        <v>0</v>
      </c>
      <c r="AB8" s="17">
        <f>COUNTIFS('Prácticas_Revisiones'!$S$2:$S$282,"T002",'Prácticas_Revisiones'!$T$2:$T$282,"CONSTRUCTION &gt; Managing Construction")+COUNTIFS('Prácticas_Snowballing'!$AB$2:$AB$281,"T002",'Prácticas_Snowballing'!$AC$2:$AC$281,"CONSTRUCTION &gt; Managing Construction")</f>
        <v>0</v>
      </c>
      <c r="AC8" s="17">
        <f>COUNTIFS('Prácticas_Revisiones'!$S$2:$S$282,"T002",'Prácticas_Revisiones'!$T$2:$T$282,"CONSTRUCTION &gt; Practical Considerations")+COUNTIFS('Prácticas_Snowballing'!$AB$2:$AB$281,"T002",'Prácticas_Snowballing'!$AC$2:$AC$281,"CONSTRUCTION &gt; Practical Considerations")</f>
        <v>0</v>
      </c>
      <c r="AD8" s="17">
        <f>COUNTIFS('Prácticas_Revisiones'!$S$2:$S$282,"T002",'Prácticas_Revisiones'!$T$2:$T$282,"CONSTRUCTION &gt; Construction Technologies")+COUNTIFS('Prácticas_Snowballing'!$AB$2:$AB$281,"T002",'Prácticas_Snowballing'!$AC$2:$AC$281,"CONSTRUCTION &gt; Construction Technologies")</f>
        <v>0</v>
      </c>
      <c r="AE8" s="17">
        <f>COUNTIFS('Prácticas_Revisiones'!$S$2:$S$282,"T002",'Prácticas_Revisiones'!$T$2:$T$282,"CONSTRUCTION &gt; Software Construction Tools")+COUNTIFS('Prácticas_Snowballing'!$AB$2:$AB$281,"T002",'Prácticas_Snowballing'!$AC$2:$AC$281,"CONSTRUCTION &gt; Software Construction Tools")</f>
        <v>0</v>
      </c>
      <c r="AF8" s="17">
        <f>COUNTIFS('Prácticas_Revisiones'!$S$2:$S$282,"T002",'Prácticas_Revisiones'!$T$2:$T$282,"CONSTRUCTION &gt; Subárea no determinable")+COUNTIFS('Prácticas_Snowballing'!$AB$2:$AB$281,"T002",'Prácticas_Snowballing'!$AC$2:$AC$281,"CONSTRUCTION &gt; Subárea no determinable")</f>
        <v>0</v>
      </c>
      <c r="AG8" s="29">
        <f t="shared" si="4"/>
        <v>0</v>
      </c>
      <c r="AH8" s="17">
        <f>COUNTIFS('Prácticas_Revisiones'!$S$2:$S$282,"T002",'Prácticas_Revisiones'!$T$2:$T$282,"SOFTWARE TESTING &gt; Software Testing Fundamentals")+COUNTIFS('Prácticas_Snowballing'!$AB$2:$AB$281,"T002",'Prácticas_Snowballing'!$AC$2:$AC$281,"SOFTWARE TESTING &gt; Software Testing Fundamentals")</f>
        <v>0</v>
      </c>
      <c r="AI8" s="17">
        <f>COUNTIFS('Prácticas_Revisiones'!$S$2:$S$282,"T002",'Prácticas_Revisiones'!$T$2:$T$282,"SOFTWARE TESTING &gt; Test Levels")+COUNTIFS('Prácticas_Snowballing'!$AB$2:$AB$281,"T002",'Prácticas_Snowballing'!$AC$2:$AC$281,"SOFTWARE TESTING &gt; Test Levels")</f>
        <v>0</v>
      </c>
      <c r="AJ8" s="17">
        <f>COUNTIFS('Prácticas_Revisiones'!$S$2:$S$282,"T002",'Prácticas_Revisiones'!$T$2:$T$282,"SOFTWARE TESTING &gt; Test Techniques")+COUNTIFS('Prácticas_Snowballing'!$AB$2:$AB$281,"T002",'Prácticas_Snowballing'!$AC$2:$AC$281,"SOFTWARE TESTING &gt; Test Techniques")</f>
        <v>0</v>
      </c>
      <c r="AK8" s="17">
        <f>COUNTIFS('Prácticas_Revisiones'!$S$2:$S$282,"T002",'Prácticas_Revisiones'!$T$2:$T$282,"SOFTWARE TESTING &gt; Test-Related Measures")+COUNTIFS('Prácticas_Snowballing'!$AB$2:$AB$281,"T002",'Prácticas_Snowballing'!$AC$2:$AC$281,"SOFTWARE TESTING &gt; Test-Related Measures")</f>
        <v>0</v>
      </c>
      <c r="AL8" s="17">
        <f>COUNTIFS('Prácticas_Revisiones'!$S$2:$S$282,"T002",'Prácticas_Revisiones'!$T$2:$T$282,"SOFTWARE TESTING &gt; Test Process")+COUNTIFS('Prácticas_Snowballing'!$AB$2:$AB$281,"T002",'Prácticas_Snowballing'!$AC$2:$AC$281,"SOFTWARE TESTING &gt; Test Process")</f>
        <v>0</v>
      </c>
      <c r="AM8" s="17">
        <f>COUNTIFS('Prácticas_Revisiones'!$S$2:$S$282,"T002",'Prácticas_Revisiones'!$T$2:$T$282,"SOFTWARE TESTING &gt; Software Testing in the Development Processes...")+COUNTIFS('Prácticas_Snowballing'!$AB$2:$AB$281,"T002",'Prácticas_Snowballing'!$AC$2:$AC$281,"SOFTWARE TESTING &gt; Software Testing in the Development Processes...")</f>
        <v>0</v>
      </c>
      <c r="AN8" s="17">
        <f>COUNTIFS('Prácticas_Revisiones'!$S$2:$S$282,"T002",'Prácticas_Revisiones'!$T$2:$T$282,"SOFTWARE TESTING &gt; Testing of and Testing Through Emerging Tech...")+COUNTIFS('Prácticas_Snowballing'!$AB$2:$AB$281,"T002",'Prácticas_Snowballing'!$AC$2:$AC$281,"SOFTWARE TESTING &gt; Testing of and Testing Through Emerging Tech...")</f>
        <v>0</v>
      </c>
      <c r="AO8" s="17">
        <f>COUNTIFS('Prácticas_Revisiones'!$S$2:$S$282,"T002",'Prácticas_Revisiones'!$T$2:$T$282,"SOFTWARE TESTING &gt; Software Testing Tools")+COUNTIFS('Prácticas_Snowballing'!$AB$2:$AB$281,"T002",'Prácticas_Snowballing'!$AC$2:$AC$281,"SOFTWARE TESTING &gt; Software Testing Tools")</f>
        <v>0</v>
      </c>
      <c r="AP8" s="17">
        <f>COUNTIFS('Prácticas_Revisiones'!$S$2:$S$282,"T002",'Prácticas_Revisiones'!$T$2:$T$282,"SOFTWARE TESTING &gt; Subárea no determinable")+COUNTIFS('Prácticas_Snowballing'!$AB$2:$AB$281,"T002",'Prácticas_Snowballing'!$AC$2:$AC$281,"SOFTWARE TESTING &gt; Subárea no determinable")</f>
        <v>0</v>
      </c>
      <c r="AQ8" s="29">
        <f t="shared" si="5"/>
        <v>0</v>
      </c>
      <c r="AR8" s="17">
        <f>COUNTIFS('Prácticas_Revisiones'!$S$2:$S$282,"T002",'Prácticas_Revisiones'!$T$2:$T$282,"SOFTWARE ENG. OPERATIONS &gt; Software Engineering Operations Fundamentals")+COUNTIFS('Prácticas_Snowballing'!$AB$2:$AB$281,"T002",'Prácticas_Snowballing'!$AC$2:$AC$281,"SOFTWARE ENG. OPERATIONS &gt; Software Engineering Operations Fundamentals")</f>
        <v>0</v>
      </c>
      <c r="AS8" s="17">
        <f>COUNTIFS('Prácticas_Revisiones'!$S$2:$S$282,"T002",'Prácticas_Revisiones'!$T$2:$T$282,"SOFTWARE ENG. OPERATIONS &gt; Software Engineering Operations Planning")+COUNTIFS('Prácticas_Snowballing'!$AB$2:$AB$281,"T002",'Prácticas_Snowballing'!$AC$2:$AC$281,"SOFTWARE ENG. OPERATIONS &gt; Software Engineering Operations Planning")</f>
        <v>0</v>
      </c>
      <c r="AT8" s="17">
        <f>COUNTIFS('Prácticas_Revisiones'!$S$2:$S$282,"T002",'Prácticas_Revisiones'!$T$2:$T$282,"SOFTWARE ENG. OPERATIONS &gt; Software Engineering Operations Delivery")+COUNTIFS('Prácticas_Snowballing'!$AB$2:$AB$281,"T002",'Prácticas_Snowballing'!$AC$2:$AC$281,"SOFTWARE ENG. OPERATIONS &gt; Software Engineering Operations Delivery")</f>
        <v>0</v>
      </c>
      <c r="AU8" s="17">
        <f>COUNTIFS('Prácticas_Revisiones'!$S$2:$S$282,"T002",'Prácticas_Revisiones'!$T$2:$T$282,"SOFTWARE ENG. OPERATIONS &gt; Software Engineering Operations Control")+COUNTIFS('Prácticas_Snowballing'!$AB$2:$AB$281,"T002",'Prácticas_Snowballing'!$AC$2:$AC$281,"SOFTWARE ENG. OPERATIONS &gt; Software Engineering Operations Control")</f>
        <v>0</v>
      </c>
      <c r="AV8" s="17">
        <f>COUNTIFS('Prácticas_Revisiones'!$S$2:$S$282,"T002",'Prácticas_Revisiones'!$T$2:$T$282,"SOFTWARE ENG. OPERATIONS &gt; Practical Considerations")+COUNTIFS('Prácticas_Snowballing'!$AB$2:$AB$281,"T002",'Prácticas_Snowballing'!$AC$2:$AC$281,"SOFTWARE ENG. OPERATIONS &gt; Practical Considerations")</f>
        <v>0</v>
      </c>
      <c r="AW8" s="17">
        <f>COUNTIFS('Prácticas_Revisiones'!$S$2:$S$282,"T002",'Prácticas_Revisiones'!$T$2:$T$282,"SOFTWARE ENG. OPERATIONS &gt; Software Engineering Operations Tools")+COUNTIFS('Prácticas_Snowballing'!$AB$2:$AB$281,"T002",'Prácticas_Snowballing'!$AC$2:$AC$281,"SOFTWARE ENG. OPERATIONS &gt; Software Engineering Operations Tools")</f>
        <v>0</v>
      </c>
      <c r="AX8" s="17">
        <f>COUNTIFS('Prácticas_Revisiones'!$S$2:$S$282,"T002",'Prácticas_Revisiones'!$T$2:$T$282,"SOFTWARE ENG. OPERATIONS &gt; Subárea no determinable")+COUNTIFS('Prácticas_Snowballing'!$AB$2:$AB$281,"T002",'Prácticas_Snowballing'!$AC$2:$AC$281,"SOFTWARE ENG. OPERATIONS &gt; Subárea no determinable")</f>
        <v>0</v>
      </c>
      <c r="AY8" s="29">
        <f t="shared" si="6"/>
        <v>0</v>
      </c>
      <c r="AZ8" s="17">
        <f>COUNTIFS('Prácticas_Revisiones'!$S$2:$S$282,"T002",'Prácticas_Revisiones'!$T$2:$T$282,"MAINTENANCE &gt; Software Maintenance Fundamentals")+COUNTIFS('Prácticas_Snowballing'!$AB$2:$AB$281,"T002",'Prácticas_Snowballing'!$AC$2:$AC$281,"MAINTENANCE &gt; Software Maintenance Fundamentals")</f>
        <v>0</v>
      </c>
      <c r="BA8" s="17">
        <f>COUNTIFS('Prácticas_Revisiones'!$S$2:$S$282,"T002",'Prácticas_Revisiones'!$T$2:$T$282,"MAINTENANCE &gt; Key Issues in Software Maintenance")+COUNTIFS('Prácticas_Snowballing'!$AB$2:$AB$281,"T002",'Prácticas_Snowballing'!$AC$2:$AC$281,"MAINTENANCE &gt; Key Issues in Software Maintenance")</f>
        <v>0</v>
      </c>
      <c r="BB8" s="17">
        <f>COUNTIFS('Prácticas_Revisiones'!$S$2:$S$282,"T002",'Prácticas_Revisiones'!$T$2:$T$282,"MAINTENANCE &gt; Software Maintenance Processes")+COUNTIFS('Prácticas_Snowballing'!$AB$2:$AB$281,"T002",'Prácticas_Snowballing'!$AC$2:$AC$281,"MAINTENANCE &gt; Software Maintenance Processes")</f>
        <v>0</v>
      </c>
      <c r="BC8" s="17">
        <f>COUNTIFS('Prácticas_Revisiones'!$S$2:$S$282,"T002",'Prácticas_Revisiones'!$T$2:$T$282,"MAINTENANCE &gt; Software Maintenance Techniques")+COUNTIFS('Prácticas_Snowballing'!$AB$2:$AB$281,"T002",'Prácticas_Snowballing'!$AC$2:$AC$281,"MAINTENANCE &gt; Software Maintenance Techniques")</f>
        <v>0</v>
      </c>
      <c r="BD8" s="17">
        <f>COUNTIFS('Prácticas_Revisiones'!$S$2:$S$282,"T002",'Prácticas_Revisiones'!$T$2:$T$282,"MAINTENANCE &gt; Software Maintenance Tools")+COUNTIFS('Prácticas_Snowballing'!$AB$2:$AB$281,"T002",'Prácticas_Snowballing'!$AC$2:$AC$281,"MAINTENANCE &gt; Software Maintenance Tools")</f>
        <v>0</v>
      </c>
      <c r="BE8" s="17">
        <f>COUNTIFS('Prácticas_Revisiones'!$S$2:$S$282,"T002",'Prácticas_Revisiones'!$T$2:$T$282,"MAINTENANCE &gt; Subárea no determinable")+COUNTIFS('Prácticas_Snowballing'!$AB$2:$AB$281,"T002",'Prácticas_Snowballing'!$AC$2:$AC$281,"MAINTENANCE &gt; Subárea no determinable")</f>
        <v>0</v>
      </c>
      <c r="BF8" s="29">
        <f t="shared" si="7"/>
        <v>0</v>
      </c>
      <c r="BG8" s="17">
        <f>COUNTIFS('Prácticas_Revisiones'!$S$2:$S$282,"T002",'Prácticas_Revisiones'!$T$2:$T$282,"SOFTWARE CONFIG. MGMT. &gt; Management of the SCM Process")+COUNTIFS('Prácticas_Snowballing'!$AB$2:$AB$281,"T002",'Prácticas_Snowballing'!$AC$2:$AC$281,"SOFTWARE CONFIG. MGMT. &gt; Management of the SCM Process")</f>
        <v>0</v>
      </c>
      <c r="BH8" s="17">
        <f>COUNTIFS('Prácticas_Revisiones'!$S$2:$S$282,"T002",'Prácticas_Revisiones'!$T$2:$T$282,"SOFTWARE CONFIG. MGMT. &gt; Software Configuration Identification")+COUNTIFS('Prácticas_Snowballing'!$AB$2:$AB$281,"T002",'Prácticas_Snowballing'!$AC$2:$AC$281,"SOFTWARE CONFIG. MGMT. &gt; Software Configuration Identification")</f>
        <v>0</v>
      </c>
      <c r="BI8" s="17">
        <f>COUNTIFS('Prácticas_Revisiones'!$S$2:$S$282,"T002",'Prácticas_Revisiones'!$T$2:$T$282,"SOFTWARE CONFIG. MGMT. &gt; Software Configuration Change Control")+COUNTIFS('Prácticas_Snowballing'!$AB$2:$AB$281,"T002",'Prácticas_Snowballing'!$AC$2:$AC$281,"SOFTWARE CONFIG. MGMT. &gt; Software Configuration Change Control")</f>
        <v>0</v>
      </c>
      <c r="BJ8" s="17">
        <f>COUNTIFS('Prácticas_Revisiones'!$S$2:$S$282,"T002",'Prácticas_Revisiones'!$T$2:$T$282,"SOFTWARE CONFIG. MGMT. &gt; Software Configuration Status Accounting")+COUNTIFS('Prácticas_Snowballing'!$AB$2:$AB$281,"T002",'Prácticas_Snowballing'!$AC$2:$AC$281,"SOFTWARE CONFIG. MGMT. &gt; Software Configuration Status Accounting")</f>
        <v>0</v>
      </c>
      <c r="BK8" s="17">
        <f>COUNTIFS('Prácticas_Revisiones'!$S$2:$S$282,"T002",'Prácticas_Revisiones'!$T$2:$T$282,"SOFTWARE CONFIG. MGMT. &gt; Software Configuration Auditing")+COUNTIFS('Prácticas_Snowballing'!$AB$2:$AB$281,"T002",'Prácticas_Snowballing'!$AC$2:$AC$281,"SOFTWARE CONFIG. MGMT. &gt; Software Configuration Auditing")</f>
        <v>0</v>
      </c>
      <c r="BL8" s="17">
        <f>COUNTIFS('Prácticas_Revisiones'!$S$2:$S$282,"T002",'Prácticas_Revisiones'!$T$2:$T$282,"SOFTWARE CONFIG. MGMT. &gt; Software Release Management and Delivery")+COUNTIFS('Prácticas_Snowballing'!$AB$2:$AB$281,"T002",'Prácticas_Snowballing'!$AC$2:$AC$281,"SOFTWARE CONFIG. MGMT. &gt; Software Release Management and Delivery")</f>
        <v>0</v>
      </c>
      <c r="BM8" s="17">
        <f>COUNTIFS('Prácticas_Revisiones'!$S$2:$S$282,"T002",'Prácticas_Revisiones'!$T$2:$T$282,"SOFTWARE CONFIG. MGMT. &gt; Software Configuration Management Tools")+COUNTIFS('Prácticas_Snowballing'!$AB$2:$AB$281,"T002",'Prácticas_Snowballing'!$AC$2:$AC$281,"SOFTWARE CONFIG. MGMT. &gt; Software Configuration Management Tools")</f>
        <v>0</v>
      </c>
      <c r="BN8" s="17">
        <f>COUNTIFS('Prácticas_Revisiones'!$S$2:$S$282,"T002",'Prácticas_Revisiones'!$T$2:$T$282,"SOFTWARE CONFIG. MGMT. &gt; Subárea no determinable")+COUNTIFS('Prácticas_Snowballing'!$AB$2:$AB$281,"T002",'Prácticas_Snowballing'!$AC$2:$AC$281,"SOFTWARE CONFIG. MGMT. &gt; Subárea no determinable")</f>
        <v>0</v>
      </c>
      <c r="BO8" s="29">
        <f t="shared" si="8"/>
        <v>0</v>
      </c>
      <c r="BP8" s="17">
        <f>COUNTIFS('Prácticas_Revisiones'!$S$2:$S$282,"T002",'Prácticas_Revisiones'!$T$2:$T$282,"SOFTWARE ENG. PROCESS &gt; Software Engineering Process Fundamentals")+COUNTIFS('Prácticas_Snowballing'!$AB$2:$AB$281,"T002",'Prácticas_Snowballing'!$AC$2:$AC$281,"SOFTWARE ENG. PROCESS &gt; Software Engineering Process Fundamentals")</f>
        <v>0</v>
      </c>
      <c r="BQ8" s="17">
        <f>COUNTIFS('Prácticas_Revisiones'!$S$2:$S$282,"T002",'Prácticas_Revisiones'!$T$2:$T$282,"SOFTWARE ENG. PROCESS &gt; Life Cycles")+COUNTIFS('Prácticas_Snowballing'!$AB$2:$AB$281,"T002",'Prácticas_Snowballing'!$AC$2:$AC$281,"SOFTWARE ENG. PROCESS &gt; Life Cycles")</f>
        <v>0</v>
      </c>
      <c r="BR8" s="17">
        <f>COUNTIFS('Prácticas_Revisiones'!$S$2:$S$282,"T002",'Prácticas_Revisiones'!$T$2:$T$282,"SOFTWARE ENG. PROCESS &gt; Software Process Assessment and Improvement")+COUNTIFS('Prácticas_Snowballing'!$AB$2:$AB$281,"T002",'Prácticas_Snowballing'!$AC$2:$AC$281,"SOFTWARE ENG. PROCESS &gt; Software Process Assessment and Improvement")</f>
        <v>0</v>
      </c>
      <c r="BS8" s="17">
        <f>COUNTIFS('Prácticas_Revisiones'!$S$2:$S$282,"T002",'Prácticas_Revisiones'!$T$2:$T$282,"SOFTWARE ENG. PROCESS &gt; Subárea no determinable")+COUNTIFS('Prácticas_Snowballing'!$AB$2:$AB$281,"T002",'Prácticas_Snowballing'!$AC$2:$AC$281,"SOFTWARE ENG. PROCESS &gt; Subárea no determinable")</f>
        <v>0</v>
      </c>
      <c r="BT8" s="29">
        <f t="shared" si="9"/>
        <v>0</v>
      </c>
      <c r="BU8" s="17">
        <f>COUNTIFS('Prácticas_Revisiones'!$S$2:$S$282,"T002",'Prácticas_Revisiones'!$T$2:$T$282,"SOFTWARE ENG. MODELS/METH. &gt; Modeling")+COUNTIFS('Prácticas_Snowballing'!$AB$2:$AB$281,"T002",'Prácticas_Snowballing'!$AC$2:$AC$281,"SOFTWARE ENG. MODELS/METH. &gt; Modeling")</f>
        <v>0</v>
      </c>
      <c r="BV8" s="17">
        <f>COUNTIFS('Prácticas_Revisiones'!$S$2:$S$282,"T002",'Prácticas_Revisiones'!$T$2:$T$282,"SOFTWARE ENG. MODELS/METH. &gt; Types of Models")+COUNTIFS('Prácticas_Snowballing'!$AB$2:$AB$281,"T002",'Prácticas_Snowballing'!$AC$2:$AC$281,"SOFTWARE ENG. MODELS/METH. &gt; Types of Models")</f>
        <v>0</v>
      </c>
      <c r="BW8" s="17">
        <f>COUNTIFS('Prácticas_Revisiones'!$S$2:$S$282,"T002",'Prácticas_Revisiones'!$T$2:$T$282,"SOFTWARE ENG. MODELS/METH. &gt; Analysis of Models")+COUNTIFS('Prácticas_Snowballing'!$AB$2:$AB$281,"T002",'Prácticas_Snowballing'!$AC$2:$AC$281,"SOFTWARE ENG. MODELS/METH. &gt; Analysis of Models")</f>
        <v>0</v>
      </c>
      <c r="BX8" s="17">
        <f>COUNTIFS('Prácticas_Revisiones'!$S$2:$S$282,"T002",'Prácticas_Revisiones'!$T$2:$T$282,"SOFTWARE ENG. MODELS/METH. &gt; Software Engineering Methods")+COUNTIFS('Prácticas_Snowballing'!$AB$2:$AB$281,"T002",'Prácticas_Snowballing'!$AC$2:$AC$281,"SOFTWARE ENG. MODELS/METH. &gt; Software Engineering Methods")</f>
        <v>0</v>
      </c>
      <c r="BY8" s="17">
        <f>COUNTIFS('Prácticas_Revisiones'!$S$2:$S$282,"T002",'Prácticas_Revisiones'!$T$2:$T$282,"SOFTWARE ENG. MODELS/METH. &gt; Subárea no determinable")+COUNTIFS('Prácticas_Snowballing'!$AB$2:$AB$281,"T002",'Prácticas_Snowballing'!$AC$2:$AC$281,"SOFTWARE ENG. MODELS/METH. &gt; Subárea no determinable")</f>
        <v>0</v>
      </c>
      <c r="BZ8" s="29">
        <f t="shared" si="10"/>
        <v>0</v>
      </c>
      <c r="CA8" s="17">
        <f>COUNTIFS('Prácticas_Revisiones'!$S$2:$S$282,"T002",'Prácticas_Revisiones'!$T$2:$T$282,"SOFTWARE QUALITY &gt; Software Quality Fundamentals")+COUNTIFS('Prácticas_Snowballing'!$AB$2:$AB$281,"T002",'Prácticas_Snowballing'!$AC$2:$AC$281,"SOFTWARE QUALITY &gt; Software Quality Fundamentals")</f>
        <v>0</v>
      </c>
      <c r="CB8" s="17">
        <f>COUNTIFS('Prácticas_Revisiones'!$S$2:$S$282,"T002",'Prácticas_Revisiones'!$T$2:$T$282,"SOFTWARE QUALITY &gt; Software Quality Management Process")+COUNTIFS('Prácticas_Snowballing'!$AB$2:$AB$281,"T002",'Prácticas_Snowballing'!$AC$2:$AC$281,"SOFTWARE QUALITY &gt; Software Quality Management Process")</f>
        <v>0</v>
      </c>
      <c r="CC8" s="17">
        <f>COUNTIFS('Prácticas_Revisiones'!$S$2:$S$282,"T002",'Prácticas_Revisiones'!$T$2:$T$282,"SOFTWARE QUALITY &gt; Software Quality Assurance Process")+COUNTIFS('Prácticas_Snowballing'!$AB$2:$AB$281,"T002",'Prácticas_Snowballing'!$AC$2:$AC$281,"SOFTWARE QUALITY &gt; Software Quality Assurance Process")</f>
        <v>0</v>
      </c>
      <c r="CD8" s="17">
        <f>COUNTIFS('Prácticas_Revisiones'!$S$2:$S$282,"T002",'Prácticas_Revisiones'!$T$2:$T$282,"SOFTWARE QUALITY &gt; Software Quality Tools")+COUNTIFS('Prácticas_Snowballing'!$AB$2:$AB$281,"T002",'Prácticas_Snowballing'!$AC$2:$AC$281,"SOFTWARE QUALITY &gt; Software Quality Tools")</f>
        <v>0</v>
      </c>
      <c r="CE8" s="17">
        <f>COUNTIFS('Prácticas_Revisiones'!$S$2:$S$282,"T002",'Prácticas_Revisiones'!$T$2:$T$282,"SOFTWARE QUALITY &gt; Subárea no determinable")+COUNTIFS('Prácticas_Snowballing'!$AB$2:$AB$281,"T002",'Prácticas_Snowballing'!$AC$2:$AC$281,"SOFTWARE QUALITY &gt; Subárea no determinable")</f>
        <v>0</v>
      </c>
      <c r="CF8" s="29">
        <f t="shared" si="11"/>
        <v>0</v>
      </c>
      <c r="CG8" s="17">
        <f>COUNTIFS('Prácticas_Revisiones'!$S$2:$S$282,"T002",'Prácticas_Revisiones'!$T$2:$T$282,"SOFTWARE SECURITY &gt; Software Security Fundamentals")+COUNTIFS('Prácticas_Snowballing'!$AB$2:$AB$281,"T002",'Prácticas_Snowballing'!$AC$2:$AC$281,"SOFTWARE SECURITY &gt; Software Security Fundamentals")</f>
        <v>0</v>
      </c>
      <c r="CH8" s="17">
        <f>COUNTIFS('Prácticas_Revisiones'!$S$2:$S$282,"T002",'Prácticas_Revisiones'!$T$2:$T$282,"SOFTWARE SECURITY &gt; Security Management and Organization")+COUNTIFS('Prácticas_Snowballing'!$AB$2:$AB$281,"T002",'Prácticas_Snowballing'!$AC$2:$AC$281,"SOFTWARE SECURITY &gt; Security Management and Organization")</f>
        <v>0</v>
      </c>
      <c r="CI8" s="17">
        <f>COUNTIFS('Prácticas_Revisiones'!$S$2:$S$282,"T002",'Prácticas_Revisiones'!$T$2:$T$282,"SOFTWARE SECURITY &gt; Software Security Engineering and Process")+COUNTIFS('Prácticas_Snowballing'!$AB$2:$AB$281,"T002",'Prácticas_Snowballing'!$AC$2:$AC$281,"SOFTWARE SECURITY &gt; Software Security Engineering and Process")</f>
        <v>0</v>
      </c>
      <c r="CJ8" s="17">
        <f>COUNTIFS('Prácticas_Revisiones'!$S$2:$S$282,"T002",'Prácticas_Revisiones'!$T$2:$T$282,"SOFTWARE SECURITY &gt; Security Engineering for Software Systems")+COUNTIFS('Prácticas_Snowballing'!$AB$2:$AB$281,"T002",'Prácticas_Snowballing'!$AC$2:$AC$281,"SOFTWARE SECURITY &gt; Security Engineering for Software Systems")</f>
        <v>0</v>
      </c>
      <c r="CK8" s="17">
        <f>COUNTIFS('Prácticas_Revisiones'!$S$2:$S$282,"T002",'Prácticas_Revisiones'!$T$2:$T$282,"SOFTWARE SECURITY &gt; Software Security Tools")+COUNTIFS('Prácticas_Snowballing'!$AB$2:$AB$281,"T002",'Prácticas_Snowballing'!$AC$2:$AC$281,"SOFTWARE SECURITY &gt; Software Security Tools")</f>
        <v>0</v>
      </c>
      <c r="CL8" s="17">
        <f>COUNTIFS('Prácticas_Revisiones'!$S$2:$S$282,"T002",'Prácticas_Revisiones'!$T$2:$T$282,"SOFTWARE SECURITY &gt; Domain Specific Software Security")+COUNTIFS('Prácticas_Snowballing'!$AB$2:$AB$281,"T002",'Prácticas_Snowballing'!$AC$2:$AC$281,"SOFTWARE SECURITY &gt; Domain Specific Software Security")</f>
        <v>0</v>
      </c>
      <c r="CM8" s="17">
        <f>COUNTIFS('Prácticas_Revisiones'!$S$2:$S$282,"T002",'Prácticas_Revisiones'!$T$2:$T$282,"SOFTWARE SECURITY &gt; Subárea no determinable")+COUNTIFS('Prácticas_Snowballing'!$AB$2:$AB$281,"T002",'Prácticas_Snowballing'!$AC$2:$AC$281,"SOFTWARE SECURITY &gt; Subárea no determinable")</f>
        <v>0</v>
      </c>
      <c r="CN8" s="29">
        <f t="shared" si="12"/>
        <v>0</v>
      </c>
      <c r="CO8" s="17">
        <f>COUNTIFS('Prácticas_Revisiones'!$S$2:$S$282,"T002",'Prácticas_Revisiones'!$T$2:$T$282,"PROFESSIONAL PRACTICE &gt; Professionalism")+COUNTIFS('Prácticas_Snowballing'!$AB$2:$AB$281,"T002",'Prácticas_Snowballing'!$AC$2:$AC$281,"PROFESSIONAL PRACTICE &gt; Professionalism")</f>
        <v>0</v>
      </c>
      <c r="CP8" s="17">
        <f>COUNTIFS('Prácticas_Revisiones'!$S$2:$S$282,"T002",'Prácticas_Revisiones'!$T$2:$T$282,"PROFESSIONAL PRACTICE &gt; Group Dynamics and Psychology")+COUNTIFS('Prácticas_Snowballing'!$AB$2:$AB$281,"T002",'Prácticas_Snowballing'!$AC$2:$AC$281,"PROFESSIONAL PRACTICE &gt; Group Dynamics and Psychology")</f>
        <v>0</v>
      </c>
      <c r="CQ8" s="17">
        <f>COUNTIFS('Prácticas_Revisiones'!$S$2:$S$282,"T002",'Prácticas_Revisiones'!$T$2:$T$282,"PROFESSIONAL PRACTICE &gt; Communication Skills")+COUNTIFS('Prácticas_Snowballing'!$AB$2:$AB$281,"T002",'Prácticas_Snowballing'!$AC$2:$AC$281,"PROFESSIONAL PRACTICE &gt; Communication Skills")</f>
        <v>0</v>
      </c>
      <c r="CR8" s="17">
        <f>COUNTIFS('Prácticas_Revisiones'!$S$2:$S$282,"T002",'Prácticas_Revisiones'!$T$2:$T$282,"PROFESSIONAL PRACTICE &gt; Subárea no determinable")+COUNTIFS('Prácticas_Snowballing'!$AB$2:$AB$281,"T002",'Prácticas_Snowballing'!$AC$2:$AC$281,"PROFESSIONAL PRACTICE &gt; Subárea no determinable")</f>
        <v>0</v>
      </c>
      <c r="CS8" s="29">
        <f t="shared" si="13"/>
        <v>0</v>
      </c>
      <c r="CT8" s="17">
        <f>COUNTIFS('Prácticas_Revisiones'!$S$2:$S$282,"T002",'Prácticas_Revisiones'!$T$2:$T$282,"SOFTWARE ENG. ECONOMICS &gt; Software Engineering Economics Fundamentals")+COUNTIFS('Prácticas_Snowballing'!$AB$2:$AB$281,"T002",'Prácticas_Snowballing'!$AC$2:$AC$281,"SOFTWARE ENG. ECONOMICS &gt; Software Engineering Economics Fundamentals")</f>
        <v>0</v>
      </c>
      <c r="CU8" s="17">
        <f>COUNTIFS('Prácticas_Revisiones'!$S$2:$S$282,"T002",'Prácticas_Revisiones'!$T$2:$T$282,"SOFTWARE ENG. ECONOMICS &gt; The Engineering Decision-Making Process")+COUNTIFS('Prácticas_Snowballing'!$AB$2:$AB$281,"T002",'Prácticas_Snowballing'!$AC$2:$AC$281,"SOFTWARE ENG. ECONOMICS &gt; The Engineering Decision-Making Process")</f>
        <v>0</v>
      </c>
      <c r="CV8" s="17">
        <f>COUNTIFS('Prácticas_Revisiones'!$S$2:$S$282,"T002",'Prácticas_Revisiones'!$T$2:$T$282,"SOFTWARE ENG. ECONOMICS &gt; For-Profit Decision-Making")+COUNTIFS('Prácticas_Snowballing'!$AB$2:$AB$281,"T002",'Prácticas_Snowballing'!$AC$2:$AC$281,"SOFTWARE ENG. ECONOMICS &gt; For-Profit Decision-Making")</f>
        <v>0</v>
      </c>
      <c r="CW8" s="17">
        <f>COUNTIFS('Prácticas_Revisiones'!$S$2:$S$282,"T002",'Prácticas_Revisiones'!$T$2:$T$282,"SOFTWARE ENG. ECONOMICS &gt; Nonprofit Decision-Making")+COUNTIFS('Prácticas_Snowballing'!$AB$2:$AB$281,"T002",'Prácticas_Snowballing'!$AC$2:$AC$281,"SOFTWARE ENG. ECONOMICS &gt; Nonprofit Decision-Making")</f>
        <v>0</v>
      </c>
      <c r="CX8" s="17">
        <f>COUNTIFS('Prácticas_Revisiones'!$S$2:$S$282,"T002",'Prácticas_Revisiones'!$T$2:$T$282,"SOFTWARE ENG. ECONOMICS &gt; Present Economy Decision-Making")+COUNTIFS('Prácticas_Snowballing'!$AB$2:$AB$281,"T002",'Prácticas_Snowballing'!$AC$2:$AC$281,"SOFTWARE ENG. ECONOMICS &gt; Present Economy Decision-Making")</f>
        <v>0</v>
      </c>
      <c r="CY8" s="17">
        <f>COUNTIFS('Prácticas_Revisiones'!$S$2:$S$282,"T002",'Prácticas_Revisiones'!$T$2:$T$282,"SOFTWARE ENG. ECONOMICS &gt; Multiple-Attribute Decision-Making")+COUNTIFS('Prácticas_Snowballing'!$AB$2:$AB$281,"T002",'Prácticas_Snowballing'!$AC$2:$AC$281,"SOFTWARE ENG. ECONOMICS &gt; Multiple-Attribute Decision-Making")</f>
        <v>0</v>
      </c>
      <c r="CZ8" s="17">
        <f>COUNTIFS('Prácticas_Revisiones'!$S$2:$S$282,"T002",'Prácticas_Revisiones'!$T$2:$T$282,"SOFTWARE ENG. ECONOMICS &gt; Identifying and Characterizing Intangible Assets")+COUNTIFS('Prácticas_Snowballing'!$AB$2:$AB$281,"T002",'Prácticas_Snowballing'!$AC$2:$AC$281,"SOFTWARE ENG. ECONOMICS &gt; Identifying and Characterizing Intangible Assets")</f>
        <v>0</v>
      </c>
      <c r="DA8" s="17">
        <f>COUNTIFS('Prácticas_Revisiones'!$S$2:$S$282,"T002",'Prácticas_Revisiones'!$T$2:$T$282,"SOFTWARE ENG. ECONOMICS &gt; Estimation")+COUNTIFS('Prácticas_Snowballing'!$AB$2:$AB$281,"T002",'Prácticas_Snowballing'!$AC$2:$AC$281,"SOFTWARE ENG. ECONOMICS &gt; Estimation")</f>
        <v>0</v>
      </c>
      <c r="DB8" s="17">
        <f>COUNTIFS('Prácticas_Revisiones'!$S$2:$S$282,"T002",'Prácticas_Revisiones'!$T$2:$T$282,"SOFTWARE ENG. ECONOMICS &gt; Practical Considerations")+COUNTIFS('Prácticas_Snowballing'!$AB$2:$AB$281,"T002",'Prácticas_Snowballing'!$AC$2:$AC$281,"SOFTWARE ENG. ECONOMICS &gt; Practical Considerations")</f>
        <v>0</v>
      </c>
      <c r="DC8" s="17">
        <f>COUNTIFS('Prácticas_Revisiones'!$S$2:$S$282,"T002",'Prácticas_Revisiones'!$T$2:$T$282,"SOFTWARE ENG. ECONOMICS &gt; Related Concepts")+COUNTIFS('Prácticas_Snowballing'!$AB$2:$AB$281,"T002",'Prácticas_Snowballing'!$AC$2:$AC$281,"SOFTWARE ENG. ECONOMICS &gt; Related Concepts")</f>
        <v>0</v>
      </c>
      <c r="DD8" s="17">
        <f>COUNTIFS('Prácticas_Revisiones'!$S$2:$S$282,"T002",'Prácticas_Revisiones'!$T$2:$T$282,"SOFTWARE ENG. ECONOMICS &gt; Subárea no determinable")+COUNTIFS('Prácticas_Snowballing'!$AB$2:$AB$281,"T002",'Prácticas_Snowballing'!$AC$2:$AC$281,"SOFTWARE ENG. ECONOMICS &gt; Subárea no determinable")</f>
        <v>0</v>
      </c>
      <c r="DE8" s="29">
        <f t="shared" si="14"/>
        <v>0</v>
      </c>
      <c r="DF8" s="17">
        <f>COUNTIFS('Prácticas_Revisiones'!$S$2:$S$282,"T002",'Prácticas_Revisiones'!$T$2:$T$282,"SOFTWARE ENG. MANAGEMENT &gt; Software Engineering Management Fundamentals")+COUNTIFS('Prácticas_Snowballing'!$AB$2:$AB$281,"T002",'Prácticas_Snowballing'!$AC$2:$AC$281,"SOFTWARE ENG. MANAGEMENT &gt; Software Engineering Management Fundamentals")</f>
        <v>0</v>
      </c>
      <c r="DG8" s="17">
        <f>COUNTIFS('Prácticas_Revisiones'!$S$2:$S$282,"T002",'Prácticas_Revisiones'!$T$2:$T$282,"SOFTWARE ENG. MANAGEMENT &gt; Initiation and Scope Definition")+COUNTIFS('Prácticas_Snowballing'!$AB$2:$AB$281,"T002",'Prácticas_Snowballing'!$AC$2:$AC$281,"SOFTWARE ENG. MANAGEMENT &gt; Initiation and Scope Definition")</f>
        <v>0</v>
      </c>
      <c r="DH8" s="17">
        <f>COUNTIFS('Prácticas_Revisiones'!$S$2:$S$282,"T002",'Prácticas_Revisiones'!$T$2:$T$282,"SOFTWARE ENG. MANAGEMENT &gt; Software Project Planning")+COUNTIFS('Prácticas_Snowballing'!$AB$2:$AB$281,"T002",'Prácticas_Snowballing'!$AC$2:$AC$281,"SOFTWARE ENG. MANAGEMENT &gt; Software Project Planning")</f>
        <v>0</v>
      </c>
      <c r="DI8" s="17">
        <f>COUNTIFS('Prácticas_Revisiones'!$S$2:$S$282,"T002",'Prácticas_Revisiones'!$T$2:$T$282,"SOFTWARE ENG. MANAGEMENT &gt; Software Project Enactment")+COUNTIFS('Prácticas_Snowballing'!$AB$2:$AB$281,"T002",'Prácticas_Snowballing'!$AC$2:$AC$281,"SOFTWARE ENG. MANAGEMENT &gt; Software Project Enactment")</f>
        <v>0</v>
      </c>
      <c r="DJ8" s="17">
        <f>COUNTIFS('Prácticas_Revisiones'!$S$2:$S$282,"T002",'Prácticas_Revisiones'!$T$2:$T$282,"SOFTWARE ENG. MANAGEMENT &gt; Review and Evaluation")+COUNTIFS('Prácticas_Snowballing'!$AB$2:$AB$281,"T002",'Prácticas_Snowballing'!$AC$2:$AC$281,"SOFTWARE ENG. MANAGEMENT &gt; Review and Evaluation")</f>
        <v>0</v>
      </c>
      <c r="DK8" s="17">
        <f>COUNTIFS('Prácticas_Revisiones'!$S$2:$S$282,"T002",'Prácticas_Revisiones'!$T$2:$T$282,"SOFTWARE ENG. MANAGEMENT &gt; Closure")+COUNTIFS('Prácticas_Snowballing'!$AB$2:$AB$281,"T002",'Prácticas_Snowballing'!$AC$2:$AC$281,"SOFTWARE ENG. MANAGEMENT &gt; Closure")</f>
        <v>0</v>
      </c>
      <c r="DL8" s="17">
        <f>COUNTIFS('Prácticas_Revisiones'!$S$2:$S$282,"T002",'Prácticas_Revisiones'!$T$2:$T$282,"SOFTWARE ENG. MANAGEMENT &gt; Software Engineering Management Tools")+COUNTIFS('Prácticas_Snowballing'!$AB$2:$AB$281,"T002",'Prácticas_Snowballing'!$AC$2:$AC$281,"SOFTWARE ENG. MANAGEMENT &gt; Software Engineering Management Tools")</f>
        <v>0</v>
      </c>
      <c r="DM8" s="17">
        <f>COUNTIFS('Prácticas_Revisiones'!$S$2:$S$282,"T002",'Prácticas_Revisiones'!$T$2:$T$282,"SOFTWARE ENG. MANAGEMENT &gt; Subárea no determinable")+COUNTIFS('Prácticas_Snowballing'!$AB$2:$AB$281,"T002",'Prácticas_Snowballing'!$AC$2:$AC$281,"SOFTWARE ENG. MANAGEMENT &gt; Subárea no determinable")</f>
        <v>0</v>
      </c>
      <c r="DN8" s="29">
        <f t="shared" si="15"/>
        <v>0</v>
      </c>
      <c r="DO8" s="17">
        <f>COUNTIFS('Prácticas_Revisiones'!$S$2:$S$282,"T002",'Prácticas_Revisiones'!$T$2:$T$282,"Sin área SWEBOK")+COUNTIFS('Prácticas_Snowballing'!$AB$2:$AB$281,"T002",'Prácticas_Snowballing'!$AC$2:$AC$281,"Sin área SWEBOK")</f>
        <v>0</v>
      </c>
      <c r="DP8" s="27">
        <f t="shared" si="16"/>
        <v>0</v>
      </c>
    </row>
    <row r="9">
      <c r="A9" s="28"/>
      <c r="B9" s="16" t="s">
        <v>585</v>
      </c>
      <c r="C9" s="17">
        <f>COUNTIFS('Prácticas_Revisiones'!$S$2:$S$282,"T003",'Prácticas_Revisiones'!$T$2:$T$282,"REQUIREMENTS &gt; Software Requirements Fundamentals")+COUNTIFS('Prácticas_Snowballing'!$AB$2:$AB$281,"T003",'Prácticas_Snowballing'!$AC$2:$AC$281,"REQUIREMENTS &gt; Software Requirements Fundamentals")</f>
        <v>0</v>
      </c>
      <c r="D9" s="17">
        <f>COUNTIFS('Prácticas_Revisiones'!$S$2:$S$282,"T003",'Prácticas_Revisiones'!$T$2:$T$282,"REQUIREMENTS &gt; Requirements Elicitation")+COUNTIFS('Prácticas_Snowballing'!$AB$2:$AB$281,"T003",'Prácticas_Snowballing'!$AC$2:$AC$281,"REQUIREMENTS &gt; Requirements Elicitation")</f>
        <v>0</v>
      </c>
      <c r="E9" s="17">
        <f>COUNTIFS('Prácticas_Revisiones'!$S$2:$S$282,"T003",'Prácticas_Revisiones'!$T$2:$T$282,"REQUIREMENTS &gt; Requirements Analysis")+COUNTIFS('Prácticas_Snowballing'!$AB$2:$AB$281,"T003",'Prácticas_Snowballing'!$AC$2:$AC$281,"REQUIREMENTS &gt; Requirements Analysis")</f>
        <v>0</v>
      </c>
      <c r="F9" s="17">
        <f>COUNTIFS('Prácticas_Revisiones'!$S$2:$S$282,"T003",'Prácticas_Revisiones'!$T$2:$T$282,"REQUIREMENTS &gt; Requirements Specification")+COUNTIFS('Prácticas_Snowballing'!$AB$2:$AB$281,"T003",'Prácticas_Snowballing'!$AC$2:$AC$281,"REQUIREMENTS &gt; Requirements Specification")</f>
        <v>0</v>
      </c>
      <c r="G9" s="17">
        <f>COUNTIFS('Prácticas_Revisiones'!$S$2:$S$282,"T003",'Prácticas_Revisiones'!$T$2:$T$282,"REQUIREMENTS &gt; Requirements Validation")+COUNTIFS('Prácticas_Snowballing'!$AB$2:$AB$281,"T003",'Prácticas_Snowballing'!$AC$2:$AC$281,"REQUIREMENTS &gt; Requirements Validation")</f>
        <v>0</v>
      </c>
      <c r="H9" s="17">
        <f>COUNTIFS('Prácticas_Revisiones'!$S$2:$S$282,"T003",'Prácticas_Revisiones'!$T$2:$T$282,"REQUIREMENTS &gt; Requirements Management Activities")+COUNTIFS('Prácticas_Snowballing'!$AB$2:$AB$281,"T003",'Prácticas_Snowballing'!$AC$2:$AC$281,"REQUIREMENTS &gt; Requirements Management Activities")</f>
        <v>0</v>
      </c>
      <c r="I9" s="17">
        <f>COUNTIFS('Prácticas_Revisiones'!$S$2:$S$282,"T003",'Prácticas_Revisiones'!$T$2:$T$282,"REQUIREMENTS &gt; Practical Considerations")+COUNTIFS('Prácticas_Snowballing'!$AB$2:$AB$281,"T003",'Prácticas_Snowballing'!$AC$2:$AC$281,"REQUIREMENTS &gt; Practical Considerations")</f>
        <v>0</v>
      </c>
      <c r="J9" s="17">
        <f>COUNTIFS('Prácticas_Revisiones'!$S$2:$S$282,"T003",'Prácticas_Revisiones'!$T$2:$T$282,"REQUIREMENTS &gt; Software Requirements Tools")+COUNTIFS('Prácticas_Snowballing'!$AB$2:$AB$281,"T003",'Prácticas_Snowballing'!$AC$2:$AC$281,"REQUIREMENTS &gt; Software Requirements Tools")</f>
        <v>0</v>
      </c>
      <c r="K9" s="17">
        <f>COUNTIFS('Prácticas_Revisiones'!$S$2:$S$282,"T003",'Prácticas_Revisiones'!$T$2:$T$282,"REQUIREMENTS &gt; Subárea no determinable")+COUNTIFS('Prácticas_Snowballing'!$AB$2:$AB$281,"T003",'Prácticas_Snowballing'!$AC$2:$AC$281,"REQUIREMENTS &gt; Subárea no determinable")</f>
        <v>0</v>
      </c>
      <c r="L9" s="29">
        <f t="shared" si="1"/>
        <v>0</v>
      </c>
      <c r="M9" s="17">
        <f>COUNTIFS('Prácticas_Revisiones'!$S$2:$S$282,"T003",'Prácticas_Revisiones'!$T$2:$T$282,"ARCHITECTURE &gt; Software Architecture Fundamentals")+COUNTIFS('Prácticas_Snowballing'!$AB$2:$AB$281,"T003",'Prácticas_Snowballing'!$AC$2:$AC$281,"ARCHITECTURE &gt; Software Architecture Fundamentals")</f>
        <v>0</v>
      </c>
      <c r="N9" s="17">
        <f>COUNTIFS('Prácticas_Revisiones'!$S$2:$S$282,"T003",'Prácticas_Revisiones'!$T$2:$T$282,"ARCHITECTURE &gt; Software Architecture Description")+COUNTIFS('Prácticas_Snowballing'!$AB$2:$AB$281,"T003",'Prácticas_Snowballing'!$AC$2:$AC$281,"ARCHITECTURE &gt; Software Architecture Description")</f>
        <v>0</v>
      </c>
      <c r="O9" s="17">
        <f>COUNTIFS('Prácticas_Revisiones'!$S$2:$S$282,"T003",'Prácticas_Revisiones'!$T$2:$T$282,"ARCHITECTURE &gt; Software Architecture Process")+COUNTIFS('Prácticas_Snowballing'!$AB$2:$AB$281,"T003",'Prácticas_Snowballing'!$AC$2:$AC$281,"ARCHITECTURE &gt; Software Architecture Process")</f>
        <v>0</v>
      </c>
      <c r="P9" s="17">
        <f>COUNTIFS('Prácticas_Revisiones'!$S$2:$S$282,"T003",'Prácticas_Revisiones'!$T$2:$T$282,"ARCHITECTURE &gt; Software Architecture Evaluation")+COUNTIFS('Prácticas_Snowballing'!$AB$2:$AB$281,"T003",'Prácticas_Snowballing'!$AC$2:$AC$281,"ARCHITECTURE &gt; Software Architecture Evaluation")</f>
        <v>0</v>
      </c>
      <c r="Q9" s="17">
        <f>COUNTIFS('Prácticas_Revisiones'!$S$2:$S$282,"T003",'Prácticas_Revisiones'!$T$2:$T$282,"ARCHITECTURE &gt; Subárea no determinable")+COUNTIFS('Prácticas_Snowballing'!$AB$2:$AB$281,"T003",'Prácticas_Snowballing'!$AC$2:$AC$281,"ARCHITECTURE &gt; Subárea no determinable")</f>
        <v>0</v>
      </c>
      <c r="R9" s="29">
        <f t="shared" si="2"/>
        <v>0</v>
      </c>
      <c r="S9" s="17">
        <f>COUNTIFS('Prácticas_Revisiones'!$S$2:$S$282,"T003",'Prácticas_Revisiones'!$T$2:$T$282,"DESIGN &gt; Software Design Fundamentals")+COUNTIFS('Prácticas_Snowballing'!$AB$2:$AB$281,"T003",'Prácticas_Snowballing'!$AC$2:$AC$281,"DESIGN &gt; Software Design Fundamentals")</f>
        <v>0</v>
      </c>
      <c r="T9" s="17">
        <f>COUNTIFS('Prácticas_Revisiones'!$S$2:$S$282,"T003",'Prácticas_Revisiones'!$T$2:$T$282,"DESIGN &gt; Software Design Processes")+COUNTIFS('Prácticas_Snowballing'!$AB$2:$AB$281,"T003",'Prácticas_Snowballing'!$AC$2:$AC$281,"DESIGN &gt; Software Design Processes")</f>
        <v>0</v>
      </c>
      <c r="U9" s="17">
        <f>COUNTIFS('Prácticas_Revisiones'!$S$2:$S$282,"T003",'Prácticas_Revisiones'!$T$2:$T$282,"DESIGN &gt; Software Design Qualities")+COUNTIFS('Prácticas_Snowballing'!$AB$2:$AB$281,"T003",'Prácticas_Snowballing'!$AC$2:$AC$281,"DESIGN &gt; Software Design Qualities")</f>
        <v>0</v>
      </c>
      <c r="V9" s="17">
        <f>COUNTIFS('Prácticas_Revisiones'!$S$2:$S$282,"T003",'Prácticas_Revisiones'!$T$2:$T$282,"DESIGN &gt; Recording Software Design")+COUNTIFS('Prácticas_Snowballing'!$AB$2:$AB$281,"T003",'Prácticas_Snowballing'!$AC$2:$AC$281,"DESIGN &gt; Recording Software Design")</f>
        <v>0</v>
      </c>
      <c r="W9" s="17">
        <f>COUNTIFS('Prácticas_Revisiones'!$S$2:$S$282,"T003",'Prácticas_Revisiones'!$T$2:$T$282,"DESIGN &gt; Software Design Strategies and Methods")+COUNTIFS('Prácticas_Snowballing'!$AB$2:$AB$281,"T003",'Prácticas_Snowballing'!$AC$2:$AC$281,"DESIGN &gt; Software Design Strategies and Methods")</f>
        <v>0</v>
      </c>
      <c r="X9" s="17">
        <f>COUNTIFS('Prácticas_Revisiones'!$S$2:$S$282,"T003",'Prácticas_Revisiones'!$T$2:$T$282,"DESIGN &gt; Software Design Analysis and Evaluations")+COUNTIFS('Prácticas_Snowballing'!$AB$2:$AB$281,"T003",'Prácticas_Snowballing'!$AC$2:$AC$281,"DESIGN &gt; Software Design Analysis and Evaluations")</f>
        <v>0</v>
      </c>
      <c r="Y9" s="17">
        <f>COUNTIFS('Prácticas_Revisiones'!$S$2:$S$282,"T003",'Prácticas_Revisiones'!$T$2:$T$282,"DESIGN &gt; Subárea no determinable")+COUNTIFS('Prácticas_Snowballing'!$AB$2:$AB$281,"T003",'Prácticas_Snowballing'!$AC$2:$AC$281,"DESIGN &gt; Subárea no determinable")</f>
        <v>0</v>
      </c>
      <c r="Z9" s="29">
        <f t="shared" si="3"/>
        <v>0</v>
      </c>
      <c r="AA9" s="17">
        <f>COUNTIFS('Prácticas_Revisiones'!$S$2:$S$282,"T003",'Prácticas_Revisiones'!$T$2:$T$282,"CONSTRUCTION &gt; Software Construction Fundamentals")+COUNTIFS('Prácticas_Snowballing'!$AB$2:$AB$281,"T003",'Prácticas_Snowballing'!$AC$2:$AC$281,"CONSTRUCTION &gt; Software Construction Fundamentals")</f>
        <v>0</v>
      </c>
      <c r="AB9" s="17">
        <f>COUNTIFS('Prácticas_Revisiones'!$S$2:$S$282,"T003",'Prácticas_Revisiones'!$T$2:$T$282,"CONSTRUCTION &gt; Managing Construction")+COUNTIFS('Prácticas_Snowballing'!$AB$2:$AB$281,"T003",'Prácticas_Snowballing'!$AC$2:$AC$281,"CONSTRUCTION &gt; Managing Construction")</f>
        <v>0</v>
      </c>
      <c r="AC9" s="17">
        <f>COUNTIFS('Prácticas_Revisiones'!$S$2:$S$282,"T003",'Prácticas_Revisiones'!$T$2:$T$282,"CONSTRUCTION &gt; Practical Considerations")+COUNTIFS('Prácticas_Snowballing'!$AB$2:$AB$281,"T003",'Prácticas_Snowballing'!$AC$2:$AC$281,"CONSTRUCTION &gt; Practical Considerations")</f>
        <v>0</v>
      </c>
      <c r="AD9" s="17">
        <f>COUNTIFS('Prácticas_Revisiones'!$S$2:$S$282,"T003",'Prácticas_Revisiones'!$T$2:$T$282,"CONSTRUCTION &gt; Construction Technologies")+COUNTIFS('Prácticas_Snowballing'!$AB$2:$AB$281,"T003",'Prácticas_Snowballing'!$AC$2:$AC$281,"CONSTRUCTION &gt; Construction Technologies")</f>
        <v>0</v>
      </c>
      <c r="AE9" s="17">
        <f>COUNTIFS('Prácticas_Revisiones'!$S$2:$S$282,"T003",'Prácticas_Revisiones'!$T$2:$T$282,"CONSTRUCTION &gt; Software Construction Tools")+COUNTIFS('Prácticas_Snowballing'!$AB$2:$AB$281,"T003",'Prácticas_Snowballing'!$AC$2:$AC$281,"CONSTRUCTION &gt; Software Construction Tools")</f>
        <v>0</v>
      </c>
      <c r="AF9" s="17">
        <f>COUNTIFS('Prácticas_Revisiones'!$S$2:$S$282,"T003",'Prácticas_Revisiones'!$T$2:$T$282,"CONSTRUCTION &gt; Subárea no determinable")+COUNTIFS('Prácticas_Snowballing'!$AB$2:$AB$281,"T003",'Prácticas_Snowballing'!$AC$2:$AC$281,"CONSTRUCTION &gt; Subárea no determinable")</f>
        <v>0</v>
      </c>
      <c r="AG9" s="29">
        <f t="shared" si="4"/>
        <v>0</v>
      </c>
      <c r="AH9" s="17">
        <f>COUNTIFS('Prácticas_Revisiones'!$S$2:$S$282,"T003",'Prácticas_Revisiones'!$T$2:$T$282,"SOFTWARE TESTING &gt; Software Testing Fundamentals")+COUNTIFS('Prácticas_Snowballing'!$AB$2:$AB$281,"T003",'Prácticas_Snowballing'!$AC$2:$AC$281,"SOFTWARE TESTING &gt; Software Testing Fundamentals")</f>
        <v>0</v>
      </c>
      <c r="AI9" s="17">
        <f>COUNTIFS('Prácticas_Revisiones'!$S$2:$S$282,"T003",'Prácticas_Revisiones'!$T$2:$T$282,"SOFTWARE TESTING &gt; Test Levels")+COUNTIFS('Prácticas_Snowballing'!$AB$2:$AB$281,"T003",'Prácticas_Snowballing'!$AC$2:$AC$281,"SOFTWARE TESTING &gt; Test Levels")</f>
        <v>0</v>
      </c>
      <c r="AJ9" s="17">
        <f>COUNTIFS('Prácticas_Revisiones'!$S$2:$S$282,"T003",'Prácticas_Revisiones'!$T$2:$T$282,"SOFTWARE TESTING &gt; Test Techniques")+COUNTIFS('Prácticas_Snowballing'!$AB$2:$AB$281,"T003",'Prácticas_Snowballing'!$AC$2:$AC$281,"SOFTWARE TESTING &gt; Test Techniques")</f>
        <v>0</v>
      </c>
      <c r="AK9" s="17">
        <f>COUNTIFS('Prácticas_Revisiones'!$S$2:$S$282,"T003",'Prácticas_Revisiones'!$T$2:$T$282,"SOFTWARE TESTING &gt; Test-Related Measures")+COUNTIFS('Prácticas_Snowballing'!$AB$2:$AB$281,"T003",'Prácticas_Snowballing'!$AC$2:$AC$281,"SOFTWARE TESTING &gt; Test-Related Measures")</f>
        <v>0</v>
      </c>
      <c r="AL9" s="17">
        <f>COUNTIFS('Prácticas_Revisiones'!$S$2:$S$282,"T003",'Prácticas_Revisiones'!$T$2:$T$282,"SOFTWARE TESTING &gt; Test Process")+COUNTIFS('Prácticas_Snowballing'!$AB$2:$AB$281,"T003",'Prácticas_Snowballing'!$AC$2:$AC$281,"SOFTWARE TESTING &gt; Test Process")</f>
        <v>0</v>
      </c>
      <c r="AM9" s="17">
        <f>COUNTIFS('Prácticas_Revisiones'!$S$2:$S$282,"T003",'Prácticas_Revisiones'!$T$2:$T$282,"SOFTWARE TESTING &gt; Software Testing in the Development Processes...")+COUNTIFS('Prácticas_Snowballing'!$AB$2:$AB$281,"T003",'Prácticas_Snowballing'!$AC$2:$AC$281,"SOFTWARE TESTING &gt; Software Testing in the Development Processes...")</f>
        <v>0</v>
      </c>
      <c r="AN9" s="17">
        <f>COUNTIFS('Prácticas_Revisiones'!$S$2:$S$282,"T003",'Prácticas_Revisiones'!$T$2:$T$282,"SOFTWARE TESTING &gt; Testing of and Testing Through Emerging Tech...")+COUNTIFS('Prácticas_Snowballing'!$AB$2:$AB$281,"T003",'Prácticas_Snowballing'!$AC$2:$AC$281,"SOFTWARE TESTING &gt; Testing of and Testing Through Emerging Tech...")</f>
        <v>0</v>
      </c>
      <c r="AO9" s="17">
        <f>COUNTIFS('Prácticas_Revisiones'!$S$2:$S$282,"T003",'Prácticas_Revisiones'!$T$2:$T$282,"SOFTWARE TESTING &gt; Software Testing Tools")+COUNTIFS('Prácticas_Snowballing'!$AB$2:$AB$281,"T003",'Prácticas_Snowballing'!$AC$2:$AC$281,"SOFTWARE TESTING &gt; Software Testing Tools")</f>
        <v>0</v>
      </c>
      <c r="AP9" s="17">
        <f>COUNTIFS('Prácticas_Revisiones'!$S$2:$S$282,"T003",'Prácticas_Revisiones'!$T$2:$T$282,"SOFTWARE TESTING &gt; Subárea no determinable")+COUNTIFS('Prácticas_Snowballing'!$AB$2:$AB$281,"T003",'Prácticas_Snowballing'!$AC$2:$AC$281,"SOFTWARE TESTING &gt; Subárea no determinable")</f>
        <v>0</v>
      </c>
      <c r="AQ9" s="29">
        <f t="shared" si="5"/>
        <v>0</v>
      </c>
      <c r="AR9" s="17">
        <f>COUNTIFS('Prácticas_Revisiones'!$S$2:$S$282,"T003",'Prácticas_Revisiones'!$T$2:$T$282,"SOFTWARE ENG. OPERATIONS &gt; Software Engineering Operations Fundamentals")+COUNTIFS('Prácticas_Snowballing'!$AB$2:$AB$281,"T003",'Prácticas_Snowballing'!$AC$2:$AC$281,"SOFTWARE ENG. OPERATIONS &gt; Software Engineering Operations Fundamentals")</f>
        <v>0</v>
      </c>
      <c r="AS9" s="17">
        <f>COUNTIFS('Prácticas_Revisiones'!$S$2:$S$282,"T003",'Prácticas_Revisiones'!$T$2:$T$282,"SOFTWARE ENG. OPERATIONS &gt; Software Engineering Operations Planning")+COUNTIFS('Prácticas_Snowballing'!$AB$2:$AB$281,"T003",'Prácticas_Snowballing'!$AC$2:$AC$281,"SOFTWARE ENG. OPERATIONS &gt; Software Engineering Operations Planning")</f>
        <v>0</v>
      </c>
      <c r="AT9" s="17">
        <f>COUNTIFS('Prácticas_Revisiones'!$S$2:$S$282,"T003",'Prácticas_Revisiones'!$T$2:$T$282,"SOFTWARE ENG. OPERATIONS &gt; Software Engineering Operations Delivery")+COUNTIFS('Prácticas_Snowballing'!$AB$2:$AB$281,"T003",'Prácticas_Snowballing'!$AC$2:$AC$281,"SOFTWARE ENG. OPERATIONS &gt; Software Engineering Operations Delivery")</f>
        <v>0</v>
      </c>
      <c r="AU9" s="17">
        <f>COUNTIFS('Prácticas_Revisiones'!$S$2:$S$282,"T003",'Prácticas_Revisiones'!$T$2:$T$282,"SOFTWARE ENG. OPERATIONS &gt; Software Engineering Operations Control")+COUNTIFS('Prácticas_Snowballing'!$AB$2:$AB$281,"T003",'Prácticas_Snowballing'!$AC$2:$AC$281,"SOFTWARE ENG. OPERATIONS &gt; Software Engineering Operations Control")</f>
        <v>0</v>
      </c>
      <c r="AV9" s="17">
        <f>COUNTIFS('Prácticas_Revisiones'!$S$2:$S$282,"T003",'Prácticas_Revisiones'!$T$2:$T$282,"SOFTWARE ENG. OPERATIONS &gt; Practical Considerations")+COUNTIFS('Prácticas_Snowballing'!$AB$2:$AB$281,"T003",'Prácticas_Snowballing'!$AC$2:$AC$281,"SOFTWARE ENG. OPERATIONS &gt; Practical Considerations")</f>
        <v>0</v>
      </c>
      <c r="AW9" s="17">
        <f>COUNTIFS('Prácticas_Revisiones'!$S$2:$S$282,"T003",'Prácticas_Revisiones'!$T$2:$T$282,"SOFTWARE ENG. OPERATIONS &gt; Software Engineering Operations Tools")+COUNTIFS('Prácticas_Snowballing'!$AB$2:$AB$281,"T003",'Prácticas_Snowballing'!$AC$2:$AC$281,"SOFTWARE ENG. OPERATIONS &gt; Software Engineering Operations Tools")</f>
        <v>0</v>
      </c>
      <c r="AX9" s="17">
        <f>COUNTIFS('Prácticas_Revisiones'!$S$2:$S$282,"T003",'Prácticas_Revisiones'!$T$2:$T$282,"SOFTWARE ENG. OPERATIONS &gt; Subárea no determinable")+COUNTIFS('Prácticas_Snowballing'!$AB$2:$AB$281,"T003",'Prácticas_Snowballing'!$AC$2:$AC$281,"SOFTWARE ENG. OPERATIONS &gt; Subárea no determinable")</f>
        <v>0</v>
      </c>
      <c r="AY9" s="29">
        <f t="shared" si="6"/>
        <v>0</v>
      </c>
      <c r="AZ9" s="17">
        <f>COUNTIFS('Prácticas_Revisiones'!$S$2:$S$282,"T003",'Prácticas_Revisiones'!$T$2:$T$282,"MAINTENANCE &gt; Software Maintenance Fundamentals")+COUNTIFS('Prácticas_Snowballing'!$AB$2:$AB$281,"T003",'Prácticas_Snowballing'!$AC$2:$AC$281,"MAINTENANCE &gt; Software Maintenance Fundamentals")</f>
        <v>0</v>
      </c>
      <c r="BA9" s="17">
        <f>COUNTIFS('Prácticas_Revisiones'!$S$2:$S$282,"T003",'Prácticas_Revisiones'!$T$2:$T$282,"MAINTENANCE &gt; Key Issues in Software Maintenance")+COUNTIFS('Prácticas_Snowballing'!$AB$2:$AB$281,"T003",'Prácticas_Snowballing'!$AC$2:$AC$281,"MAINTENANCE &gt; Key Issues in Software Maintenance")</f>
        <v>0</v>
      </c>
      <c r="BB9" s="17">
        <f>COUNTIFS('Prácticas_Revisiones'!$S$2:$S$282,"T003",'Prácticas_Revisiones'!$T$2:$T$282,"MAINTENANCE &gt; Software Maintenance Processes")+COUNTIFS('Prácticas_Snowballing'!$AB$2:$AB$281,"T003",'Prácticas_Snowballing'!$AC$2:$AC$281,"MAINTENANCE &gt; Software Maintenance Processes")</f>
        <v>0</v>
      </c>
      <c r="BC9" s="17">
        <f>COUNTIFS('Prácticas_Revisiones'!$S$2:$S$282,"T003",'Prácticas_Revisiones'!$T$2:$T$282,"MAINTENANCE &gt; Software Maintenance Techniques")+COUNTIFS('Prácticas_Snowballing'!$AB$2:$AB$281,"T003",'Prácticas_Snowballing'!$AC$2:$AC$281,"MAINTENANCE &gt; Software Maintenance Techniques")</f>
        <v>0</v>
      </c>
      <c r="BD9" s="17">
        <f>COUNTIFS('Prácticas_Revisiones'!$S$2:$S$282,"T003",'Prácticas_Revisiones'!$T$2:$T$282,"MAINTENANCE &gt; Software Maintenance Tools")+COUNTIFS('Prácticas_Snowballing'!$AB$2:$AB$281,"T003",'Prácticas_Snowballing'!$AC$2:$AC$281,"MAINTENANCE &gt; Software Maintenance Tools")</f>
        <v>0</v>
      </c>
      <c r="BE9" s="17">
        <f>COUNTIFS('Prácticas_Revisiones'!$S$2:$S$282,"T003",'Prácticas_Revisiones'!$T$2:$T$282,"MAINTENANCE &gt; Subárea no determinable")+COUNTIFS('Prácticas_Snowballing'!$AB$2:$AB$281,"T003",'Prácticas_Snowballing'!$AC$2:$AC$281,"MAINTENANCE &gt; Subárea no determinable")</f>
        <v>0</v>
      </c>
      <c r="BF9" s="29">
        <f t="shared" si="7"/>
        <v>0</v>
      </c>
      <c r="BG9" s="17">
        <f>COUNTIFS('Prácticas_Revisiones'!$S$2:$S$282,"T003",'Prácticas_Revisiones'!$T$2:$T$282,"SOFTWARE CONFIG. MGMT. &gt; Management of the SCM Process")+COUNTIFS('Prácticas_Snowballing'!$AB$2:$AB$281,"T003",'Prácticas_Snowballing'!$AC$2:$AC$281,"SOFTWARE CONFIG. MGMT. &gt; Management of the SCM Process")</f>
        <v>0</v>
      </c>
      <c r="BH9" s="17">
        <f>COUNTIFS('Prácticas_Revisiones'!$S$2:$S$282,"T003",'Prácticas_Revisiones'!$T$2:$T$282,"SOFTWARE CONFIG. MGMT. &gt; Software Configuration Identification")+COUNTIFS('Prácticas_Snowballing'!$AB$2:$AB$281,"T003",'Prácticas_Snowballing'!$AC$2:$AC$281,"SOFTWARE CONFIG. MGMT. &gt; Software Configuration Identification")</f>
        <v>0</v>
      </c>
      <c r="BI9" s="17">
        <f>COUNTIFS('Prácticas_Revisiones'!$S$2:$S$282,"T003",'Prácticas_Revisiones'!$T$2:$T$282,"SOFTWARE CONFIG. MGMT. &gt; Software Configuration Change Control")+COUNTIFS('Prácticas_Snowballing'!$AB$2:$AB$281,"T003",'Prácticas_Snowballing'!$AC$2:$AC$281,"SOFTWARE CONFIG. MGMT. &gt; Software Configuration Change Control")</f>
        <v>0</v>
      </c>
      <c r="BJ9" s="17">
        <f>COUNTIFS('Prácticas_Revisiones'!$S$2:$S$282,"T003",'Prácticas_Revisiones'!$T$2:$T$282,"SOFTWARE CONFIG. MGMT. &gt; Software Configuration Status Accounting")+COUNTIFS('Prácticas_Snowballing'!$AB$2:$AB$281,"T003",'Prácticas_Snowballing'!$AC$2:$AC$281,"SOFTWARE CONFIG. MGMT. &gt; Software Configuration Status Accounting")</f>
        <v>0</v>
      </c>
      <c r="BK9" s="17">
        <f>COUNTIFS('Prácticas_Revisiones'!$S$2:$S$282,"T003",'Prácticas_Revisiones'!$T$2:$T$282,"SOFTWARE CONFIG. MGMT. &gt; Software Configuration Auditing")+COUNTIFS('Prácticas_Snowballing'!$AB$2:$AB$281,"T003",'Prácticas_Snowballing'!$AC$2:$AC$281,"SOFTWARE CONFIG. MGMT. &gt; Software Configuration Auditing")</f>
        <v>0</v>
      </c>
      <c r="BL9" s="17">
        <f>COUNTIFS('Prácticas_Revisiones'!$S$2:$S$282,"T003",'Prácticas_Revisiones'!$T$2:$T$282,"SOFTWARE CONFIG. MGMT. &gt; Software Release Management and Delivery")+COUNTIFS('Prácticas_Snowballing'!$AB$2:$AB$281,"T003",'Prácticas_Snowballing'!$AC$2:$AC$281,"SOFTWARE CONFIG. MGMT. &gt; Software Release Management and Delivery")</f>
        <v>0</v>
      </c>
      <c r="BM9" s="17">
        <f>COUNTIFS('Prácticas_Revisiones'!$S$2:$S$282,"T003",'Prácticas_Revisiones'!$T$2:$T$282,"SOFTWARE CONFIG. MGMT. &gt; Software Configuration Management Tools")+COUNTIFS('Prácticas_Snowballing'!$AB$2:$AB$281,"T003",'Prácticas_Snowballing'!$AC$2:$AC$281,"SOFTWARE CONFIG. MGMT. &gt; Software Configuration Management Tools")</f>
        <v>0</v>
      </c>
      <c r="BN9" s="17">
        <f>COUNTIFS('Prácticas_Revisiones'!$S$2:$S$282,"T003",'Prácticas_Revisiones'!$T$2:$T$282,"SOFTWARE CONFIG. MGMT. &gt; Subárea no determinable")+COUNTIFS('Prácticas_Snowballing'!$AB$2:$AB$281,"T003",'Prácticas_Snowballing'!$AC$2:$AC$281,"SOFTWARE CONFIG. MGMT. &gt; Subárea no determinable")</f>
        <v>0</v>
      </c>
      <c r="BO9" s="29">
        <f t="shared" si="8"/>
        <v>0</v>
      </c>
      <c r="BP9" s="17">
        <f>COUNTIFS('Prácticas_Revisiones'!$S$2:$S$282,"T003",'Prácticas_Revisiones'!$T$2:$T$282,"SOFTWARE ENG. PROCESS &gt; Software Engineering Process Fundamentals")+COUNTIFS('Prácticas_Snowballing'!$AB$2:$AB$281,"T003",'Prácticas_Snowballing'!$AC$2:$AC$281,"SOFTWARE ENG. PROCESS &gt; Software Engineering Process Fundamentals")</f>
        <v>0</v>
      </c>
      <c r="BQ9" s="17">
        <f>COUNTIFS('Prácticas_Revisiones'!$S$2:$S$282,"T003",'Prácticas_Revisiones'!$T$2:$T$282,"SOFTWARE ENG. PROCESS &gt; Life Cycles")+COUNTIFS('Prácticas_Snowballing'!$AB$2:$AB$281,"T003",'Prácticas_Snowballing'!$AC$2:$AC$281,"SOFTWARE ENG. PROCESS &gt; Life Cycles")</f>
        <v>0</v>
      </c>
      <c r="BR9" s="17">
        <f>COUNTIFS('Prácticas_Revisiones'!$S$2:$S$282,"T003",'Prácticas_Revisiones'!$T$2:$T$282,"SOFTWARE ENG. PROCESS &gt; Software Process Assessment and Improvement")+COUNTIFS('Prácticas_Snowballing'!$AB$2:$AB$281,"T003",'Prácticas_Snowballing'!$AC$2:$AC$281,"SOFTWARE ENG. PROCESS &gt; Software Process Assessment and Improvement")</f>
        <v>0</v>
      </c>
      <c r="BS9" s="17">
        <f>COUNTIFS('Prácticas_Revisiones'!$S$2:$S$282,"T003",'Prácticas_Revisiones'!$T$2:$T$282,"SOFTWARE ENG. PROCESS &gt; Subárea no determinable")+COUNTIFS('Prácticas_Snowballing'!$AB$2:$AB$281,"T003",'Prácticas_Snowballing'!$AC$2:$AC$281,"SOFTWARE ENG. PROCESS &gt; Subárea no determinable")</f>
        <v>0</v>
      </c>
      <c r="BT9" s="29">
        <f t="shared" si="9"/>
        <v>0</v>
      </c>
      <c r="BU9" s="17">
        <f>COUNTIFS('Prácticas_Revisiones'!$S$2:$S$282,"T003",'Prácticas_Revisiones'!$T$2:$T$282,"SOFTWARE ENG. MODELS/METH. &gt; Modeling")+COUNTIFS('Prácticas_Snowballing'!$AB$2:$AB$281,"T003",'Prácticas_Snowballing'!$AC$2:$AC$281,"SOFTWARE ENG. MODELS/METH. &gt; Modeling")</f>
        <v>0</v>
      </c>
      <c r="BV9" s="17">
        <f>COUNTIFS('Prácticas_Revisiones'!$S$2:$S$282,"T003",'Prácticas_Revisiones'!$T$2:$T$282,"SOFTWARE ENG. MODELS/METH. &gt; Types of Models")+COUNTIFS('Prácticas_Snowballing'!$AB$2:$AB$281,"T003",'Prácticas_Snowballing'!$AC$2:$AC$281,"SOFTWARE ENG. MODELS/METH. &gt; Types of Models")</f>
        <v>0</v>
      </c>
      <c r="BW9" s="17">
        <f>COUNTIFS('Prácticas_Revisiones'!$S$2:$S$282,"T003",'Prácticas_Revisiones'!$T$2:$T$282,"SOFTWARE ENG. MODELS/METH. &gt; Analysis of Models")+COUNTIFS('Prácticas_Snowballing'!$AB$2:$AB$281,"T003",'Prácticas_Snowballing'!$AC$2:$AC$281,"SOFTWARE ENG. MODELS/METH. &gt; Analysis of Models")</f>
        <v>0</v>
      </c>
      <c r="BX9" s="17">
        <f>COUNTIFS('Prácticas_Revisiones'!$S$2:$S$282,"T003",'Prácticas_Revisiones'!$T$2:$T$282,"SOFTWARE ENG. MODELS/METH. &gt; Software Engineering Methods")+COUNTIFS('Prácticas_Snowballing'!$AB$2:$AB$281,"T003",'Prácticas_Snowballing'!$AC$2:$AC$281,"SOFTWARE ENG. MODELS/METH. &gt; Software Engineering Methods")</f>
        <v>0</v>
      </c>
      <c r="BY9" s="17">
        <f>COUNTIFS('Prácticas_Revisiones'!$S$2:$S$282,"T003",'Prácticas_Revisiones'!$T$2:$T$282,"SOFTWARE ENG. MODELS/METH. &gt; Subárea no determinable")+COUNTIFS('Prácticas_Snowballing'!$AB$2:$AB$281,"T003",'Prácticas_Snowballing'!$AC$2:$AC$281,"SOFTWARE ENG. MODELS/METH. &gt; Subárea no determinable")</f>
        <v>0</v>
      </c>
      <c r="BZ9" s="29">
        <f t="shared" si="10"/>
        <v>0</v>
      </c>
      <c r="CA9" s="17">
        <f>COUNTIFS('Prácticas_Revisiones'!$S$2:$S$282,"T003",'Prácticas_Revisiones'!$T$2:$T$282,"SOFTWARE QUALITY &gt; Software Quality Fundamentals")+COUNTIFS('Prácticas_Snowballing'!$AB$2:$AB$281,"T003",'Prácticas_Snowballing'!$AC$2:$AC$281,"SOFTWARE QUALITY &gt; Software Quality Fundamentals")</f>
        <v>0</v>
      </c>
      <c r="CB9" s="17">
        <f>COUNTIFS('Prácticas_Revisiones'!$S$2:$S$282,"T003",'Prácticas_Revisiones'!$T$2:$T$282,"SOFTWARE QUALITY &gt; Software Quality Management Process")+COUNTIFS('Prácticas_Snowballing'!$AB$2:$AB$281,"T003",'Prácticas_Snowballing'!$AC$2:$AC$281,"SOFTWARE QUALITY &gt; Software Quality Management Process")</f>
        <v>0</v>
      </c>
      <c r="CC9" s="17">
        <f>COUNTIFS('Prácticas_Revisiones'!$S$2:$S$282,"T003",'Prácticas_Revisiones'!$T$2:$T$282,"SOFTWARE QUALITY &gt; Software Quality Assurance Process")+COUNTIFS('Prácticas_Snowballing'!$AB$2:$AB$281,"T003",'Prácticas_Snowballing'!$AC$2:$AC$281,"SOFTWARE QUALITY &gt; Software Quality Assurance Process")</f>
        <v>0</v>
      </c>
      <c r="CD9" s="17">
        <f>COUNTIFS('Prácticas_Revisiones'!$S$2:$S$282,"T003",'Prácticas_Revisiones'!$T$2:$T$282,"SOFTWARE QUALITY &gt; Software Quality Tools")+COUNTIFS('Prácticas_Snowballing'!$AB$2:$AB$281,"T003",'Prácticas_Snowballing'!$AC$2:$AC$281,"SOFTWARE QUALITY &gt; Software Quality Tools")</f>
        <v>0</v>
      </c>
      <c r="CE9" s="17">
        <f>COUNTIFS('Prácticas_Revisiones'!$S$2:$S$282,"T003",'Prácticas_Revisiones'!$T$2:$T$282,"SOFTWARE QUALITY &gt; Subárea no determinable")+COUNTIFS('Prácticas_Snowballing'!$AB$2:$AB$281,"T003",'Prácticas_Snowballing'!$AC$2:$AC$281,"SOFTWARE QUALITY &gt; Subárea no determinable")</f>
        <v>0</v>
      </c>
      <c r="CF9" s="29">
        <f t="shared" si="11"/>
        <v>0</v>
      </c>
      <c r="CG9" s="17">
        <f>COUNTIFS('Prácticas_Revisiones'!$S$2:$S$282,"T003",'Prácticas_Revisiones'!$T$2:$T$282,"SOFTWARE SECURITY &gt; Software Security Fundamentals")+COUNTIFS('Prácticas_Snowballing'!$AB$2:$AB$281,"T003",'Prácticas_Snowballing'!$AC$2:$AC$281,"SOFTWARE SECURITY &gt; Software Security Fundamentals")</f>
        <v>0</v>
      </c>
      <c r="CH9" s="17">
        <f>COUNTIFS('Prácticas_Revisiones'!$S$2:$S$282,"T003",'Prácticas_Revisiones'!$T$2:$T$282,"SOFTWARE SECURITY &gt; Security Management and Organization")+COUNTIFS('Prácticas_Snowballing'!$AB$2:$AB$281,"T003",'Prácticas_Snowballing'!$AC$2:$AC$281,"SOFTWARE SECURITY &gt; Security Management and Organization")</f>
        <v>0</v>
      </c>
      <c r="CI9" s="17">
        <f>COUNTIFS('Prácticas_Revisiones'!$S$2:$S$282,"T003",'Prácticas_Revisiones'!$T$2:$T$282,"SOFTWARE SECURITY &gt; Software Security Engineering and Process")+COUNTIFS('Prácticas_Snowballing'!$AB$2:$AB$281,"T003",'Prácticas_Snowballing'!$AC$2:$AC$281,"SOFTWARE SECURITY &gt; Software Security Engineering and Process")</f>
        <v>0</v>
      </c>
      <c r="CJ9" s="17">
        <f>COUNTIFS('Prácticas_Revisiones'!$S$2:$S$282,"T003",'Prácticas_Revisiones'!$T$2:$T$282,"SOFTWARE SECURITY &gt; Security Engineering for Software Systems")+COUNTIFS('Prácticas_Snowballing'!$AB$2:$AB$281,"T003",'Prácticas_Snowballing'!$AC$2:$AC$281,"SOFTWARE SECURITY &gt; Security Engineering for Software Systems")</f>
        <v>0</v>
      </c>
      <c r="CK9" s="17">
        <f>COUNTIFS('Prácticas_Revisiones'!$S$2:$S$282,"T003",'Prácticas_Revisiones'!$T$2:$T$282,"SOFTWARE SECURITY &gt; Software Security Tools")+COUNTIFS('Prácticas_Snowballing'!$AB$2:$AB$281,"T003",'Prácticas_Snowballing'!$AC$2:$AC$281,"SOFTWARE SECURITY &gt; Software Security Tools")</f>
        <v>0</v>
      </c>
      <c r="CL9" s="17">
        <f>COUNTIFS('Prácticas_Revisiones'!$S$2:$S$282,"T003",'Prácticas_Revisiones'!$T$2:$T$282,"SOFTWARE SECURITY &gt; Domain Specific Software Security")+COUNTIFS('Prácticas_Snowballing'!$AB$2:$AB$281,"T003",'Prácticas_Snowballing'!$AC$2:$AC$281,"SOFTWARE SECURITY &gt; Domain Specific Software Security")</f>
        <v>0</v>
      </c>
      <c r="CM9" s="17">
        <f>COUNTIFS('Prácticas_Revisiones'!$S$2:$S$282,"T003",'Prácticas_Revisiones'!$T$2:$T$282,"SOFTWARE SECURITY &gt; Subárea no determinable")+COUNTIFS('Prácticas_Snowballing'!$AB$2:$AB$281,"T003",'Prácticas_Snowballing'!$AC$2:$AC$281,"SOFTWARE SECURITY &gt; Subárea no determinable")</f>
        <v>0</v>
      </c>
      <c r="CN9" s="29">
        <f t="shared" si="12"/>
        <v>0</v>
      </c>
      <c r="CO9" s="17">
        <f>COUNTIFS('Prácticas_Revisiones'!$S$2:$S$282,"T003",'Prácticas_Revisiones'!$T$2:$T$282,"PROFESSIONAL PRACTICE &gt; Professionalism")+COUNTIFS('Prácticas_Snowballing'!$AB$2:$AB$281,"T003",'Prácticas_Snowballing'!$AC$2:$AC$281,"PROFESSIONAL PRACTICE &gt; Professionalism")</f>
        <v>0</v>
      </c>
      <c r="CP9" s="17">
        <f>COUNTIFS('Prácticas_Revisiones'!$S$2:$S$282,"T003",'Prácticas_Revisiones'!$T$2:$T$282,"PROFESSIONAL PRACTICE &gt; Group Dynamics and Psychology")+COUNTIFS('Prácticas_Snowballing'!$AB$2:$AB$281,"T003",'Prácticas_Snowballing'!$AC$2:$AC$281,"PROFESSIONAL PRACTICE &gt; Group Dynamics and Psychology")</f>
        <v>0</v>
      </c>
      <c r="CQ9" s="17">
        <f>COUNTIFS('Prácticas_Revisiones'!$S$2:$S$282,"T003",'Prácticas_Revisiones'!$T$2:$T$282,"PROFESSIONAL PRACTICE &gt; Communication Skills")+COUNTIFS('Prácticas_Snowballing'!$AB$2:$AB$281,"T003",'Prácticas_Snowballing'!$AC$2:$AC$281,"PROFESSIONAL PRACTICE &gt; Communication Skills")</f>
        <v>0</v>
      </c>
      <c r="CR9" s="17">
        <f>COUNTIFS('Prácticas_Revisiones'!$S$2:$S$282,"T003",'Prácticas_Revisiones'!$T$2:$T$282,"PROFESSIONAL PRACTICE &gt; Subárea no determinable")+COUNTIFS('Prácticas_Snowballing'!$AB$2:$AB$281,"T003",'Prácticas_Snowballing'!$AC$2:$AC$281,"PROFESSIONAL PRACTICE &gt; Subárea no determinable")</f>
        <v>0</v>
      </c>
      <c r="CS9" s="29">
        <f t="shared" si="13"/>
        <v>0</v>
      </c>
      <c r="CT9" s="17">
        <f>COUNTIFS('Prácticas_Revisiones'!$S$2:$S$282,"T003",'Prácticas_Revisiones'!$T$2:$T$282,"SOFTWARE ENG. ECONOMICS &gt; Software Engineering Economics Fundamentals")+COUNTIFS('Prácticas_Snowballing'!$AB$2:$AB$281,"T003",'Prácticas_Snowballing'!$AC$2:$AC$281,"SOFTWARE ENG. ECONOMICS &gt; Software Engineering Economics Fundamentals")</f>
        <v>0</v>
      </c>
      <c r="CU9" s="17">
        <f>COUNTIFS('Prácticas_Revisiones'!$S$2:$S$282,"T003",'Prácticas_Revisiones'!$T$2:$T$282,"SOFTWARE ENG. ECONOMICS &gt; The Engineering Decision-Making Process")+COUNTIFS('Prácticas_Snowballing'!$AB$2:$AB$281,"T003",'Prácticas_Snowballing'!$AC$2:$AC$281,"SOFTWARE ENG. ECONOMICS &gt; The Engineering Decision-Making Process")</f>
        <v>0</v>
      </c>
      <c r="CV9" s="17">
        <f>COUNTIFS('Prácticas_Revisiones'!$S$2:$S$282,"T003",'Prácticas_Revisiones'!$T$2:$T$282,"SOFTWARE ENG. ECONOMICS &gt; For-Profit Decision-Making")+COUNTIFS('Prácticas_Snowballing'!$AB$2:$AB$281,"T003",'Prácticas_Snowballing'!$AC$2:$AC$281,"SOFTWARE ENG. ECONOMICS &gt; For-Profit Decision-Making")</f>
        <v>0</v>
      </c>
      <c r="CW9" s="17">
        <f>COUNTIFS('Prácticas_Revisiones'!$S$2:$S$282,"T003",'Prácticas_Revisiones'!$T$2:$T$282,"SOFTWARE ENG. ECONOMICS &gt; Nonprofit Decision-Making")+COUNTIFS('Prácticas_Snowballing'!$AB$2:$AB$281,"T003",'Prácticas_Snowballing'!$AC$2:$AC$281,"SOFTWARE ENG. ECONOMICS &gt; Nonprofit Decision-Making")</f>
        <v>0</v>
      </c>
      <c r="CX9" s="17">
        <f>COUNTIFS('Prácticas_Revisiones'!$S$2:$S$282,"T003",'Prácticas_Revisiones'!$T$2:$T$282,"SOFTWARE ENG. ECONOMICS &gt; Present Economy Decision-Making")+COUNTIFS('Prácticas_Snowballing'!$AB$2:$AB$281,"T003",'Prácticas_Snowballing'!$AC$2:$AC$281,"SOFTWARE ENG. ECONOMICS &gt; Present Economy Decision-Making")</f>
        <v>0</v>
      </c>
      <c r="CY9" s="17">
        <f>COUNTIFS('Prácticas_Revisiones'!$S$2:$S$282,"T003",'Prácticas_Revisiones'!$T$2:$T$282,"SOFTWARE ENG. ECONOMICS &gt; Multiple-Attribute Decision-Making")+COUNTIFS('Prácticas_Snowballing'!$AB$2:$AB$281,"T003",'Prácticas_Snowballing'!$AC$2:$AC$281,"SOFTWARE ENG. ECONOMICS &gt; Multiple-Attribute Decision-Making")</f>
        <v>0</v>
      </c>
      <c r="CZ9" s="17">
        <f>COUNTIFS('Prácticas_Revisiones'!$S$2:$S$282,"T003",'Prácticas_Revisiones'!$T$2:$T$282,"SOFTWARE ENG. ECONOMICS &gt; Identifying and Characterizing Intangible Assets")+COUNTIFS('Prácticas_Snowballing'!$AB$2:$AB$281,"T003",'Prácticas_Snowballing'!$AC$2:$AC$281,"SOFTWARE ENG. ECONOMICS &gt; Identifying and Characterizing Intangible Assets")</f>
        <v>0</v>
      </c>
      <c r="DA9" s="17">
        <f>COUNTIFS('Prácticas_Revisiones'!$S$2:$S$282,"T003",'Prácticas_Revisiones'!$T$2:$T$282,"SOFTWARE ENG. ECONOMICS &gt; Estimation")+COUNTIFS('Prácticas_Snowballing'!$AB$2:$AB$281,"T003",'Prácticas_Snowballing'!$AC$2:$AC$281,"SOFTWARE ENG. ECONOMICS &gt; Estimation")</f>
        <v>0</v>
      </c>
      <c r="DB9" s="17">
        <f>COUNTIFS('Prácticas_Revisiones'!$S$2:$S$282,"T003",'Prácticas_Revisiones'!$T$2:$T$282,"SOFTWARE ENG. ECONOMICS &gt; Practical Considerations")+COUNTIFS('Prácticas_Snowballing'!$AB$2:$AB$281,"T003",'Prácticas_Snowballing'!$AC$2:$AC$281,"SOFTWARE ENG. ECONOMICS &gt; Practical Considerations")</f>
        <v>0</v>
      </c>
      <c r="DC9" s="17">
        <f>COUNTIFS('Prácticas_Revisiones'!$S$2:$S$282,"T003",'Prácticas_Revisiones'!$T$2:$T$282,"SOFTWARE ENG. ECONOMICS &gt; Related Concepts")+COUNTIFS('Prácticas_Snowballing'!$AB$2:$AB$281,"T003",'Prácticas_Snowballing'!$AC$2:$AC$281,"SOFTWARE ENG. ECONOMICS &gt; Related Concepts")</f>
        <v>0</v>
      </c>
      <c r="DD9" s="17">
        <f>COUNTIFS('Prácticas_Revisiones'!$S$2:$S$282,"T003",'Prácticas_Revisiones'!$T$2:$T$282,"SOFTWARE ENG. ECONOMICS &gt; Subárea no determinable")+COUNTIFS('Prácticas_Snowballing'!$AB$2:$AB$281,"T003",'Prácticas_Snowballing'!$AC$2:$AC$281,"SOFTWARE ENG. ECONOMICS &gt; Subárea no determinable")</f>
        <v>0</v>
      </c>
      <c r="DE9" s="29">
        <f t="shared" si="14"/>
        <v>0</v>
      </c>
      <c r="DF9" s="17">
        <f>COUNTIFS('Prácticas_Revisiones'!$S$2:$S$282,"T003",'Prácticas_Revisiones'!$T$2:$T$282,"SOFTWARE ENG. MANAGEMENT &gt; Software Engineering Management Fundamentals")+COUNTIFS('Prácticas_Snowballing'!$AB$2:$AB$281,"T003",'Prácticas_Snowballing'!$AC$2:$AC$281,"SOFTWARE ENG. MANAGEMENT &gt; Software Engineering Management Fundamentals")</f>
        <v>0</v>
      </c>
      <c r="DG9" s="17">
        <f>COUNTIFS('Prácticas_Revisiones'!$S$2:$S$282,"T003",'Prácticas_Revisiones'!$T$2:$T$282,"SOFTWARE ENG. MANAGEMENT &gt; Initiation and Scope Definition")+COUNTIFS('Prácticas_Snowballing'!$AB$2:$AB$281,"T003",'Prácticas_Snowballing'!$AC$2:$AC$281,"SOFTWARE ENG. MANAGEMENT &gt; Initiation and Scope Definition")</f>
        <v>0</v>
      </c>
      <c r="DH9" s="17">
        <f>COUNTIFS('Prácticas_Revisiones'!$S$2:$S$282,"T003",'Prácticas_Revisiones'!$T$2:$T$282,"SOFTWARE ENG. MANAGEMENT &gt; Software Project Planning")+COUNTIFS('Prácticas_Snowballing'!$AB$2:$AB$281,"T003",'Prácticas_Snowballing'!$AC$2:$AC$281,"SOFTWARE ENG. MANAGEMENT &gt; Software Project Planning")</f>
        <v>0</v>
      </c>
      <c r="DI9" s="17">
        <f>COUNTIFS('Prácticas_Revisiones'!$S$2:$S$282,"T003",'Prácticas_Revisiones'!$T$2:$T$282,"SOFTWARE ENG. MANAGEMENT &gt; Software Project Enactment")+COUNTIFS('Prácticas_Snowballing'!$AB$2:$AB$281,"T003",'Prácticas_Snowballing'!$AC$2:$AC$281,"SOFTWARE ENG. MANAGEMENT &gt; Software Project Enactment")</f>
        <v>0</v>
      </c>
      <c r="DJ9" s="17">
        <f>COUNTIFS('Prácticas_Revisiones'!$S$2:$S$282,"T003",'Prácticas_Revisiones'!$T$2:$T$282,"SOFTWARE ENG. MANAGEMENT &gt; Review and Evaluation")+COUNTIFS('Prácticas_Snowballing'!$AB$2:$AB$281,"T003",'Prácticas_Snowballing'!$AC$2:$AC$281,"SOFTWARE ENG. MANAGEMENT &gt; Review and Evaluation")</f>
        <v>0</v>
      </c>
      <c r="DK9" s="17">
        <f>COUNTIFS('Prácticas_Revisiones'!$S$2:$S$282,"T003",'Prácticas_Revisiones'!$T$2:$T$282,"SOFTWARE ENG. MANAGEMENT &gt; Closure")+COUNTIFS('Prácticas_Snowballing'!$AB$2:$AB$281,"T003",'Prácticas_Snowballing'!$AC$2:$AC$281,"SOFTWARE ENG. MANAGEMENT &gt; Closure")</f>
        <v>0</v>
      </c>
      <c r="DL9" s="17">
        <f>COUNTIFS('Prácticas_Revisiones'!$S$2:$S$282,"T003",'Prácticas_Revisiones'!$T$2:$T$282,"SOFTWARE ENG. MANAGEMENT &gt; Software Engineering Management Tools")+COUNTIFS('Prácticas_Snowballing'!$AB$2:$AB$281,"T003",'Prácticas_Snowballing'!$AC$2:$AC$281,"SOFTWARE ENG. MANAGEMENT &gt; Software Engineering Management Tools")</f>
        <v>0</v>
      </c>
      <c r="DM9" s="17">
        <f>COUNTIFS('Prácticas_Revisiones'!$S$2:$S$282,"T003",'Prácticas_Revisiones'!$T$2:$T$282,"SOFTWARE ENG. MANAGEMENT &gt; Subárea no determinable")+COUNTIFS('Prácticas_Snowballing'!$AB$2:$AB$281,"T003",'Prácticas_Snowballing'!$AC$2:$AC$281,"SOFTWARE ENG. MANAGEMENT &gt; Subárea no determinable")</f>
        <v>0</v>
      </c>
      <c r="DN9" s="29">
        <f t="shared" si="15"/>
        <v>0</v>
      </c>
      <c r="DO9" s="17">
        <f>COUNTIFS('Prácticas_Revisiones'!$S$2:$S$282,"T003",'Prácticas_Revisiones'!$T$2:$T$282,"Sin área SWEBOK")+COUNTIFS('Prácticas_Snowballing'!$AB$2:$AB$281,"T003",'Prácticas_Snowballing'!$AC$2:$AC$281,"Sin área SWEBOK")</f>
        <v>0</v>
      </c>
      <c r="DP9" s="27">
        <f t="shared" si="16"/>
        <v>0</v>
      </c>
    </row>
    <row r="10">
      <c r="A10" s="28"/>
      <c r="B10" s="16" t="s">
        <v>769</v>
      </c>
      <c r="C10" s="17">
        <f>COUNTIFS('Prácticas_Revisiones'!$S$2:$S$282,"T004",'Prácticas_Revisiones'!$T$2:$T$282,"REQUIREMENTS &gt; Software Requirements Fundamentals")+COUNTIFS('Prácticas_Snowballing'!$AB$2:$AB$281,"T004",'Prácticas_Snowballing'!$AC$2:$AC$281,"REQUIREMENTS &gt; Software Requirements Fundamentals")</f>
        <v>0</v>
      </c>
      <c r="D10" s="17">
        <f>COUNTIFS('Prácticas_Revisiones'!$S$2:$S$282,"T004",'Prácticas_Revisiones'!$T$2:$T$282,"REQUIREMENTS &gt; Requirements Elicitation")+COUNTIFS('Prácticas_Snowballing'!$AB$2:$AB$281,"T004",'Prácticas_Snowballing'!$AC$2:$AC$281,"REQUIREMENTS &gt; Requirements Elicitation")</f>
        <v>0</v>
      </c>
      <c r="E10" s="17">
        <f>COUNTIFS('Prácticas_Revisiones'!$S$2:$S$282,"T004",'Prácticas_Revisiones'!$T$2:$T$282,"REQUIREMENTS &gt; Requirements Analysis")+COUNTIFS('Prácticas_Snowballing'!$AB$2:$AB$281,"T004",'Prácticas_Snowballing'!$AC$2:$AC$281,"REQUIREMENTS &gt; Requirements Analysis")</f>
        <v>0</v>
      </c>
      <c r="F10" s="17">
        <f>COUNTIFS('Prácticas_Revisiones'!$S$2:$S$282,"T004",'Prácticas_Revisiones'!$T$2:$T$282,"REQUIREMENTS &gt; Requirements Specification")+COUNTIFS('Prácticas_Snowballing'!$AB$2:$AB$281,"T004",'Prácticas_Snowballing'!$AC$2:$AC$281,"REQUIREMENTS &gt; Requirements Specification")</f>
        <v>0</v>
      </c>
      <c r="G10" s="17">
        <f>COUNTIFS('Prácticas_Revisiones'!$S$2:$S$282,"T004",'Prácticas_Revisiones'!$T$2:$T$282,"REQUIREMENTS &gt; Requirements Validation")+COUNTIFS('Prácticas_Snowballing'!$AB$2:$AB$281,"T004",'Prácticas_Snowballing'!$AC$2:$AC$281,"REQUIREMENTS &gt; Requirements Validation")</f>
        <v>0</v>
      </c>
      <c r="H10" s="17">
        <f>COUNTIFS('Prácticas_Revisiones'!$S$2:$S$282,"T004",'Prácticas_Revisiones'!$T$2:$T$282,"REQUIREMENTS &gt; Requirements Management Activities")+COUNTIFS('Prácticas_Snowballing'!$AB$2:$AB$281,"T004",'Prácticas_Snowballing'!$AC$2:$AC$281,"REQUIREMENTS &gt; Requirements Management Activities")</f>
        <v>0</v>
      </c>
      <c r="I10" s="17">
        <f>COUNTIFS('Prácticas_Revisiones'!$S$2:$S$282,"T004",'Prácticas_Revisiones'!$T$2:$T$282,"REQUIREMENTS &gt; Practical Considerations")+COUNTIFS('Prácticas_Snowballing'!$AB$2:$AB$281,"T004",'Prácticas_Snowballing'!$AC$2:$AC$281,"REQUIREMENTS &gt; Practical Considerations")</f>
        <v>0</v>
      </c>
      <c r="J10" s="17">
        <f>COUNTIFS('Prácticas_Revisiones'!$S$2:$S$282,"T004",'Prácticas_Revisiones'!$T$2:$T$282,"REQUIREMENTS &gt; Software Requirements Tools")+COUNTIFS('Prácticas_Snowballing'!$AB$2:$AB$281,"T004",'Prácticas_Snowballing'!$AC$2:$AC$281,"REQUIREMENTS &gt; Software Requirements Tools")</f>
        <v>0</v>
      </c>
      <c r="K10" s="17">
        <f>COUNTIFS('Prácticas_Revisiones'!$S$2:$S$282,"T004",'Prácticas_Revisiones'!$T$2:$T$282,"REQUIREMENTS &gt; Subárea no determinable")+COUNTIFS('Prácticas_Snowballing'!$AB$2:$AB$281,"T004",'Prácticas_Snowballing'!$AC$2:$AC$281,"REQUIREMENTS &gt; Subárea no determinable")</f>
        <v>0</v>
      </c>
      <c r="L10" s="29">
        <f t="shared" si="1"/>
        <v>0</v>
      </c>
      <c r="M10" s="17">
        <f>COUNTIFS('Prácticas_Revisiones'!$S$2:$S$282,"T004",'Prácticas_Revisiones'!$T$2:$T$282,"ARCHITECTURE &gt; Software Architecture Fundamentals")+COUNTIFS('Prácticas_Snowballing'!$AB$2:$AB$281,"T004",'Prácticas_Snowballing'!$AC$2:$AC$281,"ARCHITECTURE &gt; Software Architecture Fundamentals")</f>
        <v>0</v>
      </c>
      <c r="N10" s="17">
        <f>COUNTIFS('Prácticas_Revisiones'!$S$2:$S$282,"T004",'Prácticas_Revisiones'!$T$2:$T$282,"ARCHITECTURE &gt; Software Architecture Description")+COUNTIFS('Prácticas_Snowballing'!$AB$2:$AB$281,"T004",'Prácticas_Snowballing'!$AC$2:$AC$281,"ARCHITECTURE &gt; Software Architecture Description")</f>
        <v>0</v>
      </c>
      <c r="O10" s="17">
        <f>COUNTIFS('Prácticas_Revisiones'!$S$2:$S$282,"T004",'Prácticas_Revisiones'!$T$2:$T$282,"ARCHITECTURE &gt; Software Architecture Process")+COUNTIFS('Prácticas_Snowballing'!$AB$2:$AB$281,"T004",'Prácticas_Snowballing'!$AC$2:$AC$281,"ARCHITECTURE &gt; Software Architecture Process")</f>
        <v>0</v>
      </c>
      <c r="P10" s="17">
        <f>COUNTIFS('Prácticas_Revisiones'!$S$2:$S$282,"T004",'Prácticas_Revisiones'!$T$2:$T$282,"ARCHITECTURE &gt; Software Architecture Evaluation")+COUNTIFS('Prácticas_Snowballing'!$AB$2:$AB$281,"T004",'Prácticas_Snowballing'!$AC$2:$AC$281,"ARCHITECTURE &gt; Software Architecture Evaluation")</f>
        <v>0</v>
      </c>
      <c r="Q10" s="17">
        <f>COUNTIFS('Prácticas_Revisiones'!$S$2:$S$282,"T004",'Prácticas_Revisiones'!$T$2:$T$282,"ARCHITECTURE &gt; Subárea no determinable")+COUNTIFS('Prácticas_Snowballing'!$AB$2:$AB$281,"T004",'Prácticas_Snowballing'!$AC$2:$AC$281,"ARCHITECTURE &gt; Subárea no determinable")</f>
        <v>0</v>
      </c>
      <c r="R10" s="29">
        <f t="shared" si="2"/>
        <v>0</v>
      </c>
      <c r="S10" s="17">
        <f>COUNTIFS('Prácticas_Revisiones'!$S$2:$S$282,"T004",'Prácticas_Revisiones'!$T$2:$T$282,"DESIGN &gt; Software Design Fundamentals")+COUNTIFS('Prácticas_Snowballing'!$AB$2:$AB$281,"T004",'Prácticas_Snowballing'!$AC$2:$AC$281,"DESIGN &gt; Software Design Fundamentals")</f>
        <v>0</v>
      </c>
      <c r="T10" s="17">
        <f>COUNTIFS('Prácticas_Revisiones'!$S$2:$S$282,"T004",'Prácticas_Revisiones'!$T$2:$T$282,"DESIGN &gt; Software Design Processes")+COUNTIFS('Prácticas_Snowballing'!$AB$2:$AB$281,"T004",'Prácticas_Snowballing'!$AC$2:$AC$281,"DESIGN &gt; Software Design Processes")</f>
        <v>0</v>
      </c>
      <c r="U10" s="17">
        <f>COUNTIFS('Prácticas_Revisiones'!$S$2:$S$282,"T004",'Prácticas_Revisiones'!$T$2:$T$282,"DESIGN &gt; Software Design Qualities")+COUNTIFS('Prácticas_Snowballing'!$AB$2:$AB$281,"T004",'Prácticas_Snowballing'!$AC$2:$AC$281,"DESIGN &gt; Software Design Qualities")</f>
        <v>0</v>
      </c>
      <c r="V10" s="17">
        <f>COUNTIFS('Prácticas_Revisiones'!$S$2:$S$282,"T004",'Prácticas_Revisiones'!$T$2:$T$282,"DESIGN &gt; Recording Software Design")+COUNTIFS('Prácticas_Snowballing'!$AB$2:$AB$281,"T004",'Prácticas_Snowballing'!$AC$2:$AC$281,"DESIGN &gt; Recording Software Design")</f>
        <v>0</v>
      </c>
      <c r="W10" s="17">
        <f>COUNTIFS('Prácticas_Revisiones'!$S$2:$S$282,"T004",'Prácticas_Revisiones'!$T$2:$T$282,"DESIGN &gt; Software Design Strategies and Methods")+COUNTIFS('Prácticas_Snowballing'!$AB$2:$AB$281,"T004",'Prácticas_Snowballing'!$AC$2:$AC$281,"DESIGN &gt; Software Design Strategies and Methods")</f>
        <v>0</v>
      </c>
      <c r="X10" s="17">
        <f>COUNTIFS('Prácticas_Revisiones'!$S$2:$S$282,"T004",'Prácticas_Revisiones'!$T$2:$T$282,"DESIGN &gt; Software Design Analysis and Evaluations")+COUNTIFS('Prácticas_Snowballing'!$AB$2:$AB$281,"T004",'Prácticas_Snowballing'!$AC$2:$AC$281,"DESIGN &gt; Software Design Analysis and Evaluations")</f>
        <v>0</v>
      </c>
      <c r="Y10" s="17">
        <f>COUNTIFS('Prácticas_Revisiones'!$S$2:$S$282,"T004",'Prácticas_Revisiones'!$T$2:$T$282,"DESIGN &gt; Subárea no determinable")+COUNTIFS('Prácticas_Snowballing'!$AB$2:$AB$281,"T004",'Prácticas_Snowballing'!$AC$2:$AC$281,"DESIGN &gt; Subárea no determinable")</f>
        <v>0</v>
      </c>
      <c r="Z10" s="29">
        <f t="shared" si="3"/>
        <v>0</v>
      </c>
      <c r="AA10" s="17">
        <f>COUNTIFS('Prácticas_Revisiones'!$S$2:$S$282,"T004",'Prácticas_Revisiones'!$T$2:$T$282,"CONSTRUCTION &gt; Software Construction Fundamentals")+COUNTIFS('Prácticas_Snowballing'!$AB$2:$AB$281,"T004",'Prácticas_Snowballing'!$AC$2:$AC$281,"CONSTRUCTION &gt; Software Construction Fundamentals")</f>
        <v>2</v>
      </c>
      <c r="AB10" s="17">
        <f>COUNTIFS('Prácticas_Revisiones'!$S$2:$S$282,"T004",'Prácticas_Revisiones'!$T$2:$T$282,"CONSTRUCTION &gt; Managing Construction")+COUNTIFS('Prácticas_Snowballing'!$AB$2:$AB$281,"T004",'Prácticas_Snowballing'!$AC$2:$AC$281,"CONSTRUCTION &gt; Managing Construction")</f>
        <v>0</v>
      </c>
      <c r="AC10" s="17">
        <f>COUNTIFS('Prácticas_Revisiones'!$S$2:$S$282,"T004",'Prácticas_Revisiones'!$T$2:$T$282,"CONSTRUCTION &gt; Practical Considerations")+COUNTIFS('Prácticas_Snowballing'!$AB$2:$AB$281,"T004",'Prácticas_Snowballing'!$AC$2:$AC$281,"CONSTRUCTION &gt; Practical Considerations")</f>
        <v>0</v>
      </c>
      <c r="AD10" s="17">
        <f>COUNTIFS('Prácticas_Revisiones'!$S$2:$S$282,"T004",'Prácticas_Revisiones'!$T$2:$T$282,"CONSTRUCTION &gt; Construction Technologies")+COUNTIFS('Prácticas_Snowballing'!$AB$2:$AB$281,"T004",'Prácticas_Snowballing'!$AC$2:$AC$281,"CONSTRUCTION &gt; Construction Technologies")</f>
        <v>0</v>
      </c>
      <c r="AE10" s="17">
        <f>COUNTIFS('Prácticas_Revisiones'!$S$2:$S$282,"T004",'Prácticas_Revisiones'!$T$2:$T$282,"CONSTRUCTION &gt; Software Construction Tools")+COUNTIFS('Prácticas_Snowballing'!$AB$2:$AB$281,"T004",'Prácticas_Snowballing'!$AC$2:$AC$281,"CONSTRUCTION &gt; Software Construction Tools")</f>
        <v>0</v>
      </c>
      <c r="AF10" s="17">
        <f>COUNTIFS('Prácticas_Revisiones'!$S$2:$S$282,"T004",'Prácticas_Revisiones'!$T$2:$T$282,"CONSTRUCTION &gt; Subárea no determinable")+COUNTIFS('Prácticas_Snowballing'!$AB$2:$AB$281,"T004",'Prácticas_Snowballing'!$AC$2:$AC$281,"CONSTRUCTION &gt; Subárea no determinable")</f>
        <v>0</v>
      </c>
      <c r="AG10" s="29">
        <f t="shared" si="4"/>
        <v>2</v>
      </c>
      <c r="AH10" s="17">
        <f>COUNTIFS('Prácticas_Revisiones'!$S$2:$S$282,"T004",'Prácticas_Revisiones'!$T$2:$T$282,"SOFTWARE TESTING &gt; Software Testing Fundamentals")+COUNTIFS('Prácticas_Snowballing'!$AB$2:$AB$281,"T004",'Prácticas_Snowballing'!$AC$2:$AC$281,"SOFTWARE TESTING &gt; Software Testing Fundamentals")</f>
        <v>0</v>
      </c>
      <c r="AI10" s="17">
        <f>COUNTIFS('Prácticas_Revisiones'!$S$2:$S$282,"T004",'Prácticas_Revisiones'!$T$2:$T$282,"SOFTWARE TESTING &gt; Test Levels")+COUNTIFS('Prácticas_Snowballing'!$AB$2:$AB$281,"T004",'Prácticas_Snowballing'!$AC$2:$AC$281,"SOFTWARE TESTING &gt; Test Levels")</f>
        <v>0</v>
      </c>
      <c r="AJ10" s="17">
        <f>COUNTIFS('Prácticas_Revisiones'!$S$2:$S$282,"T004",'Prácticas_Revisiones'!$T$2:$T$282,"SOFTWARE TESTING &gt; Test Techniques")+COUNTIFS('Prácticas_Snowballing'!$AB$2:$AB$281,"T004",'Prácticas_Snowballing'!$AC$2:$AC$281,"SOFTWARE TESTING &gt; Test Techniques")</f>
        <v>0</v>
      </c>
      <c r="AK10" s="17">
        <f>COUNTIFS('Prácticas_Revisiones'!$S$2:$S$282,"T004",'Prácticas_Revisiones'!$T$2:$T$282,"SOFTWARE TESTING &gt; Test-Related Measures")+COUNTIFS('Prácticas_Snowballing'!$AB$2:$AB$281,"T004",'Prácticas_Snowballing'!$AC$2:$AC$281,"SOFTWARE TESTING &gt; Test-Related Measures")</f>
        <v>0</v>
      </c>
      <c r="AL10" s="17">
        <f>COUNTIFS('Prácticas_Revisiones'!$S$2:$S$282,"T004",'Prácticas_Revisiones'!$T$2:$T$282,"SOFTWARE TESTING &gt; Test Process")+COUNTIFS('Prácticas_Snowballing'!$AB$2:$AB$281,"T004",'Prácticas_Snowballing'!$AC$2:$AC$281,"SOFTWARE TESTING &gt; Test Process")</f>
        <v>0</v>
      </c>
      <c r="AM10" s="17">
        <f>COUNTIFS('Prácticas_Revisiones'!$S$2:$S$282,"T004",'Prácticas_Revisiones'!$T$2:$T$282,"SOFTWARE TESTING &gt; Software Testing in the Development Processes...")+COUNTIFS('Prácticas_Snowballing'!$AB$2:$AB$281,"T004",'Prácticas_Snowballing'!$AC$2:$AC$281,"SOFTWARE TESTING &gt; Software Testing in the Development Processes...")</f>
        <v>0</v>
      </c>
      <c r="AN10" s="17">
        <f>COUNTIFS('Prácticas_Revisiones'!$S$2:$S$282,"T004",'Prácticas_Revisiones'!$T$2:$T$282,"SOFTWARE TESTING &gt; Testing of and Testing Through Emerging Tech...")+COUNTIFS('Prácticas_Snowballing'!$AB$2:$AB$281,"T004",'Prácticas_Snowballing'!$AC$2:$AC$281,"SOFTWARE TESTING &gt; Testing of and Testing Through Emerging Tech...")</f>
        <v>0</v>
      </c>
      <c r="AO10" s="17">
        <f>COUNTIFS('Prácticas_Revisiones'!$S$2:$S$282,"T004",'Prácticas_Revisiones'!$T$2:$T$282,"SOFTWARE TESTING &gt; Software Testing Tools")+COUNTIFS('Prácticas_Snowballing'!$AB$2:$AB$281,"T004",'Prácticas_Snowballing'!$AC$2:$AC$281,"SOFTWARE TESTING &gt; Software Testing Tools")</f>
        <v>0</v>
      </c>
      <c r="AP10" s="17">
        <f>COUNTIFS('Prácticas_Revisiones'!$S$2:$S$282,"T004",'Prácticas_Revisiones'!$T$2:$T$282,"SOFTWARE TESTING &gt; Subárea no determinable")+COUNTIFS('Prácticas_Snowballing'!$AB$2:$AB$281,"T004",'Prácticas_Snowballing'!$AC$2:$AC$281,"SOFTWARE TESTING &gt; Subárea no determinable")</f>
        <v>0</v>
      </c>
      <c r="AQ10" s="29">
        <f t="shared" si="5"/>
        <v>0</v>
      </c>
      <c r="AR10" s="17">
        <f>COUNTIFS('Prácticas_Revisiones'!$S$2:$S$282,"T004",'Prácticas_Revisiones'!$T$2:$T$282,"SOFTWARE ENG. OPERATIONS &gt; Software Engineering Operations Fundamentals")+COUNTIFS('Prácticas_Snowballing'!$AB$2:$AB$281,"T004",'Prácticas_Snowballing'!$AC$2:$AC$281,"SOFTWARE ENG. OPERATIONS &gt; Software Engineering Operations Fundamentals")</f>
        <v>0</v>
      </c>
      <c r="AS10" s="17">
        <f>COUNTIFS('Prácticas_Revisiones'!$S$2:$S$282,"T004",'Prácticas_Revisiones'!$T$2:$T$282,"SOFTWARE ENG. OPERATIONS &gt; Software Engineering Operations Planning")+COUNTIFS('Prácticas_Snowballing'!$AB$2:$AB$281,"T004",'Prácticas_Snowballing'!$AC$2:$AC$281,"SOFTWARE ENG. OPERATIONS &gt; Software Engineering Operations Planning")</f>
        <v>0</v>
      </c>
      <c r="AT10" s="17">
        <f>COUNTIFS('Prácticas_Revisiones'!$S$2:$S$282,"T004",'Prácticas_Revisiones'!$T$2:$T$282,"SOFTWARE ENG. OPERATIONS &gt; Software Engineering Operations Delivery")+COUNTIFS('Prácticas_Snowballing'!$AB$2:$AB$281,"T004",'Prácticas_Snowballing'!$AC$2:$AC$281,"SOFTWARE ENG. OPERATIONS &gt; Software Engineering Operations Delivery")</f>
        <v>0</v>
      </c>
      <c r="AU10" s="17">
        <f>COUNTIFS('Prácticas_Revisiones'!$S$2:$S$282,"T004",'Prácticas_Revisiones'!$T$2:$T$282,"SOFTWARE ENG. OPERATIONS &gt; Software Engineering Operations Control")+COUNTIFS('Prácticas_Snowballing'!$AB$2:$AB$281,"T004",'Prácticas_Snowballing'!$AC$2:$AC$281,"SOFTWARE ENG. OPERATIONS &gt; Software Engineering Operations Control")</f>
        <v>0</v>
      </c>
      <c r="AV10" s="17">
        <f>COUNTIFS('Prácticas_Revisiones'!$S$2:$S$282,"T004",'Prácticas_Revisiones'!$T$2:$T$282,"SOFTWARE ENG. OPERATIONS &gt; Practical Considerations")+COUNTIFS('Prácticas_Snowballing'!$AB$2:$AB$281,"T004",'Prácticas_Snowballing'!$AC$2:$AC$281,"SOFTWARE ENG. OPERATIONS &gt; Practical Considerations")</f>
        <v>0</v>
      </c>
      <c r="AW10" s="17">
        <f>COUNTIFS('Prácticas_Revisiones'!$S$2:$S$282,"T004",'Prácticas_Revisiones'!$T$2:$T$282,"SOFTWARE ENG. OPERATIONS &gt; Software Engineering Operations Tools")+COUNTIFS('Prácticas_Snowballing'!$AB$2:$AB$281,"T004",'Prácticas_Snowballing'!$AC$2:$AC$281,"SOFTWARE ENG. OPERATIONS &gt; Software Engineering Operations Tools")</f>
        <v>0</v>
      </c>
      <c r="AX10" s="17">
        <f>COUNTIFS('Prácticas_Revisiones'!$S$2:$S$282,"T004",'Prácticas_Revisiones'!$T$2:$T$282,"SOFTWARE ENG. OPERATIONS &gt; Subárea no determinable")+COUNTIFS('Prácticas_Snowballing'!$AB$2:$AB$281,"T004",'Prácticas_Snowballing'!$AC$2:$AC$281,"SOFTWARE ENG. OPERATIONS &gt; Subárea no determinable")</f>
        <v>0</v>
      </c>
      <c r="AY10" s="29">
        <f t="shared" si="6"/>
        <v>0</v>
      </c>
      <c r="AZ10" s="17">
        <f>COUNTIFS('Prácticas_Revisiones'!$S$2:$S$282,"T004",'Prácticas_Revisiones'!$T$2:$T$282,"MAINTENANCE &gt; Software Maintenance Fundamentals")+COUNTIFS('Prácticas_Snowballing'!$AB$2:$AB$281,"T004",'Prácticas_Snowballing'!$AC$2:$AC$281,"MAINTENANCE &gt; Software Maintenance Fundamentals")</f>
        <v>0</v>
      </c>
      <c r="BA10" s="17">
        <f>COUNTIFS('Prácticas_Revisiones'!$S$2:$S$282,"T004",'Prácticas_Revisiones'!$T$2:$T$282,"MAINTENANCE &gt; Key Issues in Software Maintenance")+COUNTIFS('Prácticas_Snowballing'!$AB$2:$AB$281,"T004",'Prácticas_Snowballing'!$AC$2:$AC$281,"MAINTENANCE &gt; Key Issues in Software Maintenance")</f>
        <v>0</v>
      </c>
      <c r="BB10" s="17">
        <f>COUNTIFS('Prácticas_Revisiones'!$S$2:$S$282,"T004",'Prácticas_Revisiones'!$T$2:$T$282,"MAINTENANCE &gt; Software Maintenance Processes")+COUNTIFS('Prácticas_Snowballing'!$AB$2:$AB$281,"T004",'Prácticas_Snowballing'!$AC$2:$AC$281,"MAINTENANCE &gt; Software Maintenance Processes")</f>
        <v>0</v>
      </c>
      <c r="BC10" s="17">
        <f>COUNTIFS('Prácticas_Revisiones'!$S$2:$S$282,"T004",'Prácticas_Revisiones'!$T$2:$T$282,"MAINTENANCE &gt; Software Maintenance Techniques")+COUNTIFS('Prácticas_Snowballing'!$AB$2:$AB$281,"T004",'Prácticas_Snowballing'!$AC$2:$AC$281,"MAINTENANCE &gt; Software Maintenance Techniques")</f>
        <v>0</v>
      </c>
      <c r="BD10" s="17">
        <f>COUNTIFS('Prácticas_Revisiones'!$S$2:$S$282,"T004",'Prácticas_Revisiones'!$T$2:$T$282,"MAINTENANCE &gt; Software Maintenance Tools")+COUNTIFS('Prácticas_Snowballing'!$AB$2:$AB$281,"T004",'Prácticas_Snowballing'!$AC$2:$AC$281,"MAINTENANCE &gt; Software Maintenance Tools")</f>
        <v>0</v>
      </c>
      <c r="BE10" s="17">
        <f>COUNTIFS('Prácticas_Revisiones'!$S$2:$S$282,"T004",'Prácticas_Revisiones'!$T$2:$T$282,"MAINTENANCE &gt; Subárea no determinable")+COUNTIFS('Prácticas_Snowballing'!$AB$2:$AB$281,"T004",'Prácticas_Snowballing'!$AC$2:$AC$281,"MAINTENANCE &gt; Subárea no determinable")</f>
        <v>0</v>
      </c>
      <c r="BF10" s="29">
        <f t="shared" si="7"/>
        <v>0</v>
      </c>
      <c r="BG10" s="17">
        <f>COUNTIFS('Prácticas_Revisiones'!$S$2:$S$282,"T004",'Prácticas_Revisiones'!$T$2:$T$282,"SOFTWARE CONFIG. MGMT. &gt; Management of the SCM Process")+COUNTIFS('Prácticas_Snowballing'!$AB$2:$AB$281,"T004",'Prácticas_Snowballing'!$AC$2:$AC$281,"SOFTWARE CONFIG. MGMT. &gt; Management of the SCM Process")</f>
        <v>0</v>
      </c>
      <c r="BH10" s="17">
        <f>COUNTIFS('Prácticas_Revisiones'!$S$2:$S$282,"T004",'Prácticas_Revisiones'!$T$2:$T$282,"SOFTWARE CONFIG. MGMT. &gt; Software Configuration Identification")+COUNTIFS('Prácticas_Snowballing'!$AB$2:$AB$281,"T004",'Prácticas_Snowballing'!$AC$2:$AC$281,"SOFTWARE CONFIG. MGMT. &gt; Software Configuration Identification")</f>
        <v>0</v>
      </c>
      <c r="BI10" s="17">
        <f>COUNTIFS('Prácticas_Revisiones'!$S$2:$S$282,"T004",'Prácticas_Revisiones'!$T$2:$T$282,"SOFTWARE CONFIG. MGMT. &gt; Software Configuration Change Control")+COUNTIFS('Prácticas_Snowballing'!$AB$2:$AB$281,"T004",'Prácticas_Snowballing'!$AC$2:$AC$281,"SOFTWARE CONFIG. MGMT. &gt; Software Configuration Change Control")</f>
        <v>0</v>
      </c>
      <c r="BJ10" s="17">
        <f>COUNTIFS('Prácticas_Revisiones'!$S$2:$S$282,"T004",'Prácticas_Revisiones'!$T$2:$T$282,"SOFTWARE CONFIG. MGMT. &gt; Software Configuration Status Accounting")+COUNTIFS('Prácticas_Snowballing'!$AB$2:$AB$281,"T004",'Prácticas_Snowballing'!$AC$2:$AC$281,"SOFTWARE CONFIG. MGMT. &gt; Software Configuration Status Accounting")</f>
        <v>0</v>
      </c>
      <c r="BK10" s="17">
        <f>COUNTIFS('Prácticas_Revisiones'!$S$2:$S$282,"T004",'Prácticas_Revisiones'!$T$2:$T$282,"SOFTWARE CONFIG. MGMT. &gt; Software Configuration Auditing")+COUNTIFS('Prácticas_Snowballing'!$AB$2:$AB$281,"T004",'Prácticas_Snowballing'!$AC$2:$AC$281,"SOFTWARE CONFIG. MGMT. &gt; Software Configuration Auditing")</f>
        <v>0</v>
      </c>
      <c r="BL10" s="17">
        <f>COUNTIFS('Prácticas_Revisiones'!$S$2:$S$282,"T004",'Prácticas_Revisiones'!$T$2:$T$282,"SOFTWARE CONFIG. MGMT. &gt; Software Release Management and Delivery")+COUNTIFS('Prácticas_Snowballing'!$AB$2:$AB$281,"T004",'Prácticas_Snowballing'!$AC$2:$AC$281,"SOFTWARE CONFIG. MGMT. &gt; Software Release Management and Delivery")</f>
        <v>0</v>
      </c>
      <c r="BM10" s="17">
        <f>COUNTIFS('Prácticas_Revisiones'!$S$2:$S$282,"T004",'Prácticas_Revisiones'!$T$2:$T$282,"SOFTWARE CONFIG. MGMT. &gt; Software Configuration Management Tools")+COUNTIFS('Prácticas_Snowballing'!$AB$2:$AB$281,"T004",'Prácticas_Snowballing'!$AC$2:$AC$281,"SOFTWARE CONFIG. MGMT. &gt; Software Configuration Management Tools")</f>
        <v>0</v>
      </c>
      <c r="BN10" s="17">
        <f>COUNTIFS('Prácticas_Revisiones'!$S$2:$S$282,"T004",'Prácticas_Revisiones'!$T$2:$T$282,"SOFTWARE CONFIG. MGMT. &gt; Subárea no determinable")+COUNTIFS('Prácticas_Snowballing'!$AB$2:$AB$281,"T004",'Prácticas_Snowballing'!$AC$2:$AC$281,"SOFTWARE CONFIG. MGMT. &gt; Subárea no determinable")</f>
        <v>0</v>
      </c>
      <c r="BO10" s="29">
        <f t="shared" si="8"/>
        <v>0</v>
      </c>
      <c r="BP10" s="17">
        <f>COUNTIFS('Prácticas_Revisiones'!$S$2:$S$282,"T004",'Prácticas_Revisiones'!$T$2:$T$282,"SOFTWARE ENG. PROCESS &gt; Software Engineering Process Fundamentals")+COUNTIFS('Prácticas_Snowballing'!$AB$2:$AB$281,"T004",'Prácticas_Snowballing'!$AC$2:$AC$281,"SOFTWARE ENG. PROCESS &gt; Software Engineering Process Fundamentals")</f>
        <v>0</v>
      </c>
      <c r="BQ10" s="17">
        <f>COUNTIFS('Prácticas_Revisiones'!$S$2:$S$282,"T004",'Prácticas_Revisiones'!$T$2:$T$282,"SOFTWARE ENG. PROCESS &gt; Life Cycles")+COUNTIFS('Prácticas_Snowballing'!$AB$2:$AB$281,"T004",'Prácticas_Snowballing'!$AC$2:$AC$281,"SOFTWARE ENG. PROCESS &gt; Life Cycles")</f>
        <v>0</v>
      </c>
      <c r="BR10" s="17">
        <f>COUNTIFS('Prácticas_Revisiones'!$S$2:$S$282,"T004",'Prácticas_Revisiones'!$T$2:$T$282,"SOFTWARE ENG. PROCESS &gt; Software Process Assessment and Improvement")+COUNTIFS('Prácticas_Snowballing'!$AB$2:$AB$281,"T004",'Prácticas_Snowballing'!$AC$2:$AC$281,"SOFTWARE ENG. PROCESS &gt; Software Process Assessment and Improvement")</f>
        <v>0</v>
      </c>
      <c r="BS10" s="17">
        <f>COUNTIFS('Prácticas_Revisiones'!$S$2:$S$282,"T004",'Prácticas_Revisiones'!$T$2:$T$282,"SOFTWARE ENG. PROCESS &gt; Subárea no determinable")+COUNTIFS('Prácticas_Snowballing'!$AB$2:$AB$281,"T004",'Prácticas_Snowballing'!$AC$2:$AC$281,"SOFTWARE ENG. PROCESS &gt; Subárea no determinable")</f>
        <v>0</v>
      </c>
      <c r="BT10" s="29">
        <f t="shared" si="9"/>
        <v>0</v>
      </c>
      <c r="BU10" s="17">
        <f>COUNTIFS('Prácticas_Revisiones'!$S$2:$S$282,"T004",'Prácticas_Revisiones'!$T$2:$T$282,"SOFTWARE ENG. MODELS/METH. &gt; Modeling")+COUNTIFS('Prácticas_Snowballing'!$AB$2:$AB$281,"T004",'Prácticas_Snowballing'!$AC$2:$AC$281,"SOFTWARE ENG. MODELS/METH. &gt; Modeling")</f>
        <v>0</v>
      </c>
      <c r="BV10" s="17">
        <f>COUNTIFS('Prácticas_Revisiones'!$S$2:$S$282,"T004",'Prácticas_Revisiones'!$T$2:$T$282,"SOFTWARE ENG. MODELS/METH. &gt; Types of Models")+COUNTIFS('Prácticas_Snowballing'!$AB$2:$AB$281,"T004",'Prácticas_Snowballing'!$AC$2:$AC$281,"SOFTWARE ENG. MODELS/METH. &gt; Types of Models")</f>
        <v>0</v>
      </c>
      <c r="BW10" s="17">
        <f>COUNTIFS('Prácticas_Revisiones'!$S$2:$S$282,"T004",'Prácticas_Revisiones'!$T$2:$T$282,"SOFTWARE ENG. MODELS/METH. &gt; Analysis of Models")+COUNTIFS('Prácticas_Snowballing'!$AB$2:$AB$281,"T004",'Prácticas_Snowballing'!$AC$2:$AC$281,"SOFTWARE ENG. MODELS/METH. &gt; Analysis of Models")</f>
        <v>0</v>
      </c>
      <c r="BX10" s="17">
        <f>COUNTIFS('Prácticas_Revisiones'!$S$2:$S$282,"T004",'Prácticas_Revisiones'!$T$2:$T$282,"SOFTWARE ENG. MODELS/METH. &gt; Software Engineering Methods")+COUNTIFS('Prácticas_Snowballing'!$AB$2:$AB$281,"T004",'Prácticas_Snowballing'!$AC$2:$AC$281,"SOFTWARE ENG. MODELS/METH. &gt; Software Engineering Methods")</f>
        <v>0</v>
      </c>
      <c r="BY10" s="17">
        <f>COUNTIFS('Prácticas_Revisiones'!$S$2:$S$282,"T004",'Prácticas_Revisiones'!$T$2:$T$282,"SOFTWARE ENG. MODELS/METH. &gt; Subárea no determinable")+COUNTIFS('Prácticas_Snowballing'!$AB$2:$AB$281,"T004",'Prácticas_Snowballing'!$AC$2:$AC$281,"SOFTWARE ENG. MODELS/METH. &gt; Subárea no determinable")</f>
        <v>0</v>
      </c>
      <c r="BZ10" s="29">
        <f t="shared" si="10"/>
        <v>0</v>
      </c>
      <c r="CA10" s="17">
        <f>COUNTIFS('Prácticas_Revisiones'!$S$2:$S$282,"T004",'Prácticas_Revisiones'!$T$2:$T$282,"SOFTWARE QUALITY &gt; Software Quality Fundamentals")+COUNTIFS('Prácticas_Snowballing'!$AB$2:$AB$281,"T004",'Prácticas_Snowballing'!$AC$2:$AC$281,"SOFTWARE QUALITY &gt; Software Quality Fundamentals")</f>
        <v>0</v>
      </c>
      <c r="CB10" s="17">
        <f>COUNTIFS('Prácticas_Revisiones'!$S$2:$S$282,"T004",'Prácticas_Revisiones'!$T$2:$T$282,"SOFTWARE QUALITY &gt; Software Quality Management Process")+COUNTIFS('Prácticas_Snowballing'!$AB$2:$AB$281,"T004",'Prácticas_Snowballing'!$AC$2:$AC$281,"SOFTWARE QUALITY &gt; Software Quality Management Process")</f>
        <v>0</v>
      </c>
      <c r="CC10" s="17">
        <f>COUNTIFS('Prácticas_Revisiones'!$S$2:$S$282,"T004",'Prácticas_Revisiones'!$T$2:$T$282,"SOFTWARE QUALITY &gt; Software Quality Assurance Process")+COUNTIFS('Prácticas_Snowballing'!$AB$2:$AB$281,"T004",'Prácticas_Snowballing'!$AC$2:$AC$281,"SOFTWARE QUALITY &gt; Software Quality Assurance Process")</f>
        <v>0</v>
      </c>
      <c r="CD10" s="17">
        <f>COUNTIFS('Prácticas_Revisiones'!$S$2:$S$282,"T004",'Prácticas_Revisiones'!$T$2:$T$282,"SOFTWARE QUALITY &gt; Software Quality Tools")+COUNTIFS('Prácticas_Snowballing'!$AB$2:$AB$281,"T004",'Prácticas_Snowballing'!$AC$2:$AC$281,"SOFTWARE QUALITY &gt; Software Quality Tools")</f>
        <v>0</v>
      </c>
      <c r="CE10" s="17">
        <f>COUNTIFS('Prácticas_Revisiones'!$S$2:$S$282,"T004",'Prácticas_Revisiones'!$T$2:$T$282,"SOFTWARE QUALITY &gt; Subárea no determinable")+COUNTIFS('Prácticas_Snowballing'!$AB$2:$AB$281,"T004",'Prácticas_Snowballing'!$AC$2:$AC$281,"SOFTWARE QUALITY &gt; Subárea no determinable")</f>
        <v>0</v>
      </c>
      <c r="CF10" s="29">
        <f t="shared" si="11"/>
        <v>0</v>
      </c>
      <c r="CG10" s="17">
        <f>COUNTIFS('Prácticas_Revisiones'!$S$2:$S$282,"T004",'Prácticas_Revisiones'!$T$2:$T$282,"SOFTWARE SECURITY &gt; Software Security Fundamentals")+COUNTIFS('Prácticas_Snowballing'!$AB$2:$AB$281,"T004",'Prácticas_Snowballing'!$AC$2:$AC$281,"SOFTWARE SECURITY &gt; Software Security Fundamentals")</f>
        <v>0</v>
      </c>
      <c r="CH10" s="17">
        <f>COUNTIFS('Prácticas_Revisiones'!$S$2:$S$282,"T004",'Prácticas_Revisiones'!$T$2:$T$282,"SOFTWARE SECURITY &gt; Security Management and Organization")+COUNTIFS('Prácticas_Snowballing'!$AB$2:$AB$281,"T004",'Prácticas_Snowballing'!$AC$2:$AC$281,"SOFTWARE SECURITY &gt; Security Management and Organization")</f>
        <v>0</v>
      </c>
      <c r="CI10" s="17">
        <f>COUNTIFS('Prácticas_Revisiones'!$S$2:$S$282,"T004",'Prácticas_Revisiones'!$T$2:$T$282,"SOFTWARE SECURITY &gt; Software Security Engineering and Process")+COUNTIFS('Prácticas_Snowballing'!$AB$2:$AB$281,"T004",'Prácticas_Snowballing'!$AC$2:$AC$281,"SOFTWARE SECURITY &gt; Software Security Engineering and Process")</f>
        <v>0</v>
      </c>
      <c r="CJ10" s="17">
        <f>COUNTIFS('Prácticas_Revisiones'!$S$2:$S$282,"T004",'Prácticas_Revisiones'!$T$2:$T$282,"SOFTWARE SECURITY &gt; Security Engineering for Software Systems")+COUNTIFS('Prácticas_Snowballing'!$AB$2:$AB$281,"T004",'Prácticas_Snowballing'!$AC$2:$AC$281,"SOFTWARE SECURITY &gt; Security Engineering for Software Systems")</f>
        <v>0</v>
      </c>
      <c r="CK10" s="17">
        <f>COUNTIFS('Prácticas_Revisiones'!$S$2:$S$282,"T004",'Prácticas_Revisiones'!$T$2:$T$282,"SOFTWARE SECURITY &gt; Software Security Tools")+COUNTIFS('Prácticas_Snowballing'!$AB$2:$AB$281,"T004",'Prácticas_Snowballing'!$AC$2:$AC$281,"SOFTWARE SECURITY &gt; Software Security Tools")</f>
        <v>0</v>
      </c>
      <c r="CL10" s="17">
        <f>COUNTIFS('Prácticas_Revisiones'!$S$2:$S$282,"T004",'Prácticas_Revisiones'!$T$2:$T$282,"SOFTWARE SECURITY &gt; Domain Specific Software Security")+COUNTIFS('Prácticas_Snowballing'!$AB$2:$AB$281,"T004",'Prácticas_Snowballing'!$AC$2:$AC$281,"SOFTWARE SECURITY &gt; Domain Specific Software Security")</f>
        <v>0</v>
      </c>
      <c r="CM10" s="17">
        <f>COUNTIFS('Prácticas_Revisiones'!$S$2:$S$282,"T004",'Prácticas_Revisiones'!$T$2:$T$282,"SOFTWARE SECURITY &gt; Subárea no determinable")+COUNTIFS('Prácticas_Snowballing'!$AB$2:$AB$281,"T004",'Prácticas_Snowballing'!$AC$2:$AC$281,"SOFTWARE SECURITY &gt; Subárea no determinable")</f>
        <v>0</v>
      </c>
      <c r="CN10" s="29">
        <f t="shared" si="12"/>
        <v>0</v>
      </c>
      <c r="CO10" s="17">
        <f>COUNTIFS('Prácticas_Revisiones'!$S$2:$S$282,"T004",'Prácticas_Revisiones'!$T$2:$T$282,"PROFESSIONAL PRACTICE &gt; Professionalism")+COUNTIFS('Prácticas_Snowballing'!$AB$2:$AB$281,"T004",'Prácticas_Snowballing'!$AC$2:$AC$281,"PROFESSIONAL PRACTICE &gt; Professionalism")</f>
        <v>0</v>
      </c>
      <c r="CP10" s="17">
        <f>COUNTIFS('Prácticas_Revisiones'!$S$2:$S$282,"T004",'Prácticas_Revisiones'!$T$2:$T$282,"PROFESSIONAL PRACTICE &gt; Group Dynamics and Psychology")+COUNTIFS('Prácticas_Snowballing'!$AB$2:$AB$281,"T004",'Prácticas_Snowballing'!$AC$2:$AC$281,"PROFESSIONAL PRACTICE &gt; Group Dynamics and Psychology")</f>
        <v>0</v>
      </c>
      <c r="CQ10" s="17">
        <f>COUNTIFS('Prácticas_Revisiones'!$S$2:$S$282,"T004",'Prácticas_Revisiones'!$T$2:$T$282,"PROFESSIONAL PRACTICE &gt; Communication Skills")+COUNTIFS('Prácticas_Snowballing'!$AB$2:$AB$281,"T004",'Prácticas_Snowballing'!$AC$2:$AC$281,"PROFESSIONAL PRACTICE &gt; Communication Skills")</f>
        <v>0</v>
      </c>
      <c r="CR10" s="17">
        <f>COUNTIFS('Prácticas_Revisiones'!$S$2:$S$282,"T004",'Prácticas_Revisiones'!$T$2:$T$282,"PROFESSIONAL PRACTICE &gt; Subárea no determinable")+COUNTIFS('Prácticas_Snowballing'!$AB$2:$AB$281,"T004",'Prácticas_Snowballing'!$AC$2:$AC$281,"PROFESSIONAL PRACTICE &gt; Subárea no determinable")</f>
        <v>0</v>
      </c>
      <c r="CS10" s="29">
        <f t="shared" si="13"/>
        <v>0</v>
      </c>
      <c r="CT10" s="17">
        <f>COUNTIFS('Prácticas_Revisiones'!$S$2:$S$282,"T004",'Prácticas_Revisiones'!$T$2:$T$282,"SOFTWARE ENG. ECONOMICS &gt; Software Engineering Economics Fundamentals")+COUNTIFS('Prácticas_Snowballing'!$AB$2:$AB$281,"T004",'Prácticas_Snowballing'!$AC$2:$AC$281,"SOFTWARE ENG. ECONOMICS &gt; Software Engineering Economics Fundamentals")</f>
        <v>0</v>
      </c>
      <c r="CU10" s="17">
        <f>COUNTIFS('Prácticas_Revisiones'!$S$2:$S$282,"T004",'Prácticas_Revisiones'!$T$2:$T$282,"SOFTWARE ENG. ECONOMICS &gt; The Engineering Decision-Making Process")+COUNTIFS('Prácticas_Snowballing'!$AB$2:$AB$281,"T004",'Prácticas_Snowballing'!$AC$2:$AC$281,"SOFTWARE ENG. ECONOMICS &gt; The Engineering Decision-Making Process")</f>
        <v>0</v>
      </c>
      <c r="CV10" s="17">
        <f>COUNTIFS('Prácticas_Revisiones'!$S$2:$S$282,"T004",'Prácticas_Revisiones'!$T$2:$T$282,"SOFTWARE ENG. ECONOMICS &gt; For-Profit Decision-Making")+COUNTIFS('Prácticas_Snowballing'!$AB$2:$AB$281,"T004",'Prácticas_Snowballing'!$AC$2:$AC$281,"SOFTWARE ENG. ECONOMICS &gt; For-Profit Decision-Making")</f>
        <v>0</v>
      </c>
      <c r="CW10" s="17">
        <f>COUNTIFS('Prácticas_Revisiones'!$S$2:$S$282,"T004",'Prácticas_Revisiones'!$T$2:$T$282,"SOFTWARE ENG. ECONOMICS &gt; Nonprofit Decision-Making")+COUNTIFS('Prácticas_Snowballing'!$AB$2:$AB$281,"T004",'Prácticas_Snowballing'!$AC$2:$AC$281,"SOFTWARE ENG. ECONOMICS &gt; Nonprofit Decision-Making")</f>
        <v>0</v>
      </c>
      <c r="CX10" s="17">
        <f>COUNTIFS('Prácticas_Revisiones'!$S$2:$S$282,"T004",'Prácticas_Revisiones'!$T$2:$T$282,"SOFTWARE ENG. ECONOMICS &gt; Present Economy Decision-Making")+COUNTIFS('Prácticas_Snowballing'!$AB$2:$AB$281,"T004",'Prácticas_Snowballing'!$AC$2:$AC$281,"SOFTWARE ENG. ECONOMICS &gt; Present Economy Decision-Making")</f>
        <v>0</v>
      </c>
      <c r="CY10" s="17">
        <f>COUNTIFS('Prácticas_Revisiones'!$S$2:$S$282,"T004",'Prácticas_Revisiones'!$T$2:$T$282,"SOFTWARE ENG. ECONOMICS &gt; Multiple-Attribute Decision-Making")+COUNTIFS('Prácticas_Snowballing'!$AB$2:$AB$281,"T004",'Prácticas_Snowballing'!$AC$2:$AC$281,"SOFTWARE ENG. ECONOMICS &gt; Multiple-Attribute Decision-Making")</f>
        <v>0</v>
      </c>
      <c r="CZ10" s="17">
        <f>COUNTIFS('Prácticas_Revisiones'!$S$2:$S$282,"T004",'Prácticas_Revisiones'!$T$2:$T$282,"SOFTWARE ENG. ECONOMICS &gt; Identifying and Characterizing Intangible Assets")+COUNTIFS('Prácticas_Snowballing'!$AB$2:$AB$281,"T004",'Prácticas_Snowballing'!$AC$2:$AC$281,"SOFTWARE ENG. ECONOMICS &gt; Identifying and Characterizing Intangible Assets")</f>
        <v>0</v>
      </c>
      <c r="DA10" s="17">
        <f>COUNTIFS('Prácticas_Revisiones'!$S$2:$S$282,"T004",'Prácticas_Revisiones'!$T$2:$T$282,"SOFTWARE ENG. ECONOMICS &gt; Estimation")+COUNTIFS('Prácticas_Snowballing'!$AB$2:$AB$281,"T004",'Prácticas_Snowballing'!$AC$2:$AC$281,"SOFTWARE ENG. ECONOMICS &gt; Estimation")</f>
        <v>0</v>
      </c>
      <c r="DB10" s="17">
        <f>COUNTIFS('Prácticas_Revisiones'!$S$2:$S$282,"T004",'Prácticas_Revisiones'!$T$2:$T$282,"SOFTWARE ENG. ECONOMICS &gt; Practical Considerations")+COUNTIFS('Prácticas_Snowballing'!$AB$2:$AB$281,"T004",'Prácticas_Snowballing'!$AC$2:$AC$281,"SOFTWARE ENG. ECONOMICS &gt; Practical Considerations")</f>
        <v>0</v>
      </c>
      <c r="DC10" s="17">
        <f>COUNTIFS('Prácticas_Revisiones'!$S$2:$S$282,"T004",'Prácticas_Revisiones'!$T$2:$T$282,"SOFTWARE ENG. ECONOMICS &gt; Related Concepts")+COUNTIFS('Prácticas_Snowballing'!$AB$2:$AB$281,"T004",'Prácticas_Snowballing'!$AC$2:$AC$281,"SOFTWARE ENG. ECONOMICS &gt; Related Concepts")</f>
        <v>0</v>
      </c>
      <c r="DD10" s="17">
        <f>COUNTIFS('Prácticas_Revisiones'!$S$2:$S$282,"T004",'Prácticas_Revisiones'!$T$2:$T$282,"SOFTWARE ENG. ECONOMICS &gt; Subárea no determinable")+COUNTIFS('Prácticas_Snowballing'!$AB$2:$AB$281,"T004",'Prácticas_Snowballing'!$AC$2:$AC$281,"SOFTWARE ENG. ECONOMICS &gt; Subárea no determinable")</f>
        <v>0</v>
      </c>
      <c r="DE10" s="29">
        <f t="shared" si="14"/>
        <v>0</v>
      </c>
      <c r="DF10" s="17">
        <f>COUNTIFS('Prácticas_Revisiones'!$S$2:$S$282,"T004",'Prácticas_Revisiones'!$T$2:$T$282,"SOFTWARE ENG. MANAGEMENT &gt; Software Engineering Management Fundamentals")+COUNTIFS('Prácticas_Snowballing'!$AB$2:$AB$281,"T004",'Prácticas_Snowballing'!$AC$2:$AC$281,"SOFTWARE ENG. MANAGEMENT &gt; Software Engineering Management Fundamentals")</f>
        <v>0</v>
      </c>
      <c r="DG10" s="17">
        <f>COUNTIFS('Prácticas_Revisiones'!$S$2:$S$282,"T004",'Prácticas_Revisiones'!$T$2:$T$282,"SOFTWARE ENG. MANAGEMENT &gt; Initiation and Scope Definition")+COUNTIFS('Prácticas_Snowballing'!$AB$2:$AB$281,"T004",'Prácticas_Snowballing'!$AC$2:$AC$281,"SOFTWARE ENG. MANAGEMENT &gt; Initiation and Scope Definition")</f>
        <v>0</v>
      </c>
      <c r="DH10" s="17">
        <f>COUNTIFS('Prácticas_Revisiones'!$S$2:$S$282,"T004",'Prácticas_Revisiones'!$T$2:$T$282,"SOFTWARE ENG. MANAGEMENT &gt; Software Project Planning")+COUNTIFS('Prácticas_Snowballing'!$AB$2:$AB$281,"T004",'Prácticas_Snowballing'!$AC$2:$AC$281,"SOFTWARE ENG. MANAGEMENT &gt; Software Project Planning")</f>
        <v>0</v>
      </c>
      <c r="DI10" s="17">
        <f>COUNTIFS('Prácticas_Revisiones'!$S$2:$S$282,"T004",'Prácticas_Revisiones'!$T$2:$T$282,"SOFTWARE ENG. MANAGEMENT &gt; Software Project Enactment")+COUNTIFS('Prácticas_Snowballing'!$AB$2:$AB$281,"T004",'Prácticas_Snowballing'!$AC$2:$AC$281,"SOFTWARE ENG. MANAGEMENT &gt; Software Project Enactment")</f>
        <v>0</v>
      </c>
      <c r="DJ10" s="17">
        <f>COUNTIFS('Prácticas_Revisiones'!$S$2:$S$282,"T004",'Prácticas_Revisiones'!$T$2:$T$282,"SOFTWARE ENG. MANAGEMENT &gt; Review and Evaluation")+COUNTIFS('Prácticas_Snowballing'!$AB$2:$AB$281,"T004",'Prácticas_Snowballing'!$AC$2:$AC$281,"SOFTWARE ENG. MANAGEMENT &gt; Review and Evaluation")</f>
        <v>0</v>
      </c>
      <c r="DK10" s="17">
        <f>COUNTIFS('Prácticas_Revisiones'!$S$2:$S$282,"T004",'Prácticas_Revisiones'!$T$2:$T$282,"SOFTWARE ENG. MANAGEMENT &gt; Closure")+COUNTIFS('Prácticas_Snowballing'!$AB$2:$AB$281,"T004",'Prácticas_Snowballing'!$AC$2:$AC$281,"SOFTWARE ENG. MANAGEMENT &gt; Closure")</f>
        <v>0</v>
      </c>
      <c r="DL10" s="17">
        <f>COUNTIFS('Prácticas_Revisiones'!$S$2:$S$282,"T004",'Prácticas_Revisiones'!$T$2:$T$282,"SOFTWARE ENG. MANAGEMENT &gt; Software Engineering Management Tools")+COUNTIFS('Prácticas_Snowballing'!$AB$2:$AB$281,"T004",'Prácticas_Snowballing'!$AC$2:$AC$281,"SOFTWARE ENG. MANAGEMENT &gt; Software Engineering Management Tools")</f>
        <v>0</v>
      </c>
      <c r="DM10" s="17">
        <f>COUNTIFS('Prácticas_Revisiones'!$S$2:$S$282,"T004",'Prácticas_Revisiones'!$T$2:$T$282,"SOFTWARE ENG. MANAGEMENT &gt; Subárea no determinable")+COUNTIFS('Prácticas_Snowballing'!$AB$2:$AB$281,"T004",'Prácticas_Snowballing'!$AC$2:$AC$281,"SOFTWARE ENG. MANAGEMENT &gt; Subárea no determinable")</f>
        <v>0</v>
      </c>
      <c r="DN10" s="29">
        <f t="shared" si="15"/>
        <v>0</v>
      </c>
      <c r="DO10" s="17">
        <f>COUNTIFS('Prácticas_Revisiones'!$S$2:$S$282,"T004",'Prácticas_Revisiones'!$T$2:$T$282,"Sin área SWEBOK")+COUNTIFS('Prácticas_Snowballing'!$AB$2:$AB$281,"T004",'Prácticas_Snowballing'!$AC$2:$AC$281,"Sin área SWEBOK")</f>
        <v>0</v>
      </c>
      <c r="DP10" s="27">
        <f t="shared" si="16"/>
        <v>2</v>
      </c>
    </row>
    <row r="11">
      <c r="A11" s="28"/>
      <c r="B11" s="16" t="s">
        <v>964</v>
      </c>
      <c r="C11" s="17">
        <f>COUNTIFS('Prácticas_Revisiones'!$S$2:$S$282,"T005",'Prácticas_Revisiones'!$T$2:$T$282,"REQUIREMENTS &gt; Software Requirements Fundamentals")+COUNTIFS('Prácticas_Snowballing'!$AB$2:$AB$281,"T005",'Prácticas_Snowballing'!$AC$2:$AC$281,"REQUIREMENTS &gt; Software Requirements Fundamentals")</f>
        <v>0</v>
      </c>
      <c r="D11" s="17">
        <f>COUNTIFS('Prácticas_Revisiones'!$S$2:$S$282,"T005",'Prácticas_Revisiones'!$T$2:$T$282,"REQUIREMENTS &gt; Requirements Elicitation")+COUNTIFS('Prácticas_Snowballing'!$AB$2:$AB$281,"T005",'Prácticas_Snowballing'!$AC$2:$AC$281,"REQUIREMENTS &gt; Requirements Elicitation")</f>
        <v>0</v>
      </c>
      <c r="E11" s="17">
        <f>COUNTIFS('Prácticas_Revisiones'!$S$2:$S$282,"T005",'Prácticas_Revisiones'!$T$2:$T$282,"REQUIREMENTS &gt; Requirements Analysis")+COUNTIFS('Prácticas_Snowballing'!$AB$2:$AB$281,"T005",'Prácticas_Snowballing'!$AC$2:$AC$281,"REQUIREMENTS &gt; Requirements Analysis")</f>
        <v>0</v>
      </c>
      <c r="F11" s="17">
        <f>COUNTIFS('Prácticas_Revisiones'!$S$2:$S$282,"T005",'Prácticas_Revisiones'!$T$2:$T$282,"REQUIREMENTS &gt; Requirements Specification")+COUNTIFS('Prácticas_Snowballing'!$AB$2:$AB$281,"T005",'Prácticas_Snowballing'!$AC$2:$AC$281,"REQUIREMENTS &gt; Requirements Specification")</f>
        <v>0</v>
      </c>
      <c r="G11" s="17">
        <f>COUNTIFS('Prácticas_Revisiones'!$S$2:$S$282,"T005",'Prácticas_Revisiones'!$T$2:$T$282,"REQUIREMENTS &gt; Requirements Validation")+COUNTIFS('Prácticas_Snowballing'!$AB$2:$AB$281,"T005",'Prácticas_Snowballing'!$AC$2:$AC$281,"REQUIREMENTS &gt; Requirements Validation")</f>
        <v>0</v>
      </c>
      <c r="H11" s="17">
        <f>COUNTIFS('Prácticas_Revisiones'!$S$2:$S$282,"T005",'Prácticas_Revisiones'!$T$2:$T$282,"REQUIREMENTS &gt; Requirements Management Activities")+COUNTIFS('Prácticas_Snowballing'!$AB$2:$AB$281,"T005",'Prácticas_Snowballing'!$AC$2:$AC$281,"REQUIREMENTS &gt; Requirements Management Activities")</f>
        <v>0</v>
      </c>
      <c r="I11" s="17">
        <f>COUNTIFS('Prácticas_Revisiones'!$S$2:$S$282,"T005",'Prácticas_Revisiones'!$T$2:$T$282,"REQUIREMENTS &gt; Practical Considerations")+COUNTIFS('Prácticas_Snowballing'!$AB$2:$AB$281,"T005",'Prácticas_Snowballing'!$AC$2:$AC$281,"REQUIREMENTS &gt; Practical Considerations")</f>
        <v>0</v>
      </c>
      <c r="J11" s="17">
        <f>COUNTIFS('Prácticas_Revisiones'!$S$2:$S$282,"T005",'Prácticas_Revisiones'!$T$2:$T$282,"REQUIREMENTS &gt; Software Requirements Tools")+COUNTIFS('Prácticas_Snowballing'!$AB$2:$AB$281,"T005",'Prácticas_Snowballing'!$AC$2:$AC$281,"REQUIREMENTS &gt; Software Requirements Tools")</f>
        <v>0</v>
      </c>
      <c r="K11" s="17">
        <f>COUNTIFS('Prácticas_Revisiones'!$S$2:$S$282,"T005",'Prácticas_Revisiones'!$T$2:$T$282,"REQUIREMENTS &gt; Subárea no determinable")+COUNTIFS('Prácticas_Snowballing'!$AB$2:$AB$281,"T005",'Prácticas_Snowballing'!$AC$2:$AC$281,"REQUIREMENTS &gt; Subárea no determinable")</f>
        <v>0</v>
      </c>
      <c r="L11" s="29">
        <f t="shared" si="1"/>
        <v>0</v>
      </c>
      <c r="M11" s="17">
        <f>COUNTIFS('Prácticas_Revisiones'!$S$2:$S$282,"T005",'Prácticas_Revisiones'!$T$2:$T$282,"ARCHITECTURE &gt; Software Architecture Fundamentals")+COUNTIFS('Prácticas_Snowballing'!$AB$2:$AB$281,"T005",'Prácticas_Snowballing'!$AC$2:$AC$281,"ARCHITECTURE &gt; Software Architecture Fundamentals")</f>
        <v>0</v>
      </c>
      <c r="N11" s="17">
        <f>COUNTIFS('Prácticas_Revisiones'!$S$2:$S$282,"T005",'Prácticas_Revisiones'!$T$2:$T$282,"ARCHITECTURE &gt; Software Architecture Description")+COUNTIFS('Prácticas_Snowballing'!$AB$2:$AB$281,"T005",'Prácticas_Snowballing'!$AC$2:$AC$281,"ARCHITECTURE &gt; Software Architecture Description")</f>
        <v>0</v>
      </c>
      <c r="O11" s="17">
        <f>COUNTIFS('Prácticas_Revisiones'!$S$2:$S$282,"T005",'Prácticas_Revisiones'!$T$2:$T$282,"ARCHITECTURE &gt; Software Architecture Process")+COUNTIFS('Prácticas_Snowballing'!$AB$2:$AB$281,"T005",'Prácticas_Snowballing'!$AC$2:$AC$281,"ARCHITECTURE &gt; Software Architecture Process")</f>
        <v>0</v>
      </c>
      <c r="P11" s="17">
        <f>COUNTIFS('Prácticas_Revisiones'!$S$2:$S$282,"T005",'Prácticas_Revisiones'!$T$2:$T$282,"ARCHITECTURE &gt; Software Architecture Evaluation")+COUNTIFS('Prácticas_Snowballing'!$AB$2:$AB$281,"T005",'Prácticas_Snowballing'!$AC$2:$AC$281,"ARCHITECTURE &gt; Software Architecture Evaluation")</f>
        <v>0</v>
      </c>
      <c r="Q11" s="17">
        <f>COUNTIFS('Prácticas_Revisiones'!$S$2:$S$282,"T005",'Prácticas_Revisiones'!$T$2:$T$282,"ARCHITECTURE &gt; Subárea no determinable")+COUNTIFS('Prácticas_Snowballing'!$AB$2:$AB$281,"T005",'Prácticas_Snowballing'!$AC$2:$AC$281,"ARCHITECTURE &gt; Subárea no determinable")</f>
        <v>0</v>
      </c>
      <c r="R11" s="29">
        <f t="shared" si="2"/>
        <v>0</v>
      </c>
      <c r="S11" s="17">
        <f>COUNTIFS('Prácticas_Revisiones'!$S$2:$S$282,"T005",'Prácticas_Revisiones'!$T$2:$T$282,"DESIGN &gt; Software Design Fundamentals")+COUNTIFS('Prácticas_Snowballing'!$AB$2:$AB$281,"T005",'Prácticas_Snowballing'!$AC$2:$AC$281,"DESIGN &gt; Software Design Fundamentals")</f>
        <v>0</v>
      </c>
      <c r="T11" s="17">
        <f>COUNTIFS('Prácticas_Revisiones'!$S$2:$S$282,"T005",'Prácticas_Revisiones'!$T$2:$T$282,"DESIGN &gt; Software Design Processes")+COUNTIFS('Prácticas_Snowballing'!$AB$2:$AB$281,"T005",'Prácticas_Snowballing'!$AC$2:$AC$281,"DESIGN &gt; Software Design Processes")</f>
        <v>0</v>
      </c>
      <c r="U11" s="17">
        <f>COUNTIFS('Prácticas_Revisiones'!$S$2:$S$282,"T005",'Prácticas_Revisiones'!$T$2:$T$282,"DESIGN &gt; Software Design Qualities")+COUNTIFS('Prácticas_Snowballing'!$AB$2:$AB$281,"T005",'Prácticas_Snowballing'!$AC$2:$AC$281,"DESIGN &gt; Software Design Qualities")</f>
        <v>0</v>
      </c>
      <c r="V11" s="17">
        <f>COUNTIFS('Prácticas_Revisiones'!$S$2:$S$282,"T005",'Prácticas_Revisiones'!$T$2:$T$282,"DESIGN &gt; Recording Software Design")+COUNTIFS('Prácticas_Snowballing'!$AB$2:$AB$281,"T005",'Prácticas_Snowballing'!$AC$2:$AC$281,"DESIGN &gt; Recording Software Design")</f>
        <v>0</v>
      </c>
      <c r="W11" s="17">
        <f>COUNTIFS('Prácticas_Revisiones'!$S$2:$S$282,"T005",'Prácticas_Revisiones'!$T$2:$T$282,"DESIGN &gt; Software Design Strategies and Methods")+COUNTIFS('Prácticas_Snowballing'!$AB$2:$AB$281,"T005",'Prácticas_Snowballing'!$AC$2:$AC$281,"DESIGN &gt; Software Design Strategies and Methods")</f>
        <v>0</v>
      </c>
      <c r="X11" s="17">
        <f>COUNTIFS('Prácticas_Revisiones'!$S$2:$S$282,"T005",'Prácticas_Revisiones'!$T$2:$T$282,"DESIGN &gt; Software Design Analysis and Evaluations")+COUNTIFS('Prácticas_Snowballing'!$AB$2:$AB$281,"T005",'Prácticas_Snowballing'!$AC$2:$AC$281,"DESIGN &gt; Software Design Analysis and Evaluations")</f>
        <v>0</v>
      </c>
      <c r="Y11" s="17">
        <f>COUNTIFS('Prácticas_Revisiones'!$S$2:$S$282,"T005",'Prácticas_Revisiones'!$T$2:$T$282,"DESIGN &gt; Subárea no determinable")+COUNTIFS('Prácticas_Snowballing'!$AB$2:$AB$281,"T005",'Prácticas_Snowballing'!$AC$2:$AC$281,"DESIGN &gt; Subárea no determinable")</f>
        <v>0</v>
      </c>
      <c r="Z11" s="29">
        <f t="shared" si="3"/>
        <v>0</v>
      </c>
      <c r="AA11" s="17">
        <f>COUNTIFS('Prácticas_Revisiones'!$S$2:$S$282,"T005",'Prácticas_Revisiones'!$T$2:$T$282,"CONSTRUCTION &gt; Software Construction Fundamentals")+COUNTIFS('Prácticas_Snowballing'!$AB$2:$AB$281,"T005",'Prácticas_Snowballing'!$AC$2:$AC$281,"CONSTRUCTION &gt; Software Construction Fundamentals")</f>
        <v>0</v>
      </c>
      <c r="AB11" s="17">
        <f>COUNTIFS('Prácticas_Revisiones'!$S$2:$S$282,"T005",'Prácticas_Revisiones'!$T$2:$T$282,"CONSTRUCTION &gt; Managing Construction")+COUNTIFS('Prácticas_Snowballing'!$AB$2:$AB$281,"T005",'Prácticas_Snowballing'!$AC$2:$AC$281,"CONSTRUCTION &gt; Managing Construction")</f>
        <v>0</v>
      </c>
      <c r="AC11" s="17">
        <f>COUNTIFS('Prácticas_Revisiones'!$S$2:$S$282,"T005",'Prácticas_Revisiones'!$T$2:$T$282,"CONSTRUCTION &gt; Practical Considerations")+COUNTIFS('Prácticas_Snowballing'!$AB$2:$AB$281,"T005",'Prácticas_Snowballing'!$AC$2:$AC$281,"CONSTRUCTION &gt; Practical Considerations")</f>
        <v>0</v>
      </c>
      <c r="AD11" s="17">
        <f>COUNTIFS('Prácticas_Revisiones'!$S$2:$S$282,"T005",'Prácticas_Revisiones'!$T$2:$T$282,"CONSTRUCTION &gt; Construction Technologies")+COUNTIFS('Prácticas_Snowballing'!$AB$2:$AB$281,"T005",'Prácticas_Snowballing'!$AC$2:$AC$281,"CONSTRUCTION &gt; Construction Technologies")</f>
        <v>0</v>
      </c>
      <c r="AE11" s="17">
        <f>COUNTIFS('Prácticas_Revisiones'!$S$2:$S$282,"T005",'Prácticas_Revisiones'!$T$2:$T$282,"CONSTRUCTION &gt; Software Construction Tools")+COUNTIFS('Prácticas_Snowballing'!$AB$2:$AB$281,"T005",'Prácticas_Snowballing'!$AC$2:$AC$281,"CONSTRUCTION &gt; Software Construction Tools")</f>
        <v>0</v>
      </c>
      <c r="AF11" s="17">
        <f>COUNTIFS('Prácticas_Revisiones'!$S$2:$S$282,"T005",'Prácticas_Revisiones'!$T$2:$T$282,"CONSTRUCTION &gt; Subárea no determinable")+COUNTIFS('Prácticas_Snowballing'!$AB$2:$AB$281,"T005",'Prácticas_Snowballing'!$AC$2:$AC$281,"CONSTRUCTION &gt; Subárea no determinable")</f>
        <v>0</v>
      </c>
      <c r="AG11" s="29">
        <f t="shared" si="4"/>
        <v>0</v>
      </c>
      <c r="AH11" s="17">
        <f>COUNTIFS('Prácticas_Revisiones'!$S$2:$S$282,"T005",'Prácticas_Revisiones'!$T$2:$T$282,"SOFTWARE TESTING &gt; Software Testing Fundamentals")+COUNTIFS('Prácticas_Snowballing'!$AB$2:$AB$281,"T005",'Prácticas_Snowballing'!$AC$2:$AC$281,"SOFTWARE TESTING &gt; Software Testing Fundamentals")</f>
        <v>0</v>
      </c>
      <c r="AI11" s="17">
        <f>COUNTIFS('Prácticas_Revisiones'!$S$2:$S$282,"T005",'Prácticas_Revisiones'!$T$2:$T$282,"SOFTWARE TESTING &gt; Test Levels")+COUNTIFS('Prácticas_Snowballing'!$AB$2:$AB$281,"T005",'Prácticas_Snowballing'!$AC$2:$AC$281,"SOFTWARE TESTING &gt; Test Levels")</f>
        <v>0</v>
      </c>
      <c r="AJ11" s="17">
        <f>COUNTIFS('Prácticas_Revisiones'!$S$2:$S$282,"T005",'Prácticas_Revisiones'!$T$2:$T$282,"SOFTWARE TESTING &gt; Test Techniques")+COUNTIFS('Prácticas_Snowballing'!$AB$2:$AB$281,"T005",'Prácticas_Snowballing'!$AC$2:$AC$281,"SOFTWARE TESTING &gt; Test Techniques")</f>
        <v>0</v>
      </c>
      <c r="AK11" s="17">
        <f>COUNTIFS('Prácticas_Revisiones'!$S$2:$S$282,"T005",'Prácticas_Revisiones'!$T$2:$T$282,"SOFTWARE TESTING &gt; Test-Related Measures")+COUNTIFS('Prácticas_Snowballing'!$AB$2:$AB$281,"T005",'Prácticas_Snowballing'!$AC$2:$AC$281,"SOFTWARE TESTING &gt; Test-Related Measures")</f>
        <v>0</v>
      </c>
      <c r="AL11" s="17">
        <f>COUNTIFS('Prácticas_Revisiones'!$S$2:$S$282,"T005",'Prácticas_Revisiones'!$T$2:$T$282,"SOFTWARE TESTING &gt; Test Process")+COUNTIFS('Prácticas_Snowballing'!$AB$2:$AB$281,"T005",'Prácticas_Snowballing'!$AC$2:$AC$281,"SOFTWARE TESTING &gt; Test Process")</f>
        <v>0</v>
      </c>
      <c r="AM11" s="17">
        <f>COUNTIFS('Prácticas_Revisiones'!$S$2:$S$282,"T005",'Prácticas_Revisiones'!$T$2:$T$282,"SOFTWARE TESTING &gt; Software Testing in the Development Processes...")+COUNTIFS('Prácticas_Snowballing'!$AB$2:$AB$281,"T005",'Prácticas_Snowballing'!$AC$2:$AC$281,"SOFTWARE TESTING &gt; Software Testing in the Development Processes...")</f>
        <v>0</v>
      </c>
      <c r="AN11" s="17">
        <f>COUNTIFS('Prácticas_Revisiones'!$S$2:$S$282,"T005",'Prácticas_Revisiones'!$T$2:$T$282,"SOFTWARE TESTING &gt; Testing of and Testing Through Emerging Tech...")+COUNTIFS('Prácticas_Snowballing'!$AB$2:$AB$281,"T005",'Prácticas_Snowballing'!$AC$2:$AC$281,"SOFTWARE TESTING &gt; Testing of and Testing Through Emerging Tech...")</f>
        <v>0</v>
      </c>
      <c r="AO11" s="17">
        <f>COUNTIFS('Prácticas_Revisiones'!$S$2:$S$282,"T005",'Prácticas_Revisiones'!$T$2:$T$282,"SOFTWARE TESTING &gt; Software Testing Tools")+COUNTIFS('Prácticas_Snowballing'!$AB$2:$AB$281,"T005",'Prácticas_Snowballing'!$AC$2:$AC$281,"SOFTWARE TESTING &gt; Software Testing Tools")</f>
        <v>0</v>
      </c>
      <c r="AP11" s="17">
        <f>COUNTIFS('Prácticas_Revisiones'!$S$2:$S$282,"T005",'Prácticas_Revisiones'!$T$2:$T$282,"SOFTWARE TESTING &gt; Subárea no determinable")+COUNTIFS('Prácticas_Snowballing'!$AB$2:$AB$281,"T005",'Prácticas_Snowballing'!$AC$2:$AC$281,"SOFTWARE TESTING &gt; Subárea no determinable")</f>
        <v>0</v>
      </c>
      <c r="AQ11" s="29">
        <f t="shared" si="5"/>
        <v>0</v>
      </c>
      <c r="AR11" s="17">
        <f>COUNTIFS('Prácticas_Revisiones'!$S$2:$S$282,"T005",'Prácticas_Revisiones'!$T$2:$T$282,"SOFTWARE ENG. OPERATIONS &gt; Software Engineering Operations Fundamentals")+COUNTIFS('Prácticas_Snowballing'!$AB$2:$AB$281,"T005",'Prácticas_Snowballing'!$AC$2:$AC$281,"SOFTWARE ENG. OPERATIONS &gt; Software Engineering Operations Fundamentals")</f>
        <v>0</v>
      </c>
      <c r="AS11" s="17">
        <f>COUNTIFS('Prácticas_Revisiones'!$S$2:$S$282,"T005",'Prácticas_Revisiones'!$T$2:$T$282,"SOFTWARE ENG. OPERATIONS &gt; Software Engineering Operations Planning")+COUNTIFS('Prácticas_Snowballing'!$AB$2:$AB$281,"T005",'Prácticas_Snowballing'!$AC$2:$AC$281,"SOFTWARE ENG. OPERATIONS &gt; Software Engineering Operations Planning")</f>
        <v>0</v>
      </c>
      <c r="AT11" s="17">
        <f>COUNTIFS('Prácticas_Revisiones'!$S$2:$S$282,"T005",'Prácticas_Revisiones'!$T$2:$T$282,"SOFTWARE ENG. OPERATIONS &gt; Software Engineering Operations Delivery")+COUNTIFS('Prácticas_Snowballing'!$AB$2:$AB$281,"T005",'Prácticas_Snowballing'!$AC$2:$AC$281,"SOFTWARE ENG. OPERATIONS &gt; Software Engineering Operations Delivery")</f>
        <v>0</v>
      </c>
      <c r="AU11" s="17">
        <f>COUNTIFS('Prácticas_Revisiones'!$S$2:$S$282,"T005",'Prácticas_Revisiones'!$T$2:$T$282,"SOFTWARE ENG. OPERATIONS &gt; Software Engineering Operations Control")+COUNTIFS('Prácticas_Snowballing'!$AB$2:$AB$281,"T005",'Prácticas_Snowballing'!$AC$2:$AC$281,"SOFTWARE ENG. OPERATIONS &gt; Software Engineering Operations Control")</f>
        <v>0</v>
      </c>
      <c r="AV11" s="17">
        <f>COUNTIFS('Prácticas_Revisiones'!$S$2:$S$282,"T005",'Prácticas_Revisiones'!$T$2:$T$282,"SOFTWARE ENG. OPERATIONS &gt; Practical Considerations")+COUNTIFS('Prácticas_Snowballing'!$AB$2:$AB$281,"T005",'Prácticas_Snowballing'!$AC$2:$AC$281,"SOFTWARE ENG. OPERATIONS &gt; Practical Considerations")</f>
        <v>0</v>
      </c>
      <c r="AW11" s="17">
        <f>COUNTIFS('Prácticas_Revisiones'!$S$2:$S$282,"T005",'Prácticas_Revisiones'!$T$2:$T$282,"SOFTWARE ENG. OPERATIONS &gt; Software Engineering Operations Tools")+COUNTIFS('Prácticas_Snowballing'!$AB$2:$AB$281,"T005",'Prácticas_Snowballing'!$AC$2:$AC$281,"SOFTWARE ENG. OPERATIONS &gt; Software Engineering Operations Tools")</f>
        <v>0</v>
      </c>
      <c r="AX11" s="17">
        <f>COUNTIFS('Prácticas_Revisiones'!$S$2:$S$282,"T005",'Prácticas_Revisiones'!$T$2:$T$282,"SOFTWARE ENG. OPERATIONS &gt; Subárea no determinable")+COUNTIFS('Prácticas_Snowballing'!$AB$2:$AB$281,"T005",'Prácticas_Snowballing'!$AC$2:$AC$281,"SOFTWARE ENG. OPERATIONS &gt; Subárea no determinable")</f>
        <v>0</v>
      </c>
      <c r="AY11" s="29">
        <f t="shared" si="6"/>
        <v>0</v>
      </c>
      <c r="AZ11" s="17">
        <f>COUNTIFS('Prácticas_Revisiones'!$S$2:$S$282,"T005",'Prácticas_Revisiones'!$T$2:$T$282,"MAINTENANCE &gt; Software Maintenance Fundamentals")+COUNTIFS('Prácticas_Snowballing'!$AB$2:$AB$281,"T005",'Prácticas_Snowballing'!$AC$2:$AC$281,"MAINTENANCE &gt; Software Maintenance Fundamentals")</f>
        <v>0</v>
      </c>
      <c r="BA11" s="17">
        <f>COUNTIFS('Prácticas_Revisiones'!$S$2:$S$282,"T005",'Prácticas_Revisiones'!$T$2:$T$282,"MAINTENANCE &gt; Key Issues in Software Maintenance")+COUNTIFS('Prácticas_Snowballing'!$AB$2:$AB$281,"T005",'Prácticas_Snowballing'!$AC$2:$AC$281,"MAINTENANCE &gt; Key Issues in Software Maintenance")</f>
        <v>0</v>
      </c>
      <c r="BB11" s="17">
        <f>COUNTIFS('Prácticas_Revisiones'!$S$2:$S$282,"T005",'Prácticas_Revisiones'!$T$2:$T$282,"MAINTENANCE &gt; Software Maintenance Processes")+COUNTIFS('Prácticas_Snowballing'!$AB$2:$AB$281,"T005",'Prácticas_Snowballing'!$AC$2:$AC$281,"MAINTENANCE &gt; Software Maintenance Processes")</f>
        <v>0</v>
      </c>
      <c r="BC11" s="17">
        <f>COUNTIFS('Prácticas_Revisiones'!$S$2:$S$282,"T005",'Prácticas_Revisiones'!$T$2:$T$282,"MAINTENANCE &gt; Software Maintenance Techniques")+COUNTIFS('Prácticas_Snowballing'!$AB$2:$AB$281,"T005",'Prácticas_Snowballing'!$AC$2:$AC$281,"MAINTENANCE &gt; Software Maintenance Techniques")</f>
        <v>0</v>
      </c>
      <c r="BD11" s="17">
        <f>COUNTIFS('Prácticas_Revisiones'!$S$2:$S$282,"T005",'Prácticas_Revisiones'!$T$2:$T$282,"MAINTENANCE &gt; Software Maintenance Tools")+COUNTIFS('Prácticas_Snowballing'!$AB$2:$AB$281,"T005",'Prácticas_Snowballing'!$AC$2:$AC$281,"MAINTENANCE &gt; Software Maintenance Tools")</f>
        <v>0</v>
      </c>
      <c r="BE11" s="17">
        <f>COUNTIFS('Prácticas_Revisiones'!$S$2:$S$282,"T005",'Prácticas_Revisiones'!$T$2:$T$282,"MAINTENANCE &gt; Subárea no determinable")+COUNTIFS('Prácticas_Snowballing'!$AB$2:$AB$281,"T005",'Prácticas_Snowballing'!$AC$2:$AC$281,"MAINTENANCE &gt; Subárea no determinable")</f>
        <v>0</v>
      </c>
      <c r="BF11" s="29">
        <f t="shared" si="7"/>
        <v>0</v>
      </c>
      <c r="BG11" s="17">
        <f>COUNTIFS('Prácticas_Revisiones'!$S$2:$S$282,"T005",'Prácticas_Revisiones'!$T$2:$T$282,"SOFTWARE CONFIG. MGMT. &gt; Management of the SCM Process")+COUNTIFS('Prácticas_Snowballing'!$AB$2:$AB$281,"T005",'Prácticas_Snowballing'!$AC$2:$AC$281,"SOFTWARE CONFIG. MGMT. &gt; Management of the SCM Process")</f>
        <v>0</v>
      </c>
      <c r="BH11" s="17">
        <f>COUNTIFS('Prácticas_Revisiones'!$S$2:$S$282,"T005",'Prácticas_Revisiones'!$T$2:$T$282,"SOFTWARE CONFIG. MGMT. &gt; Software Configuration Identification")+COUNTIFS('Prácticas_Snowballing'!$AB$2:$AB$281,"T005",'Prácticas_Snowballing'!$AC$2:$AC$281,"SOFTWARE CONFIG. MGMT. &gt; Software Configuration Identification")</f>
        <v>0</v>
      </c>
      <c r="BI11" s="17">
        <f>COUNTIFS('Prácticas_Revisiones'!$S$2:$S$282,"T005",'Prácticas_Revisiones'!$T$2:$T$282,"SOFTWARE CONFIG. MGMT. &gt; Software Configuration Change Control")+COUNTIFS('Prácticas_Snowballing'!$AB$2:$AB$281,"T005",'Prácticas_Snowballing'!$AC$2:$AC$281,"SOFTWARE CONFIG. MGMT. &gt; Software Configuration Change Control")</f>
        <v>0</v>
      </c>
      <c r="BJ11" s="17">
        <f>COUNTIFS('Prácticas_Revisiones'!$S$2:$S$282,"T005",'Prácticas_Revisiones'!$T$2:$T$282,"SOFTWARE CONFIG. MGMT. &gt; Software Configuration Status Accounting")+COUNTIFS('Prácticas_Snowballing'!$AB$2:$AB$281,"T005",'Prácticas_Snowballing'!$AC$2:$AC$281,"SOFTWARE CONFIG. MGMT. &gt; Software Configuration Status Accounting")</f>
        <v>0</v>
      </c>
      <c r="BK11" s="17">
        <f>COUNTIFS('Prácticas_Revisiones'!$S$2:$S$282,"T005",'Prácticas_Revisiones'!$T$2:$T$282,"SOFTWARE CONFIG. MGMT. &gt; Software Configuration Auditing")+COUNTIFS('Prácticas_Snowballing'!$AB$2:$AB$281,"T005",'Prácticas_Snowballing'!$AC$2:$AC$281,"SOFTWARE CONFIG. MGMT. &gt; Software Configuration Auditing")</f>
        <v>0</v>
      </c>
      <c r="BL11" s="17">
        <f>COUNTIFS('Prácticas_Revisiones'!$S$2:$S$282,"T005",'Prácticas_Revisiones'!$T$2:$T$282,"SOFTWARE CONFIG. MGMT. &gt; Software Release Management and Delivery")+COUNTIFS('Prácticas_Snowballing'!$AB$2:$AB$281,"T005",'Prácticas_Snowballing'!$AC$2:$AC$281,"SOFTWARE CONFIG. MGMT. &gt; Software Release Management and Delivery")</f>
        <v>0</v>
      </c>
      <c r="BM11" s="17">
        <f>COUNTIFS('Prácticas_Revisiones'!$S$2:$S$282,"T005",'Prácticas_Revisiones'!$T$2:$T$282,"SOFTWARE CONFIG. MGMT. &gt; Software Configuration Management Tools")+COUNTIFS('Prácticas_Snowballing'!$AB$2:$AB$281,"T005",'Prácticas_Snowballing'!$AC$2:$AC$281,"SOFTWARE CONFIG. MGMT. &gt; Software Configuration Management Tools")</f>
        <v>0</v>
      </c>
      <c r="BN11" s="17">
        <f>COUNTIFS('Prácticas_Revisiones'!$S$2:$S$282,"T005",'Prácticas_Revisiones'!$T$2:$T$282,"SOFTWARE CONFIG. MGMT. &gt; Subárea no determinable")+COUNTIFS('Prácticas_Snowballing'!$AB$2:$AB$281,"T005",'Prácticas_Snowballing'!$AC$2:$AC$281,"SOFTWARE CONFIG. MGMT. &gt; Subárea no determinable")</f>
        <v>0</v>
      </c>
      <c r="BO11" s="29">
        <f t="shared" si="8"/>
        <v>0</v>
      </c>
      <c r="BP11" s="17">
        <f>COUNTIFS('Prácticas_Revisiones'!$S$2:$S$282,"T005",'Prácticas_Revisiones'!$T$2:$T$282,"SOFTWARE ENG. PROCESS &gt; Software Engineering Process Fundamentals")+COUNTIFS('Prácticas_Snowballing'!$AB$2:$AB$281,"T005",'Prácticas_Snowballing'!$AC$2:$AC$281,"SOFTWARE ENG. PROCESS &gt; Software Engineering Process Fundamentals")</f>
        <v>0</v>
      </c>
      <c r="BQ11" s="17">
        <f>COUNTIFS('Prácticas_Revisiones'!$S$2:$S$282,"T005",'Prácticas_Revisiones'!$T$2:$T$282,"SOFTWARE ENG. PROCESS &gt; Life Cycles")+COUNTIFS('Prácticas_Snowballing'!$AB$2:$AB$281,"T005",'Prácticas_Snowballing'!$AC$2:$AC$281,"SOFTWARE ENG. PROCESS &gt; Life Cycles")</f>
        <v>0</v>
      </c>
      <c r="BR11" s="17">
        <f>COUNTIFS('Prácticas_Revisiones'!$S$2:$S$282,"T005",'Prácticas_Revisiones'!$T$2:$T$282,"SOFTWARE ENG. PROCESS &gt; Software Process Assessment and Improvement")+COUNTIFS('Prácticas_Snowballing'!$AB$2:$AB$281,"T005",'Prácticas_Snowballing'!$AC$2:$AC$281,"SOFTWARE ENG. PROCESS &gt; Software Process Assessment and Improvement")</f>
        <v>0</v>
      </c>
      <c r="BS11" s="17">
        <f>COUNTIFS('Prácticas_Revisiones'!$S$2:$S$282,"T005",'Prácticas_Revisiones'!$T$2:$T$282,"SOFTWARE ENG. PROCESS &gt; Subárea no determinable")+COUNTIFS('Prácticas_Snowballing'!$AB$2:$AB$281,"T005",'Prácticas_Snowballing'!$AC$2:$AC$281,"SOFTWARE ENG. PROCESS &gt; Subárea no determinable")</f>
        <v>0</v>
      </c>
      <c r="BT11" s="29">
        <f t="shared" si="9"/>
        <v>0</v>
      </c>
      <c r="BU11" s="17">
        <f>COUNTIFS('Prácticas_Revisiones'!$S$2:$S$282,"T005",'Prácticas_Revisiones'!$T$2:$T$282,"SOFTWARE ENG. MODELS/METH. &gt; Modeling")+COUNTIFS('Prácticas_Snowballing'!$AB$2:$AB$281,"T005",'Prácticas_Snowballing'!$AC$2:$AC$281,"SOFTWARE ENG. MODELS/METH. &gt; Modeling")</f>
        <v>0</v>
      </c>
      <c r="BV11" s="17">
        <f>COUNTIFS('Prácticas_Revisiones'!$S$2:$S$282,"T005",'Prácticas_Revisiones'!$T$2:$T$282,"SOFTWARE ENG. MODELS/METH. &gt; Types of Models")+COUNTIFS('Prácticas_Snowballing'!$AB$2:$AB$281,"T005",'Prácticas_Snowballing'!$AC$2:$AC$281,"SOFTWARE ENG. MODELS/METH. &gt; Types of Models")</f>
        <v>0</v>
      </c>
      <c r="BW11" s="17">
        <f>COUNTIFS('Prácticas_Revisiones'!$S$2:$S$282,"T005",'Prácticas_Revisiones'!$T$2:$T$282,"SOFTWARE ENG. MODELS/METH. &gt; Analysis of Models")+COUNTIFS('Prácticas_Snowballing'!$AB$2:$AB$281,"T005",'Prácticas_Snowballing'!$AC$2:$AC$281,"SOFTWARE ENG. MODELS/METH. &gt; Analysis of Models")</f>
        <v>0</v>
      </c>
      <c r="BX11" s="17">
        <f>COUNTIFS('Prácticas_Revisiones'!$S$2:$S$282,"T005",'Prácticas_Revisiones'!$T$2:$T$282,"SOFTWARE ENG. MODELS/METH. &gt; Software Engineering Methods")+COUNTIFS('Prácticas_Snowballing'!$AB$2:$AB$281,"T005",'Prácticas_Snowballing'!$AC$2:$AC$281,"SOFTWARE ENG. MODELS/METH. &gt; Software Engineering Methods")</f>
        <v>0</v>
      </c>
      <c r="BY11" s="17">
        <f>COUNTIFS('Prácticas_Revisiones'!$S$2:$S$282,"T005",'Prácticas_Revisiones'!$T$2:$T$282,"SOFTWARE ENG. MODELS/METH. &gt; Subárea no determinable")+COUNTIFS('Prácticas_Snowballing'!$AB$2:$AB$281,"T005",'Prácticas_Snowballing'!$AC$2:$AC$281,"SOFTWARE ENG. MODELS/METH. &gt; Subárea no determinable")</f>
        <v>0</v>
      </c>
      <c r="BZ11" s="29">
        <f t="shared" si="10"/>
        <v>0</v>
      </c>
      <c r="CA11" s="17">
        <f>COUNTIFS('Prácticas_Revisiones'!$S$2:$S$282,"T005",'Prácticas_Revisiones'!$T$2:$T$282,"SOFTWARE QUALITY &gt; Software Quality Fundamentals")+COUNTIFS('Prácticas_Snowballing'!$AB$2:$AB$281,"T005",'Prácticas_Snowballing'!$AC$2:$AC$281,"SOFTWARE QUALITY &gt; Software Quality Fundamentals")</f>
        <v>0</v>
      </c>
      <c r="CB11" s="17">
        <f>COUNTIFS('Prácticas_Revisiones'!$S$2:$S$282,"T005",'Prácticas_Revisiones'!$T$2:$T$282,"SOFTWARE QUALITY &gt; Software Quality Management Process")+COUNTIFS('Prácticas_Snowballing'!$AB$2:$AB$281,"T005",'Prácticas_Snowballing'!$AC$2:$AC$281,"SOFTWARE QUALITY &gt; Software Quality Management Process")</f>
        <v>0</v>
      </c>
      <c r="CC11" s="17">
        <f>COUNTIFS('Prácticas_Revisiones'!$S$2:$S$282,"T005",'Prácticas_Revisiones'!$T$2:$T$282,"SOFTWARE QUALITY &gt; Software Quality Assurance Process")+COUNTIFS('Prácticas_Snowballing'!$AB$2:$AB$281,"T005",'Prácticas_Snowballing'!$AC$2:$AC$281,"SOFTWARE QUALITY &gt; Software Quality Assurance Process")</f>
        <v>0</v>
      </c>
      <c r="CD11" s="17">
        <f>COUNTIFS('Prácticas_Revisiones'!$S$2:$S$282,"T005",'Prácticas_Revisiones'!$T$2:$T$282,"SOFTWARE QUALITY &gt; Software Quality Tools")+COUNTIFS('Prácticas_Snowballing'!$AB$2:$AB$281,"T005",'Prácticas_Snowballing'!$AC$2:$AC$281,"SOFTWARE QUALITY &gt; Software Quality Tools")</f>
        <v>0</v>
      </c>
      <c r="CE11" s="17">
        <f>COUNTIFS('Prácticas_Revisiones'!$S$2:$S$282,"T005",'Prácticas_Revisiones'!$T$2:$T$282,"SOFTWARE QUALITY &gt; Subárea no determinable")+COUNTIFS('Prácticas_Snowballing'!$AB$2:$AB$281,"T005",'Prácticas_Snowballing'!$AC$2:$AC$281,"SOFTWARE QUALITY &gt; Subárea no determinable")</f>
        <v>0</v>
      </c>
      <c r="CF11" s="29">
        <f t="shared" si="11"/>
        <v>0</v>
      </c>
      <c r="CG11" s="17">
        <f>COUNTIFS('Prácticas_Revisiones'!$S$2:$S$282,"T005",'Prácticas_Revisiones'!$T$2:$T$282,"SOFTWARE SECURITY &gt; Software Security Fundamentals")+COUNTIFS('Prácticas_Snowballing'!$AB$2:$AB$281,"T005",'Prácticas_Snowballing'!$AC$2:$AC$281,"SOFTWARE SECURITY &gt; Software Security Fundamentals")</f>
        <v>0</v>
      </c>
      <c r="CH11" s="17">
        <f>COUNTIFS('Prácticas_Revisiones'!$S$2:$S$282,"T005",'Prácticas_Revisiones'!$T$2:$T$282,"SOFTWARE SECURITY &gt; Security Management and Organization")+COUNTIFS('Prácticas_Snowballing'!$AB$2:$AB$281,"T005",'Prácticas_Snowballing'!$AC$2:$AC$281,"SOFTWARE SECURITY &gt; Security Management and Organization")</f>
        <v>0</v>
      </c>
      <c r="CI11" s="17">
        <f>COUNTIFS('Prácticas_Revisiones'!$S$2:$S$282,"T005",'Prácticas_Revisiones'!$T$2:$T$282,"SOFTWARE SECURITY &gt; Software Security Engineering and Process")+COUNTIFS('Prácticas_Snowballing'!$AB$2:$AB$281,"T005",'Prácticas_Snowballing'!$AC$2:$AC$281,"SOFTWARE SECURITY &gt; Software Security Engineering and Process")</f>
        <v>0</v>
      </c>
      <c r="CJ11" s="17">
        <f>COUNTIFS('Prácticas_Revisiones'!$S$2:$S$282,"T005",'Prácticas_Revisiones'!$T$2:$T$282,"SOFTWARE SECURITY &gt; Security Engineering for Software Systems")+COUNTIFS('Prácticas_Snowballing'!$AB$2:$AB$281,"T005",'Prácticas_Snowballing'!$AC$2:$AC$281,"SOFTWARE SECURITY &gt; Security Engineering for Software Systems")</f>
        <v>0</v>
      </c>
      <c r="CK11" s="17">
        <f>COUNTIFS('Prácticas_Revisiones'!$S$2:$S$282,"T005",'Prácticas_Revisiones'!$T$2:$T$282,"SOFTWARE SECURITY &gt; Software Security Tools")+COUNTIFS('Prácticas_Snowballing'!$AB$2:$AB$281,"T005",'Prácticas_Snowballing'!$AC$2:$AC$281,"SOFTWARE SECURITY &gt; Software Security Tools")</f>
        <v>0</v>
      </c>
      <c r="CL11" s="17">
        <f>COUNTIFS('Prácticas_Revisiones'!$S$2:$S$282,"T005",'Prácticas_Revisiones'!$T$2:$T$282,"SOFTWARE SECURITY &gt; Domain Specific Software Security")+COUNTIFS('Prácticas_Snowballing'!$AB$2:$AB$281,"T005",'Prácticas_Snowballing'!$AC$2:$AC$281,"SOFTWARE SECURITY &gt; Domain Specific Software Security")</f>
        <v>0</v>
      </c>
      <c r="CM11" s="17">
        <f>COUNTIFS('Prácticas_Revisiones'!$S$2:$S$282,"T005",'Prácticas_Revisiones'!$T$2:$T$282,"SOFTWARE SECURITY &gt; Subárea no determinable")+COUNTIFS('Prácticas_Snowballing'!$AB$2:$AB$281,"T005",'Prácticas_Snowballing'!$AC$2:$AC$281,"SOFTWARE SECURITY &gt; Subárea no determinable")</f>
        <v>0</v>
      </c>
      <c r="CN11" s="29">
        <f t="shared" si="12"/>
        <v>0</v>
      </c>
      <c r="CO11" s="17">
        <f>COUNTIFS('Prácticas_Revisiones'!$S$2:$S$282,"T005",'Prácticas_Revisiones'!$T$2:$T$282,"PROFESSIONAL PRACTICE &gt; Professionalism")+COUNTIFS('Prácticas_Snowballing'!$AB$2:$AB$281,"T005",'Prácticas_Snowballing'!$AC$2:$AC$281,"PROFESSIONAL PRACTICE &gt; Professionalism")</f>
        <v>0</v>
      </c>
      <c r="CP11" s="17">
        <f>COUNTIFS('Prácticas_Revisiones'!$S$2:$S$282,"T005",'Prácticas_Revisiones'!$T$2:$T$282,"PROFESSIONAL PRACTICE &gt; Group Dynamics and Psychology")+COUNTIFS('Prácticas_Snowballing'!$AB$2:$AB$281,"T005",'Prácticas_Snowballing'!$AC$2:$AC$281,"PROFESSIONAL PRACTICE &gt; Group Dynamics and Psychology")</f>
        <v>0</v>
      </c>
      <c r="CQ11" s="17">
        <f>COUNTIFS('Prácticas_Revisiones'!$S$2:$S$282,"T005",'Prácticas_Revisiones'!$T$2:$T$282,"PROFESSIONAL PRACTICE &gt; Communication Skills")+COUNTIFS('Prácticas_Snowballing'!$AB$2:$AB$281,"T005",'Prácticas_Snowballing'!$AC$2:$AC$281,"PROFESSIONAL PRACTICE &gt; Communication Skills")</f>
        <v>0</v>
      </c>
      <c r="CR11" s="17">
        <f>COUNTIFS('Prácticas_Revisiones'!$S$2:$S$282,"T005",'Prácticas_Revisiones'!$T$2:$T$282,"PROFESSIONAL PRACTICE &gt; Subárea no determinable")+COUNTIFS('Prácticas_Snowballing'!$AB$2:$AB$281,"T005",'Prácticas_Snowballing'!$AC$2:$AC$281,"PROFESSIONAL PRACTICE &gt; Subárea no determinable")</f>
        <v>0</v>
      </c>
      <c r="CS11" s="29">
        <f t="shared" si="13"/>
        <v>0</v>
      </c>
      <c r="CT11" s="17">
        <f>COUNTIFS('Prácticas_Revisiones'!$S$2:$S$282,"T005",'Prácticas_Revisiones'!$T$2:$T$282,"SOFTWARE ENG. ECONOMICS &gt; Software Engineering Economics Fundamentals")+COUNTIFS('Prácticas_Snowballing'!$AB$2:$AB$281,"T005",'Prácticas_Snowballing'!$AC$2:$AC$281,"SOFTWARE ENG. ECONOMICS &gt; Software Engineering Economics Fundamentals")</f>
        <v>0</v>
      </c>
      <c r="CU11" s="17">
        <f>COUNTIFS('Prácticas_Revisiones'!$S$2:$S$282,"T005",'Prácticas_Revisiones'!$T$2:$T$282,"SOFTWARE ENG. ECONOMICS &gt; The Engineering Decision-Making Process")+COUNTIFS('Prácticas_Snowballing'!$AB$2:$AB$281,"T005",'Prácticas_Snowballing'!$AC$2:$AC$281,"SOFTWARE ENG. ECONOMICS &gt; The Engineering Decision-Making Process")</f>
        <v>0</v>
      </c>
      <c r="CV11" s="17">
        <f>COUNTIFS('Prácticas_Revisiones'!$S$2:$S$282,"T005",'Prácticas_Revisiones'!$T$2:$T$282,"SOFTWARE ENG. ECONOMICS &gt; For-Profit Decision-Making")+COUNTIFS('Prácticas_Snowballing'!$AB$2:$AB$281,"T005",'Prácticas_Snowballing'!$AC$2:$AC$281,"SOFTWARE ENG. ECONOMICS &gt; For-Profit Decision-Making")</f>
        <v>0</v>
      </c>
      <c r="CW11" s="17">
        <f>COUNTIFS('Prácticas_Revisiones'!$S$2:$S$282,"T005",'Prácticas_Revisiones'!$T$2:$T$282,"SOFTWARE ENG. ECONOMICS &gt; Nonprofit Decision-Making")+COUNTIFS('Prácticas_Snowballing'!$AB$2:$AB$281,"T005",'Prácticas_Snowballing'!$AC$2:$AC$281,"SOFTWARE ENG. ECONOMICS &gt; Nonprofit Decision-Making")</f>
        <v>0</v>
      </c>
      <c r="CX11" s="17">
        <f>COUNTIFS('Prácticas_Revisiones'!$S$2:$S$282,"T005",'Prácticas_Revisiones'!$T$2:$T$282,"SOFTWARE ENG. ECONOMICS &gt; Present Economy Decision-Making")+COUNTIFS('Prácticas_Snowballing'!$AB$2:$AB$281,"T005",'Prácticas_Snowballing'!$AC$2:$AC$281,"SOFTWARE ENG. ECONOMICS &gt; Present Economy Decision-Making")</f>
        <v>0</v>
      </c>
      <c r="CY11" s="17">
        <f>COUNTIFS('Prácticas_Revisiones'!$S$2:$S$282,"T005",'Prácticas_Revisiones'!$T$2:$T$282,"SOFTWARE ENG. ECONOMICS &gt; Multiple-Attribute Decision-Making")+COUNTIFS('Prácticas_Snowballing'!$AB$2:$AB$281,"T005",'Prácticas_Snowballing'!$AC$2:$AC$281,"SOFTWARE ENG. ECONOMICS &gt; Multiple-Attribute Decision-Making")</f>
        <v>0</v>
      </c>
      <c r="CZ11" s="17">
        <f>COUNTIFS('Prácticas_Revisiones'!$S$2:$S$282,"T005",'Prácticas_Revisiones'!$T$2:$T$282,"SOFTWARE ENG. ECONOMICS &gt; Identifying and Characterizing Intangible Assets")+COUNTIFS('Prácticas_Snowballing'!$AB$2:$AB$281,"T005",'Prácticas_Snowballing'!$AC$2:$AC$281,"SOFTWARE ENG. ECONOMICS &gt; Identifying and Characterizing Intangible Assets")</f>
        <v>0</v>
      </c>
      <c r="DA11" s="17">
        <f>COUNTIFS('Prácticas_Revisiones'!$S$2:$S$282,"T005",'Prácticas_Revisiones'!$T$2:$T$282,"SOFTWARE ENG. ECONOMICS &gt; Estimation")+COUNTIFS('Prácticas_Snowballing'!$AB$2:$AB$281,"T005",'Prácticas_Snowballing'!$AC$2:$AC$281,"SOFTWARE ENG. ECONOMICS &gt; Estimation")</f>
        <v>0</v>
      </c>
      <c r="DB11" s="17">
        <f>COUNTIFS('Prácticas_Revisiones'!$S$2:$S$282,"T005",'Prácticas_Revisiones'!$T$2:$T$282,"SOFTWARE ENG. ECONOMICS &gt; Practical Considerations")+COUNTIFS('Prácticas_Snowballing'!$AB$2:$AB$281,"T005",'Prácticas_Snowballing'!$AC$2:$AC$281,"SOFTWARE ENG. ECONOMICS &gt; Practical Considerations")</f>
        <v>0</v>
      </c>
      <c r="DC11" s="17">
        <f>COUNTIFS('Prácticas_Revisiones'!$S$2:$S$282,"T005",'Prácticas_Revisiones'!$T$2:$T$282,"SOFTWARE ENG. ECONOMICS &gt; Related Concepts")+COUNTIFS('Prácticas_Snowballing'!$AB$2:$AB$281,"T005",'Prácticas_Snowballing'!$AC$2:$AC$281,"SOFTWARE ENG. ECONOMICS &gt; Related Concepts")</f>
        <v>0</v>
      </c>
      <c r="DD11" s="17">
        <f>COUNTIFS('Prácticas_Revisiones'!$S$2:$S$282,"T005",'Prácticas_Revisiones'!$T$2:$T$282,"SOFTWARE ENG. ECONOMICS &gt; Subárea no determinable")+COUNTIFS('Prácticas_Snowballing'!$AB$2:$AB$281,"T005",'Prácticas_Snowballing'!$AC$2:$AC$281,"SOFTWARE ENG. ECONOMICS &gt; Subárea no determinable")</f>
        <v>0</v>
      </c>
      <c r="DE11" s="29">
        <f t="shared" si="14"/>
        <v>0</v>
      </c>
      <c r="DF11" s="17">
        <f>COUNTIFS('Prácticas_Revisiones'!$S$2:$S$282,"T005",'Prácticas_Revisiones'!$T$2:$T$282,"SOFTWARE ENG. MANAGEMENT &gt; Software Engineering Management Fundamentals")+COUNTIFS('Prácticas_Snowballing'!$AB$2:$AB$281,"T005",'Prácticas_Snowballing'!$AC$2:$AC$281,"SOFTWARE ENG. MANAGEMENT &gt; Software Engineering Management Fundamentals")</f>
        <v>0</v>
      </c>
      <c r="DG11" s="17">
        <f>COUNTIFS('Prácticas_Revisiones'!$S$2:$S$282,"T005",'Prácticas_Revisiones'!$T$2:$T$282,"SOFTWARE ENG. MANAGEMENT &gt; Initiation and Scope Definition")+COUNTIFS('Prácticas_Snowballing'!$AB$2:$AB$281,"T005",'Prácticas_Snowballing'!$AC$2:$AC$281,"SOFTWARE ENG. MANAGEMENT &gt; Initiation and Scope Definition")</f>
        <v>0</v>
      </c>
      <c r="DH11" s="17">
        <f>COUNTIFS('Prácticas_Revisiones'!$S$2:$S$282,"T005",'Prácticas_Revisiones'!$T$2:$T$282,"SOFTWARE ENG. MANAGEMENT &gt; Software Project Planning")+COUNTIFS('Prácticas_Snowballing'!$AB$2:$AB$281,"T005",'Prácticas_Snowballing'!$AC$2:$AC$281,"SOFTWARE ENG. MANAGEMENT &gt; Software Project Planning")</f>
        <v>0</v>
      </c>
      <c r="DI11" s="17">
        <f>COUNTIFS('Prácticas_Revisiones'!$S$2:$S$282,"T005",'Prácticas_Revisiones'!$T$2:$T$282,"SOFTWARE ENG. MANAGEMENT &gt; Software Project Enactment")+COUNTIFS('Prácticas_Snowballing'!$AB$2:$AB$281,"T005",'Prácticas_Snowballing'!$AC$2:$AC$281,"SOFTWARE ENG. MANAGEMENT &gt; Software Project Enactment")</f>
        <v>0</v>
      </c>
      <c r="DJ11" s="17">
        <f>COUNTIFS('Prácticas_Revisiones'!$S$2:$S$282,"T005",'Prácticas_Revisiones'!$T$2:$T$282,"SOFTWARE ENG. MANAGEMENT &gt; Review and Evaluation")+COUNTIFS('Prácticas_Snowballing'!$AB$2:$AB$281,"T005",'Prácticas_Snowballing'!$AC$2:$AC$281,"SOFTWARE ENG. MANAGEMENT &gt; Review and Evaluation")</f>
        <v>0</v>
      </c>
      <c r="DK11" s="17">
        <f>COUNTIFS('Prácticas_Revisiones'!$S$2:$S$282,"T005",'Prácticas_Revisiones'!$T$2:$T$282,"SOFTWARE ENG. MANAGEMENT &gt; Closure")+COUNTIFS('Prácticas_Snowballing'!$AB$2:$AB$281,"T005",'Prácticas_Snowballing'!$AC$2:$AC$281,"SOFTWARE ENG. MANAGEMENT &gt; Closure")</f>
        <v>0</v>
      </c>
      <c r="DL11" s="17">
        <f>COUNTIFS('Prácticas_Revisiones'!$S$2:$S$282,"T005",'Prácticas_Revisiones'!$T$2:$T$282,"SOFTWARE ENG. MANAGEMENT &gt; Software Engineering Management Tools")+COUNTIFS('Prácticas_Snowballing'!$AB$2:$AB$281,"T005",'Prácticas_Snowballing'!$AC$2:$AC$281,"SOFTWARE ENG. MANAGEMENT &gt; Software Engineering Management Tools")</f>
        <v>0</v>
      </c>
      <c r="DM11" s="17">
        <f>COUNTIFS('Prácticas_Revisiones'!$S$2:$S$282,"T005",'Prácticas_Revisiones'!$T$2:$T$282,"SOFTWARE ENG. MANAGEMENT &gt; Subárea no determinable")+COUNTIFS('Prácticas_Snowballing'!$AB$2:$AB$281,"T005",'Prácticas_Snowballing'!$AC$2:$AC$281,"SOFTWARE ENG. MANAGEMENT &gt; Subárea no determinable")</f>
        <v>0</v>
      </c>
      <c r="DN11" s="29">
        <f t="shared" si="15"/>
        <v>0</v>
      </c>
      <c r="DO11" s="17">
        <f>COUNTIFS('Prácticas_Revisiones'!$S$2:$S$282,"T005",'Prácticas_Revisiones'!$T$2:$T$282,"Sin área SWEBOK")+COUNTIFS('Prácticas_Snowballing'!$AB$2:$AB$281,"T005",'Prácticas_Snowballing'!$AC$2:$AC$281,"Sin área SWEBOK")</f>
        <v>0</v>
      </c>
      <c r="DP11" s="27">
        <f t="shared" si="16"/>
        <v>0</v>
      </c>
    </row>
    <row r="12">
      <c r="A12" s="28"/>
      <c r="B12" s="16" t="s">
        <v>1134</v>
      </c>
      <c r="C12" s="17">
        <f>COUNTIFS('Prácticas_Revisiones'!$S$2:$S$282,"T006",'Prácticas_Revisiones'!$T$2:$T$282,"REQUIREMENTS &gt; Software Requirements Fundamentals")+COUNTIFS('Prácticas_Snowballing'!$AB$2:$AB$281,"T006",'Prácticas_Snowballing'!$AC$2:$AC$281,"REQUIREMENTS &gt; Software Requirements Fundamentals")</f>
        <v>0</v>
      </c>
      <c r="D12" s="17">
        <f>COUNTIFS('Prácticas_Revisiones'!$S$2:$S$282,"T006",'Prácticas_Revisiones'!$T$2:$T$282,"REQUIREMENTS &gt; Requirements Elicitation")+COUNTIFS('Prácticas_Snowballing'!$AB$2:$AB$281,"T006",'Prácticas_Snowballing'!$AC$2:$AC$281,"REQUIREMENTS &gt; Requirements Elicitation")</f>
        <v>0</v>
      </c>
      <c r="E12" s="17">
        <f>COUNTIFS('Prácticas_Revisiones'!$S$2:$S$282,"T006",'Prácticas_Revisiones'!$T$2:$T$282,"REQUIREMENTS &gt; Requirements Analysis")+COUNTIFS('Prácticas_Snowballing'!$AB$2:$AB$281,"T006",'Prácticas_Snowballing'!$AC$2:$AC$281,"REQUIREMENTS &gt; Requirements Analysis")</f>
        <v>0</v>
      </c>
      <c r="F12" s="17">
        <f>COUNTIFS('Prácticas_Revisiones'!$S$2:$S$282,"T006",'Prácticas_Revisiones'!$T$2:$T$282,"REQUIREMENTS &gt; Requirements Specification")+COUNTIFS('Prácticas_Snowballing'!$AB$2:$AB$281,"T006",'Prácticas_Snowballing'!$AC$2:$AC$281,"REQUIREMENTS &gt; Requirements Specification")</f>
        <v>0</v>
      </c>
      <c r="G12" s="17">
        <f>COUNTIFS('Prácticas_Revisiones'!$S$2:$S$282,"T006",'Prácticas_Revisiones'!$T$2:$T$282,"REQUIREMENTS &gt; Requirements Validation")+COUNTIFS('Prácticas_Snowballing'!$AB$2:$AB$281,"T006",'Prácticas_Snowballing'!$AC$2:$AC$281,"REQUIREMENTS &gt; Requirements Validation")</f>
        <v>0</v>
      </c>
      <c r="H12" s="17">
        <f>COUNTIFS('Prácticas_Revisiones'!$S$2:$S$282,"T006",'Prácticas_Revisiones'!$T$2:$T$282,"REQUIREMENTS &gt; Requirements Management Activities")+COUNTIFS('Prácticas_Snowballing'!$AB$2:$AB$281,"T006",'Prácticas_Snowballing'!$AC$2:$AC$281,"REQUIREMENTS &gt; Requirements Management Activities")</f>
        <v>0</v>
      </c>
      <c r="I12" s="17">
        <f>COUNTIFS('Prácticas_Revisiones'!$S$2:$S$282,"T006",'Prácticas_Revisiones'!$T$2:$T$282,"REQUIREMENTS &gt; Practical Considerations")+COUNTIFS('Prácticas_Snowballing'!$AB$2:$AB$281,"T006",'Prácticas_Snowballing'!$AC$2:$AC$281,"REQUIREMENTS &gt; Practical Considerations")</f>
        <v>0</v>
      </c>
      <c r="J12" s="17">
        <f>COUNTIFS('Prácticas_Revisiones'!$S$2:$S$282,"T006",'Prácticas_Revisiones'!$T$2:$T$282,"REQUIREMENTS &gt; Software Requirements Tools")+COUNTIFS('Prácticas_Snowballing'!$AB$2:$AB$281,"T006",'Prácticas_Snowballing'!$AC$2:$AC$281,"REQUIREMENTS &gt; Software Requirements Tools")</f>
        <v>0</v>
      </c>
      <c r="K12" s="17">
        <f>COUNTIFS('Prácticas_Revisiones'!$S$2:$S$282,"T006",'Prácticas_Revisiones'!$T$2:$T$282,"REQUIREMENTS &gt; Subárea no determinable")+COUNTIFS('Prácticas_Snowballing'!$AB$2:$AB$281,"T006",'Prácticas_Snowballing'!$AC$2:$AC$281,"REQUIREMENTS &gt; Subárea no determinable")</f>
        <v>0</v>
      </c>
      <c r="L12" s="29">
        <f t="shared" si="1"/>
        <v>0</v>
      </c>
      <c r="M12" s="17">
        <f>COUNTIFS('Prácticas_Revisiones'!$S$2:$S$282,"T006",'Prácticas_Revisiones'!$T$2:$T$282,"ARCHITECTURE &gt; Software Architecture Fundamentals")+COUNTIFS('Prácticas_Snowballing'!$AB$2:$AB$281,"T006",'Prácticas_Snowballing'!$AC$2:$AC$281,"ARCHITECTURE &gt; Software Architecture Fundamentals")</f>
        <v>0</v>
      </c>
      <c r="N12" s="17">
        <f>COUNTIFS('Prácticas_Revisiones'!$S$2:$S$282,"T006",'Prácticas_Revisiones'!$T$2:$T$282,"ARCHITECTURE &gt; Software Architecture Description")+COUNTIFS('Prácticas_Snowballing'!$AB$2:$AB$281,"T006",'Prácticas_Snowballing'!$AC$2:$AC$281,"ARCHITECTURE &gt; Software Architecture Description")</f>
        <v>0</v>
      </c>
      <c r="O12" s="17">
        <f>COUNTIFS('Prácticas_Revisiones'!$S$2:$S$282,"T006",'Prácticas_Revisiones'!$T$2:$T$282,"ARCHITECTURE &gt; Software Architecture Process")+COUNTIFS('Prácticas_Snowballing'!$AB$2:$AB$281,"T006",'Prácticas_Snowballing'!$AC$2:$AC$281,"ARCHITECTURE &gt; Software Architecture Process")</f>
        <v>0</v>
      </c>
      <c r="P12" s="17">
        <f>COUNTIFS('Prácticas_Revisiones'!$S$2:$S$282,"T006",'Prácticas_Revisiones'!$T$2:$T$282,"ARCHITECTURE &gt; Software Architecture Evaluation")+COUNTIFS('Prácticas_Snowballing'!$AB$2:$AB$281,"T006",'Prácticas_Snowballing'!$AC$2:$AC$281,"ARCHITECTURE &gt; Software Architecture Evaluation")</f>
        <v>0</v>
      </c>
      <c r="Q12" s="17">
        <f>COUNTIFS('Prácticas_Revisiones'!$S$2:$S$282,"T006",'Prácticas_Revisiones'!$T$2:$T$282,"ARCHITECTURE &gt; Subárea no determinable")+COUNTIFS('Prácticas_Snowballing'!$AB$2:$AB$281,"T006",'Prácticas_Snowballing'!$AC$2:$AC$281,"ARCHITECTURE &gt; Subárea no determinable")</f>
        <v>0</v>
      </c>
      <c r="R12" s="29">
        <f t="shared" si="2"/>
        <v>0</v>
      </c>
      <c r="S12" s="17">
        <f>COUNTIFS('Prácticas_Revisiones'!$S$2:$S$282,"T006",'Prácticas_Revisiones'!$T$2:$T$282,"DESIGN &gt; Software Design Fundamentals")+COUNTIFS('Prácticas_Snowballing'!$AB$2:$AB$281,"T006",'Prácticas_Snowballing'!$AC$2:$AC$281,"DESIGN &gt; Software Design Fundamentals")</f>
        <v>0</v>
      </c>
      <c r="T12" s="17">
        <f>COUNTIFS('Prácticas_Revisiones'!$S$2:$S$282,"T006",'Prácticas_Revisiones'!$T$2:$T$282,"DESIGN &gt; Software Design Processes")+COUNTIFS('Prácticas_Snowballing'!$AB$2:$AB$281,"T006",'Prácticas_Snowballing'!$AC$2:$AC$281,"DESIGN &gt; Software Design Processes")</f>
        <v>1</v>
      </c>
      <c r="U12" s="17">
        <f>COUNTIFS('Prácticas_Revisiones'!$S$2:$S$282,"T006",'Prácticas_Revisiones'!$T$2:$T$282,"DESIGN &gt; Software Design Qualities")+COUNTIFS('Prácticas_Snowballing'!$AB$2:$AB$281,"T006",'Prácticas_Snowballing'!$AC$2:$AC$281,"DESIGN &gt; Software Design Qualities")</f>
        <v>0</v>
      </c>
      <c r="V12" s="17">
        <f>COUNTIFS('Prácticas_Revisiones'!$S$2:$S$282,"T006",'Prácticas_Revisiones'!$T$2:$T$282,"DESIGN &gt; Recording Software Design")+COUNTIFS('Prácticas_Snowballing'!$AB$2:$AB$281,"T006",'Prácticas_Snowballing'!$AC$2:$AC$281,"DESIGN &gt; Recording Software Design")</f>
        <v>0</v>
      </c>
      <c r="W12" s="17">
        <f>COUNTIFS('Prácticas_Revisiones'!$S$2:$S$282,"T006",'Prácticas_Revisiones'!$T$2:$T$282,"DESIGN &gt; Software Design Strategies and Methods")+COUNTIFS('Prácticas_Snowballing'!$AB$2:$AB$281,"T006",'Prácticas_Snowballing'!$AC$2:$AC$281,"DESIGN &gt; Software Design Strategies and Methods")</f>
        <v>0</v>
      </c>
      <c r="X12" s="17">
        <f>COUNTIFS('Prácticas_Revisiones'!$S$2:$S$282,"T006",'Prácticas_Revisiones'!$T$2:$T$282,"DESIGN &gt; Software Design Analysis and Evaluations")+COUNTIFS('Prácticas_Snowballing'!$AB$2:$AB$281,"T006",'Prácticas_Snowballing'!$AC$2:$AC$281,"DESIGN &gt; Software Design Analysis and Evaluations")</f>
        <v>0</v>
      </c>
      <c r="Y12" s="17">
        <f>COUNTIFS('Prácticas_Revisiones'!$S$2:$S$282,"T006",'Prácticas_Revisiones'!$T$2:$T$282,"DESIGN &gt; Subárea no determinable")+COUNTIFS('Prácticas_Snowballing'!$AB$2:$AB$281,"T006",'Prácticas_Snowballing'!$AC$2:$AC$281,"DESIGN &gt; Subárea no determinable")</f>
        <v>0</v>
      </c>
      <c r="Z12" s="29">
        <f t="shared" si="3"/>
        <v>1</v>
      </c>
      <c r="AA12" s="17">
        <f>COUNTIFS('Prácticas_Revisiones'!$S$2:$S$282,"T006",'Prácticas_Revisiones'!$T$2:$T$282,"CONSTRUCTION &gt; Software Construction Fundamentals")+COUNTIFS('Prácticas_Snowballing'!$AB$2:$AB$281,"T006",'Prácticas_Snowballing'!$AC$2:$AC$281,"CONSTRUCTION &gt; Software Construction Fundamentals")</f>
        <v>0</v>
      </c>
      <c r="AB12" s="17">
        <f>COUNTIFS('Prácticas_Revisiones'!$S$2:$S$282,"T006",'Prácticas_Revisiones'!$T$2:$T$282,"CONSTRUCTION &gt; Managing Construction")+COUNTIFS('Prácticas_Snowballing'!$AB$2:$AB$281,"T006",'Prácticas_Snowballing'!$AC$2:$AC$281,"CONSTRUCTION &gt; Managing Construction")</f>
        <v>0</v>
      </c>
      <c r="AC12" s="17">
        <f>COUNTIFS('Prácticas_Revisiones'!$S$2:$S$282,"T006",'Prácticas_Revisiones'!$T$2:$T$282,"CONSTRUCTION &gt; Practical Considerations")+COUNTIFS('Prácticas_Snowballing'!$AB$2:$AB$281,"T006",'Prácticas_Snowballing'!$AC$2:$AC$281,"CONSTRUCTION &gt; Practical Considerations")</f>
        <v>0</v>
      </c>
      <c r="AD12" s="17">
        <f>COUNTIFS('Prácticas_Revisiones'!$S$2:$S$282,"T006",'Prácticas_Revisiones'!$T$2:$T$282,"CONSTRUCTION &gt; Construction Technologies")+COUNTIFS('Prácticas_Snowballing'!$AB$2:$AB$281,"T006",'Prácticas_Snowballing'!$AC$2:$AC$281,"CONSTRUCTION &gt; Construction Technologies")</f>
        <v>0</v>
      </c>
      <c r="AE12" s="17">
        <f>COUNTIFS('Prácticas_Revisiones'!$S$2:$S$282,"T006",'Prácticas_Revisiones'!$T$2:$T$282,"CONSTRUCTION &gt; Software Construction Tools")+COUNTIFS('Prácticas_Snowballing'!$AB$2:$AB$281,"T006",'Prácticas_Snowballing'!$AC$2:$AC$281,"CONSTRUCTION &gt; Software Construction Tools")</f>
        <v>0</v>
      </c>
      <c r="AF12" s="17">
        <f>COUNTIFS('Prácticas_Revisiones'!$S$2:$S$282,"T006",'Prácticas_Revisiones'!$T$2:$T$282,"CONSTRUCTION &gt; Subárea no determinable")+COUNTIFS('Prácticas_Snowballing'!$AB$2:$AB$281,"T006",'Prácticas_Snowballing'!$AC$2:$AC$281,"CONSTRUCTION &gt; Subárea no determinable")</f>
        <v>0</v>
      </c>
      <c r="AG12" s="29">
        <f t="shared" si="4"/>
        <v>0</v>
      </c>
      <c r="AH12" s="17">
        <f>COUNTIFS('Prácticas_Revisiones'!$S$2:$S$282,"T006",'Prácticas_Revisiones'!$T$2:$T$282,"SOFTWARE TESTING &gt; Software Testing Fundamentals")+COUNTIFS('Prácticas_Snowballing'!$AB$2:$AB$281,"T006",'Prácticas_Snowballing'!$AC$2:$AC$281,"SOFTWARE TESTING &gt; Software Testing Fundamentals")</f>
        <v>0</v>
      </c>
      <c r="AI12" s="17">
        <f>COUNTIFS('Prácticas_Revisiones'!$S$2:$S$282,"T006",'Prácticas_Revisiones'!$T$2:$T$282,"SOFTWARE TESTING &gt; Test Levels")+COUNTIFS('Prácticas_Snowballing'!$AB$2:$AB$281,"T006",'Prácticas_Snowballing'!$AC$2:$AC$281,"SOFTWARE TESTING &gt; Test Levels")</f>
        <v>0</v>
      </c>
      <c r="AJ12" s="17">
        <f>COUNTIFS('Prácticas_Revisiones'!$S$2:$S$282,"T006",'Prácticas_Revisiones'!$T$2:$T$282,"SOFTWARE TESTING &gt; Test Techniques")+COUNTIFS('Prácticas_Snowballing'!$AB$2:$AB$281,"T006",'Prácticas_Snowballing'!$AC$2:$AC$281,"SOFTWARE TESTING &gt; Test Techniques")</f>
        <v>0</v>
      </c>
      <c r="AK12" s="17">
        <f>COUNTIFS('Prácticas_Revisiones'!$S$2:$S$282,"T006",'Prácticas_Revisiones'!$T$2:$T$282,"SOFTWARE TESTING &gt; Test-Related Measures")+COUNTIFS('Prácticas_Snowballing'!$AB$2:$AB$281,"T006",'Prácticas_Snowballing'!$AC$2:$AC$281,"SOFTWARE TESTING &gt; Test-Related Measures")</f>
        <v>0</v>
      </c>
      <c r="AL12" s="17">
        <f>COUNTIFS('Prácticas_Revisiones'!$S$2:$S$282,"T006",'Prácticas_Revisiones'!$T$2:$T$282,"SOFTWARE TESTING &gt; Test Process")+COUNTIFS('Prácticas_Snowballing'!$AB$2:$AB$281,"T006",'Prácticas_Snowballing'!$AC$2:$AC$281,"SOFTWARE TESTING &gt; Test Process")</f>
        <v>0</v>
      </c>
      <c r="AM12" s="17">
        <f>COUNTIFS('Prácticas_Revisiones'!$S$2:$S$282,"T006",'Prácticas_Revisiones'!$T$2:$T$282,"SOFTWARE TESTING &gt; Software Testing in the Development Processes...")+COUNTIFS('Prácticas_Snowballing'!$AB$2:$AB$281,"T006",'Prácticas_Snowballing'!$AC$2:$AC$281,"SOFTWARE TESTING &gt; Software Testing in the Development Processes...")</f>
        <v>0</v>
      </c>
      <c r="AN12" s="17">
        <f>COUNTIFS('Prácticas_Revisiones'!$S$2:$S$282,"T006",'Prácticas_Revisiones'!$T$2:$T$282,"SOFTWARE TESTING &gt; Testing of and Testing Through Emerging Tech...")+COUNTIFS('Prácticas_Snowballing'!$AB$2:$AB$281,"T006",'Prácticas_Snowballing'!$AC$2:$AC$281,"SOFTWARE TESTING &gt; Testing of and Testing Through Emerging Tech...")</f>
        <v>0</v>
      </c>
      <c r="AO12" s="17">
        <f>COUNTIFS('Prácticas_Revisiones'!$S$2:$S$282,"T006",'Prácticas_Revisiones'!$T$2:$T$282,"SOFTWARE TESTING &gt; Software Testing Tools")+COUNTIFS('Prácticas_Snowballing'!$AB$2:$AB$281,"T006",'Prácticas_Snowballing'!$AC$2:$AC$281,"SOFTWARE TESTING &gt; Software Testing Tools")</f>
        <v>0</v>
      </c>
      <c r="AP12" s="17">
        <f>COUNTIFS('Prácticas_Revisiones'!$S$2:$S$282,"T006",'Prácticas_Revisiones'!$T$2:$T$282,"SOFTWARE TESTING &gt; Subárea no determinable")+COUNTIFS('Prácticas_Snowballing'!$AB$2:$AB$281,"T006",'Prácticas_Snowballing'!$AC$2:$AC$281,"SOFTWARE TESTING &gt; Subárea no determinable")</f>
        <v>0</v>
      </c>
      <c r="AQ12" s="29">
        <f t="shared" si="5"/>
        <v>0</v>
      </c>
      <c r="AR12" s="17">
        <f>COUNTIFS('Prácticas_Revisiones'!$S$2:$S$282,"T006",'Prácticas_Revisiones'!$T$2:$T$282,"SOFTWARE ENG. OPERATIONS &gt; Software Engineering Operations Fundamentals")+COUNTIFS('Prácticas_Snowballing'!$AB$2:$AB$281,"T006",'Prácticas_Snowballing'!$AC$2:$AC$281,"SOFTWARE ENG. OPERATIONS &gt; Software Engineering Operations Fundamentals")</f>
        <v>0</v>
      </c>
      <c r="AS12" s="17">
        <f>COUNTIFS('Prácticas_Revisiones'!$S$2:$S$282,"T006",'Prácticas_Revisiones'!$T$2:$T$282,"SOFTWARE ENG. OPERATIONS &gt; Software Engineering Operations Planning")+COUNTIFS('Prácticas_Snowballing'!$AB$2:$AB$281,"T006",'Prácticas_Snowballing'!$AC$2:$AC$281,"SOFTWARE ENG. OPERATIONS &gt; Software Engineering Operations Planning")</f>
        <v>0</v>
      </c>
      <c r="AT12" s="17">
        <f>COUNTIFS('Prácticas_Revisiones'!$S$2:$S$282,"T006",'Prácticas_Revisiones'!$T$2:$T$282,"SOFTWARE ENG. OPERATIONS &gt; Software Engineering Operations Delivery")+COUNTIFS('Prácticas_Snowballing'!$AB$2:$AB$281,"T006",'Prácticas_Snowballing'!$AC$2:$AC$281,"SOFTWARE ENG. OPERATIONS &gt; Software Engineering Operations Delivery")</f>
        <v>0</v>
      </c>
      <c r="AU12" s="17">
        <f>COUNTIFS('Prácticas_Revisiones'!$S$2:$S$282,"T006",'Prácticas_Revisiones'!$T$2:$T$282,"SOFTWARE ENG. OPERATIONS &gt; Software Engineering Operations Control")+COUNTIFS('Prácticas_Snowballing'!$AB$2:$AB$281,"T006",'Prácticas_Snowballing'!$AC$2:$AC$281,"SOFTWARE ENG. OPERATIONS &gt; Software Engineering Operations Control")</f>
        <v>0</v>
      </c>
      <c r="AV12" s="17">
        <f>COUNTIFS('Prácticas_Revisiones'!$S$2:$S$282,"T006",'Prácticas_Revisiones'!$T$2:$T$282,"SOFTWARE ENG. OPERATIONS &gt; Practical Considerations")+COUNTIFS('Prácticas_Snowballing'!$AB$2:$AB$281,"T006",'Prácticas_Snowballing'!$AC$2:$AC$281,"SOFTWARE ENG. OPERATIONS &gt; Practical Considerations")</f>
        <v>0</v>
      </c>
      <c r="AW12" s="17">
        <f>COUNTIFS('Prácticas_Revisiones'!$S$2:$S$282,"T006",'Prácticas_Revisiones'!$T$2:$T$282,"SOFTWARE ENG. OPERATIONS &gt; Software Engineering Operations Tools")+COUNTIFS('Prácticas_Snowballing'!$AB$2:$AB$281,"T006",'Prácticas_Snowballing'!$AC$2:$AC$281,"SOFTWARE ENG. OPERATIONS &gt; Software Engineering Operations Tools")</f>
        <v>0</v>
      </c>
      <c r="AX12" s="17">
        <f>COUNTIFS('Prácticas_Revisiones'!$S$2:$S$282,"T006",'Prácticas_Revisiones'!$T$2:$T$282,"SOFTWARE ENG. OPERATIONS &gt; Subárea no determinable")+COUNTIFS('Prácticas_Snowballing'!$AB$2:$AB$281,"T006",'Prácticas_Snowballing'!$AC$2:$AC$281,"SOFTWARE ENG. OPERATIONS &gt; Subárea no determinable")</f>
        <v>0</v>
      </c>
      <c r="AY12" s="29">
        <f t="shared" si="6"/>
        <v>0</v>
      </c>
      <c r="AZ12" s="17">
        <f>COUNTIFS('Prácticas_Revisiones'!$S$2:$S$282,"T006",'Prácticas_Revisiones'!$T$2:$T$282,"MAINTENANCE &gt; Software Maintenance Fundamentals")+COUNTIFS('Prácticas_Snowballing'!$AB$2:$AB$281,"T006",'Prácticas_Snowballing'!$AC$2:$AC$281,"MAINTENANCE &gt; Software Maintenance Fundamentals")</f>
        <v>0</v>
      </c>
      <c r="BA12" s="17">
        <f>COUNTIFS('Prácticas_Revisiones'!$S$2:$S$282,"T006",'Prácticas_Revisiones'!$T$2:$T$282,"MAINTENANCE &gt; Key Issues in Software Maintenance")+COUNTIFS('Prácticas_Snowballing'!$AB$2:$AB$281,"T006",'Prácticas_Snowballing'!$AC$2:$AC$281,"MAINTENANCE &gt; Key Issues in Software Maintenance")</f>
        <v>0</v>
      </c>
      <c r="BB12" s="17">
        <f>COUNTIFS('Prácticas_Revisiones'!$S$2:$S$282,"T006",'Prácticas_Revisiones'!$T$2:$T$282,"MAINTENANCE &gt; Software Maintenance Processes")+COUNTIFS('Prácticas_Snowballing'!$AB$2:$AB$281,"T006",'Prácticas_Snowballing'!$AC$2:$AC$281,"MAINTENANCE &gt; Software Maintenance Processes")</f>
        <v>0</v>
      </c>
      <c r="BC12" s="17">
        <f>COUNTIFS('Prácticas_Revisiones'!$S$2:$S$282,"T006",'Prácticas_Revisiones'!$T$2:$T$282,"MAINTENANCE &gt; Software Maintenance Techniques")+COUNTIFS('Prácticas_Snowballing'!$AB$2:$AB$281,"T006",'Prácticas_Snowballing'!$AC$2:$AC$281,"MAINTENANCE &gt; Software Maintenance Techniques")</f>
        <v>0</v>
      </c>
      <c r="BD12" s="17">
        <f>COUNTIFS('Prácticas_Revisiones'!$S$2:$S$282,"T006",'Prácticas_Revisiones'!$T$2:$T$282,"MAINTENANCE &gt; Software Maintenance Tools")+COUNTIFS('Prácticas_Snowballing'!$AB$2:$AB$281,"T006",'Prácticas_Snowballing'!$AC$2:$AC$281,"MAINTENANCE &gt; Software Maintenance Tools")</f>
        <v>0</v>
      </c>
      <c r="BE12" s="17">
        <f>COUNTIFS('Prácticas_Revisiones'!$S$2:$S$282,"T006",'Prácticas_Revisiones'!$T$2:$T$282,"MAINTENANCE &gt; Subárea no determinable")+COUNTIFS('Prácticas_Snowballing'!$AB$2:$AB$281,"T006",'Prácticas_Snowballing'!$AC$2:$AC$281,"MAINTENANCE &gt; Subárea no determinable")</f>
        <v>0</v>
      </c>
      <c r="BF12" s="29">
        <f t="shared" si="7"/>
        <v>0</v>
      </c>
      <c r="BG12" s="17">
        <f>COUNTIFS('Prácticas_Revisiones'!$S$2:$S$282,"T006",'Prácticas_Revisiones'!$T$2:$T$282,"SOFTWARE CONFIG. MGMT. &gt; Management of the SCM Process")+COUNTIFS('Prácticas_Snowballing'!$AB$2:$AB$281,"T006",'Prácticas_Snowballing'!$AC$2:$AC$281,"SOFTWARE CONFIG. MGMT. &gt; Management of the SCM Process")</f>
        <v>0</v>
      </c>
      <c r="BH12" s="17">
        <f>COUNTIFS('Prácticas_Revisiones'!$S$2:$S$282,"T006",'Prácticas_Revisiones'!$T$2:$T$282,"SOFTWARE CONFIG. MGMT. &gt; Software Configuration Identification")+COUNTIFS('Prácticas_Snowballing'!$AB$2:$AB$281,"T006",'Prácticas_Snowballing'!$AC$2:$AC$281,"SOFTWARE CONFIG. MGMT. &gt; Software Configuration Identification")</f>
        <v>0</v>
      </c>
      <c r="BI12" s="17">
        <f>COUNTIFS('Prácticas_Revisiones'!$S$2:$S$282,"T006",'Prácticas_Revisiones'!$T$2:$T$282,"SOFTWARE CONFIG. MGMT. &gt; Software Configuration Change Control")+COUNTIFS('Prácticas_Snowballing'!$AB$2:$AB$281,"T006",'Prácticas_Snowballing'!$AC$2:$AC$281,"SOFTWARE CONFIG. MGMT. &gt; Software Configuration Change Control")</f>
        <v>0</v>
      </c>
      <c r="BJ12" s="17">
        <f>COUNTIFS('Prácticas_Revisiones'!$S$2:$S$282,"T006",'Prácticas_Revisiones'!$T$2:$T$282,"SOFTWARE CONFIG. MGMT. &gt; Software Configuration Status Accounting")+COUNTIFS('Prácticas_Snowballing'!$AB$2:$AB$281,"T006",'Prácticas_Snowballing'!$AC$2:$AC$281,"SOFTWARE CONFIG. MGMT. &gt; Software Configuration Status Accounting")</f>
        <v>0</v>
      </c>
      <c r="BK12" s="17">
        <f>COUNTIFS('Prácticas_Revisiones'!$S$2:$S$282,"T006",'Prácticas_Revisiones'!$T$2:$T$282,"SOFTWARE CONFIG. MGMT. &gt; Software Configuration Auditing")+COUNTIFS('Prácticas_Snowballing'!$AB$2:$AB$281,"T006",'Prácticas_Snowballing'!$AC$2:$AC$281,"SOFTWARE CONFIG. MGMT. &gt; Software Configuration Auditing")</f>
        <v>0</v>
      </c>
      <c r="BL12" s="17">
        <f>COUNTIFS('Prácticas_Revisiones'!$S$2:$S$282,"T006",'Prácticas_Revisiones'!$T$2:$T$282,"SOFTWARE CONFIG. MGMT. &gt; Software Release Management and Delivery")+COUNTIFS('Prácticas_Snowballing'!$AB$2:$AB$281,"T006",'Prácticas_Snowballing'!$AC$2:$AC$281,"SOFTWARE CONFIG. MGMT. &gt; Software Release Management and Delivery")</f>
        <v>0</v>
      </c>
      <c r="BM12" s="17">
        <f>COUNTIFS('Prácticas_Revisiones'!$S$2:$S$282,"T006",'Prácticas_Revisiones'!$T$2:$T$282,"SOFTWARE CONFIG. MGMT. &gt; Software Configuration Management Tools")+COUNTIFS('Prácticas_Snowballing'!$AB$2:$AB$281,"T006",'Prácticas_Snowballing'!$AC$2:$AC$281,"SOFTWARE CONFIG. MGMT. &gt; Software Configuration Management Tools")</f>
        <v>0</v>
      </c>
      <c r="BN12" s="17">
        <f>COUNTIFS('Prácticas_Revisiones'!$S$2:$S$282,"T006",'Prácticas_Revisiones'!$T$2:$T$282,"SOFTWARE CONFIG. MGMT. &gt; Subárea no determinable")+COUNTIFS('Prácticas_Snowballing'!$AB$2:$AB$281,"T006",'Prácticas_Snowballing'!$AC$2:$AC$281,"SOFTWARE CONFIG. MGMT. &gt; Subárea no determinable")</f>
        <v>0</v>
      </c>
      <c r="BO12" s="29">
        <f t="shared" si="8"/>
        <v>0</v>
      </c>
      <c r="BP12" s="17">
        <f>COUNTIFS('Prácticas_Revisiones'!$S$2:$S$282,"T006",'Prácticas_Revisiones'!$T$2:$T$282,"SOFTWARE ENG. PROCESS &gt; Software Engineering Process Fundamentals")+COUNTIFS('Prácticas_Snowballing'!$AB$2:$AB$281,"T006",'Prácticas_Snowballing'!$AC$2:$AC$281,"SOFTWARE ENG. PROCESS &gt; Software Engineering Process Fundamentals")</f>
        <v>0</v>
      </c>
      <c r="BQ12" s="17">
        <f>COUNTIFS('Prácticas_Revisiones'!$S$2:$S$282,"T006",'Prácticas_Revisiones'!$T$2:$T$282,"SOFTWARE ENG. PROCESS &gt; Life Cycles")+COUNTIFS('Prácticas_Snowballing'!$AB$2:$AB$281,"T006",'Prácticas_Snowballing'!$AC$2:$AC$281,"SOFTWARE ENG. PROCESS &gt; Life Cycles")</f>
        <v>0</v>
      </c>
      <c r="BR12" s="17">
        <f>COUNTIFS('Prácticas_Revisiones'!$S$2:$S$282,"T006",'Prácticas_Revisiones'!$T$2:$T$282,"SOFTWARE ENG. PROCESS &gt; Software Process Assessment and Improvement")+COUNTIFS('Prácticas_Snowballing'!$AB$2:$AB$281,"T006",'Prácticas_Snowballing'!$AC$2:$AC$281,"SOFTWARE ENG. PROCESS &gt; Software Process Assessment and Improvement")</f>
        <v>0</v>
      </c>
      <c r="BS12" s="17">
        <f>COUNTIFS('Prácticas_Revisiones'!$S$2:$S$282,"T006",'Prácticas_Revisiones'!$T$2:$T$282,"SOFTWARE ENG. PROCESS &gt; Subárea no determinable")+COUNTIFS('Prácticas_Snowballing'!$AB$2:$AB$281,"T006",'Prácticas_Snowballing'!$AC$2:$AC$281,"SOFTWARE ENG. PROCESS &gt; Subárea no determinable")</f>
        <v>0</v>
      </c>
      <c r="BT12" s="29">
        <f t="shared" si="9"/>
        <v>0</v>
      </c>
      <c r="BU12" s="17">
        <f>COUNTIFS('Prácticas_Revisiones'!$S$2:$S$282,"T006",'Prácticas_Revisiones'!$T$2:$T$282,"SOFTWARE ENG. MODELS/METH. &gt; Modeling")+COUNTIFS('Prácticas_Snowballing'!$AB$2:$AB$281,"T006",'Prácticas_Snowballing'!$AC$2:$AC$281,"SOFTWARE ENG. MODELS/METH. &gt; Modeling")</f>
        <v>0</v>
      </c>
      <c r="BV12" s="17">
        <f>COUNTIFS('Prácticas_Revisiones'!$S$2:$S$282,"T006",'Prácticas_Revisiones'!$T$2:$T$282,"SOFTWARE ENG. MODELS/METH. &gt; Types of Models")+COUNTIFS('Prácticas_Snowballing'!$AB$2:$AB$281,"T006",'Prácticas_Snowballing'!$AC$2:$AC$281,"SOFTWARE ENG. MODELS/METH. &gt; Types of Models")</f>
        <v>0</v>
      </c>
      <c r="BW12" s="17">
        <f>COUNTIFS('Prácticas_Revisiones'!$S$2:$S$282,"T006",'Prácticas_Revisiones'!$T$2:$T$282,"SOFTWARE ENG. MODELS/METH. &gt; Analysis of Models")+COUNTIFS('Prácticas_Snowballing'!$AB$2:$AB$281,"T006",'Prácticas_Snowballing'!$AC$2:$AC$281,"SOFTWARE ENG. MODELS/METH. &gt; Analysis of Models")</f>
        <v>0</v>
      </c>
      <c r="BX12" s="17">
        <f>COUNTIFS('Prácticas_Revisiones'!$S$2:$S$282,"T006",'Prácticas_Revisiones'!$T$2:$T$282,"SOFTWARE ENG. MODELS/METH. &gt; Software Engineering Methods")+COUNTIFS('Prácticas_Snowballing'!$AB$2:$AB$281,"T006",'Prácticas_Snowballing'!$AC$2:$AC$281,"SOFTWARE ENG. MODELS/METH. &gt; Software Engineering Methods")</f>
        <v>0</v>
      </c>
      <c r="BY12" s="17">
        <f>COUNTIFS('Prácticas_Revisiones'!$S$2:$S$282,"T006",'Prácticas_Revisiones'!$T$2:$T$282,"SOFTWARE ENG. MODELS/METH. &gt; Subárea no determinable")+COUNTIFS('Prácticas_Snowballing'!$AB$2:$AB$281,"T006",'Prácticas_Snowballing'!$AC$2:$AC$281,"SOFTWARE ENG. MODELS/METH. &gt; Subárea no determinable")</f>
        <v>0</v>
      </c>
      <c r="BZ12" s="29">
        <f t="shared" si="10"/>
        <v>0</v>
      </c>
      <c r="CA12" s="17">
        <f>COUNTIFS('Prácticas_Revisiones'!$S$2:$S$282,"T006",'Prácticas_Revisiones'!$T$2:$T$282,"SOFTWARE QUALITY &gt; Software Quality Fundamentals")+COUNTIFS('Prácticas_Snowballing'!$AB$2:$AB$281,"T006",'Prácticas_Snowballing'!$AC$2:$AC$281,"SOFTWARE QUALITY &gt; Software Quality Fundamentals")</f>
        <v>0</v>
      </c>
      <c r="CB12" s="17">
        <f>COUNTIFS('Prácticas_Revisiones'!$S$2:$S$282,"T006",'Prácticas_Revisiones'!$T$2:$T$282,"SOFTWARE QUALITY &gt; Software Quality Management Process")+COUNTIFS('Prácticas_Snowballing'!$AB$2:$AB$281,"T006",'Prácticas_Snowballing'!$AC$2:$AC$281,"SOFTWARE QUALITY &gt; Software Quality Management Process")</f>
        <v>0</v>
      </c>
      <c r="CC12" s="17">
        <f>COUNTIFS('Prácticas_Revisiones'!$S$2:$S$282,"T006",'Prácticas_Revisiones'!$T$2:$T$282,"SOFTWARE QUALITY &gt; Software Quality Assurance Process")+COUNTIFS('Prácticas_Snowballing'!$AB$2:$AB$281,"T006",'Prácticas_Snowballing'!$AC$2:$AC$281,"SOFTWARE QUALITY &gt; Software Quality Assurance Process")</f>
        <v>0</v>
      </c>
      <c r="CD12" s="17">
        <f>COUNTIFS('Prácticas_Revisiones'!$S$2:$S$282,"T006",'Prácticas_Revisiones'!$T$2:$T$282,"SOFTWARE QUALITY &gt; Software Quality Tools")+COUNTIFS('Prácticas_Snowballing'!$AB$2:$AB$281,"T006",'Prácticas_Snowballing'!$AC$2:$AC$281,"SOFTWARE QUALITY &gt; Software Quality Tools")</f>
        <v>0</v>
      </c>
      <c r="CE12" s="17">
        <f>COUNTIFS('Prácticas_Revisiones'!$S$2:$S$282,"T006",'Prácticas_Revisiones'!$T$2:$T$282,"SOFTWARE QUALITY &gt; Subárea no determinable")+COUNTIFS('Prácticas_Snowballing'!$AB$2:$AB$281,"T006",'Prácticas_Snowballing'!$AC$2:$AC$281,"SOFTWARE QUALITY &gt; Subárea no determinable")</f>
        <v>0</v>
      </c>
      <c r="CF12" s="29">
        <f t="shared" si="11"/>
        <v>0</v>
      </c>
      <c r="CG12" s="17">
        <f>COUNTIFS('Prácticas_Revisiones'!$S$2:$S$282,"T006",'Prácticas_Revisiones'!$T$2:$T$282,"SOFTWARE SECURITY &gt; Software Security Fundamentals")+COUNTIFS('Prácticas_Snowballing'!$AB$2:$AB$281,"T006",'Prácticas_Snowballing'!$AC$2:$AC$281,"SOFTWARE SECURITY &gt; Software Security Fundamentals")</f>
        <v>0</v>
      </c>
      <c r="CH12" s="17">
        <f>COUNTIFS('Prácticas_Revisiones'!$S$2:$S$282,"T006",'Prácticas_Revisiones'!$T$2:$T$282,"SOFTWARE SECURITY &gt; Security Management and Organization")+COUNTIFS('Prácticas_Snowballing'!$AB$2:$AB$281,"T006",'Prácticas_Snowballing'!$AC$2:$AC$281,"SOFTWARE SECURITY &gt; Security Management and Organization")</f>
        <v>0</v>
      </c>
      <c r="CI12" s="17">
        <f>COUNTIFS('Prácticas_Revisiones'!$S$2:$S$282,"T006",'Prácticas_Revisiones'!$T$2:$T$282,"SOFTWARE SECURITY &gt; Software Security Engineering and Process")+COUNTIFS('Prácticas_Snowballing'!$AB$2:$AB$281,"T006",'Prácticas_Snowballing'!$AC$2:$AC$281,"SOFTWARE SECURITY &gt; Software Security Engineering and Process")</f>
        <v>0</v>
      </c>
      <c r="CJ12" s="17">
        <f>COUNTIFS('Prácticas_Revisiones'!$S$2:$S$282,"T006",'Prácticas_Revisiones'!$T$2:$T$282,"SOFTWARE SECURITY &gt; Security Engineering for Software Systems")+COUNTIFS('Prácticas_Snowballing'!$AB$2:$AB$281,"T006",'Prácticas_Snowballing'!$AC$2:$AC$281,"SOFTWARE SECURITY &gt; Security Engineering for Software Systems")</f>
        <v>0</v>
      </c>
      <c r="CK12" s="17">
        <f>COUNTIFS('Prácticas_Revisiones'!$S$2:$S$282,"T006",'Prácticas_Revisiones'!$T$2:$T$282,"SOFTWARE SECURITY &gt; Software Security Tools")+COUNTIFS('Prácticas_Snowballing'!$AB$2:$AB$281,"T006",'Prácticas_Snowballing'!$AC$2:$AC$281,"SOFTWARE SECURITY &gt; Software Security Tools")</f>
        <v>0</v>
      </c>
      <c r="CL12" s="17">
        <f>COUNTIFS('Prácticas_Revisiones'!$S$2:$S$282,"T006",'Prácticas_Revisiones'!$T$2:$T$282,"SOFTWARE SECURITY &gt; Domain Specific Software Security")+COUNTIFS('Prácticas_Snowballing'!$AB$2:$AB$281,"T006",'Prácticas_Snowballing'!$AC$2:$AC$281,"SOFTWARE SECURITY &gt; Domain Specific Software Security")</f>
        <v>0</v>
      </c>
      <c r="CM12" s="17">
        <f>COUNTIFS('Prácticas_Revisiones'!$S$2:$S$282,"T006",'Prácticas_Revisiones'!$T$2:$T$282,"SOFTWARE SECURITY &gt; Subárea no determinable")+COUNTIFS('Prácticas_Snowballing'!$AB$2:$AB$281,"T006",'Prácticas_Snowballing'!$AC$2:$AC$281,"SOFTWARE SECURITY &gt; Subárea no determinable")</f>
        <v>0</v>
      </c>
      <c r="CN12" s="29">
        <f t="shared" si="12"/>
        <v>0</v>
      </c>
      <c r="CO12" s="17">
        <f>COUNTIFS('Prácticas_Revisiones'!$S$2:$S$282,"T006",'Prácticas_Revisiones'!$T$2:$T$282,"PROFESSIONAL PRACTICE &gt; Professionalism")+COUNTIFS('Prácticas_Snowballing'!$AB$2:$AB$281,"T006",'Prácticas_Snowballing'!$AC$2:$AC$281,"PROFESSIONAL PRACTICE &gt; Professionalism")</f>
        <v>0</v>
      </c>
      <c r="CP12" s="17">
        <f>COUNTIFS('Prácticas_Revisiones'!$S$2:$S$282,"T006",'Prácticas_Revisiones'!$T$2:$T$282,"PROFESSIONAL PRACTICE &gt; Group Dynamics and Psychology")+COUNTIFS('Prácticas_Snowballing'!$AB$2:$AB$281,"T006",'Prácticas_Snowballing'!$AC$2:$AC$281,"PROFESSIONAL PRACTICE &gt; Group Dynamics and Psychology")</f>
        <v>0</v>
      </c>
      <c r="CQ12" s="17">
        <f>COUNTIFS('Prácticas_Revisiones'!$S$2:$S$282,"T006",'Prácticas_Revisiones'!$T$2:$T$282,"PROFESSIONAL PRACTICE &gt; Communication Skills")+COUNTIFS('Prácticas_Snowballing'!$AB$2:$AB$281,"T006",'Prácticas_Snowballing'!$AC$2:$AC$281,"PROFESSIONAL PRACTICE &gt; Communication Skills")</f>
        <v>0</v>
      </c>
      <c r="CR12" s="17">
        <f>COUNTIFS('Prácticas_Revisiones'!$S$2:$S$282,"T006",'Prácticas_Revisiones'!$T$2:$T$282,"PROFESSIONAL PRACTICE &gt; Subárea no determinable")+COUNTIFS('Prácticas_Snowballing'!$AB$2:$AB$281,"T006",'Prácticas_Snowballing'!$AC$2:$AC$281,"PROFESSIONAL PRACTICE &gt; Subárea no determinable")</f>
        <v>0</v>
      </c>
      <c r="CS12" s="29">
        <f t="shared" si="13"/>
        <v>0</v>
      </c>
      <c r="CT12" s="17">
        <f>COUNTIFS('Prácticas_Revisiones'!$S$2:$S$282,"T006",'Prácticas_Revisiones'!$T$2:$T$282,"SOFTWARE ENG. ECONOMICS &gt; Software Engineering Economics Fundamentals")+COUNTIFS('Prácticas_Snowballing'!$AB$2:$AB$281,"T006",'Prácticas_Snowballing'!$AC$2:$AC$281,"SOFTWARE ENG. ECONOMICS &gt; Software Engineering Economics Fundamentals")</f>
        <v>0</v>
      </c>
      <c r="CU12" s="17">
        <f>COUNTIFS('Prácticas_Revisiones'!$S$2:$S$282,"T006",'Prácticas_Revisiones'!$T$2:$T$282,"SOFTWARE ENG. ECONOMICS &gt; The Engineering Decision-Making Process")+COUNTIFS('Prácticas_Snowballing'!$AB$2:$AB$281,"T006",'Prácticas_Snowballing'!$AC$2:$AC$281,"SOFTWARE ENG. ECONOMICS &gt; The Engineering Decision-Making Process")</f>
        <v>0</v>
      </c>
      <c r="CV12" s="17">
        <f>COUNTIFS('Prácticas_Revisiones'!$S$2:$S$282,"T006",'Prácticas_Revisiones'!$T$2:$T$282,"SOFTWARE ENG. ECONOMICS &gt; For-Profit Decision-Making")+COUNTIFS('Prácticas_Snowballing'!$AB$2:$AB$281,"T006",'Prácticas_Snowballing'!$AC$2:$AC$281,"SOFTWARE ENG. ECONOMICS &gt; For-Profit Decision-Making")</f>
        <v>0</v>
      </c>
      <c r="CW12" s="17">
        <f>COUNTIFS('Prácticas_Revisiones'!$S$2:$S$282,"T006",'Prácticas_Revisiones'!$T$2:$T$282,"SOFTWARE ENG. ECONOMICS &gt; Nonprofit Decision-Making")+COUNTIFS('Prácticas_Snowballing'!$AB$2:$AB$281,"T006",'Prácticas_Snowballing'!$AC$2:$AC$281,"SOFTWARE ENG. ECONOMICS &gt; Nonprofit Decision-Making")</f>
        <v>0</v>
      </c>
      <c r="CX12" s="17">
        <f>COUNTIFS('Prácticas_Revisiones'!$S$2:$S$282,"T006",'Prácticas_Revisiones'!$T$2:$T$282,"SOFTWARE ENG. ECONOMICS &gt; Present Economy Decision-Making")+COUNTIFS('Prácticas_Snowballing'!$AB$2:$AB$281,"T006",'Prácticas_Snowballing'!$AC$2:$AC$281,"SOFTWARE ENG. ECONOMICS &gt; Present Economy Decision-Making")</f>
        <v>0</v>
      </c>
      <c r="CY12" s="17">
        <f>COUNTIFS('Prácticas_Revisiones'!$S$2:$S$282,"T006",'Prácticas_Revisiones'!$T$2:$T$282,"SOFTWARE ENG. ECONOMICS &gt; Multiple-Attribute Decision-Making")+COUNTIFS('Prácticas_Snowballing'!$AB$2:$AB$281,"T006",'Prácticas_Snowballing'!$AC$2:$AC$281,"SOFTWARE ENG. ECONOMICS &gt; Multiple-Attribute Decision-Making")</f>
        <v>0</v>
      </c>
      <c r="CZ12" s="17">
        <f>COUNTIFS('Prácticas_Revisiones'!$S$2:$S$282,"T006",'Prácticas_Revisiones'!$T$2:$T$282,"SOFTWARE ENG. ECONOMICS &gt; Identifying and Characterizing Intangible Assets")+COUNTIFS('Prácticas_Snowballing'!$AB$2:$AB$281,"T006",'Prácticas_Snowballing'!$AC$2:$AC$281,"SOFTWARE ENG. ECONOMICS &gt; Identifying and Characterizing Intangible Assets")</f>
        <v>0</v>
      </c>
      <c r="DA12" s="17">
        <f>COUNTIFS('Prácticas_Revisiones'!$S$2:$S$282,"T006",'Prácticas_Revisiones'!$T$2:$T$282,"SOFTWARE ENG. ECONOMICS &gt; Estimation")+COUNTIFS('Prácticas_Snowballing'!$AB$2:$AB$281,"T006",'Prácticas_Snowballing'!$AC$2:$AC$281,"SOFTWARE ENG. ECONOMICS &gt; Estimation")</f>
        <v>0</v>
      </c>
      <c r="DB12" s="17">
        <f>COUNTIFS('Prácticas_Revisiones'!$S$2:$S$282,"T006",'Prácticas_Revisiones'!$T$2:$T$282,"SOFTWARE ENG. ECONOMICS &gt; Practical Considerations")+COUNTIFS('Prácticas_Snowballing'!$AB$2:$AB$281,"T006",'Prácticas_Snowballing'!$AC$2:$AC$281,"SOFTWARE ENG. ECONOMICS &gt; Practical Considerations")</f>
        <v>0</v>
      </c>
      <c r="DC12" s="17">
        <f>COUNTIFS('Prácticas_Revisiones'!$S$2:$S$282,"T006",'Prácticas_Revisiones'!$T$2:$T$282,"SOFTWARE ENG. ECONOMICS &gt; Related Concepts")+COUNTIFS('Prácticas_Snowballing'!$AB$2:$AB$281,"T006",'Prácticas_Snowballing'!$AC$2:$AC$281,"SOFTWARE ENG. ECONOMICS &gt; Related Concepts")</f>
        <v>0</v>
      </c>
      <c r="DD12" s="17">
        <f>COUNTIFS('Prácticas_Revisiones'!$S$2:$S$282,"T006",'Prácticas_Revisiones'!$T$2:$T$282,"SOFTWARE ENG. ECONOMICS &gt; Subárea no determinable")+COUNTIFS('Prácticas_Snowballing'!$AB$2:$AB$281,"T006",'Prácticas_Snowballing'!$AC$2:$AC$281,"SOFTWARE ENG. ECONOMICS &gt; Subárea no determinable")</f>
        <v>0</v>
      </c>
      <c r="DE12" s="29">
        <f t="shared" si="14"/>
        <v>0</v>
      </c>
      <c r="DF12" s="17">
        <f>COUNTIFS('Prácticas_Revisiones'!$S$2:$S$282,"T006",'Prácticas_Revisiones'!$T$2:$T$282,"SOFTWARE ENG. MANAGEMENT &gt; Software Engineering Management Fundamentals")+COUNTIFS('Prácticas_Snowballing'!$AB$2:$AB$281,"T006",'Prácticas_Snowballing'!$AC$2:$AC$281,"SOFTWARE ENG. MANAGEMENT &gt; Software Engineering Management Fundamentals")</f>
        <v>0</v>
      </c>
      <c r="DG12" s="17">
        <f>COUNTIFS('Prácticas_Revisiones'!$S$2:$S$282,"T006",'Prácticas_Revisiones'!$T$2:$T$282,"SOFTWARE ENG. MANAGEMENT &gt; Initiation and Scope Definition")+COUNTIFS('Prácticas_Snowballing'!$AB$2:$AB$281,"T006",'Prácticas_Snowballing'!$AC$2:$AC$281,"SOFTWARE ENG. MANAGEMENT &gt; Initiation and Scope Definition")</f>
        <v>0</v>
      </c>
      <c r="DH12" s="17">
        <f>COUNTIFS('Prácticas_Revisiones'!$S$2:$S$282,"T006",'Prácticas_Revisiones'!$T$2:$T$282,"SOFTWARE ENG. MANAGEMENT &gt; Software Project Planning")+COUNTIFS('Prácticas_Snowballing'!$AB$2:$AB$281,"T006",'Prácticas_Snowballing'!$AC$2:$AC$281,"SOFTWARE ENG. MANAGEMENT &gt; Software Project Planning")</f>
        <v>0</v>
      </c>
      <c r="DI12" s="17">
        <f>COUNTIFS('Prácticas_Revisiones'!$S$2:$S$282,"T006",'Prácticas_Revisiones'!$T$2:$T$282,"SOFTWARE ENG. MANAGEMENT &gt; Software Project Enactment")+COUNTIFS('Prácticas_Snowballing'!$AB$2:$AB$281,"T006",'Prácticas_Snowballing'!$AC$2:$AC$281,"SOFTWARE ENG. MANAGEMENT &gt; Software Project Enactment")</f>
        <v>0</v>
      </c>
      <c r="DJ12" s="17">
        <f>COUNTIFS('Prácticas_Revisiones'!$S$2:$S$282,"T006",'Prácticas_Revisiones'!$T$2:$T$282,"SOFTWARE ENG. MANAGEMENT &gt; Review and Evaluation")+COUNTIFS('Prácticas_Snowballing'!$AB$2:$AB$281,"T006",'Prácticas_Snowballing'!$AC$2:$AC$281,"SOFTWARE ENG. MANAGEMENT &gt; Review and Evaluation")</f>
        <v>0</v>
      </c>
      <c r="DK12" s="17">
        <f>COUNTIFS('Prácticas_Revisiones'!$S$2:$S$282,"T006",'Prácticas_Revisiones'!$T$2:$T$282,"SOFTWARE ENG. MANAGEMENT &gt; Closure")+COUNTIFS('Prácticas_Snowballing'!$AB$2:$AB$281,"T006",'Prácticas_Snowballing'!$AC$2:$AC$281,"SOFTWARE ENG. MANAGEMENT &gt; Closure")</f>
        <v>0</v>
      </c>
      <c r="DL12" s="17">
        <f>COUNTIFS('Prácticas_Revisiones'!$S$2:$S$282,"T006",'Prácticas_Revisiones'!$T$2:$T$282,"SOFTWARE ENG. MANAGEMENT &gt; Software Engineering Management Tools")+COUNTIFS('Prácticas_Snowballing'!$AB$2:$AB$281,"T006",'Prácticas_Snowballing'!$AC$2:$AC$281,"SOFTWARE ENG. MANAGEMENT &gt; Software Engineering Management Tools")</f>
        <v>0</v>
      </c>
      <c r="DM12" s="17">
        <f>COUNTIFS('Prácticas_Revisiones'!$S$2:$S$282,"T006",'Prácticas_Revisiones'!$T$2:$T$282,"SOFTWARE ENG. MANAGEMENT &gt; Subárea no determinable")+COUNTIFS('Prácticas_Snowballing'!$AB$2:$AB$281,"T006",'Prácticas_Snowballing'!$AC$2:$AC$281,"SOFTWARE ENG. MANAGEMENT &gt; Subárea no determinable")</f>
        <v>0</v>
      </c>
      <c r="DN12" s="29">
        <f t="shared" si="15"/>
        <v>0</v>
      </c>
      <c r="DO12" s="17">
        <f>COUNTIFS('Prácticas_Revisiones'!$S$2:$S$282,"T006",'Prácticas_Revisiones'!$T$2:$T$282,"Sin área SWEBOK")+COUNTIFS('Prácticas_Snowballing'!$AB$2:$AB$281,"T006",'Prácticas_Snowballing'!$AC$2:$AC$281,"Sin área SWEBOK")</f>
        <v>0</v>
      </c>
      <c r="DP12" s="27">
        <f t="shared" si="16"/>
        <v>1</v>
      </c>
    </row>
    <row r="13">
      <c r="A13" s="28"/>
      <c r="B13" s="16" t="s">
        <v>1316</v>
      </c>
      <c r="C13" s="17">
        <f>COUNTIFS('Prácticas_Revisiones'!$S$2:$S$282,"T007",'Prácticas_Revisiones'!$T$2:$T$282,"REQUIREMENTS &gt; Software Requirements Fundamentals")+COUNTIFS('Prácticas_Snowballing'!$AB$2:$AB$281,"T007",'Prácticas_Snowballing'!$AC$2:$AC$281,"REQUIREMENTS &gt; Software Requirements Fundamentals")</f>
        <v>0</v>
      </c>
      <c r="D13" s="17">
        <f>COUNTIFS('Prácticas_Revisiones'!$S$2:$S$282,"T007",'Prácticas_Revisiones'!$T$2:$T$282,"REQUIREMENTS &gt; Requirements Elicitation")+COUNTIFS('Prácticas_Snowballing'!$AB$2:$AB$281,"T007",'Prácticas_Snowballing'!$AC$2:$AC$281,"REQUIREMENTS &gt; Requirements Elicitation")</f>
        <v>0</v>
      </c>
      <c r="E13" s="17">
        <f>COUNTIFS('Prácticas_Revisiones'!$S$2:$S$282,"T007",'Prácticas_Revisiones'!$T$2:$T$282,"REQUIREMENTS &gt; Requirements Analysis")+COUNTIFS('Prácticas_Snowballing'!$AB$2:$AB$281,"T007",'Prácticas_Snowballing'!$AC$2:$AC$281,"REQUIREMENTS &gt; Requirements Analysis")</f>
        <v>0</v>
      </c>
      <c r="F13" s="17">
        <f>COUNTIFS('Prácticas_Revisiones'!$S$2:$S$282,"T007",'Prácticas_Revisiones'!$T$2:$T$282,"REQUIREMENTS &gt; Requirements Specification")+COUNTIFS('Prácticas_Snowballing'!$AB$2:$AB$281,"T007",'Prácticas_Snowballing'!$AC$2:$AC$281,"REQUIREMENTS &gt; Requirements Specification")</f>
        <v>0</v>
      </c>
      <c r="G13" s="17">
        <f>COUNTIFS('Prácticas_Revisiones'!$S$2:$S$282,"T007",'Prácticas_Revisiones'!$T$2:$T$282,"REQUIREMENTS &gt; Requirements Validation")+COUNTIFS('Prácticas_Snowballing'!$AB$2:$AB$281,"T007",'Prácticas_Snowballing'!$AC$2:$AC$281,"REQUIREMENTS &gt; Requirements Validation")</f>
        <v>0</v>
      </c>
      <c r="H13" s="17">
        <f>COUNTIFS('Prácticas_Revisiones'!$S$2:$S$282,"T007",'Prácticas_Revisiones'!$T$2:$T$282,"REQUIREMENTS &gt; Requirements Management Activities")+COUNTIFS('Prácticas_Snowballing'!$AB$2:$AB$281,"T007",'Prácticas_Snowballing'!$AC$2:$AC$281,"REQUIREMENTS &gt; Requirements Management Activities")</f>
        <v>0</v>
      </c>
      <c r="I13" s="17">
        <f>COUNTIFS('Prácticas_Revisiones'!$S$2:$S$282,"T007",'Prácticas_Revisiones'!$T$2:$T$282,"REQUIREMENTS &gt; Practical Considerations")+COUNTIFS('Prácticas_Snowballing'!$AB$2:$AB$281,"T007",'Prácticas_Snowballing'!$AC$2:$AC$281,"REQUIREMENTS &gt; Practical Considerations")</f>
        <v>0</v>
      </c>
      <c r="J13" s="17">
        <f>COUNTIFS('Prácticas_Revisiones'!$S$2:$S$282,"T007",'Prácticas_Revisiones'!$T$2:$T$282,"REQUIREMENTS &gt; Software Requirements Tools")+COUNTIFS('Prácticas_Snowballing'!$AB$2:$AB$281,"T007",'Prácticas_Snowballing'!$AC$2:$AC$281,"REQUIREMENTS &gt; Software Requirements Tools")</f>
        <v>0</v>
      </c>
      <c r="K13" s="17">
        <f>COUNTIFS('Prácticas_Revisiones'!$S$2:$S$282,"T007",'Prácticas_Revisiones'!$T$2:$T$282,"REQUIREMENTS &gt; Subárea no determinable")+COUNTIFS('Prácticas_Snowballing'!$AB$2:$AB$281,"T007",'Prácticas_Snowballing'!$AC$2:$AC$281,"REQUIREMENTS &gt; Subárea no determinable")</f>
        <v>0</v>
      </c>
      <c r="L13" s="29">
        <f t="shared" si="1"/>
        <v>0</v>
      </c>
      <c r="M13" s="17">
        <f>COUNTIFS('Prácticas_Revisiones'!$S$2:$S$282,"T007",'Prácticas_Revisiones'!$T$2:$T$282,"ARCHITECTURE &gt; Software Architecture Fundamentals")+COUNTIFS('Prácticas_Snowballing'!$AB$2:$AB$281,"T007",'Prácticas_Snowballing'!$AC$2:$AC$281,"ARCHITECTURE &gt; Software Architecture Fundamentals")</f>
        <v>0</v>
      </c>
      <c r="N13" s="17">
        <f>COUNTIFS('Prácticas_Revisiones'!$S$2:$S$282,"T007",'Prácticas_Revisiones'!$T$2:$T$282,"ARCHITECTURE &gt; Software Architecture Description")+COUNTIFS('Prácticas_Snowballing'!$AB$2:$AB$281,"T007",'Prácticas_Snowballing'!$AC$2:$AC$281,"ARCHITECTURE &gt; Software Architecture Description")</f>
        <v>0</v>
      </c>
      <c r="O13" s="17">
        <f>COUNTIFS('Prácticas_Revisiones'!$S$2:$S$282,"T007",'Prácticas_Revisiones'!$T$2:$T$282,"ARCHITECTURE &gt; Software Architecture Process")+COUNTIFS('Prácticas_Snowballing'!$AB$2:$AB$281,"T007",'Prácticas_Snowballing'!$AC$2:$AC$281,"ARCHITECTURE &gt; Software Architecture Process")</f>
        <v>0</v>
      </c>
      <c r="P13" s="17">
        <f>COUNTIFS('Prácticas_Revisiones'!$S$2:$S$282,"T007",'Prácticas_Revisiones'!$T$2:$T$282,"ARCHITECTURE &gt; Software Architecture Evaluation")+COUNTIFS('Prácticas_Snowballing'!$AB$2:$AB$281,"T007",'Prácticas_Snowballing'!$AC$2:$AC$281,"ARCHITECTURE &gt; Software Architecture Evaluation")</f>
        <v>0</v>
      </c>
      <c r="Q13" s="17">
        <f>COUNTIFS('Prácticas_Revisiones'!$S$2:$S$282,"T007",'Prácticas_Revisiones'!$T$2:$T$282,"ARCHITECTURE &gt; Subárea no determinable")+COUNTIFS('Prácticas_Snowballing'!$AB$2:$AB$281,"T007",'Prácticas_Snowballing'!$AC$2:$AC$281,"ARCHITECTURE &gt; Subárea no determinable")</f>
        <v>0</v>
      </c>
      <c r="R13" s="29">
        <f t="shared" si="2"/>
        <v>0</v>
      </c>
      <c r="S13" s="17">
        <f>COUNTIFS('Prácticas_Revisiones'!$S$2:$S$282,"T007",'Prácticas_Revisiones'!$T$2:$T$282,"DESIGN &gt; Software Design Fundamentals")+COUNTIFS('Prácticas_Snowballing'!$AB$2:$AB$281,"T007",'Prácticas_Snowballing'!$AC$2:$AC$281,"DESIGN &gt; Software Design Fundamentals")</f>
        <v>0</v>
      </c>
      <c r="T13" s="17">
        <f>COUNTIFS('Prácticas_Revisiones'!$S$2:$S$282,"T007",'Prácticas_Revisiones'!$T$2:$T$282,"DESIGN &gt; Software Design Processes")+COUNTIFS('Prácticas_Snowballing'!$AB$2:$AB$281,"T007",'Prácticas_Snowballing'!$AC$2:$AC$281,"DESIGN &gt; Software Design Processes")</f>
        <v>0</v>
      </c>
      <c r="U13" s="17">
        <f>COUNTIFS('Prácticas_Revisiones'!$S$2:$S$282,"T007",'Prácticas_Revisiones'!$T$2:$T$282,"DESIGN &gt; Software Design Qualities")+COUNTIFS('Prácticas_Snowballing'!$AB$2:$AB$281,"T007",'Prácticas_Snowballing'!$AC$2:$AC$281,"DESIGN &gt; Software Design Qualities")</f>
        <v>0</v>
      </c>
      <c r="V13" s="17">
        <f>COUNTIFS('Prácticas_Revisiones'!$S$2:$S$282,"T007",'Prácticas_Revisiones'!$T$2:$T$282,"DESIGN &gt; Recording Software Design")+COUNTIFS('Prácticas_Snowballing'!$AB$2:$AB$281,"T007",'Prácticas_Snowballing'!$AC$2:$AC$281,"DESIGN &gt; Recording Software Design")</f>
        <v>0</v>
      </c>
      <c r="W13" s="17">
        <f>COUNTIFS('Prácticas_Revisiones'!$S$2:$S$282,"T007",'Prácticas_Revisiones'!$T$2:$T$282,"DESIGN &gt; Software Design Strategies and Methods")+COUNTIFS('Prácticas_Snowballing'!$AB$2:$AB$281,"T007",'Prácticas_Snowballing'!$AC$2:$AC$281,"DESIGN &gt; Software Design Strategies and Methods")</f>
        <v>0</v>
      </c>
      <c r="X13" s="17">
        <f>COUNTIFS('Prácticas_Revisiones'!$S$2:$S$282,"T007",'Prácticas_Revisiones'!$T$2:$T$282,"DESIGN &gt; Software Design Analysis and Evaluations")+COUNTIFS('Prácticas_Snowballing'!$AB$2:$AB$281,"T007",'Prácticas_Snowballing'!$AC$2:$AC$281,"DESIGN &gt; Software Design Analysis and Evaluations")</f>
        <v>0</v>
      </c>
      <c r="Y13" s="17">
        <f>COUNTIFS('Prácticas_Revisiones'!$S$2:$S$282,"T007",'Prácticas_Revisiones'!$T$2:$T$282,"DESIGN &gt; Subárea no determinable")+COUNTIFS('Prácticas_Snowballing'!$AB$2:$AB$281,"T007",'Prácticas_Snowballing'!$AC$2:$AC$281,"DESIGN &gt; Subárea no determinable")</f>
        <v>0</v>
      </c>
      <c r="Z13" s="29">
        <f t="shared" si="3"/>
        <v>0</v>
      </c>
      <c r="AA13" s="17">
        <f>COUNTIFS('Prácticas_Revisiones'!$S$2:$S$282,"T007",'Prácticas_Revisiones'!$T$2:$T$282,"CONSTRUCTION &gt; Software Construction Fundamentals")+COUNTIFS('Prácticas_Snowballing'!$AB$2:$AB$281,"T007",'Prácticas_Snowballing'!$AC$2:$AC$281,"CONSTRUCTION &gt; Software Construction Fundamentals")</f>
        <v>1</v>
      </c>
      <c r="AB13" s="17">
        <f>COUNTIFS('Prácticas_Revisiones'!$S$2:$S$282,"T007",'Prácticas_Revisiones'!$T$2:$T$282,"CONSTRUCTION &gt; Managing Construction")+COUNTIFS('Prácticas_Snowballing'!$AB$2:$AB$281,"T007",'Prácticas_Snowballing'!$AC$2:$AC$281,"CONSTRUCTION &gt; Managing Construction")</f>
        <v>0</v>
      </c>
      <c r="AC13" s="17">
        <f>COUNTIFS('Prácticas_Revisiones'!$S$2:$S$282,"T007",'Prácticas_Revisiones'!$T$2:$T$282,"CONSTRUCTION &gt; Practical Considerations")+COUNTIFS('Prácticas_Snowballing'!$AB$2:$AB$281,"T007",'Prácticas_Snowballing'!$AC$2:$AC$281,"CONSTRUCTION &gt; Practical Considerations")</f>
        <v>0</v>
      </c>
      <c r="AD13" s="17">
        <f>COUNTIFS('Prácticas_Revisiones'!$S$2:$S$282,"T007",'Prácticas_Revisiones'!$T$2:$T$282,"CONSTRUCTION &gt; Construction Technologies")+COUNTIFS('Prácticas_Snowballing'!$AB$2:$AB$281,"T007",'Prácticas_Snowballing'!$AC$2:$AC$281,"CONSTRUCTION &gt; Construction Technologies")</f>
        <v>0</v>
      </c>
      <c r="AE13" s="17">
        <f>COUNTIFS('Prácticas_Revisiones'!$S$2:$S$282,"T007",'Prácticas_Revisiones'!$T$2:$T$282,"CONSTRUCTION &gt; Software Construction Tools")+COUNTIFS('Prácticas_Snowballing'!$AB$2:$AB$281,"T007",'Prácticas_Snowballing'!$AC$2:$AC$281,"CONSTRUCTION &gt; Software Construction Tools")</f>
        <v>0</v>
      </c>
      <c r="AF13" s="17">
        <f>COUNTIFS('Prácticas_Revisiones'!$S$2:$S$282,"T007",'Prácticas_Revisiones'!$T$2:$T$282,"CONSTRUCTION &gt; Subárea no determinable")+COUNTIFS('Prácticas_Snowballing'!$AB$2:$AB$281,"T007",'Prácticas_Snowballing'!$AC$2:$AC$281,"CONSTRUCTION &gt; Subárea no determinable")</f>
        <v>0</v>
      </c>
      <c r="AG13" s="29">
        <f t="shared" si="4"/>
        <v>1</v>
      </c>
      <c r="AH13" s="17">
        <f>COUNTIFS('Prácticas_Revisiones'!$S$2:$S$282,"T007",'Prácticas_Revisiones'!$T$2:$T$282,"SOFTWARE TESTING &gt; Software Testing Fundamentals")+COUNTIFS('Prácticas_Snowballing'!$AB$2:$AB$281,"T007",'Prácticas_Snowballing'!$AC$2:$AC$281,"SOFTWARE TESTING &gt; Software Testing Fundamentals")</f>
        <v>0</v>
      </c>
      <c r="AI13" s="17">
        <f>COUNTIFS('Prácticas_Revisiones'!$S$2:$S$282,"T007",'Prácticas_Revisiones'!$T$2:$T$282,"SOFTWARE TESTING &gt; Test Levels")+COUNTIFS('Prácticas_Snowballing'!$AB$2:$AB$281,"T007",'Prácticas_Snowballing'!$AC$2:$AC$281,"SOFTWARE TESTING &gt; Test Levels")</f>
        <v>0</v>
      </c>
      <c r="AJ13" s="17">
        <f>COUNTIFS('Prácticas_Revisiones'!$S$2:$S$282,"T007",'Prácticas_Revisiones'!$T$2:$T$282,"SOFTWARE TESTING &gt; Test Techniques")+COUNTIFS('Prácticas_Snowballing'!$AB$2:$AB$281,"T007",'Prácticas_Snowballing'!$AC$2:$AC$281,"SOFTWARE TESTING &gt; Test Techniques")</f>
        <v>0</v>
      </c>
      <c r="AK13" s="17">
        <f>COUNTIFS('Prácticas_Revisiones'!$S$2:$S$282,"T007",'Prácticas_Revisiones'!$T$2:$T$282,"SOFTWARE TESTING &gt; Test-Related Measures")+COUNTIFS('Prácticas_Snowballing'!$AB$2:$AB$281,"T007",'Prácticas_Snowballing'!$AC$2:$AC$281,"SOFTWARE TESTING &gt; Test-Related Measures")</f>
        <v>0</v>
      </c>
      <c r="AL13" s="17">
        <f>COUNTIFS('Prácticas_Revisiones'!$S$2:$S$282,"T007",'Prácticas_Revisiones'!$T$2:$T$282,"SOFTWARE TESTING &gt; Test Process")+COUNTIFS('Prácticas_Snowballing'!$AB$2:$AB$281,"T007",'Prácticas_Snowballing'!$AC$2:$AC$281,"SOFTWARE TESTING &gt; Test Process")</f>
        <v>0</v>
      </c>
      <c r="AM13" s="17">
        <f>COUNTIFS('Prácticas_Revisiones'!$S$2:$S$282,"T007",'Prácticas_Revisiones'!$T$2:$T$282,"SOFTWARE TESTING &gt; Software Testing in the Development Processes...")+COUNTIFS('Prácticas_Snowballing'!$AB$2:$AB$281,"T007",'Prácticas_Snowballing'!$AC$2:$AC$281,"SOFTWARE TESTING &gt; Software Testing in the Development Processes...")</f>
        <v>0</v>
      </c>
      <c r="AN13" s="17">
        <f>COUNTIFS('Prácticas_Revisiones'!$S$2:$S$282,"T007",'Prácticas_Revisiones'!$T$2:$T$282,"SOFTWARE TESTING &gt; Testing of and Testing Through Emerging Tech...")+COUNTIFS('Prácticas_Snowballing'!$AB$2:$AB$281,"T007",'Prácticas_Snowballing'!$AC$2:$AC$281,"SOFTWARE TESTING &gt; Testing of and Testing Through Emerging Tech...")</f>
        <v>0</v>
      </c>
      <c r="AO13" s="17">
        <f>COUNTIFS('Prácticas_Revisiones'!$S$2:$S$282,"T007",'Prácticas_Revisiones'!$T$2:$T$282,"SOFTWARE TESTING &gt; Software Testing Tools")+COUNTIFS('Prácticas_Snowballing'!$AB$2:$AB$281,"T007",'Prácticas_Snowballing'!$AC$2:$AC$281,"SOFTWARE TESTING &gt; Software Testing Tools")</f>
        <v>0</v>
      </c>
      <c r="AP13" s="17">
        <f>COUNTIFS('Prácticas_Revisiones'!$S$2:$S$282,"T007",'Prácticas_Revisiones'!$T$2:$T$282,"SOFTWARE TESTING &gt; Subárea no determinable")+COUNTIFS('Prácticas_Snowballing'!$AB$2:$AB$281,"T007",'Prácticas_Snowballing'!$AC$2:$AC$281,"SOFTWARE TESTING &gt; Subárea no determinable")</f>
        <v>0</v>
      </c>
      <c r="AQ13" s="29">
        <f t="shared" si="5"/>
        <v>0</v>
      </c>
      <c r="AR13" s="17">
        <f>COUNTIFS('Prácticas_Revisiones'!$S$2:$S$282,"T007",'Prácticas_Revisiones'!$T$2:$T$282,"SOFTWARE ENG. OPERATIONS &gt; Software Engineering Operations Fundamentals")+COUNTIFS('Prácticas_Snowballing'!$AB$2:$AB$281,"T007",'Prácticas_Snowballing'!$AC$2:$AC$281,"SOFTWARE ENG. OPERATIONS &gt; Software Engineering Operations Fundamentals")</f>
        <v>0</v>
      </c>
      <c r="AS13" s="17">
        <f>COUNTIFS('Prácticas_Revisiones'!$S$2:$S$282,"T007",'Prácticas_Revisiones'!$T$2:$T$282,"SOFTWARE ENG. OPERATIONS &gt; Software Engineering Operations Planning")+COUNTIFS('Prácticas_Snowballing'!$AB$2:$AB$281,"T007",'Prácticas_Snowballing'!$AC$2:$AC$281,"SOFTWARE ENG. OPERATIONS &gt; Software Engineering Operations Planning")</f>
        <v>0</v>
      </c>
      <c r="AT13" s="17">
        <f>COUNTIFS('Prácticas_Revisiones'!$S$2:$S$282,"T007",'Prácticas_Revisiones'!$T$2:$T$282,"SOFTWARE ENG. OPERATIONS &gt; Software Engineering Operations Delivery")+COUNTIFS('Prácticas_Snowballing'!$AB$2:$AB$281,"T007",'Prácticas_Snowballing'!$AC$2:$AC$281,"SOFTWARE ENG. OPERATIONS &gt; Software Engineering Operations Delivery")</f>
        <v>0</v>
      </c>
      <c r="AU13" s="17">
        <f>COUNTIFS('Prácticas_Revisiones'!$S$2:$S$282,"T007",'Prácticas_Revisiones'!$T$2:$T$282,"SOFTWARE ENG. OPERATIONS &gt; Software Engineering Operations Control")+COUNTIFS('Prácticas_Snowballing'!$AB$2:$AB$281,"T007",'Prácticas_Snowballing'!$AC$2:$AC$281,"SOFTWARE ENG. OPERATIONS &gt; Software Engineering Operations Control")</f>
        <v>0</v>
      </c>
      <c r="AV13" s="17">
        <f>COUNTIFS('Prácticas_Revisiones'!$S$2:$S$282,"T007",'Prácticas_Revisiones'!$T$2:$T$282,"SOFTWARE ENG. OPERATIONS &gt; Practical Considerations")+COUNTIFS('Prácticas_Snowballing'!$AB$2:$AB$281,"T007",'Prácticas_Snowballing'!$AC$2:$AC$281,"SOFTWARE ENG. OPERATIONS &gt; Practical Considerations")</f>
        <v>0</v>
      </c>
      <c r="AW13" s="17">
        <f>COUNTIFS('Prácticas_Revisiones'!$S$2:$S$282,"T007",'Prácticas_Revisiones'!$T$2:$T$282,"SOFTWARE ENG. OPERATIONS &gt; Software Engineering Operations Tools")+COUNTIFS('Prácticas_Snowballing'!$AB$2:$AB$281,"T007",'Prácticas_Snowballing'!$AC$2:$AC$281,"SOFTWARE ENG. OPERATIONS &gt; Software Engineering Operations Tools")</f>
        <v>0</v>
      </c>
      <c r="AX13" s="17">
        <f>COUNTIFS('Prácticas_Revisiones'!$S$2:$S$282,"T007",'Prácticas_Revisiones'!$T$2:$T$282,"SOFTWARE ENG. OPERATIONS &gt; Subárea no determinable")+COUNTIFS('Prácticas_Snowballing'!$AB$2:$AB$281,"T007",'Prácticas_Snowballing'!$AC$2:$AC$281,"SOFTWARE ENG. OPERATIONS &gt; Subárea no determinable")</f>
        <v>0</v>
      </c>
      <c r="AY13" s="29">
        <f t="shared" si="6"/>
        <v>0</v>
      </c>
      <c r="AZ13" s="17">
        <f>COUNTIFS('Prácticas_Revisiones'!$S$2:$S$282,"T007",'Prácticas_Revisiones'!$T$2:$T$282,"MAINTENANCE &gt; Software Maintenance Fundamentals")+COUNTIFS('Prácticas_Snowballing'!$AB$2:$AB$281,"T007",'Prácticas_Snowballing'!$AC$2:$AC$281,"MAINTENANCE &gt; Software Maintenance Fundamentals")</f>
        <v>0</v>
      </c>
      <c r="BA13" s="17">
        <f>COUNTIFS('Prácticas_Revisiones'!$S$2:$S$282,"T007",'Prácticas_Revisiones'!$T$2:$T$282,"MAINTENANCE &gt; Key Issues in Software Maintenance")+COUNTIFS('Prácticas_Snowballing'!$AB$2:$AB$281,"T007",'Prácticas_Snowballing'!$AC$2:$AC$281,"MAINTENANCE &gt; Key Issues in Software Maintenance")</f>
        <v>0</v>
      </c>
      <c r="BB13" s="17">
        <f>COUNTIFS('Prácticas_Revisiones'!$S$2:$S$282,"T007",'Prácticas_Revisiones'!$T$2:$T$282,"MAINTENANCE &gt; Software Maintenance Processes")+COUNTIFS('Prácticas_Snowballing'!$AB$2:$AB$281,"T007",'Prácticas_Snowballing'!$AC$2:$AC$281,"MAINTENANCE &gt; Software Maintenance Processes")</f>
        <v>0</v>
      </c>
      <c r="BC13" s="17">
        <f>COUNTIFS('Prácticas_Revisiones'!$S$2:$S$282,"T007",'Prácticas_Revisiones'!$T$2:$T$282,"MAINTENANCE &gt; Software Maintenance Techniques")+COUNTIFS('Prácticas_Snowballing'!$AB$2:$AB$281,"T007",'Prácticas_Snowballing'!$AC$2:$AC$281,"MAINTENANCE &gt; Software Maintenance Techniques")</f>
        <v>0</v>
      </c>
      <c r="BD13" s="17">
        <f>COUNTIFS('Prácticas_Revisiones'!$S$2:$S$282,"T007",'Prácticas_Revisiones'!$T$2:$T$282,"MAINTENANCE &gt; Software Maintenance Tools")+COUNTIFS('Prácticas_Snowballing'!$AB$2:$AB$281,"T007",'Prácticas_Snowballing'!$AC$2:$AC$281,"MAINTENANCE &gt; Software Maintenance Tools")</f>
        <v>0</v>
      </c>
      <c r="BE13" s="17">
        <f>COUNTIFS('Prácticas_Revisiones'!$S$2:$S$282,"T007",'Prácticas_Revisiones'!$T$2:$T$282,"MAINTENANCE &gt; Subárea no determinable")+COUNTIFS('Prácticas_Snowballing'!$AB$2:$AB$281,"T007",'Prácticas_Snowballing'!$AC$2:$AC$281,"MAINTENANCE &gt; Subárea no determinable")</f>
        <v>0</v>
      </c>
      <c r="BF13" s="29">
        <f t="shared" si="7"/>
        <v>0</v>
      </c>
      <c r="BG13" s="17">
        <f>COUNTIFS('Prácticas_Revisiones'!$S$2:$S$282,"T007",'Prácticas_Revisiones'!$T$2:$T$282,"SOFTWARE CONFIG. MGMT. &gt; Management of the SCM Process")+COUNTIFS('Prácticas_Snowballing'!$AB$2:$AB$281,"T007",'Prácticas_Snowballing'!$AC$2:$AC$281,"SOFTWARE CONFIG. MGMT. &gt; Management of the SCM Process")</f>
        <v>0</v>
      </c>
      <c r="BH13" s="17">
        <f>COUNTIFS('Prácticas_Revisiones'!$S$2:$S$282,"T007",'Prácticas_Revisiones'!$T$2:$T$282,"SOFTWARE CONFIG. MGMT. &gt; Software Configuration Identification")+COUNTIFS('Prácticas_Snowballing'!$AB$2:$AB$281,"T007",'Prácticas_Snowballing'!$AC$2:$AC$281,"SOFTWARE CONFIG. MGMT. &gt; Software Configuration Identification")</f>
        <v>0</v>
      </c>
      <c r="BI13" s="17">
        <f>COUNTIFS('Prácticas_Revisiones'!$S$2:$S$282,"T007",'Prácticas_Revisiones'!$T$2:$T$282,"SOFTWARE CONFIG. MGMT. &gt; Software Configuration Change Control")+COUNTIFS('Prácticas_Snowballing'!$AB$2:$AB$281,"T007",'Prácticas_Snowballing'!$AC$2:$AC$281,"SOFTWARE CONFIG. MGMT. &gt; Software Configuration Change Control")</f>
        <v>0</v>
      </c>
      <c r="BJ13" s="17">
        <f>COUNTIFS('Prácticas_Revisiones'!$S$2:$S$282,"T007",'Prácticas_Revisiones'!$T$2:$T$282,"SOFTWARE CONFIG. MGMT. &gt; Software Configuration Status Accounting")+COUNTIFS('Prácticas_Snowballing'!$AB$2:$AB$281,"T007",'Prácticas_Snowballing'!$AC$2:$AC$281,"SOFTWARE CONFIG. MGMT. &gt; Software Configuration Status Accounting")</f>
        <v>0</v>
      </c>
      <c r="BK13" s="17">
        <f>COUNTIFS('Prácticas_Revisiones'!$S$2:$S$282,"T007",'Prácticas_Revisiones'!$T$2:$T$282,"SOFTWARE CONFIG. MGMT. &gt; Software Configuration Auditing")+COUNTIFS('Prácticas_Snowballing'!$AB$2:$AB$281,"T007",'Prácticas_Snowballing'!$AC$2:$AC$281,"SOFTWARE CONFIG. MGMT. &gt; Software Configuration Auditing")</f>
        <v>0</v>
      </c>
      <c r="BL13" s="17">
        <f>COUNTIFS('Prácticas_Revisiones'!$S$2:$S$282,"T007",'Prácticas_Revisiones'!$T$2:$T$282,"SOFTWARE CONFIG. MGMT. &gt; Software Release Management and Delivery")+COUNTIFS('Prácticas_Snowballing'!$AB$2:$AB$281,"T007",'Prácticas_Snowballing'!$AC$2:$AC$281,"SOFTWARE CONFIG. MGMT. &gt; Software Release Management and Delivery")</f>
        <v>0</v>
      </c>
      <c r="BM13" s="17">
        <f>COUNTIFS('Prácticas_Revisiones'!$S$2:$S$282,"T007",'Prácticas_Revisiones'!$T$2:$T$282,"SOFTWARE CONFIG. MGMT. &gt; Software Configuration Management Tools")+COUNTIFS('Prácticas_Snowballing'!$AB$2:$AB$281,"T007",'Prácticas_Snowballing'!$AC$2:$AC$281,"SOFTWARE CONFIG. MGMT. &gt; Software Configuration Management Tools")</f>
        <v>0</v>
      </c>
      <c r="BN13" s="17">
        <f>COUNTIFS('Prácticas_Revisiones'!$S$2:$S$282,"T007",'Prácticas_Revisiones'!$T$2:$T$282,"SOFTWARE CONFIG. MGMT. &gt; Subárea no determinable")+COUNTIFS('Prácticas_Snowballing'!$AB$2:$AB$281,"T007",'Prácticas_Snowballing'!$AC$2:$AC$281,"SOFTWARE CONFIG. MGMT. &gt; Subárea no determinable")</f>
        <v>0</v>
      </c>
      <c r="BO13" s="29">
        <f t="shared" si="8"/>
        <v>0</v>
      </c>
      <c r="BP13" s="17">
        <f>COUNTIFS('Prácticas_Revisiones'!$S$2:$S$282,"T007",'Prácticas_Revisiones'!$T$2:$T$282,"SOFTWARE ENG. PROCESS &gt; Software Engineering Process Fundamentals")+COUNTIFS('Prácticas_Snowballing'!$AB$2:$AB$281,"T007",'Prácticas_Snowballing'!$AC$2:$AC$281,"SOFTWARE ENG. PROCESS &gt; Software Engineering Process Fundamentals")</f>
        <v>0</v>
      </c>
      <c r="BQ13" s="17">
        <f>COUNTIFS('Prácticas_Revisiones'!$S$2:$S$282,"T007",'Prácticas_Revisiones'!$T$2:$T$282,"SOFTWARE ENG. PROCESS &gt; Life Cycles")+COUNTIFS('Prácticas_Snowballing'!$AB$2:$AB$281,"T007",'Prácticas_Snowballing'!$AC$2:$AC$281,"SOFTWARE ENG. PROCESS &gt; Life Cycles")</f>
        <v>0</v>
      </c>
      <c r="BR13" s="17">
        <f>COUNTIFS('Prácticas_Revisiones'!$S$2:$S$282,"T007",'Prácticas_Revisiones'!$T$2:$T$282,"SOFTWARE ENG. PROCESS &gt; Software Process Assessment and Improvement")+COUNTIFS('Prácticas_Snowballing'!$AB$2:$AB$281,"T007",'Prácticas_Snowballing'!$AC$2:$AC$281,"SOFTWARE ENG. PROCESS &gt; Software Process Assessment and Improvement")</f>
        <v>0</v>
      </c>
      <c r="BS13" s="17">
        <f>COUNTIFS('Prácticas_Revisiones'!$S$2:$S$282,"T007",'Prácticas_Revisiones'!$T$2:$T$282,"SOFTWARE ENG. PROCESS &gt; Subárea no determinable")+COUNTIFS('Prácticas_Snowballing'!$AB$2:$AB$281,"T007",'Prácticas_Snowballing'!$AC$2:$AC$281,"SOFTWARE ENG. PROCESS &gt; Subárea no determinable")</f>
        <v>0</v>
      </c>
      <c r="BT13" s="29">
        <f t="shared" si="9"/>
        <v>0</v>
      </c>
      <c r="BU13" s="17">
        <f>COUNTIFS('Prácticas_Revisiones'!$S$2:$S$282,"T007",'Prácticas_Revisiones'!$T$2:$T$282,"SOFTWARE ENG. MODELS/METH. &gt; Modeling")+COUNTIFS('Prácticas_Snowballing'!$AB$2:$AB$281,"T007",'Prácticas_Snowballing'!$AC$2:$AC$281,"SOFTWARE ENG. MODELS/METH. &gt; Modeling")</f>
        <v>0</v>
      </c>
      <c r="BV13" s="17">
        <f>COUNTIFS('Prácticas_Revisiones'!$S$2:$S$282,"T007",'Prácticas_Revisiones'!$T$2:$T$282,"SOFTWARE ENG. MODELS/METH. &gt; Types of Models")+COUNTIFS('Prácticas_Snowballing'!$AB$2:$AB$281,"T007",'Prácticas_Snowballing'!$AC$2:$AC$281,"SOFTWARE ENG. MODELS/METH. &gt; Types of Models")</f>
        <v>0</v>
      </c>
      <c r="BW13" s="17">
        <f>COUNTIFS('Prácticas_Revisiones'!$S$2:$S$282,"T007",'Prácticas_Revisiones'!$T$2:$T$282,"SOFTWARE ENG. MODELS/METH. &gt; Analysis of Models")+COUNTIFS('Prácticas_Snowballing'!$AB$2:$AB$281,"T007",'Prácticas_Snowballing'!$AC$2:$AC$281,"SOFTWARE ENG. MODELS/METH. &gt; Analysis of Models")</f>
        <v>0</v>
      </c>
      <c r="BX13" s="17">
        <f>COUNTIFS('Prácticas_Revisiones'!$S$2:$S$282,"T007",'Prácticas_Revisiones'!$T$2:$T$282,"SOFTWARE ENG. MODELS/METH. &gt; Software Engineering Methods")+COUNTIFS('Prácticas_Snowballing'!$AB$2:$AB$281,"T007",'Prácticas_Snowballing'!$AC$2:$AC$281,"SOFTWARE ENG. MODELS/METH. &gt; Software Engineering Methods")</f>
        <v>0</v>
      </c>
      <c r="BY13" s="17">
        <f>COUNTIFS('Prácticas_Revisiones'!$S$2:$S$282,"T007",'Prácticas_Revisiones'!$T$2:$T$282,"SOFTWARE ENG. MODELS/METH. &gt; Subárea no determinable")+COUNTIFS('Prácticas_Snowballing'!$AB$2:$AB$281,"T007",'Prácticas_Snowballing'!$AC$2:$AC$281,"SOFTWARE ENG. MODELS/METH. &gt; Subárea no determinable")</f>
        <v>0</v>
      </c>
      <c r="BZ13" s="29">
        <f t="shared" si="10"/>
        <v>0</v>
      </c>
      <c r="CA13" s="17">
        <f>COUNTIFS('Prácticas_Revisiones'!$S$2:$S$282,"T007",'Prácticas_Revisiones'!$T$2:$T$282,"SOFTWARE QUALITY &gt; Software Quality Fundamentals")+COUNTIFS('Prácticas_Snowballing'!$AB$2:$AB$281,"T007",'Prácticas_Snowballing'!$AC$2:$AC$281,"SOFTWARE QUALITY &gt; Software Quality Fundamentals")</f>
        <v>0</v>
      </c>
      <c r="CB13" s="17">
        <f>COUNTIFS('Prácticas_Revisiones'!$S$2:$S$282,"T007",'Prácticas_Revisiones'!$T$2:$T$282,"SOFTWARE QUALITY &gt; Software Quality Management Process")+COUNTIFS('Prácticas_Snowballing'!$AB$2:$AB$281,"T007",'Prácticas_Snowballing'!$AC$2:$AC$281,"SOFTWARE QUALITY &gt; Software Quality Management Process")</f>
        <v>0</v>
      </c>
      <c r="CC13" s="17">
        <f>COUNTIFS('Prácticas_Revisiones'!$S$2:$S$282,"T007",'Prácticas_Revisiones'!$T$2:$T$282,"SOFTWARE QUALITY &gt; Software Quality Assurance Process")+COUNTIFS('Prácticas_Snowballing'!$AB$2:$AB$281,"T007",'Prácticas_Snowballing'!$AC$2:$AC$281,"SOFTWARE QUALITY &gt; Software Quality Assurance Process")</f>
        <v>0</v>
      </c>
      <c r="CD13" s="17">
        <f>COUNTIFS('Prácticas_Revisiones'!$S$2:$S$282,"T007",'Prácticas_Revisiones'!$T$2:$T$282,"SOFTWARE QUALITY &gt; Software Quality Tools")+COUNTIFS('Prácticas_Snowballing'!$AB$2:$AB$281,"T007",'Prácticas_Snowballing'!$AC$2:$AC$281,"SOFTWARE QUALITY &gt; Software Quality Tools")</f>
        <v>0</v>
      </c>
      <c r="CE13" s="17">
        <f>COUNTIFS('Prácticas_Revisiones'!$S$2:$S$282,"T007",'Prácticas_Revisiones'!$T$2:$T$282,"SOFTWARE QUALITY &gt; Subárea no determinable")+COUNTIFS('Prácticas_Snowballing'!$AB$2:$AB$281,"T007",'Prácticas_Snowballing'!$AC$2:$AC$281,"SOFTWARE QUALITY &gt; Subárea no determinable")</f>
        <v>0</v>
      </c>
      <c r="CF13" s="29">
        <f t="shared" si="11"/>
        <v>0</v>
      </c>
      <c r="CG13" s="17">
        <f>COUNTIFS('Prácticas_Revisiones'!$S$2:$S$282,"T007",'Prácticas_Revisiones'!$T$2:$T$282,"SOFTWARE SECURITY &gt; Software Security Fundamentals")+COUNTIFS('Prácticas_Snowballing'!$AB$2:$AB$281,"T007",'Prácticas_Snowballing'!$AC$2:$AC$281,"SOFTWARE SECURITY &gt; Software Security Fundamentals")</f>
        <v>0</v>
      </c>
      <c r="CH13" s="17">
        <f>COUNTIFS('Prácticas_Revisiones'!$S$2:$S$282,"T007",'Prácticas_Revisiones'!$T$2:$T$282,"SOFTWARE SECURITY &gt; Security Management and Organization")+COUNTIFS('Prácticas_Snowballing'!$AB$2:$AB$281,"T007",'Prácticas_Snowballing'!$AC$2:$AC$281,"SOFTWARE SECURITY &gt; Security Management and Organization")</f>
        <v>0</v>
      </c>
      <c r="CI13" s="17">
        <f>COUNTIFS('Prácticas_Revisiones'!$S$2:$S$282,"T007",'Prácticas_Revisiones'!$T$2:$T$282,"SOFTWARE SECURITY &gt; Software Security Engineering and Process")+COUNTIFS('Prácticas_Snowballing'!$AB$2:$AB$281,"T007",'Prácticas_Snowballing'!$AC$2:$AC$281,"SOFTWARE SECURITY &gt; Software Security Engineering and Process")</f>
        <v>0</v>
      </c>
      <c r="CJ13" s="17">
        <f>COUNTIFS('Prácticas_Revisiones'!$S$2:$S$282,"T007",'Prácticas_Revisiones'!$T$2:$T$282,"SOFTWARE SECURITY &gt; Security Engineering for Software Systems")+COUNTIFS('Prácticas_Snowballing'!$AB$2:$AB$281,"T007",'Prácticas_Snowballing'!$AC$2:$AC$281,"SOFTWARE SECURITY &gt; Security Engineering for Software Systems")</f>
        <v>0</v>
      </c>
      <c r="CK13" s="17">
        <f>COUNTIFS('Prácticas_Revisiones'!$S$2:$S$282,"T007",'Prácticas_Revisiones'!$T$2:$T$282,"SOFTWARE SECURITY &gt; Software Security Tools")+COUNTIFS('Prácticas_Snowballing'!$AB$2:$AB$281,"T007",'Prácticas_Snowballing'!$AC$2:$AC$281,"SOFTWARE SECURITY &gt; Software Security Tools")</f>
        <v>0</v>
      </c>
      <c r="CL13" s="17">
        <f>COUNTIFS('Prácticas_Revisiones'!$S$2:$S$282,"T007",'Prácticas_Revisiones'!$T$2:$T$282,"SOFTWARE SECURITY &gt; Domain Specific Software Security")+COUNTIFS('Prácticas_Snowballing'!$AB$2:$AB$281,"T007",'Prácticas_Snowballing'!$AC$2:$AC$281,"SOFTWARE SECURITY &gt; Domain Specific Software Security")</f>
        <v>0</v>
      </c>
      <c r="CM13" s="17">
        <f>COUNTIFS('Prácticas_Revisiones'!$S$2:$S$282,"T007",'Prácticas_Revisiones'!$T$2:$T$282,"SOFTWARE SECURITY &gt; Subárea no determinable")+COUNTIFS('Prácticas_Snowballing'!$AB$2:$AB$281,"T007",'Prácticas_Snowballing'!$AC$2:$AC$281,"SOFTWARE SECURITY &gt; Subárea no determinable")</f>
        <v>0</v>
      </c>
      <c r="CN13" s="29">
        <f t="shared" si="12"/>
        <v>0</v>
      </c>
      <c r="CO13" s="17">
        <f>COUNTIFS('Prácticas_Revisiones'!$S$2:$S$282,"T007",'Prácticas_Revisiones'!$T$2:$T$282,"PROFESSIONAL PRACTICE &gt; Professionalism")+COUNTIFS('Prácticas_Snowballing'!$AB$2:$AB$281,"T007",'Prácticas_Snowballing'!$AC$2:$AC$281,"PROFESSIONAL PRACTICE &gt; Professionalism")</f>
        <v>0</v>
      </c>
      <c r="CP13" s="17">
        <f>COUNTIFS('Prácticas_Revisiones'!$S$2:$S$282,"T007",'Prácticas_Revisiones'!$T$2:$T$282,"PROFESSIONAL PRACTICE &gt; Group Dynamics and Psychology")+COUNTIFS('Prácticas_Snowballing'!$AB$2:$AB$281,"T007",'Prácticas_Snowballing'!$AC$2:$AC$281,"PROFESSIONAL PRACTICE &gt; Group Dynamics and Psychology")</f>
        <v>0</v>
      </c>
      <c r="CQ13" s="17">
        <f>COUNTIFS('Prácticas_Revisiones'!$S$2:$S$282,"T007",'Prácticas_Revisiones'!$T$2:$T$282,"PROFESSIONAL PRACTICE &gt; Communication Skills")+COUNTIFS('Prácticas_Snowballing'!$AB$2:$AB$281,"T007",'Prácticas_Snowballing'!$AC$2:$AC$281,"PROFESSIONAL PRACTICE &gt; Communication Skills")</f>
        <v>0</v>
      </c>
      <c r="CR13" s="17">
        <f>COUNTIFS('Prácticas_Revisiones'!$S$2:$S$282,"T007",'Prácticas_Revisiones'!$T$2:$T$282,"PROFESSIONAL PRACTICE &gt; Subárea no determinable")+COUNTIFS('Prácticas_Snowballing'!$AB$2:$AB$281,"T007",'Prácticas_Snowballing'!$AC$2:$AC$281,"PROFESSIONAL PRACTICE &gt; Subárea no determinable")</f>
        <v>0</v>
      </c>
      <c r="CS13" s="29">
        <f t="shared" si="13"/>
        <v>0</v>
      </c>
      <c r="CT13" s="17">
        <f>COUNTIFS('Prácticas_Revisiones'!$S$2:$S$282,"T007",'Prácticas_Revisiones'!$T$2:$T$282,"SOFTWARE ENG. ECONOMICS &gt; Software Engineering Economics Fundamentals")+COUNTIFS('Prácticas_Snowballing'!$AB$2:$AB$281,"T007",'Prácticas_Snowballing'!$AC$2:$AC$281,"SOFTWARE ENG. ECONOMICS &gt; Software Engineering Economics Fundamentals")</f>
        <v>0</v>
      </c>
      <c r="CU13" s="17">
        <f>COUNTIFS('Prácticas_Revisiones'!$S$2:$S$282,"T007",'Prácticas_Revisiones'!$T$2:$T$282,"SOFTWARE ENG. ECONOMICS &gt; The Engineering Decision-Making Process")+COUNTIFS('Prácticas_Snowballing'!$AB$2:$AB$281,"T007",'Prácticas_Snowballing'!$AC$2:$AC$281,"SOFTWARE ENG. ECONOMICS &gt; The Engineering Decision-Making Process")</f>
        <v>0</v>
      </c>
      <c r="CV13" s="17">
        <f>COUNTIFS('Prácticas_Revisiones'!$S$2:$S$282,"T007",'Prácticas_Revisiones'!$T$2:$T$282,"SOFTWARE ENG. ECONOMICS &gt; For-Profit Decision-Making")+COUNTIFS('Prácticas_Snowballing'!$AB$2:$AB$281,"T007",'Prácticas_Snowballing'!$AC$2:$AC$281,"SOFTWARE ENG. ECONOMICS &gt; For-Profit Decision-Making")</f>
        <v>0</v>
      </c>
      <c r="CW13" s="17">
        <f>COUNTIFS('Prácticas_Revisiones'!$S$2:$S$282,"T007",'Prácticas_Revisiones'!$T$2:$T$282,"SOFTWARE ENG. ECONOMICS &gt; Nonprofit Decision-Making")+COUNTIFS('Prácticas_Snowballing'!$AB$2:$AB$281,"T007",'Prácticas_Snowballing'!$AC$2:$AC$281,"SOFTWARE ENG. ECONOMICS &gt; Nonprofit Decision-Making")</f>
        <v>0</v>
      </c>
      <c r="CX13" s="17">
        <f>COUNTIFS('Prácticas_Revisiones'!$S$2:$S$282,"T007",'Prácticas_Revisiones'!$T$2:$T$282,"SOFTWARE ENG. ECONOMICS &gt; Present Economy Decision-Making")+COUNTIFS('Prácticas_Snowballing'!$AB$2:$AB$281,"T007",'Prácticas_Snowballing'!$AC$2:$AC$281,"SOFTWARE ENG. ECONOMICS &gt; Present Economy Decision-Making")</f>
        <v>0</v>
      </c>
      <c r="CY13" s="17">
        <f>COUNTIFS('Prácticas_Revisiones'!$S$2:$S$282,"T007",'Prácticas_Revisiones'!$T$2:$T$282,"SOFTWARE ENG. ECONOMICS &gt; Multiple-Attribute Decision-Making")+COUNTIFS('Prácticas_Snowballing'!$AB$2:$AB$281,"T007",'Prácticas_Snowballing'!$AC$2:$AC$281,"SOFTWARE ENG. ECONOMICS &gt; Multiple-Attribute Decision-Making")</f>
        <v>0</v>
      </c>
      <c r="CZ13" s="17">
        <f>COUNTIFS('Prácticas_Revisiones'!$S$2:$S$282,"T007",'Prácticas_Revisiones'!$T$2:$T$282,"SOFTWARE ENG. ECONOMICS &gt; Identifying and Characterizing Intangible Assets")+COUNTIFS('Prácticas_Snowballing'!$AB$2:$AB$281,"T007",'Prácticas_Snowballing'!$AC$2:$AC$281,"SOFTWARE ENG. ECONOMICS &gt; Identifying and Characterizing Intangible Assets")</f>
        <v>0</v>
      </c>
      <c r="DA13" s="17">
        <f>COUNTIFS('Prácticas_Revisiones'!$S$2:$S$282,"T007",'Prácticas_Revisiones'!$T$2:$T$282,"SOFTWARE ENG. ECONOMICS &gt; Estimation")+COUNTIFS('Prácticas_Snowballing'!$AB$2:$AB$281,"T007",'Prácticas_Snowballing'!$AC$2:$AC$281,"SOFTWARE ENG. ECONOMICS &gt; Estimation")</f>
        <v>0</v>
      </c>
      <c r="DB13" s="17">
        <f>COUNTIFS('Prácticas_Revisiones'!$S$2:$S$282,"T007",'Prácticas_Revisiones'!$T$2:$T$282,"SOFTWARE ENG. ECONOMICS &gt; Practical Considerations")+COUNTIFS('Prácticas_Snowballing'!$AB$2:$AB$281,"T007",'Prácticas_Snowballing'!$AC$2:$AC$281,"SOFTWARE ENG. ECONOMICS &gt; Practical Considerations")</f>
        <v>0</v>
      </c>
      <c r="DC13" s="17">
        <f>COUNTIFS('Prácticas_Revisiones'!$S$2:$S$282,"T007",'Prácticas_Revisiones'!$T$2:$T$282,"SOFTWARE ENG. ECONOMICS &gt; Related Concepts")+COUNTIFS('Prácticas_Snowballing'!$AB$2:$AB$281,"T007",'Prácticas_Snowballing'!$AC$2:$AC$281,"SOFTWARE ENG. ECONOMICS &gt; Related Concepts")</f>
        <v>0</v>
      </c>
      <c r="DD13" s="17">
        <f>COUNTIFS('Prácticas_Revisiones'!$S$2:$S$282,"T007",'Prácticas_Revisiones'!$T$2:$T$282,"SOFTWARE ENG. ECONOMICS &gt; Subárea no determinable")+COUNTIFS('Prácticas_Snowballing'!$AB$2:$AB$281,"T007",'Prácticas_Snowballing'!$AC$2:$AC$281,"SOFTWARE ENG. ECONOMICS &gt; Subárea no determinable")</f>
        <v>0</v>
      </c>
      <c r="DE13" s="29">
        <f t="shared" si="14"/>
        <v>0</v>
      </c>
      <c r="DF13" s="17">
        <f>COUNTIFS('Prácticas_Revisiones'!$S$2:$S$282,"T007",'Prácticas_Revisiones'!$T$2:$T$282,"SOFTWARE ENG. MANAGEMENT &gt; Software Engineering Management Fundamentals")+COUNTIFS('Prácticas_Snowballing'!$AB$2:$AB$281,"T007",'Prácticas_Snowballing'!$AC$2:$AC$281,"SOFTWARE ENG. MANAGEMENT &gt; Software Engineering Management Fundamentals")</f>
        <v>0</v>
      </c>
      <c r="DG13" s="17">
        <f>COUNTIFS('Prácticas_Revisiones'!$S$2:$S$282,"T007",'Prácticas_Revisiones'!$T$2:$T$282,"SOFTWARE ENG. MANAGEMENT &gt; Initiation and Scope Definition")+COUNTIFS('Prácticas_Snowballing'!$AB$2:$AB$281,"T007",'Prácticas_Snowballing'!$AC$2:$AC$281,"SOFTWARE ENG. MANAGEMENT &gt; Initiation and Scope Definition")</f>
        <v>0</v>
      </c>
      <c r="DH13" s="17">
        <f>COUNTIFS('Prácticas_Revisiones'!$S$2:$S$282,"T007",'Prácticas_Revisiones'!$T$2:$T$282,"SOFTWARE ENG. MANAGEMENT &gt; Software Project Planning")+COUNTIFS('Prácticas_Snowballing'!$AB$2:$AB$281,"T007",'Prácticas_Snowballing'!$AC$2:$AC$281,"SOFTWARE ENG. MANAGEMENT &gt; Software Project Planning")</f>
        <v>0</v>
      </c>
      <c r="DI13" s="17">
        <f>COUNTIFS('Prácticas_Revisiones'!$S$2:$S$282,"T007",'Prácticas_Revisiones'!$T$2:$T$282,"SOFTWARE ENG. MANAGEMENT &gt; Software Project Enactment")+COUNTIFS('Prácticas_Snowballing'!$AB$2:$AB$281,"T007",'Prácticas_Snowballing'!$AC$2:$AC$281,"SOFTWARE ENG. MANAGEMENT &gt; Software Project Enactment")</f>
        <v>0</v>
      </c>
      <c r="DJ13" s="17">
        <f>COUNTIFS('Prácticas_Revisiones'!$S$2:$S$282,"T007",'Prácticas_Revisiones'!$T$2:$T$282,"SOFTWARE ENG. MANAGEMENT &gt; Review and Evaluation")+COUNTIFS('Prácticas_Snowballing'!$AB$2:$AB$281,"T007",'Prácticas_Snowballing'!$AC$2:$AC$281,"SOFTWARE ENG. MANAGEMENT &gt; Review and Evaluation")</f>
        <v>0</v>
      </c>
      <c r="DK13" s="17">
        <f>COUNTIFS('Prácticas_Revisiones'!$S$2:$S$282,"T007",'Prácticas_Revisiones'!$T$2:$T$282,"SOFTWARE ENG. MANAGEMENT &gt; Closure")+COUNTIFS('Prácticas_Snowballing'!$AB$2:$AB$281,"T007",'Prácticas_Snowballing'!$AC$2:$AC$281,"SOFTWARE ENG. MANAGEMENT &gt; Closure")</f>
        <v>0</v>
      </c>
      <c r="DL13" s="17">
        <f>COUNTIFS('Prácticas_Revisiones'!$S$2:$S$282,"T007",'Prácticas_Revisiones'!$T$2:$T$282,"SOFTWARE ENG. MANAGEMENT &gt; Software Engineering Management Tools")+COUNTIFS('Prácticas_Snowballing'!$AB$2:$AB$281,"T007",'Prácticas_Snowballing'!$AC$2:$AC$281,"SOFTWARE ENG. MANAGEMENT &gt; Software Engineering Management Tools")</f>
        <v>0</v>
      </c>
      <c r="DM13" s="17">
        <f>COUNTIFS('Prácticas_Revisiones'!$S$2:$S$282,"T007",'Prácticas_Revisiones'!$T$2:$T$282,"SOFTWARE ENG. MANAGEMENT &gt; Subárea no determinable")+COUNTIFS('Prácticas_Snowballing'!$AB$2:$AB$281,"T007",'Prácticas_Snowballing'!$AC$2:$AC$281,"SOFTWARE ENG. MANAGEMENT &gt; Subárea no determinable")</f>
        <v>0</v>
      </c>
      <c r="DN13" s="29">
        <f t="shared" si="15"/>
        <v>0</v>
      </c>
      <c r="DO13" s="17">
        <f>COUNTIFS('Prácticas_Revisiones'!$S$2:$S$282,"T007",'Prácticas_Revisiones'!$T$2:$T$282,"Sin área SWEBOK")+COUNTIFS('Prácticas_Snowballing'!$AB$2:$AB$281,"T007",'Prácticas_Snowballing'!$AC$2:$AC$281,"Sin área SWEBOK")</f>
        <v>0</v>
      </c>
      <c r="DP13" s="27">
        <f t="shared" si="16"/>
        <v>1</v>
      </c>
    </row>
    <row r="14">
      <c r="A14" s="28"/>
      <c r="B14" s="16" t="s">
        <v>1483</v>
      </c>
      <c r="C14" s="17">
        <f>COUNTIFS('Prácticas_Revisiones'!$S$2:$S$282,"T008",'Prácticas_Revisiones'!$T$2:$T$282,"REQUIREMENTS &gt; Software Requirements Fundamentals")+COUNTIFS('Prácticas_Snowballing'!$AB$2:$AB$281,"T008",'Prácticas_Snowballing'!$AC$2:$AC$281,"REQUIREMENTS &gt; Software Requirements Fundamentals")</f>
        <v>0</v>
      </c>
      <c r="D14" s="17">
        <f>COUNTIFS('Prácticas_Revisiones'!$S$2:$S$282,"T008",'Prácticas_Revisiones'!$T$2:$T$282,"REQUIREMENTS &gt; Requirements Elicitation")+COUNTIFS('Prácticas_Snowballing'!$AB$2:$AB$281,"T008",'Prácticas_Snowballing'!$AC$2:$AC$281,"REQUIREMENTS &gt; Requirements Elicitation")</f>
        <v>0</v>
      </c>
      <c r="E14" s="17">
        <f>COUNTIFS('Prácticas_Revisiones'!$S$2:$S$282,"T008",'Prácticas_Revisiones'!$T$2:$T$282,"REQUIREMENTS &gt; Requirements Analysis")+COUNTIFS('Prácticas_Snowballing'!$AB$2:$AB$281,"T008",'Prácticas_Snowballing'!$AC$2:$AC$281,"REQUIREMENTS &gt; Requirements Analysis")</f>
        <v>0</v>
      </c>
      <c r="F14" s="17">
        <f>COUNTIFS('Prácticas_Revisiones'!$S$2:$S$282,"T008",'Prácticas_Revisiones'!$T$2:$T$282,"REQUIREMENTS &gt; Requirements Specification")+COUNTIFS('Prácticas_Snowballing'!$AB$2:$AB$281,"T008",'Prácticas_Snowballing'!$AC$2:$AC$281,"REQUIREMENTS &gt; Requirements Specification")</f>
        <v>0</v>
      </c>
      <c r="G14" s="17">
        <f>COUNTIFS('Prácticas_Revisiones'!$S$2:$S$282,"T008",'Prácticas_Revisiones'!$T$2:$T$282,"REQUIREMENTS &gt; Requirements Validation")+COUNTIFS('Prácticas_Snowballing'!$AB$2:$AB$281,"T008",'Prácticas_Snowballing'!$AC$2:$AC$281,"REQUIREMENTS &gt; Requirements Validation")</f>
        <v>0</v>
      </c>
      <c r="H14" s="17">
        <f>COUNTIFS('Prácticas_Revisiones'!$S$2:$S$282,"T008",'Prácticas_Revisiones'!$T$2:$T$282,"REQUIREMENTS &gt; Requirements Management Activities")+COUNTIFS('Prácticas_Snowballing'!$AB$2:$AB$281,"T008",'Prácticas_Snowballing'!$AC$2:$AC$281,"REQUIREMENTS &gt; Requirements Management Activities")</f>
        <v>0</v>
      </c>
      <c r="I14" s="17">
        <f>COUNTIFS('Prácticas_Revisiones'!$S$2:$S$282,"T008",'Prácticas_Revisiones'!$T$2:$T$282,"REQUIREMENTS &gt; Practical Considerations")+COUNTIFS('Prácticas_Snowballing'!$AB$2:$AB$281,"T008",'Prácticas_Snowballing'!$AC$2:$AC$281,"REQUIREMENTS &gt; Practical Considerations")</f>
        <v>0</v>
      </c>
      <c r="J14" s="17">
        <f>COUNTIFS('Prácticas_Revisiones'!$S$2:$S$282,"T008",'Prácticas_Revisiones'!$T$2:$T$282,"REQUIREMENTS &gt; Software Requirements Tools")+COUNTIFS('Prácticas_Snowballing'!$AB$2:$AB$281,"T008",'Prácticas_Snowballing'!$AC$2:$AC$281,"REQUIREMENTS &gt; Software Requirements Tools")</f>
        <v>0</v>
      </c>
      <c r="K14" s="17">
        <f>COUNTIFS('Prácticas_Revisiones'!$S$2:$S$282,"T008",'Prácticas_Revisiones'!$T$2:$T$282,"REQUIREMENTS &gt; Subárea no determinable")+COUNTIFS('Prácticas_Snowballing'!$AB$2:$AB$281,"T008",'Prácticas_Snowballing'!$AC$2:$AC$281,"REQUIREMENTS &gt; Subárea no determinable")</f>
        <v>0</v>
      </c>
      <c r="L14" s="29">
        <f t="shared" si="1"/>
        <v>0</v>
      </c>
      <c r="M14" s="17">
        <f>COUNTIFS('Prácticas_Revisiones'!$S$2:$S$282,"T008",'Prácticas_Revisiones'!$T$2:$T$282,"ARCHITECTURE &gt; Software Architecture Fundamentals")+COUNTIFS('Prácticas_Snowballing'!$AB$2:$AB$281,"T008",'Prácticas_Snowballing'!$AC$2:$AC$281,"ARCHITECTURE &gt; Software Architecture Fundamentals")</f>
        <v>0</v>
      </c>
      <c r="N14" s="17">
        <f>COUNTIFS('Prácticas_Revisiones'!$S$2:$S$282,"T008",'Prácticas_Revisiones'!$T$2:$T$282,"ARCHITECTURE &gt; Software Architecture Description")+COUNTIFS('Prácticas_Snowballing'!$AB$2:$AB$281,"T008",'Prácticas_Snowballing'!$AC$2:$AC$281,"ARCHITECTURE &gt; Software Architecture Description")</f>
        <v>0</v>
      </c>
      <c r="O14" s="17">
        <f>COUNTIFS('Prácticas_Revisiones'!$S$2:$S$282,"T008",'Prácticas_Revisiones'!$T$2:$T$282,"ARCHITECTURE &gt; Software Architecture Process")+COUNTIFS('Prácticas_Snowballing'!$AB$2:$AB$281,"T008",'Prácticas_Snowballing'!$AC$2:$AC$281,"ARCHITECTURE &gt; Software Architecture Process")</f>
        <v>0</v>
      </c>
      <c r="P14" s="17">
        <f>COUNTIFS('Prácticas_Revisiones'!$S$2:$S$282,"T008",'Prácticas_Revisiones'!$T$2:$T$282,"ARCHITECTURE &gt; Software Architecture Evaluation")+COUNTIFS('Prácticas_Snowballing'!$AB$2:$AB$281,"T008",'Prácticas_Snowballing'!$AC$2:$AC$281,"ARCHITECTURE &gt; Software Architecture Evaluation")</f>
        <v>0</v>
      </c>
      <c r="Q14" s="17">
        <f>COUNTIFS('Prácticas_Revisiones'!$S$2:$S$282,"T008",'Prácticas_Revisiones'!$T$2:$T$282,"ARCHITECTURE &gt; Subárea no determinable")+COUNTIFS('Prácticas_Snowballing'!$AB$2:$AB$281,"T008",'Prácticas_Snowballing'!$AC$2:$AC$281,"ARCHITECTURE &gt; Subárea no determinable")</f>
        <v>0</v>
      </c>
      <c r="R14" s="29">
        <f t="shared" si="2"/>
        <v>0</v>
      </c>
      <c r="S14" s="17">
        <f>COUNTIFS('Prácticas_Revisiones'!$S$2:$S$282,"T008",'Prácticas_Revisiones'!$T$2:$T$282,"DESIGN &gt; Software Design Fundamentals")+COUNTIFS('Prácticas_Snowballing'!$AB$2:$AB$281,"T008",'Prácticas_Snowballing'!$AC$2:$AC$281,"DESIGN &gt; Software Design Fundamentals")</f>
        <v>0</v>
      </c>
      <c r="T14" s="17">
        <f>COUNTIFS('Prácticas_Revisiones'!$S$2:$S$282,"T008",'Prácticas_Revisiones'!$T$2:$T$282,"DESIGN &gt; Software Design Processes")+COUNTIFS('Prácticas_Snowballing'!$AB$2:$AB$281,"T008",'Prácticas_Snowballing'!$AC$2:$AC$281,"DESIGN &gt; Software Design Processes")</f>
        <v>0</v>
      </c>
      <c r="U14" s="17">
        <f>COUNTIFS('Prácticas_Revisiones'!$S$2:$S$282,"T008",'Prácticas_Revisiones'!$T$2:$T$282,"DESIGN &gt; Software Design Qualities")+COUNTIFS('Prácticas_Snowballing'!$AB$2:$AB$281,"T008",'Prácticas_Snowballing'!$AC$2:$AC$281,"DESIGN &gt; Software Design Qualities")</f>
        <v>0</v>
      </c>
      <c r="V14" s="17">
        <f>COUNTIFS('Prácticas_Revisiones'!$S$2:$S$282,"T008",'Prácticas_Revisiones'!$T$2:$T$282,"DESIGN &gt; Recording Software Design")+COUNTIFS('Prácticas_Snowballing'!$AB$2:$AB$281,"T008",'Prácticas_Snowballing'!$AC$2:$AC$281,"DESIGN &gt; Recording Software Design")</f>
        <v>0</v>
      </c>
      <c r="W14" s="17">
        <f>COUNTIFS('Prácticas_Revisiones'!$S$2:$S$282,"T008",'Prácticas_Revisiones'!$T$2:$T$282,"DESIGN &gt; Software Design Strategies and Methods")+COUNTIFS('Prácticas_Snowballing'!$AB$2:$AB$281,"T008",'Prácticas_Snowballing'!$AC$2:$AC$281,"DESIGN &gt; Software Design Strategies and Methods")</f>
        <v>0</v>
      </c>
      <c r="X14" s="17">
        <f>COUNTIFS('Prácticas_Revisiones'!$S$2:$S$282,"T008",'Prácticas_Revisiones'!$T$2:$T$282,"DESIGN &gt; Software Design Analysis and Evaluations")+COUNTIFS('Prácticas_Snowballing'!$AB$2:$AB$281,"T008",'Prácticas_Snowballing'!$AC$2:$AC$281,"DESIGN &gt; Software Design Analysis and Evaluations")</f>
        <v>0</v>
      </c>
      <c r="Y14" s="17">
        <f>COUNTIFS('Prácticas_Revisiones'!$S$2:$S$282,"T008",'Prácticas_Revisiones'!$T$2:$T$282,"DESIGN &gt; Subárea no determinable")+COUNTIFS('Prácticas_Snowballing'!$AB$2:$AB$281,"T008",'Prácticas_Snowballing'!$AC$2:$AC$281,"DESIGN &gt; Subárea no determinable")</f>
        <v>0</v>
      </c>
      <c r="Z14" s="29">
        <f t="shared" si="3"/>
        <v>0</v>
      </c>
      <c r="AA14" s="17">
        <f>COUNTIFS('Prácticas_Revisiones'!$S$2:$S$282,"T008",'Prácticas_Revisiones'!$T$2:$T$282,"CONSTRUCTION &gt; Software Construction Fundamentals")+COUNTIFS('Prácticas_Snowballing'!$AB$2:$AB$281,"T008",'Prácticas_Snowballing'!$AC$2:$AC$281,"CONSTRUCTION &gt; Software Construction Fundamentals")</f>
        <v>0</v>
      </c>
      <c r="AB14" s="17">
        <f>COUNTIFS('Prácticas_Revisiones'!$S$2:$S$282,"T008",'Prácticas_Revisiones'!$T$2:$T$282,"CONSTRUCTION &gt; Managing Construction")+COUNTIFS('Prácticas_Snowballing'!$AB$2:$AB$281,"T008",'Prácticas_Snowballing'!$AC$2:$AC$281,"CONSTRUCTION &gt; Managing Construction")</f>
        <v>0</v>
      </c>
      <c r="AC14" s="17">
        <f>COUNTIFS('Prácticas_Revisiones'!$S$2:$S$282,"T008",'Prácticas_Revisiones'!$T$2:$T$282,"CONSTRUCTION &gt; Practical Considerations")+COUNTIFS('Prácticas_Snowballing'!$AB$2:$AB$281,"T008",'Prácticas_Snowballing'!$AC$2:$AC$281,"CONSTRUCTION &gt; Practical Considerations")</f>
        <v>1</v>
      </c>
      <c r="AD14" s="17">
        <f>COUNTIFS('Prácticas_Revisiones'!$S$2:$S$282,"T008",'Prácticas_Revisiones'!$T$2:$T$282,"CONSTRUCTION &gt; Construction Technologies")+COUNTIFS('Prácticas_Snowballing'!$AB$2:$AB$281,"T008",'Prácticas_Snowballing'!$AC$2:$AC$281,"CONSTRUCTION &gt; Construction Technologies")</f>
        <v>0</v>
      </c>
      <c r="AE14" s="17">
        <f>COUNTIFS('Prácticas_Revisiones'!$S$2:$S$282,"T008",'Prácticas_Revisiones'!$T$2:$T$282,"CONSTRUCTION &gt; Software Construction Tools")+COUNTIFS('Prácticas_Snowballing'!$AB$2:$AB$281,"T008",'Prácticas_Snowballing'!$AC$2:$AC$281,"CONSTRUCTION &gt; Software Construction Tools")</f>
        <v>0</v>
      </c>
      <c r="AF14" s="17">
        <f>COUNTIFS('Prácticas_Revisiones'!$S$2:$S$282,"T008",'Prácticas_Revisiones'!$T$2:$T$282,"CONSTRUCTION &gt; Subárea no determinable")+COUNTIFS('Prácticas_Snowballing'!$AB$2:$AB$281,"T008",'Prácticas_Snowballing'!$AC$2:$AC$281,"CONSTRUCTION &gt; Subárea no determinable")</f>
        <v>0</v>
      </c>
      <c r="AG14" s="29">
        <f t="shared" si="4"/>
        <v>1</v>
      </c>
      <c r="AH14" s="17">
        <f>COUNTIFS('Prácticas_Revisiones'!$S$2:$S$282,"T008",'Prácticas_Revisiones'!$T$2:$T$282,"SOFTWARE TESTING &gt; Software Testing Fundamentals")+COUNTIFS('Prácticas_Snowballing'!$AB$2:$AB$281,"T008",'Prácticas_Snowballing'!$AC$2:$AC$281,"SOFTWARE TESTING &gt; Software Testing Fundamentals")</f>
        <v>0</v>
      </c>
      <c r="AI14" s="17">
        <f>COUNTIFS('Prácticas_Revisiones'!$S$2:$S$282,"T008",'Prácticas_Revisiones'!$T$2:$T$282,"SOFTWARE TESTING &gt; Test Levels")+COUNTIFS('Prácticas_Snowballing'!$AB$2:$AB$281,"T008",'Prácticas_Snowballing'!$AC$2:$AC$281,"SOFTWARE TESTING &gt; Test Levels")</f>
        <v>0</v>
      </c>
      <c r="AJ14" s="17">
        <f>COUNTIFS('Prácticas_Revisiones'!$S$2:$S$282,"T008",'Prácticas_Revisiones'!$T$2:$T$282,"SOFTWARE TESTING &gt; Test Techniques")+COUNTIFS('Prácticas_Snowballing'!$AB$2:$AB$281,"T008",'Prácticas_Snowballing'!$AC$2:$AC$281,"SOFTWARE TESTING &gt; Test Techniques")</f>
        <v>0</v>
      </c>
      <c r="AK14" s="17">
        <f>COUNTIFS('Prácticas_Revisiones'!$S$2:$S$282,"T008",'Prácticas_Revisiones'!$T$2:$T$282,"SOFTWARE TESTING &gt; Test-Related Measures")+COUNTIFS('Prácticas_Snowballing'!$AB$2:$AB$281,"T008",'Prácticas_Snowballing'!$AC$2:$AC$281,"SOFTWARE TESTING &gt; Test-Related Measures")</f>
        <v>0</v>
      </c>
      <c r="AL14" s="17">
        <f>COUNTIFS('Prácticas_Revisiones'!$S$2:$S$282,"T008",'Prácticas_Revisiones'!$T$2:$T$282,"SOFTWARE TESTING &gt; Test Process")+COUNTIFS('Prácticas_Snowballing'!$AB$2:$AB$281,"T008",'Prácticas_Snowballing'!$AC$2:$AC$281,"SOFTWARE TESTING &gt; Test Process")</f>
        <v>0</v>
      </c>
      <c r="AM14" s="17">
        <f>COUNTIFS('Prácticas_Revisiones'!$S$2:$S$282,"T008",'Prácticas_Revisiones'!$T$2:$T$282,"SOFTWARE TESTING &gt; Software Testing in the Development Processes...")+COUNTIFS('Prácticas_Snowballing'!$AB$2:$AB$281,"T008",'Prácticas_Snowballing'!$AC$2:$AC$281,"SOFTWARE TESTING &gt; Software Testing in the Development Processes...")</f>
        <v>0</v>
      </c>
      <c r="AN14" s="17">
        <f>COUNTIFS('Prácticas_Revisiones'!$S$2:$S$282,"T008",'Prácticas_Revisiones'!$T$2:$T$282,"SOFTWARE TESTING &gt; Testing of and Testing Through Emerging Tech...")+COUNTIFS('Prácticas_Snowballing'!$AB$2:$AB$281,"T008",'Prácticas_Snowballing'!$AC$2:$AC$281,"SOFTWARE TESTING &gt; Testing of and Testing Through Emerging Tech...")</f>
        <v>0</v>
      </c>
      <c r="AO14" s="17">
        <f>COUNTIFS('Prácticas_Revisiones'!$S$2:$S$282,"T008",'Prácticas_Revisiones'!$T$2:$T$282,"SOFTWARE TESTING &gt; Software Testing Tools")+COUNTIFS('Prácticas_Snowballing'!$AB$2:$AB$281,"T008",'Prácticas_Snowballing'!$AC$2:$AC$281,"SOFTWARE TESTING &gt; Software Testing Tools")</f>
        <v>0</v>
      </c>
      <c r="AP14" s="17">
        <f>COUNTIFS('Prácticas_Revisiones'!$S$2:$S$282,"T008",'Prácticas_Revisiones'!$T$2:$T$282,"SOFTWARE TESTING &gt; Subárea no determinable")+COUNTIFS('Prácticas_Snowballing'!$AB$2:$AB$281,"T008",'Prácticas_Snowballing'!$AC$2:$AC$281,"SOFTWARE TESTING &gt; Subárea no determinable")</f>
        <v>0</v>
      </c>
      <c r="AQ14" s="29">
        <f t="shared" si="5"/>
        <v>0</v>
      </c>
      <c r="AR14" s="17">
        <f>COUNTIFS('Prácticas_Revisiones'!$S$2:$S$282,"T008",'Prácticas_Revisiones'!$T$2:$T$282,"SOFTWARE ENG. OPERATIONS &gt; Software Engineering Operations Fundamentals")+COUNTIFS('Prácticas_Snowballing'!$AB$2:$AB$281,"T008",'Prácticas_Snowballing'!$AC$2:$AC$281,"SOFTWARE ENG. OPERATIONS &gt; Software Engineering Operations Fundamentals")</f>
        <v>0</v>
      </c>
      <c r="AS14" s="17">
        <f>COUNTIFS('Prácticas_Revisiones'!$S$2:$S$282,"T008",'Prácticas_Revisiones'!$T$2:$T$282,"SOFTWARE ENG. OPERATIONS &gt; Software Engineering Operations Planning")+COUNTIFS('Prácticas_Snowballing'!$AB$2:$AB$281,"T008",'Prácticas_Snowballing'!$AC$2:$AC$281,"SOFTWARE ENG. OPERATIONS &gt; Software Engineering Operations Planning")</f>
        <v>0</v>
      </c>
      <c r="AT14" s="17">
        <f>COUNTIFS('Prácticas_Revisiones'!$S$2:$S$282,"T008",'Prácticas_Revisiones'!$T$2:$T$282,"SOFTWARE ENG. OPERATIONS &gt; Software Engineering Operations Delivery")+COUNTIFS('Prácticas_Snowballing'!$AB$2:$AB$281,"T008",'Prácticas_Snowballing'!$AC$2:$AC$281,"SOFTWARE ENG. OPERATIONS &gt; Software Engineering Operations Delivery")</f>
        <v>0</v>
      </c>
      <c r="AU14" s="17">
        <f>COUNTIFS('Prácticas_Revisiones'!$S$2:$S$282,"T008",'Prácticas_Revisiones'!$T$2:$T$282,"SOFTWARE ENG. OPERATIONS &gt; Software Engineering Operations Control")+COUNTIFS('Prácticas_Snowballing'!$AB$2:$AB$281,"T008",'Prácticas_Snowballing'!$AC$2:$AC$281,"SOFTWARE ENG. OPERATIONS &gt; Software Engineering Operations Control")</f>
        <v>0</v>
      </c>
      <c r="AV14" s="17">
        <f>COUNTIFS('Prácticas_Revisiones'!$S$2:$S$282,"T008",'Prácticas_Revisiones'!$T$2:$T$282,"SOFTWARE ENG. OPERATIONS &gt; Practical Considerations")+COUNTIFS('Prácticas_Snowballing'!$AB$2:$AB$281,"T008",'Prácticas_Snowballing'!$AC$2:$AC$281,"SOFTWARE ENG. OPERATIONS &gt; Practical Considerations")</f>
        <v>0</v>
      </c>
      <c r="AW14" s="17">
        <f>COUNTIFS('Prácticas_Revisiones'!$S$2:$S$282,"T008",'Prácticas_Revisiones'!$T$2:$T$282,"SOFTWARE ENG. OPERATIONS &gt; Software Engineering Operations Tools")+COUNTIFS('Prácticas_Snowballing'!$AB$2:$AB$281,"T008",'Prácticas_Snowballing'!$AC$2:$AC$281,"SOFTWARE ENG. OPERATIONS &gt; Software Engineering Operations Tools")</f>
        <v>0</v>
      </c>
      <c r="AX14" s="17">
        <f>COUNTIFS('Prácticas_Revisiones'!$S$2:$S$282,"T008",'Prácticas_Revisiones'!$T$2:$T$282,"SOFTWARE ENG. OPERATIONS &gt; Subárea no determinable")+COUNTIFS('Prácticas_Snowballing'!$AB$2:$AB$281,"T008",'Prácticas_Snowballing'!$AC$2:$AC$281,"SOFTWARE ENG. OPERATIONS &gt; Subárea no determinable")</f>
        <v>0</v>
      </c>
      <c r="AY14" s="29">
        <f t="shared" si="6"/>
        <v>0</v>
      </c>
      <c r="AZ14" s="17">
        <f>COUNTIFS('Prácticas_Revisiones'!$S$2:$S$282,"T008",'Prácticas_Revisiones'!$T$2:$T$282,"MAINTENANCE &gt; Software Maintenance Fundamentals")+COUNTIFS('Prácticas_Snowballing'!$AB$2:$AB$281,"T008",'Prácticas_Snowballing'!$AC$2:$AC$281,"MAINTENANCE &gt; Software Maintenance Fundamentals")</f>
        <v>0</v>
      </c>
      <c r="BA14" s="17">
        <f>COUNTIFS('Prácticas_Revisiones'!$S$2:$S$282,"T008",'Prácticas_Revisiones'!$T$2:$T$282,"MAINTENANCE &gt; Key Issues in Software Maintenance")+COUNTIFS('Prácticas_Snowballing'!$AB$2:$AB$281,"T008",'Prácticas_Snowballing'!$AC$2:$AC$281,"MAINTENANCE &gt; Key Issues in Software Maintenance")</f>
        <v>0</v>
      </c>
      <c r="BB14" s="17">
        <f>COUNTIFS('Prácticas_Revisiones'!$S$2:$S$282,"T008",'Prácticas_Revisiones'!$T$2:$T$282,"MAINTENANCE &gt; Software Maintenance Processes")+COUNTIFS('Prácticas_Snowballing'!$AB$2:$AB$281,"T008",'Prácticas_Snowballing'!$AC$2:$AC$281,"MAINTENANCE &gt; Software Maintenance Processes")</f>
        <v>0</v>
      </c>
      <c r="BC14" s="17">
        <f>COUNTIFS('Prácticas_Revisiones'!$S$2:$S$282,"T008",'Prácticas_Revisiones'!$T$2:$T$282,"MAINTENANCE &gt; Software Maintenance Techniques")+COUNTIFS('Prácticas_Snowballing'!$AB$2:$AB$281,"T008",'Prácticas_Snowballing'!$AC$2:$AC$281,"MAINTENANCE &gt; Software Maintenance Techniques")</f>
        <v>0</v>
      </c>
      <c r="BD14" s="17">
        <f>COUNTIFS('Prácticas_Revisiones'!$S$2:$S$282,"T008",'Prácticas_Revisiones'!$T$2:$T$282,"MAINTENANCE &gt; Software Maintenance Tools")+COUNTIFS('Prácticas_Snowballing'!$AB$2:$AB$281,"T008",'Prácticas_Snowballing'!$AC$2:$AC$281,"MAINTENANCE &gt; Software Maintenance Tools")</f>
        <v>0</v>
      </c>
      <c r="BE14" s="17">
        <f>COUNTIFS('Prácticas_Revisiones'!$S$2:$S$282,"T008",'Prácticas_Revisiones'!$T$2:$T$282,"MAINTENANCE &gt; Subárea no determinable")+COUNTIFS('Prácticas_Snowballing'!$AB$2:$AB$281,"T008",'Prácticas_Snowballing'!$AC$2:$AC$281,"MAINTENANCE &gt; Subárea no determinable")</f>
        <v>0</v>
      </c>
      <c r="BF14" s="29">
        <f t="shared" si="7"/>
        <v>0</v>
      </c>
      <c r="BG14" s="17">
        <f>COUNTIFS('Prácticas_Revisiones'!$S$2:$S$282,"T008",'Prácticas_Revisiones'!$T$2:$T$282,"SOFTWARE CONFIG. MGMT. &gt; Management of the SCM Process")+COUNTIFS('Prácticas_Snowballing'!$AB$2:$AB$281,"T008",'Prácticas_Snowballing'!$AC$2:$AC$281,"SOFTWARE CONFIG. MGMT. &gt; Management of the SCM Process")</f>
        <v>0</v>
      </c>
      <c r="BH14" s="17">
        <f>COUNTIFS('Prácticas_Revisiones'!$S$2:$S$282,"T008",'Prácticas_Revisiones'!$T$2:$T$282,"SOFTWARE CONFIG. MGMT. &gt; Software Configuration Identification")+COUNTIFS('Prácticas_Snowballing'!$AB$2:$AB$281,"T008",'Prácticas_Snowballing'!$AC$2:$AC$281,"SOFTWARE CONFIG. MGMT. &gt; Software Configuration Identification")</f>
        <v>0</v>
      </c>
      <c r="BI14" s="17">
        <f>COUNTIFS('Prácticas_Revisiones'!$S$2:$S$282,"T008",'Prácticas_Revisiones'!$T$2:$T$282,"SOFTWARE CONFIG. MGMT. &gt; Software Configuration Change Control")+COUNTIFS('Prácticas_Snowballing'!$AB$2:$AB$281,"T008",'Prácticas_Snowballing'!$AC$2:$AC$281,"SOFTWARE CONFIG. MGMT. &gt; Software Configuration Change Control")</f>
        <v>0</v>
      </c>
      <c r="BJ14" s="17">
        <f>COUNTIFS('Prácticas_Revisiones'!$S$2:$S$282,"T008",'Prácticas_Revisiones'!$T$2:$T$282,"SOFTWARE CONFIG. MGMT. &gt; Software Configuration Status Accounting")+COUNTIFS('Prácticas_Snowballing'!$AB$2:$AB$281,"T008",'Prácticas_Snowballing'!$AC$2:$AC$281,"SOFTWARE CONFIG. MGMT. &gt; Software Configuration Status Accounting")</f>
        <v>0</v>
      </c>
      <c r="BK14" s="17">
        <f>COUNTIFS('Prácticas_Revisiones'!$S$2:$S$282,"T008",'Prácticas_Revisiones'!$T$2:$T$282,"SOFTWARE CONFIG. MGMT. &gt; Software Configuration Auditing")+COUNTIFS('Prácticas_Snowballing'!$AB$2:$AB$281,"T008",'Prácticas_Snowballing'!$AC$2:$AC$281,"SOFTWARE CONFIG. MGMT. &gt; Software Configuration Auditing")</f>
        <v>0</v>
      </c>
      <c r="BL14" s="17">
        <f>COUNTIFS('Prácticas_Revisiones'!$S$2:$S$282,"T008",'Prácticas_Revisiones'!$T$2:$T$282,"SOFTWARE CONFIG. MGMT. &gt; Software Release Management and Delivery")+COUNTIFS('Prácticas_Snowballing'!$AB$2:$AB$281,"T008",'Prácticas_Snowballing'!$AC$2:$AC$281,"SOFTWARE CONFIG. MGMT. &gt; Software Release Management and Delivery")</f>
        <v>0</v>
      </c>
      <c r="BM14" s="17">
        <f>COUNTIFS('Prácticas_Revisiones'!$S$2:$S$282,"T008",'Prácticas_Revisiones'!$T$2:$T$282,"SOFTWARE CONFIG. MGMT. &gt; Software Configuration Management Tools")+COUNTIFS('Prácticas_Snowballing'!$AB$2:$AB$281,"T008",'Prácticas_Snowballing'!$AC$2:$AC$281,"SOFTWARE CONFIG. MGMT. &gt; Software Configuration Management Tools")</f>
        <v>0</v>
      </c>
      <c r="BN14" s="17">
        <f>COUNTIFS('Prácticas_Revisiones'!$S$2:$S$282,"T008",'Prácticas_Revisiones'!$T$2:$T$282,"SOFTWARE CONFIG. MGMT. &gt; Subárea no determinable")+COUNTIFS('Prácticas_Snowballing'!$AB$2:$AB$281,"T008",'Prácticas_Snowballing'!$AC$2:$AC$281,"SOFTWARE CONFIG. MGMT. &gt; Subárea no determinable")</f>
        <v>0</v>
      </c>
      <c r="BO14" s="29">
        <f t="shared" si="8"/>
        <v>0</v>
      </c>
      <c r="BP14" s="17">
        <f>COUNTIFS('Prácticas_Revisiones'!$S$2:$S$282,"T008",'Prácticas_Revisiones'!$T$2:$T$282,"SOFTWARE ENG. PROCESS &gt; Software Engineering Process Fundamentals")+COUNTIFS('Prácticas_Snowballing'!$AB$2:$AB$281,"T008",'Prácticas_Snowballing'!$AC$2:$AC$281,"SOFTWARE ENG. PROCESS &gt; Software Engineering Process Fundamentals")</f>
        <v>0</v>
      </c>
      <c r="BQ14" s="17">
        <f>COUNTIFS('Prácticas_Revisiones'!$S$2:$S$282,"T008",'Prácticas_Revisiones'!$T$2:$T$282,"SOFTWARE ENG. PROCESS &gt; Life Cycles")+COUNTIFS('Prácticas_Snowballing'!$AB$2:$AB$281,"T008",'Prácticas_Snowballing'!$AC$2:$AC$281,"SOFTWARE ENG. PROCESS &gt; Life Cycles")</f>
        <v>0</v>
      </c>
      <c r="BR14" s="17">
        <f>COUNTIFS('Prácticas_Revisiones'!$S$2:$S$282,"T008",'Prácticas_Revisiones'!$T$2:$T$282,"SOFTWARE ENG. PROCESS &gt; Software Process Assessment and Improvement")+COUNTIFS('Prácticas_Snowballing'!$AB$2:$AB$281,"T008",'Prácticas_Snowballing'!$AC$2:$AC$281,"SOFTWARE ENG. PROCESS &gt; Software Process Assessment and Improvement")</f>
        <v>0</v>
      </c>
      <c r="BS14" s="17">
        <f>COUNTIFS('Prácticas_Revisiones'!$S$2:$S$282,"T008",'Prácticas_Revisiones'!$T$2:$T$282,"SOFTWARE ENG. PROCESS &gt; Subárea no determinable")+COUNTIFS('Prácticas_Snowballing'!$AB$2:$AB$281,"T008",'Prácticas_Snowballing'!$AC$2:$AC$281,"SOFTWARE ENG. PROCESS &gt; Subárea no determinable")</f>
        <v>0</v>
      </c>
      <c r="BT14" s="29">
        <f t="shared" si="9"/>
        <v>0</v>
      </c>
      <c r="BU14" s="17">
        <f>COUNTIFS('Prácticas_Revisiones'!$S$2:$S$282,"T008",'Prácticas_Revisiones'!$T$2:$T$282,"SOFTWARE ENG. MODELS/METH. &gt; Modeling")+COUNTIFS('Prácticas_Snowballing'!$AB$2:$AB$281,"T008",'Prácticas_Snowballing'!$AC$2:$AC$281,"SOFTWARE ENG. MODELS/METH. &gt; Modeling")</f>
        <v>0</v>
      </c>
      <c r="BV14" s="17">
        <f>COUNTIFS('Prácticas_Revisiones'!$S$2:$S$282,"T008",'Prácticas_Revisiones'!$T$2:$T$282,"SOFTWARE ENG. MODELS/METH. &gt; Types of Models")+COUNTIFS('Prácticas_Snowballing'!$AB$2:$AB$281,"T008",'Prácticas_Snowballing'!$AC$2:$AC$281,"SOFTWARE ENG. MODELS/METH. &gt; Types of Models")</f>
        <v>0</v>
      </c>
      <c r="BW14" s="17">
        <f>COUNTIFS('Prácticas_Revisiones'!$S$2:$S$282,"T008",'Prácticas_Revisiones'!$T$2:$T$282,"SOFTWARE ENG. MODELS/METH. &gt; Analysis of Models")+COUNTIFS('Prácticas_Snowballing'!$AB$2:$AB$281,"T008",'Prácticas_Snowballing'!$AC$2:$AC$281,"SOFTWARE ENG. MODELS/METH. &gt; Analysis of Models")</f>
        <v>0</v>
      </c>
      <c r="BX14" s="17">
        <f>COUNTIFS('Prácticas_Revisiones'!$S$2:$S$282,"T008",'Prácticas_Revisiones'!$T$2:$T$282,"SOFTWARE ENG. MODELS/METH. &gt; Software Engineering Methods")+COUNTIFS('Prácticas_Snowballing'!$AB$2:$AB$281,"T008",'Prácticas_Snowballing'!$AC$2:$AC$281,"SOFTWARE ENG. MODELS/METH. &gt; Software Engineering Methods")</f>
        <v>0</v>
      </c>
      <c r="BY14" s="17">
        <f>COUNTIFS('Prácticas_Revisiones'!$S$2:$S$282,"T008",'Prácticas_Revisiones'!$T$2:$T$282,"SOFTWARE ENG. MODELS/METH. &gt; Subárea no determinable")+COUNTIFS('Prácticas_Snowballing'!$AB$2:$AB$281,"T008",'Prácticas_Snowballing'!$AC$2:$AC$281,"SOFTWARE ENG. MODELS/METH. &gt; Subárea no determinable")</f>
        <v>0</v>
      </c>
      <c r="BZ14" s="29">
        <f t="shared" si="10"/>
        <v>0</v>
      </c>
      <c r="CA14" s="17">
        <f>COUNTIFS('Prácticas_Revisiones'!$S$2:$S$282,"T008",'Prácticas_Revisiones'!$T$2:$T$282,"SOFTWARE QUALITY &gt; Software Quality Fundamentals")+COUNTIFS('Prácticas_Snowballing'!$AB$2:$AB$281,"T008",'Prácticas_Snowballing'!$AC$2:$AC$281,"SOFTWARE QUALITY &gt; Software Quality Fundamentals")</f>
        <v>0</v>
      </c>
      <c r="CB14" s="17">
        <f>COUNTIFS('Prácticas_Revisiones'!$S$2:$S$282,"T008",'Prácticas_Revisiones'!$T$2:$T$282,"SOFTWARE QUALITY &gt; Software Quality Management Process")+COUNTIFS('Prácticas_Snowballing'!$AB$2:$AB$281,"T008",'Prácticas_Snowballing'!$AC$2:$AC$281,"SOFTWARE QUALITY &gt; Software Quality Management Process")</f>
        <v>0</v>
      </c>
      <c r="CC14" s="17">
        <f>COUNTIFS('Prácticas_Revisiones'!$S$2:$S$282,"T008",'Prácticas_Revisiones'!$T$2:$T$282,"SOFTWARE QUALITY &gt; Software Quality Assurance Process")+COUNTIFS('Prácticas_Snowballing'!$AB$2:$AB$281,"T008",'Prácticas_Snowballing'!$AC$2:$AC$281,"SOFTWARE QUALITY &gt; Software Quality Assurance Process")</f>
        <v>0</v>
      </c>
      <c r="CD14" s="17">
        <f>COUNTIFS('Prácticas_Revisiones'!$S$2:$S$282,"T008",'Prácticas_Revisiones'!$T$2:$T$282,"SOFTWARE QUALITY &gt; Software Quality Tools")+COUNTIFS('Prácticas_Snowballing'!$AB$2:$AB$281,"T008",'Prácticas_Snowballing'!$AC$2:$AC$281,"SOFTWARE QUALITY &gt; Software Quality Tools")</f>
        <v>0</v>
      </c>
      <c r="CE14" s="17">
        <f>COUNTIFS('Prácticas_Revisiones'!$S$2:$S$282,"T008",'Prácticas_Revisiones'!$T$2:$T$282,"SOFTWARE QUALITY &gt; Subárea no determinable")+COUNTIFS('Prácticas_Snowballing'!$AB$2:$AB$281,"T008",'Prácticas_Snowballing'!$AC$2:$AC$281,"SOFTWARE QUALITY &gt; Subárea no determinable")</f>
        <v>0</v>
      </c>
      <c r="CF14" s="29">
        <f t="shared" si="11"/>
        <v>0</v>
      </c>
      <c r="CG14" s="17">
        <f>COUNTIFS('Prácticas_Revisiones'!$S$2:$S$282,"T008",'Prácticas_Revisiones'!$T$2:$T$282,"SOFTWARE SECURITY &gt; Software Security Fundamentals")+COUNTIFS('Prácticas_Snowballing'!$AB$2:$AB$281,"T008",'Prácticas_Snowballing'!$AC$2:$AC$281,"SOFTWARE SECURITY &gt; Software Security Fundamentals")</f>
        <v>0</v>
      </c>
      <c r="CH14" s="17">
        <f>COUNTIFS('Prácticas_Revisiones'!$S$2:$S$282,"T008",'Prácticas_Revisiones'!$T$2:$T$282,"SOFTWARE SECURITY &gt; Security Management and Organization")+COUNTIFS('Prácticas_Snowballing'!$AB$2:$AB$281,"T008",'Prácticas_Snowballing'!$AC$2:$AC$281,"SOFTWARE SECURITY &gt; Security Management and Organization")</f>
        <v>0</v>
      </c>
      <c r="CI14" s="17">
        <f>COUNTIFS('Prácticas_Revisiones'!$S$2:$S$282,"T008",'Prácticas_Revisiones'!$T$2:$T$282,"SOFTWARE SECURITY &gt; Software Security Engineering and Process")+COUNTIFS('Prácticas_Snowballing'!$AB$2:$AB$281,"T008",'Prácticas_Snowballing'!$AC$2:$AC$281,"SOFTWARE SECURITY &gt; Software Security Engineering and Process")</f>
        <v>0</v>
      </c>
      <c r="CJ14" s="17">
        <f>COUNTIFS('Prácticas_Revisiones'!$S$2:$S$282,"T008",'Prácticas_Revisiones'!$T$2:$T$282,"SOFTWARE SECURITY &gt; Security Engineering for Software Systems")+COUNTIFS('Prácticas_Snowballing'!$AB$2:$AB$281,"T008",'Prácticas_Snowballing'!$AC$2:$AC$281,"SOFTWARE SECURITY &gt; Security Engineering for Software Systems")</f>
        <v>0</v>
      </c>
      <c r="CK14" s="17">
        <f>COUNTIFS('Prácticas_Revisiones'!$S$2:$S$282,"T008",'Prácticas_Revisiones'!$T$2:$T$282,"SOFTWARE SECURITY &gt; Software Security Tools")+COUNTIFS('Prácticas_Snowballing'!$AB$2:$AB$281,"T008",'Prácticas_Snowballing'!$AC$2:$AC$281,"SOFTWARE SECURITY &gt; Software Security Tools")</f>
        <v>0</v>
      </c>
      <c r="CL14" s="17">
        <f>COUNTIFS('Prácticas_Revisiones'!$S$2:$S$282,"T008",'Prácticas_Revisiones'!$T$2:$T$282,"SOFTWARE SECURITY &gt; Domain Specific Software Security")+COUNTIFS('Prácticas_Snowballing'!$AB$2:$AB$281,"T008",'Prácticas_Snowballing'!$AC$2:$AC$281,"SOFTWARE SECURITY &gt; Domain Specific Software Security")</f>
        <v>0</v>
      </c>
      <c r="CM14" s="17">
        <f>COUNTIFS('Prácticas_Revisiones'!$S$2:$S$282,"T008",'Prácticas_Revisiones'!$T$2:$T$282,"SOFTWARE SECURITY &gt; Subárea no determinable")+COUNTIFS('Prácticas_Snowballing'!$AB$2:$AB$281,"T008",'Prácticas_Snowballing'!$AC$2:$AC$281,"SOFTWARE SECURITY &gt; Subárea no determinable")</f>
        <v>0</v>
      </c>
      <c r="CN14" s="29">
        <f t="shared" si="12"/>
        <v>0</v>
      </c>
      <c r="CO14" s="17">
        <f>COUNTIFS('Prácticas_Revisiones'!$S$2:$S$282,"T008",'Prácticas_Revisiones'!$T$2:$T$282,"PROFESSIONAL PRACTICE &gt; Professionalism")+COUNTIFS('Prácticas_Snowballing'!$AB$2:$AB$281,"T008",'Prácticas_Snowballing'!$AC$2:$AC$281,"PROFESSIONAL PRACTICE &gt; Professionalism")</f>
        <v>0</v>
      </c>
      <c r="CP14" s="17">
        <f>COUNTIFS('Prácticas_Revisiones'!$S$2:$S$282,"T008",'Prácticas_Revisiones'!$T$2:$T$282,"PROFESSIONAL PRACTICE &gt; Group Dynamics and Psychology")+COUNTIFS('Prácticas_Snowballing'!$AB$2:$AB$281,"T008",'Prácticas_Snowballing'!$AC$2:$AC$281,"PROFESSIONAL PRACTICE &gt; Group Dynamics and Psychology")</f>
        <v>0</v>
      </c>
      <c r="CQ14" s="17">
        <f>COUNTIFS('Prácticas_Revisiones'!$S$2:$S$282,"T008",'Prácticas_Revisiones'!$T$2:$T$282,"PROFESSIONAL PRACTICE &gt; Communication Skills")+COUNTIFS('Prácticas_Snowballing'!$AB$2:$AB$281,"T008",'Prácticas_Snowballing'!$AC$2:$AC$281,"PROFESSIONAL PRACTICE &gt; Communication Skills")</f>
        <v>0</v>
      </c>
      <c r="CR14" s="17">
        <f>COUNTIFS('Prácticas_Revisiones'!$S$2:$S$282,"T008",'Prácticas_Revisiones'!$T$2:$T$282,"PROFESSIONAL PRACTICE &gt; Subárea no determinable")+COUNTIFS('Prácticas_Snowballing'!$AB$2:$AB$281,"T008",'Prácticas_Snowballing'!$AC$2:$AC$281,"PROFESSIONAL PRACTICE &gt; Subárea no determinable")</f>
        <v>0</v>
      </c>
      <c r="CS14" s="29">
        <f t="shared" si="13"/>
        <v>0</v>
      </c>
      <c r="CT14" s="17">
        <f>COUNTIFS('Prácticas_Revisiones'!$S$2:$S$282,"T008",'Prácticas_Revisiones'!$T$2:$T$282,"SOFTWARE ENG. ECONOMICS &gt; Software Engineering Economics Fundamentals")+COUNTIFS('Prácticas_Snowballing'!$AB$2:$AB$281,"T008",'Prácticas_Snowballing'!$AC$2:$AC$281,"SOFTWARE ENG. ECONOMICS &gt; Software Engineering Economics Fundamentals")</f>
        <v>0</v>
      </c>
      <c r="CU14" s="17">
        <f>COUNTIFS('Prácticas_Revisiones'!$S$2:$S$282,"T008",'Prácticas_Revisiones'!$T$2:$T$282,"SOFTWARE ENG. ECONOMICS &gt; The Engineering Decision-Making Process")+COUNTIFS('Prácticas_Snowballing'!$AB$2:$AB$281,"T008",'Prácticas_Snowballing'!$AC$2:$AC$281,"SOFTWARE ENG. ECONOMICS &gt; The Engineering Decision-Making Process")</f>
        <v>0</v>
      </c>
      <c r="CV14" s="17">
        <f>COUNTIFS('Prácticas_Revisiones'!$S$2:$S$282,"T008",'Prácticas_Revisiones'!$T$2:$T$282,"SOFTWARE ENG. ECONOMICS &gt; For-Profit Decision-Making")+COUNTIFS('Prácticas_Snowballing'!$AB$2:$AB$281,"T008",'Prácticas_Snowballing'!$AC$2:$AC$281,"SOFTWARE ENG. ECONOMICS &gt; For-Profit Decision-Making")</f>
        <v>0</v>
      </c>
      <c r="CW14" s="17">
        <f>COUNTIFS('Prácticas_Revisiones'!$S$2:$S$282,"T008",'Prácticas_Revisiones'!$T$2:$T$282,"SOFTWARE ENG. ECONOMICS &gt; Nonprofit Decision-Making")+COUNTIFS('Prácticas_Snowballing'!$AB$2:$AB$281,"T008",'Prácticas_Snowballing'!$AC$2:$AC$281,"SOFTWARE ENG. ECONOMICS &gt; Nonprofit Decision-Making")</f>
        <v>0</v>
      </c>
      <c r="CX14" s="17">
        <f>COUNTIFS('Prácticas_Revisiones'!$S$2:$S$282,"T008",'Prácticas_Revisiones'!$T$2:$T$282,"SOFTWARE ENG. ECONOMICS &gt; Present Economy Decision-Making")+COUNTIFS('Prácticas_Snowballing'!$AB$2:$AB$281,"T008",'Prácticas_Snowballing'!$AC$2:$AC$281,"SOFTWARE ENG. ECONOMICS &gt; Present Economy Decision-Making")</f>
        <v>0</v>
      </c>
      <c r="CY14" s="17">
        <f>COUNTIFS('Prácticas_Revisiones'!$S$2:$S$282,"T008",'Prácticas_Revisiones'!$T$2:$T$282,"SOFTWARE ENG. ECONOMICS &gt; Multiple-Attribute Decision-Making")+COUNTIFS('Prácticas_Snowballing'!$AB$2:$AB$281,"T008",'Prácticas_Snowballing'!$AC$2:$AC$281,"SOFTWARE ENG. ECONOMICS &gt; Multiple-Attribute Decision-Making")</f>
        <v>0</v>
      </c>
      <c r="CZ14" s="17">
        <f>COUNTIFS('Prácticas_Revisiones'!$S$2:$S$282,"T008",'Prácticas_Revisiones'!$T$2:$T$282,"SOFTWARE ENG. ECONOMICS &gt; Identifying and Characterizing Intangible Assets")+COUNTIFS('Prácticas_Snowballing'!$AB$2:$AB$281,"T008",'Prácticas_Snowballing'!$AC$2:$AC$281,"SOFTWARE ENG. ECONOMICS &gt; Identifying and Characterizing Intangible Assets")</f>
        <v>0</v>
      </c>
      <c r="DA14" s="17">
        <f>COUNTIFS('Prácticas_Revisiones'!$S$2:$S$282,"T008",'Prácticas_Revisiones'!$T$2:$T$282,"SOFTWARE ENG. ECONOMICS &gt; Estimation")+COUNTIFS('Prácticas_Snowballing'!$AB$2:$AB$281,"T008",'Prácticas_Snowballing'!$AC$2:$AC$281,"SOFTWARE ENG. ECONOMICS &gt; Estimation")</f>
        <v>0</v>
      </c>
      <c r="DB14" s="17">
        <f>COUNTIFS('Prácticas_Revisiones'!$S$2:$S$282,"T008",'Prácticas_Revisiones'!$T$2:$T$282,"SOFTWARE ENG. ECONOMICS &gt; Practical Considerations")+COUNTIFS('Prácticas_Snowballing'!$AB$2:$AB$281,"T008",'Prácticas_Snowballing'!$AC$2:$AC$281,"SOFTWARE ENG. ECONOMICS &gt; Practical Considerations")</f>
        <v>0</v>
      </c>
      <c r="DC14" s="17">
        <f>COUNTIFS('Prácticas_Revisiones'!$S$2:$S$282,"T008",'Prácticas_Revisiones'!$T$2:$T$282,"SOFTWARE ENG. ECONOMICS &gt; Related Concepts")+COUNTIFS('Prácticas_Snowballing'!$AB$2:$AB$281,"T008",'Prácticas_Snowballing'!$AC$2:$AC$281,"SOFTWARE ENG. ECONOMICS &gt; Related Concepts")</f>
        <v>0</v>
      </c>
      <c r="DD14" s="17">
        <f>COUNTIFS('Prácticas_Revisiones'!$S$2:$S$282,"T008",'Prácticas_Revisiones'!$T$2:$T$282,"SOFTWARE ENG. ECONOMICS &gt; Subárea no determinable")+COUNTIFS('Prácticas_Snowballing'!$AB$2:$AB$281,"T008",'Prácticas_Snowballing'!$AC$2:$AC$281,"SOFTWARE ENG. ECONOMICS &gt; Subárea no determinable")</f>
        <v>0</v>
      </c>
      <c r="DE14" s="29">
        <f t="shared" si="14"/>
        <v>0</v>
      </c>
      <c r="DF14" s="17">
        <f>COUNTIFS('Prácticas_Revisiones'!$S$2:$S$282,"T008",'Prácticas_Revisiones'!$T$2:$T$282,"SOFTWARE ENG. MANAGEMENT &gt; Software Engineering Management Fundamentals")+COUNTIFS('Prácticas_Snowballing'!$AB$2:$AB$281,"T008",'Prácticas_Snowballing'!$AC$2:$AC$281,"SOFTWARE ENG. MANAGEMENT &gt; Software Engineering Management Fundamentals")</f>
        <v>0</v>
      </c>
      <c r="DG14" s="17">
        <f>COUNTIFS('Prácticas_Revisiones'!$S$2:$S$282,"T008",'Prácticas_Revisiones'!$T$2:$T$282,"SOFTWARE ENG. MANAGEMENT &gt; Initiation and Scope Definition")+COUNTIFS('Prácticas_Snowballing'!$AB$2:$AB$281,"T008",'Prácticas_Snowballing'!$AC$2:$AC$281,"SOFTWARE ENG. MANAGEMENT &gt; Initiation and Scope Definition")</f>
        <v>0</v>
      </c>
      <c r="DH14" s="17">
        <f>COUNTIFS('Prácticas_Revisiones'!$S$2:$S$282,"T008",'Prácticas_Revisiones'!$T$2:$T$282,"SOFTWARE ENG. MANAGEMENT &gt; Software Project Planning")+COUNTIFS('Prácticas_Snowballing'!$AB$2:$AB$281,"T008",'Prácticas_Snowballing'!$AC$2:$AC$281,"SOFTWARE ENG. MANAGEMENT &gt; Software Project Planning")</f>
        <v>0</v>
      </c>
      <c r="DI14" s="17">
        <f>COUNTIFS('Prácticas_Revisiones'!$S$2:$S$282,"T008",'Prácticas_Revisiones'!$T$2:$T$282,"SOFTWARE ENG. MANAGEMENT &gt; Software Project Enactment")+COUNTIFS('Prácticas_Snowballing'!$AB$2:$AB$281,"T008",'Prácticas_Snowballing'!$AC$2:$AC$281,"SOFTWARE ENG. MANAGEMENT &gt; Software Project Enactment")</f>
        <v>0</v>
      </c>
      <c r="DJ14" s="17">
        <f>COUNTIFS('Prácticas_Revisiones'!$S$2:$S$282,"T008",'Prácticas_Revisiones'!$T$2:$T$282,"SOFTWARE ENG. MANAGEMENT &gt; Review and Evaluation")+COUNTIFS('Prácticas_Snowballing'!$AB$2:$AB$281,"T008",'Prácticas_Snowballing'!$AC$2:$AC$281,"SOFTWARE ENG. MANAGEMENT &gt; Review and Evaluation")</f>
        <v>0</v>
      </c>
      <c r="DK14" s="17">
        <f>COUNTIFS('Prácticas_Revisiones'!$S$2:$S$282,"T008",'Prácticas_Revisiones'!$T$2:$T$282,"SOFTWARE ENG. MANAGEMENT &gt; Closure")+COUNTIFS('Prácticas_Snowballing'!$AB$2:$AB$281,"T008",'Prácticas_Snowballing'!$AC$2:$AC$281,"SOFTWARE ENG. MANAGEMENT &gt; Closure")</f>
        <v>0</v>
      </c>
      <c r="DL14" s="17">
        <f>COUNTIFS('Prácticas_Revisiones'!$S$2:$S$282,"T008",'Prácticas_Revisiones'!$T$2:$T$282,"SOFTWARE ENG. MANAGEMENT &gt; Software Engineering Management Tools")+COUNTIFS('Prácticas_Snowballing'!$AB$2:$AB$281,"T008",'Prácticas_Snowballing'!$AC$2:$AC$281,"SOFTWARE ENG. MANAGEMENT &gt; Software Engineering Management Tools")</f>
        <v>0</v>
      </c>
      <c r="DM14" s="17">
        <f>COUNTIFS('Prácticas_Revisiones'!$S$2:$S$282,"T008",'Prácticas_Revisiones'!$T$2:$T$282,"SOFTWARE ENG. MANAGEMENT &gt; Subárea no determinable")+COUNTIFS('Prácticas_Snowballing'!$AB$2:$AB$281,"T008",'Prácticas_Snowballing'!$AC$2:$AC$281,"SOFTWARE ENG. MANAGEMENT &gt; Subárea no determinable")</f>
        <v>0</v>
      </c>
      <c r="DN14" s="29">
        <f t="shared" si="15"/>
        <v>0</v>
      </c>
      <c r="DO14" s="17">
        <f>COUNTIFS('Prácticas_Revisiones'!$S$2:$S$282,"T008",'Prácticas_Revisiones'!$T$2:$T$282,"Sin área SWEBOK")+COUNTIFS('Prácticas_Snowballing'!$AB$2:$AB$281,"T008",'Prácticas_Snowballing'!$AC$2:$AC$281,"Sin área SWEBOK")</f>
        <v>1</v>
      </c>
      <c r="DP14" s="27">
        <f t="shared" si="16"/>
        <v>2</v>
      </c>
    </row>
    <row r="15">
      <c r="A15" s="28"/>
      <c r="B15" s="16" t="s">
        <v>1660</v>
      </c>
      <c r="C15" s="17">
        <f>COUNTIFS('Prácticas_Revisiones'!$S$2:$S$282,"T009",'Prácticas_Revisiones'!$T$2:$T$282,"REQUIREMENTS &gt; Software Requirements Fundamentals")+COUNTIFS('Prácticas_Snowballing'!$AB$2:$AB$281,"T009",'Prácticas_Snowballing'!$AC$2:$AC$281,"REQUIREMENTS &gt; Software Requirements Fundamentals")</f>
        <v>0</v>
      </c>
      <c r="D15" s="17">
        <f>COUNTIFS('Prácticas_Revisiones'!$S$2:$S$282,"T009",'Prácticas_Revisiones'!$T$2:$T$282,"REQUIREMENTS &gt; Requirements Elicitation")+COUNTIFS('Prácticas_Snowballing'!$AB$2:$AB$281,"T009",'Prácticas_Snowballing'!$AC$2:$AC$281,"REQUIREMENTS &gt; Requirements Elicitation")</f>
        <v>0</v>
      </c>
      <c r="E15" s="17">
        <f>COUNTIFS('Prácticas_Revisiones'!$S$2:$S$282,"T009",'Prácticas_Revisiones'!$T$2:$T$282,"REQUIREMENTS &gt; Requirements Analysis")+COUNTIFS('Prácticas_Snowballing'!$AB$2:$AB$281,"T009",'Prácticas_Snowballing'!$AC$2:$AC$281,"REQUIREMENTS &gt; Requirements Analysis")</f>
        <v>0</v>
      </c>
      <c r="F15" s="17">
        <f>COUNTIFS('Prácticas_Revisiones'!$S$2:$S$282,"T009",'Prácticas_Revisiones'!$T$2:$T$282,"REQUIREMENTS &gt; Requirements Specification")+COUNTIFS('Prácticas_Snowballing'!$AB$2:$AB$281,"T009",'Prácticas_Snowballing'!$AC$2:$AC$281,"REQUIREMENTS &gt; Requirements Specification")</f>
        <v>0</v>
      </c>
      <c r="G15" s="17">
        <f>COUNTIFS('Prácticas_Revisiones'!$S$2:$S$282,"T009",'Prácticas_Revisiones'!$T$2:$T$282,"REQUIREMENTS &gt; Requirements Validation")+COUNTIFS('Prácticas_Snowballing'!$AB$2:$AB$281,"T009",'Prácticas_Snowballing'!$AC$2:$AC$281,"REQUIREMENTS &gt; Requirements Validation")</f>
        <v>0</v>
      </c>
      <c r="H15" s="17">
        <f>COUNTIFS('Prácticas_Revisiones'!$S$2:$S$282,"T009",'Prácticas_Revisiones'!$T$2:$T$282,"REQUIREMENTS &gt; Requirements Management Activities")+COUNTIFS('Prácticas_Snowballing'!$AB$2:$AB$281,"T009",'Prácticas_Snowballing'!$AC$2:$AC$281,"REQUIREMENTS &gt; Requirements Management Activities")</f>
        <v>0</v>
      </c>
      <c r="I15" s="17">
        <f>COUNTIFS('Prácticas_Revisiones'!$S$2:$S$282,"T009",'Prácticas_Revisiones'!$T$2:$T$282,"REQUIREMENTS &gt; Practical Considerations")+COUNTIFS('Prácticas_Snowballing'!$AB$2:$AB$281,"T009",'Prácticas_Snowballing'!$AC$2:$AC$281,"REQUIREMENTS &gt; Practical Considerations")</f>
        <v>0</v>
      </c>
      <c r="J15" s="17">
        <f>COUNTIFS('Prácticas_Revisiones'!$S$2:$S$282,"T009",'Prácticas_Revisiones'!$T$2:$T$282,"REQUIREMENTS &gt; Software Requirements Tools")+COUNTIFS('Prácticas_Snowballing'!$AB$2:$AB$281,"T009",'Prácticas_Snowballing'!$AC$2:$AC$281,"REQUIREMENTS &gt; Software Requirements Tools")</f>
        <v>0</v>
      </c>
      <c r="K15" s="17">
        <f>COUNTIFS('Prácticas_Revisiones'!$S$2:$S$282,"T009",'Prácticas_Revisiones'!$T$2:$T$282,"REQUIREMENTS &gt; Subárea no determinable")+COUNTIFS('Prácticas_Snowballing'!$AB$2:$AB$281,"T009",'Prácticas_Snowballing'!$AC$2:$AC$281,"REQUIREMENTS &gt; Subárea no determinable")</f>
        <v>0</v>
      </c>
      <c r="L15" s="29">
        <f t="shared" si="1"/>
        <v>0</v>
      </c>
      <c r="M15" s="17">
        <f>COUNTIFS('Prácticas_Revisiones'!$S$2:$S$282,"T009",'Prácticas_Revisiones'!$T$2:$T$282,"ARCHITECTURE &gt; Software Architecture Fundamentals")+COUNTIFS('Prácticas_Snowballing'!$AB$2:$AB$281,"T009",'Prácticas_Snowballing'!$AC$2:$AC$281,"ARCHITECTURE &gt; Software Architecture Fundamentals")</f>
        <v>0</v>
      </c>
      <c r="N15" s="17">
        <f>COUNTIFS('Prácticas_Revisiones'!$S$2:$S$282,"T009",'Prácticas_Revisiones'!$T$2:$T$282,"ARCHITECTURE &gt; Software Architecture Description")+COUNTIFS('Prácticas_Snowballing'!$AB$2:$AB$281,"T009",'Prácticas_Snowballing'!$AC$2:$AC$281,"ARCHITECTURE &gt; Software Architecture Description")</f>
        <v>0</v>
      </c>
      <c r="O15" s="17">
        <f>COUNTIFS('Prácticas_Revisiones'!$S$2:$S$282,"T009",'Prácticas_Revisiones'!$T$2:$T$282,"ARCHITECTURE &gt; Software Architecture Process")+COUNTIFS('Prácticas_Snowballing'!$AB$2:$AB$281,"T009",'Prácticas_Snowballing'!$AC$2:$AC$281,"ARCHITECTURE &gt; Software Architecture Process")</f>
        <v>0</v>
      </c>
      <c r="P15" s="17">
        <f>COUNTIFS('Prácticas_Revisiones'!$S$2:$S$282,"T009",'Prácticas_Revisiones'!$T$2:$T$282,"ARCHITECTURE &gt; Software Architecture Evaluation")+COUNTIFS('Prácticas_Snowballing'!$AB$2:$AB$281,"T009",'Prácticas_Snowballing'!$AC$2:$AC$281,"ARCHITECTURE &gt; Software Architecture Evaluation")</f>
        <v>0</v>
      </c>
      <c r="Q15" s="17">
        <f>COUNTIFS('Prácticas_Revisiones'!$S$2:$S$282,"T009",'Prácticas_Revisiones'!$T$2:$T$282,"ARCHITECTURE &gt; Subárea no determinable")+COUNTIFS('Prácticas_Snowballing'!$AB$2:$AB$281,"T009",'Prácticas_Snowballing'!$AC$2:$AC$281,"ARCHITECTURE &gt; Subárea no determinable")</f>
        <v>0</v>
      </c>
      <c r="R15" s="29">
        <f t="shared" si="2"/>
        <v>0</v>
      </c>
      <c r="S15" s="17">
        <f>COUNTIFS('Prácticas_Revisiones'!$S$2:$S$282,"T009",'Prácticas_Revisiones'!$T$2:$T$282,"DESIGN &gt; Software Design Fundamentals")+COUNTIFS('Prácticas_Snowballing'!$AB$2:$AB$281,"T009",'Prácticas_Snowballing'!$AC$2:$AC$281,"DESIGN &gt; Software Design Fundamentals")</f>
        <v>0</v>
      </c>
      <c r="T15" s="17">
        <f>COUNTIFS('Prácticas_Revisiones'!$S$2:$S$282,"T009",'Prácticas_Revisiones'!$T$2:$T$282,"DESIGN &gt; Software Design Processes")+COUNTIFS('Prácticas_Snowballing'!$AB$2:$AB$281,"T009",'Prácticas_Snowballing'!$AC$2:$AC$281,"DESIGN &gt; Software Design Processes")</f>
        <v>0</v>
      </c>
      <c r="U15" s="17">
        <f>COUNTIFS('Prácticas_Revisiones'!$S$2:$S$282,"T009",'Prácticas_Revisiones'!$T$2:$T$282,"DESIGN &gt; Software Design Qualities")+COUNTIFS('Prácticas_Snowballing'!$AB$2:$AB$281,"T009",'Prácticas_Snowballing'!$AC$2:$AC$281,"DESIGN &gt; Software Design Qualities")</f>
        <v>0</v>
      </c>
      <c r="V15" s="17">
        <f>COUNTIFS('Prácticas_Revisiones'!$S$2:$S$282,"T009",'Prácticas_Revisiones'!$T$2:$T$282,"DESIGN &gt; Recording Software Design")+COUNTIFS('Prácticas_Snowballing'!$AB$2:$AB$281,"T009",'Prácticas_Snowballing'!$AC$2:$AC$281,"DESIGN &gt; Recording Software Design")</f>
        <v>0</v>
      </c>
      <c r="W15" s="17">
        <f>COUNTIFS('Prácticas_Revisiones'!$S$2:$S$282,"T009",'Prácticas_Revisiones'!$T$2:$T$282,"DESIGN &gt; Software Design Strategies and Methods")+COUNTIFS('Prácticas_Snowballing'!$AB$2:$AB$281,"T009",'Prácticas_Snowballing'!$AC$2:$AC$281,"DESIGN &gt; Software Design Strategies and Methods")</f>
        <v>0</v>
      </c>
      <c r="X15" s="17">
        <f>COUNTIFS('Prácticas_Revisiones'!$S$2:$S$282,"T009",'Prácticas_Revisiones'!$T$2:$T$282,"DESIGN &gt; Software Design Analysis and Evaluations")+COUNTIFS('Prácticas_Snowballing'!$AB$2:$AB$281,"T009",'Prácticas_Snowballing'!$AC$2:$AC$281,"DESIGN &gt; Software Design Analysis and Evaluations")</f>
        <v>0</v>
      </c>
      <c r="Y15" s="17">
        <f>COUNTIFS('Prácticas_Revisiones'!$S$2:$S$282,"T009",'Prácticas_Revisiones'!$T$2:$T$282,"DESIGN &gt; Subárea no determinable")+COUNTIFS('Prácticas_Snowballing'!$AB$2:$AB$281,"T009",'Prácticas_Snowballing'!$AC$2:$AC$281,"DESIGN &gt; Subárea no determinable")</f>
        <v>0</v>
      </c>
      <c r="Z15" s="29">
        <f t="shared" si="3"/>
        <v>0</v>
      </c>
      <c r="AA15" s="17">
        <f>COUNTIFS('Prácticas_Revisiones'!$S$2:$S$282,"T009",'Prácticas_Revisiones'!$T$2:$T$282,"CONSTRUCTION &gt; Software Construction Fundamentals")+COUNTIFS('Prácticas_Snowballing'!$AB$2:$AB$281,"T009",'Prácticas_Snowballing'!$AC$2:$AC$281,"CONSTRUCTION &gt; Software Construction Fundamentals")</f>
        <v>1</v>
      </c>
      <c r="AB15" s="17">
        <f>COUNTIFS('Prácticas_Revisiones'!$S$2:$S$282,"T009",'Prácticas_Revisiones'!$T$2:$T$282,"CONSTRUCTION &gt; Managing Construction")+COUNTIFS('Prácticas_Snowballing'!$AB$2:$AB$281,"T009",'Prácticas_Snowballing'!$AC$2:$AC$281,"CONSTRUCTION &gt; Managing Construction")</f>
        <v>0</v>
      </c>
      <c r="AC15" s="17">
        <f>COUNTIFS('Prácticas_Revisiones'!$S$2:$S$282,"T009",'Prácticas_Revisiones'!$T$2:$T$282,"CONSTRUCTION &gt; Practical Considerations")+COUNTIFS('Prácticas_Snowballing'!$AB$2:$AB$281,"T009",'Prácticas_Snowballing'!$AC$2:$AC$281,"CONSTRUCTION &gt; Practical Considerations")</f>
        <v>0</v>
      </c>
      <c r="AD15" s="17">
        <f>COUNTIFS('Prácticas_Revisiones'!$S$2:$S$282,"T009",'Prácticas_Revisiones'!$T$2:$T$282,"CONSTRUCTION &gt; Construction Technologies")+COUNTIFS('Prácticas_Snowballing'!$AB$2:$AB$281,"T009",'Prácticas_Snowballing'!$AC$2:$AC$281,"CONSTRUCTION &gt; Construction Technologies")</f>
        <v>0</v>
      </c>
      <c r="AE15" s="17">
        <f>COUNTIFS('Prácticas_Revisiones'!$S$2:$S$282,"T009",'Prácticas_Revisiones'!$T$2:$T$282,"CONSTRUCTION &gt; Software Construction Tools")+COUNTIFS('Prácticas_Snowballing'!$AB$2:$AB$281,"T009",'Prácticas_Snowballing'!$AC$2:$AC$281,"CONSTRUCTION &gt; Software Construction Tools")</f>
        <v>0</v>
      </c>
      <c r="AF15" s="17">
        <f>COUNTIFS('Prácticas_Revisiones'!$S$2:$S$282,"T009",'Prácticas_Revisiones'!$T$2:$T$282,"CONSTRUCTION &gt; Subárea no determinable")+COUNTIFS('Prácticas_Snowballing'!$AB$2:$AB$281,"T009",'Prácticas_Snowballing'!$AC$2:$AC$281,"CONSTRUCTION &gt; Subárea no determinable")</f>
        <v>0</v>
      </c>
      <c r="AG15" s="29">
        <f t="shared" si="4"/>
        <v>1</v>
      </c>
      <c r="AH15" s="17">
        <f>COUNTIFS('Prácticas_Revisiones'!$S$2:$S$282,"T009",'Prácticas_Revisiones'!$T$2:$T$282,"SOFTWARE TESTING &gt; Software Testing Fundamentals")+COUNTIFS('Prácticas_Snowballing'!$AB$2:$AB$281,"T009",'Prácticas_Snowballing'!$AC$2:$AC$281,"SOFTWARE TESTING &gt; Software Testing Fundamentals")</f>
        <v>0</v>
      </c>
      <c r="AI15" s="17">
        <f>COUNTIFS('Prácticas_Revisiones'!$S$2:$S$282,"T009",'Prácticas_Revisiones'!$T$2:$T$282,"SOFTWARE TESTING &gt; Test Levels")+COUNTIFS('Prácticas_Snowballing'!$AB$2:$AB$281,"T009",'Prácticas_Snowballing'!$AC$2:$AC$281,"SOFTWARE TESTING &gt; Test Levels")</f>
        <v>0</v>
      </c>
      <c r="AJ15" s="17">
        <f>COUNTIFS('Prácticas_Revisiones'!$S$2:$S$282,"T009",'Prácticas_Revisiones'!$T$2:$T$282,"SOFTWARE TESTING &gt; Test Techniques")+COUNTIFS('Prácticas_Snowballing'!$AB$2:$AB$281,"T009",'Prácticas_Snowballing'!$AC$2:$AC$281,"SOFTWARE TESTING &gt; Test Techniques")</f>
        <v>0</v>
      </c>
      <c r="AK15" s="17">
        <f>COUNTIFS('Prácticas_Revisiones'!$S$2:$S$282,"T009",'Prácticas_Revisiones'!$T$2:$T$282,"SOFTWARE TESTING &gt; Test-Related Measures")+COUNTIFS('Prácticas_Snowballing'!$AB$2:$AB$281,"T009",'Prácticas_Snowballing'!$AC$2:$AC$281,"SOFTWARE TESTING &gt; Test-Related Measures")</f>
        <v>0</v>
      </c>
      <c r="AL15" s="17">
        <f>COUNTIFS('Prácticas_Revisiones'!$S$2:$S$282,"T009",'Prácticas_Revisiones'!$T$2:$T$282,"SOFTWARE TESTING &gt; Test Process")+COUNTIFS('Prácticas_Snowballing'!$AB$2:$AB$281,"T009",'Prácticas_Snowballing'!$AC$2:$AC$281,"SOFTWARE TESTING &gt; Test Process")</f>
        <v>0</v>
      </c>
      <c r="AM15" s="17">
        <f>COUNTIFS('Prácticas_Revisiones'!$S$2:$S$282,"T009",'Prácticas_Revisiones'!$T$2:$T$282,"SOFTWARE TESTING &gt; Software Testing in the Development Processes...")+COUNTIFS('Prácticas_Snowballing'!$AB$2:$AB$281,"T009",'Prácticas_Snowballing'!$AC$2:$AC$281,"SOFTWARE TESTING &gt; Software Testing in the Development Processes...")</f>
        <v>0</v>
      </c>
      <c r="AN15" s="17">
        <f>COUNTIFS('Prácticas_Revisiones'!$S$2:$S$282,"T009",'Prácticas_Revisiones'!$T$2:$T$282,"SOFTWARE TESTING &gt; Testing of and Testing Through Emerging Tech...")+COUNTIFS('Prácticas_Snowballing'!$AB$2:$AB$281,"T009",'Prácticas_Snowballing'!$AC$2:$AC$281,"SOFTWARE TESTING &gt; Testing of and Testing Through Emerging Tech...")</f>
        <v>0</v>
      </c>
      <c r="AO15" s="17">
        <f>COUNTIFS('Prácticas_Revisiones'!$S$2:$S$282,"T009",'Prácticas_Revisiones'!$T$2:$T$282,"SOFTWARE TESTING &gt; Software Testing Tools")+COUNTIFS('Prácticas_Snowballing'!$AB$2:$AB$281,"T009",'Prácticas_Snowballing'!$AC$2:$AC$281,"SOFTWARE TESTING &gt; Software Testing Tools")</f>
        <v>0</v>
      </c>
      <c r="AP15" s="17">
        <f>COUNTIFS('Prácticas_Revisiones'!$S$2:$S$282,"T009",'Prácticas_Revisiones'!$T$2:$T$282,"SOFTWARE TESTING &gt; Subárea no determinable")+COUNTIFS('Prácticas_Snowballing'!$AB$2:$AB$281,"T009",'Prácticas_Snowballing'!$AC$2:$AC$281,"SOFTWARE TESTING &gt; Subárea no determinable")</f>
        <v>0</v>
      </c>
      <c r="AQ15" s="29">
        <f t="shared" si="5"/>
        <v>0</v>
      </c>
      <c r="AR15" s="17">
        <f>COUNTIFS('Prácticas_Revisiones'!$S$2:$S$282,"T009",'Prácticas_Revisiones'!$T$2:$T$282,"SOFTWARE ENG. OPERATIONS &gt; Software Engineering Operations Fundamentals")+COUNTIFS('Prácticas_Snowballing'!$AB$2:$AB$281,"T009",'Prácticas_Snowballing'!$AC$2:$AC$281,"SOFTWARE ENG. OPERATIONS &gt; Software Engineering Operations Fundamentals")</f>
        <v>0</v>
      </c>
      <c r="AS15" s="17">
        <f>COUNTIFS('Prácticas_Revisiones'!$S$2:$S$282,"T009",'Prácticas_Revisiones'!$T$2:$T$282,"SOFTWARE ENG. OPERATIONS &gt; Software Engineering Operations Planning")+COUNTIFS('Prácticas_Snowballing'!$AB$2:$AB$281,"T009",'Prácticas_Snowballing'!$AC$2:$AC$281,"SOFTWARE ENG. OPERATIONS &gt; Software Engineering Operations Planning")</f>
        <v>0</v>
      </c>
      <c r="AT15" s="17">
        <f>COUNTIFS('Prácticas_Revisiones'!$S$2:$S$282,"T009",'Prácticas_Revisiones'!$T$2:$T$282,"SOFTWARE ENG. OPERATIONS &gt; Software Engineering Operations Delivery")+COUNTIFS('Prácticas_Snowballing'!$AB$2:$AB$281,"T009",'Prácticas_Snowballing'!$AC$2:$AC$281,"SOFTWARE ENG. OPERATIONS &gt; Software Engineering Operations Delivery")</f>
        <v>0</v>
      </c>
      <c r="AU15" s="17">
        <f>COUNTIFS('Prácticas_Revisiones'!$S$2:$S$282,"T009",'Prácticas_Revisiones'!$T$2:$T$282,"SOFTWARE ENG. OPERATIONS &gt; Software Engineering Operations Control")+COUNTIFS('Prácticas_Snowballing'!$AB$2:$AB$281,"T009",'Prácticas_Snowballing'!$AC$2:$AC$281,"SOFTWARE ENG. OPERATIONS &gt; Software Engineering Operations Control")</f>
        <v>0</v>
      </c>
      <c r="AV15" s="17">
        <f>COUNTIFS('Prácticas_Revisiones'!$S$2:$S$282,"T009",'Prácticas_Revisiones'!$T$2:$T$282,"SOFTWARE ENG. OPERATIONS &gt; Practical Considerations")+COUNTIFS('Prácticas_Snowballing'!$AB$2:$AB$281,"T009",'Prácticas_Snowballing'!$AC$2:$AC$281,"SOFTWARE ENG. OPERATIONS &gt; Practical Considerations")</f>
        <v>0</v>
      </c>
      <c r="AW15" s="17">
        <f>COUNTIFS('Prácticas_Revisiones'!$S$2:$S$282,"T009",'Prácticas_Revisiones'!$T$2:$T$282,"SOFTWARE ENG. OPERATIONS &gt; Software Engineering Operations Tools")+COUNTIFS('Prácticas_Snowballing'!$AB$2:$AB$281,"T009",'Prácticas_Snowballing'!$AC$2:$AC$281,"SOFTWARE ENG. OPERATIONS &gt; Software Engineering Operations Tools")</f>
        <v>0</v>
      </c>
      <c r="AX15" s="17">
        <f>COUNTIFS('Prácticas_Revisiones'!$S$2:$S$282,"T009",'Prácticas_Revisiones'!$T$2:$T$282,"SOFTWARE ENG. OPERATIONS &gt; Subárea no determinable")+COUNTIFS('Prácticas_Snowballing'!$AB$2:$AB$281,"T009",'Prácticas_Snowballing'!$AC$2:$AC$281,"SOFTWARE ENG. OPERATIONS &gt; Subárea no determinable")</f>
        <v>0</v>
      </c>
      <c r="AY15" s="29">
        <f t="shared" si="6"/>
        <v>0</v>
      </c>
      <c r="AZ15" s="17">
        <f>COUNTIFS('Prácticas_Revisiones'!$S$2:$S$282,"T009",'Prácticas_Revisiones'!$T$2:$T$282,"MAINTENANCE &gt; Software Maintenance Fundamentals")+COUNTIFS('Prácticas_Snowballing'!$AB$2:$AB$281,"T009",'Prácticas_Snowballing'!$AC$2:$AC$281,"MAINTENANCE &gt; Software Maintenance Fundamentals")</f>
        <v>0</v>
      </c>
      <c r="BA15" s="17">
        <f>COUNTIFS('Prácticas_Revisiones'!$S$2:$S$282,"T009",'Prácticas_Revisiones'!$T$2:$T$282,"MAINTENANCE &gt; Key Issues in Software Maintenance")+COUNTIFS('Prácticas_Snowballing'!$AB$2:$AB$281,"T009",'Prácticas_Snowballing'!$AC$2:$AC$281,"MAINTENANCE &gt; Key Issues in Software Maintenance")</f>
        <v>0</v>
      </c>
      <c r="BB15" s="17">
        <f>COUNTIFS('Prácticas_Revisiones'!$S$2:$S$282,"T009",'Prácticas_Revisiones'!$T$2:$T$282,"MAINTENANCE &gt; Software Maintenance Processes")+COUNTIFS('Prácticas_Snowballing'!$AB$2:$AB$281,"T009",'Prácticas_Snowballing'!$AC$2:$AC$281,"MAINTENANCE &gt; Software Maintenance Processes")</f>
        <v>0</v>
      </c>
      <c r="BC15" s="17">
        <f>COUNTIFS('Prácticas_Revisiones'!$S$2:$S$282,"T009",'Prácticas_Revisiones'!$T$2:$T$282,"MAINTENANCE &gt; Software Maintenance Techniques")+COUNTIFS('Prácticas_Snowballing'!$AB$2:$AB$281,"T009",'Prácticas_Snowballing'!$AC$2:$AC$281,"MAINTENANCE &gt; Software Maintenance Techniques")</f>
        <v>0</v>
      </c>
      <c r="BD15" s="17">
        <f>COUNTIFS('Prácticas_Revisiones'!$S$2:$S$282,"T009",'Prácticas_Revisiones'!$T$2:$T$282,"MAINTENANCE &gt; Software Maintenance Tools")+COUNTIFS('Prácticas_Snowballing'!$AB$2:$AB$281,"T009",'Prácticas_Snowballing'!$AC$2:$AC$281,"MAINTENANCE &gt; Software Maintenance Tools")</f>
        <v>0</v>
      </c>
      <c r="BE15" s="17">
        <f>COUNTIFS('Prácticas_Revisiones'!$S$2:$S$282,"T009",'Prácticas_Revisiones'!$T$2:$T$282,"MAINTENANCE &gt; Subárea no determinable")+COUNTIFS('Prácticas_Snowballing'!$AB$2:$AB$281,"T009",'Prácticas_Snowballing'!$AC$2:$AC$281,"MAINTENANCE &gt; Subárea no determinable")</f>
        <v>0</v>
      </c>
      <c r="BF15" s="29">
        <f t="shared" si="7"/>
        <v>0</v>
      </c>
      <c r="BG15" s="17">
        <f>COUNTIFS('Prácticas_Revisiones'!$S$2:$S$282,"T009",'Prácticas_Revisiones'!$T$2:$T$282,"SOFTWARE CONFIG. MGMT. &gt; Management of the SCM Process")+COUNTIFS('Prácticas_Snowballing'!$AB$2:$AB$281,"T009",'Prácticas_Snowballing'!$AC$2:$AC$281,"SOFTWARE CONFIG. MGMT. &gt; Management of the SCM Process")</f>
        <v>0</v>
      </c>
      <c r="BH15" s="17">
        <f>COUNTIFS('Prácticas_Revisiones'!$S$2:$S$282,"T009",'Prácticas_Revisiones'!$T$2:$T$282,"SOFTWARE CONFIG. MGMT. &gt; Software Configuration Identification")+COUNTIFS('Prácticas_Snowballing'!$AB$2:$AB$281,"T009",'Prácticas_Snowballing'!$AC$2:$AC$281,"SOFTWARE CONFIG. MGMT. &gt; Software Configuration Identification")</f>
        <v>0</v>
      </c>
      <c r="BI15" s="17">
        <f>COUNTIFS('Prácticas_Revisiones'!$S$2:$S$282,"T009",'Prácticas_Revisiones'!$T$2:$T$282,"SOFTWARE CONFIG. MGMT. &gt; Software Configuration Change Control")+COUNTIFS('Prácticas_Snowballing'!$AB$2:$AB$281,"T009",'Prácticas_Snowballing'!$AC$2:$AC$281,"SOFTWARE CONFIG. MGMT. &gt; Software Configuration Change Control")</f>
        <v>0</v>
      </c>
      <c r="BJ15" s="17">
        <f>COUNTIFS('Prácticas_Revisiones'!$S$2:$S$282,"T009",'Prácticas_Revisiones'!$T$2:$T$282,"SOFTWARE CONFIG. MGMT. &gt; Software Configuration Status Accounting")+COUNTIFS('Prácticas_Snowballing'!$AB$2:$AB$281,"T009",'Prácticas_Snowballing'!$AC$2:$AC$281,"SOFTWARE CONFIG. MGMT. &gt; Software Configuration Status Accounting")</f>
        <v>0</v>
      </c>
      <c r="BK15" s="17">
        <f>COUNTIFS('Prácticas_Revisiones'!$S$2:$S$282,"T009",'Prácticas_Revisiones'!$T$2:$T$282,"SOFTWARE CONFIG. MGMT. &gt; Software Configuration Auditing")+COUNTIFS('Prácticas_Snowballing'!$AB$2:$AB$281,"T009",'Prácticas_Snowballing'!$AC$2:$AC$281,"SOFTWARE CONFIG. MGMT. &gt; Software Configuration Auditing")</f>
        <v>0</v>
      </c>
      <c r="BL15" s="17">
        <f>COUNTIFS('Prácticas_Revisiones'!$S$2:$S$282,"T009",'Prácticas_Revisiones'!$T$2:$T$282,"SOFTWARE CONFIG. MGMT. &gt; Software Release Management and Delivery")+COUNTIFS('Prácticas_Snowballing'!$AB$2:$AB$281,"T009",'Prácticas_Snowballing'!$AC$2:$AC$281,"SOFTWARE CONFIG. MGMT. &gt; Software Release Management and Delivery")</f>
        <v>0</v>
      </c>
      <c r="BM15" s="17">
        <f>COUNTIFS('Prácticas_Revisiones'!$S$2:$S$282,"T009",'Prácticas_Revisiones'!$T$2:$T$282,"SOFTWARE CONFIG. MGMT. &gt; Software Configuration Management Tools")+COUNTIFS('Prácticas_Snowballing'!$AB$2:$AB$281,"T009",'Prácticas_Snowballing'!$AC$2:$AC$281,"SOFTWARE CONFIG. MGMT. &gt; Software Configuration Management Tools")</f>
        <v>0</v>
      </c>
      <c r="BN15" s="17">
        <f>COUNTIFS('Prácticas_Revisiones'!$S$2:$S$282,"T009",'Prácticas_Revisiones'!$T$2:$T$282,"SOFTWARE CONFIG. MGMT. &gt; Subárea no determinable")+COUNTIFS('Prácticas_Snowballing'!$AB$2:$AB$281,"T009",'Prácticas_Snowballing'!$AC$2:$AC$281,"SOFTWARE CONFIG. MGMT. &gt; Subárea no determinable")</f>
        <v>0</v>
      </c>
      <c r="BO15" s="29">
        <f t="shared" si="8"/>
        <v>0</v>
      </c>
      <c r="BP15" s="17">
        <f>COUNTIFS('Prácticas_Revisiones'!$S$2:$S$282,"T009",'Prácticas_Revisiones'!$T$2:$T$282,"SOFTWARE ENG. PROCESS &gt; Software Engineering Process Fundamentals")+COUNTIFS('Prácticas_Snowballing'!$AB$2:$AB$281,"T009",'Prácticas_Snowballing'!$AC$2:$AC$281,"SOFTWARE ENG. PROCESS &gt; Software Engineering Process Fundamentals")</f>
        <v>0</v>
      </c>
      <c r="BQ15" s="17">
        <f>COUNTIFS('Prácticas_Revisiones'!$S$2:$S$282,"T009",'Prácticas_Revisiones'!$T$2:$T$282,"SOFTWARE ENG. PROCESS &gt; Life Cycles")+COUNTIFS('Prácticas_Snowballing'!$AB$2:$AB$281,"T009",'Prácticas_Snowballing'!$AC$2:$AC$281,"SOFTWARE ENG. PROCESS &gt; Life Cycles")</f>
        <v>0</v>
      </c>
      <c r="BR15" s="17">
        <f>COUNTIFS('Prácticas_Revisiones'!$S$2:$S$282,"T009",'Prácticas_Revisiones'!$T$2:$T$282,"SOFTWARE ENG. PROCESS &gt; Software Process Assessment and Improvement")+COUNTIFS('Prácticas_Snowballing'!$AB$2:$AB$281,"T009",'Prácticas_Snowballing'!$AC$2:$AC$281,"SOFTWARE ENG. PROCESS &gt; Software Process Assessment and Improvement")</f>
        <v>0</v>
      </c>
      <c r="BS15" s="17">
        <f>COUNTIFS('Prácticas_Revisiones'!$S$2:$S$282,"T009",'Prácticas_Revisiones'!$T$2:$T$282,"SOFTWARE ENG. PROCESS &gt; Subárea no determinable")+COUNTIFS('Prácticas_Snowballing'!$AB$2:$AB$281,"T009",'Prácticas_Snowballing'!$AC$2:$AC$281,"SOFTWARE ENG. PROCESS &gt; Subárea no determinable")</f>
        <v>0</v>
      </c>
      <c r="BT15" s="29">
        <f t="shared" si="9"/>
        <v>0</v>
      </c>
      <c r="BU15" s="17">
        <f>COUNTIFS('Prácticas_Revisiones'!$S$2:$S$282,"T009",'Prácticas_Revisiones'!$T$2:$T$282,"SOFTWARE ENG. MODELS/METH. &gt; Modeling")+COUNTIFS('Prácticas_Snowballing'!$AB$2:$AB$281,"T009",'Prácticas_Snowballing'!$AC$2:$AC$281,"SOFTWARE ENG. MODELS/METH. &gt; Modeling")</f>
        <v>0</v>
      </c>
      <c r="BV15" s="17">
        <f>COUNTIFS('Prácticas_Revisiones'!$S$2:$S$282,"T009",'Prácticas_Revisiones'!$T$2:$T$282,"SOFTWARE ENG. MODELS/METH. &gt; Types of Models")+COUNTIFS('Prácticas_Snowballing'!$AB$2:$AB$281,"T009",'Prácticas_Snowballing'!$AC$2:$AC$281,"SOFTWARE ENG. MODELS/METH. &gt; Types of Models")</f>
        <v>0</v>
      </c>
      <c r="BW15" s="17">
        <f>COUNTIFS('Prácticas_Revisiones'!$S$2:$S$282,"T009",'Prácticas_Revisiones'!$T$2:$T$282,"SOFTWARE ENG. MODELS/METH. &gt; Analysis of Models")+COUNTIFS('Prácticas_Snowballing'!$AB$2:$AB$281,"T009",'Prácticas_Snowballing'!$AC$2:$AC$281,"SOFTWARE ENG. MODELS/METH. &gt; Analysis of Models")</f>
        <v>0</v>
      </c>
      <c r="BX15" s="17">
        <f>COUNTIFS('Prácticas_Revisiones'!$S$2:$S$282,"T009",'Prácticas_Revisiones'!$T$2:$T$282,"SOFTWARE ENG. MODELS/METH. &gt; Software Engineering Methods")+COUNTIFS('Prácticas_Snowballing'!$AB$2:$AB$281,"T009",'Prácticas_Snowballing'!$AC$2:$AC$281,"SOFTWARE ENG. MODELS/METH. &gt; Software Engineering Methods")</f>
        <v>0</v>
      </c>
      <c r="BY15" s="17">
        <f>COUNTIFS('Prácticas_Revisiones'!$S$2:$S$282,"T009",'Prácticas_Revisiones'!$T$2:$T$282,"SOFTWARE ENG. MODELS/METH. &gt; Subárea no determinable")+COUNTIFS('Prácticas_Snowballing'!$AB$2:$AB$281,"T009",'Prácticas_Snowballing'!$AC$2:$AC$281,"SOFTWARE ENG. MODELS/METH. &gt; Subárea no determinable")</f>
        <v>0</v>
      </c>
      <c r="BZ15" s="29">
        <f t="shared" si="10"/>
        <v>0</v>
      </c>
      <c r="CA15" s="17">
        <f>COUNTIFS('Prácticas_Revisiones'!$S$2:$S$282,"T009",'Prácticas_Revisiones'!$T$2:$T$282,"SOFTWARE QUALITY &gt; Software Quality Fundamentals")+COUNTIFS('Prácticas_Snowballing'!$AB$2:$AB$281,"T009",'Prácticas_Snowballing'!$AC$2:$AC$281,"SOFTWARE QUALITY &gt; Software Quality Fundamentals")</f>
        <v>0</v>
      </c>
      <c r="CB15" s="17">
        <f>COUNTIFS('Prácticas_Revisiones'!$S$2:$S$282,"T009",'Prácticas_Revisiones'!$T$2:$T$282,"SOFTWARE QUALITY &gt; Software Quality Management Process")+COUNTIFS('Prácticas_Snowballing'!$AB$2:$AB$281,"T009",'Prácticas_Snowballing'!$AC$2:$AC$281,"SOFTWARE QUALITY &gt; Software Quality Management Process")</f>
        <v>0</v>
      </c>
      <c r="CC15" s="17">
        <f>COUNTIFS('Prácticas_Revisiones'!$S$2:$S$282,"T009",'Prácticas_Revisiones'!$T$2:$T$282,"SOFTWARE QUALITY &gt; Software Quality Assurance Process")+COUNTIFS('Prácticas_Snowballing'!$AB$2:$AB$281,"T009",'Prácticas_Snowballing'!$AC$2:$AC$281,"SOFTWARE QUALITY &gt; Software Quality Assurance Process")</f>
        <v>0</v>
      </c>
      <c r="CD15" s="17">
        <f>COUNTIFS('Prácticas_Revisiones'!$S$2:$S$282,"T009",'Prácticas_Revisiones'!$T$2:$T$282,"SOFTWARE QUALITY &gt; Software Quality Tools")+COUNTIFS('Prácticas_Snowballing'!$AB$2:$AB$281,"T009",'Prácticas_Snowballing'!$AC$2:$AC$281,"SOFTWARE QUALITY &gt; Software Quality Tools")</f>
        <v>0</v>
      </c>
      <c r="CE15" s="17">
        <f>COUNTIFS('Prácticas_Revisiones'!$S$2:$S$282,"T009",'Prácticas_Revisiones'!$T$2:$T$282,"SOFTWARE QUALITY &gt; Subárea no determinable")+COUNTIFS('Prácticas_Snowballing'!$AB$2:$AB$281,"T009",'Prácticas_Snowballing'!$AC$2:$AC$281,"SOFTWARE QUALITY &gt; Subárea no determinable")</f>
        <v>0</v>
      </c>
      <c r="CF15" s="29">
        <f t="shared" si="11"/>
        <v>0</v>
      </c>
      <c r="CG15" s="17">
        <f>COUNTIFS('Prácticas_Revisiones'!$S$2:$S$282,"T009",'Prácticas_Revisiones'!$T$2:$T$282,"SOFTWARE SECURITY &gt; Software Security Fundamentals")+COUNTIFS('Prácticas_Snowballing'!$AB$2:$AB$281,"T009",'Prácticas_Snowballing'!$AC$2:$AC$281,"SOFTWARE SECURITY &gt; Software Security Fundamentals")</f>
        <v>0</v>
      </c>
      <c r="CH15" s="17">
        <f>COUNTIFS('Prácticas_Revisiones'!$S$2:$S$282,"T009",'Prácticas_Revisiones'!$T$2:$T$282,"SOFTWARE SECURITY &gt; Security Management and Organization")+COUNTIFS('Prácticas_Snowballing'!$AB$2:$AB$281,"T009",'Prácticas_Snowballing'!$AC$2:$AC$281,"SOFTWARE SECURITY &gt; Security Management and Organization")</f>
        <v>0</v>
      </c>
      <c r="CI15" s="17">
        <f>COUNTIFS('Prácticas_Revisiones'!$S$2:$S$282,"T009",'Prácticas_Revisiones'!$T$2:$T$282,"SOFTWARE SECURITY &gt; Software Security Engineering and Process")+COUNTIFS('Prácticas_Snowballing'!$AB$2:$AB$281,"T009",'Prácticas_Snowballing'!$AC$2:$AC$281,"SOFTWARE SECURITY &gt; Software Security Engineering and Process")</f>
        <v>0</v>
      </c>
      <c r="CJ15" s="17">
        <f>COUNTIFS('Prácticas_Revisiones'!$S$2:$S$282,"T009",'Prácticas_Revisiones'!$T$2:$T$282,"SOFTWARE SECURITY &gt; Security Engineering for Software Systems")+COUNTIFS('Prácticas_Snowballing'!$AB$2:$AB$281,"T009",'Prácticas_Snowballing'!$AC$2:$AC$281,"SOFTWARE SECURITY &gt; Security Engineering for Software Systems")</f>
        <v>0</v>
      </c>
      <c r="CK15" s="17">
        <f>COUNTIFS('Prácticas_Revisiones'!$S$2:$S$282,"T009",'Prácticas_Revisiones'!$T$2:$T$282,"SOFTWARE SECURITY &gt; Software Security Tools")+COUNTIFS('Prácticas_Snowballing'!$AB$2:$AB$281,"T009",'Prácticas_Snowballing'!$AC$2:$AC$281,"SOFTWARE SECURITY &gt; Software Security Tools")</f>
        <v>0</v>
      </c>
      <c r="CL15" s="17">
        <f>COUNTIFS('Prácticas_Revisiones'!$S$2:$S$282,"T009",'Prácticas_Revisiones'!$T$2:$T$282,"SOFTWARE SECURITY &gt; Domain Specific Software Security")+COUNTIFS('Prácticas_Snowballing'!$AB$2:$AB$281,"T009",'Prácticas_Snowballing'!$AC$2:$AC$281,"SOFTWARE SECURITY &gt; Domain Specific Software Security")</f>
        <v>0</v>
      </c>
      <c r="CM15" s="17">
        <f>COUNTIFS('Prácticas_Revisiones'!$S$2:$S$282,"T009",'Prácticas_Revisiones'!$T$2:$T$282,"SOFTWARE SECURITY &gt; Subárea no determinable")+COUNTIFS('Prácticas_Snowballing'!$AB$2:$AB$281,"T009",'Prácticas_Snowballing'!$AC$2:$AC$281,"SOFTWARE SECURITY &gt; Subárea no determinable")</f>
        <v>0</v>
      </c>
      <c r="CN15" s="29">
        <f t="shared" si="12"/>
        <v>0</v>
      </c>
      <c r="CO15" s="17">
        <f>COUNTIFS('Prácticas_Revisiones'!$S$2:$S$282,"T009",'Prácticas_Revisiones'!$T$2:$T$282,"PROFESSIONAL PRACTICE &gt; Professionalism")+COUNTIFS('Prácticas_Snowballing'!$AB$2:$AB$281,"T009",'Prácticas_Snowballing'!$AC$2:$AC$281,"PROFESSIONAL PRACTICE &gt; Professionalism")</f>
        <v>0</v>
      </c>
      <c r="CP15" s="17">
        <f>COUNTIFS('Prácticas_Revisiones'!$S$2:$S$282,"T009",'Prácticas_Revisiones'!$T$2:$T$282,"PROFESSIONAL PRACTICE &gt; Group Dynamics and Psychology")+COUNTIFS('Prácticas_Snowballing'!$AB$2:$AB$281,"T009",'Prácticas_Snowballing'!$AC$2:$AC$281,"PROFESSIONAL PRACTICE &gt; Group Dynamics and Psychology")</f>
        <v>0</v>
      </c>
      <c r="CQ15" s="17">
        <f>COUNTIFS('Prácticas_Revisiones'!$S$2:$S$282,"T009",'Prácticas_Revisiones'!$T$2:$T$282,"PROFESSIONAL PRACTICE &gt; Communication Skills")+COUNTIFS('Prácticas_Snowballing'!$AB$2:$AB$281,"T009",'Prácticas_Snowballing'!$AC$2:$AC$281,"PROFESSIONAL PRACTICE &gt; Communication Skills")</f>
        <v>0</v>
      </c>
      <c r="CR15" s="17">
        <f>COUNTIFS('Prácticas_Revisiones'!$S$2:$S$282,"T009",'Prácticas_Revisiones'!$T$2:$T$282,"PROFESSIONAL PRACTICE &gt; Subárea no determinable")+COUNTIFS('Prácticas_Snowballing'!$AB$2:$AB$281,"T009",'Prácticas_Snowballing'!$AC$2:$AC$281,"PROFESSIONAL PRACTICE &gt; Subárea no determinable")</f>
        <v>0</v>
      </c>
      <c r="CS15" s="29">
        <f t="shared" si="13"/>
        <v>0</v>
      </c>
      <c r="CT15" s="17">
        <f>COUNTIFS('Prácticas_Revisiones'!$S$2:$S$282,"T009",'Prácticas_Revisiones'!$T$2:$T$282,"SOFTWARE ENG. ECONOMICS &gt; Software Engineering Economics Fundamentals")+COUNTIFS('Prácticas_Snowballing'!$AB$2:$AB$281,"T009",'Prácticas_Snowballing'!$AC$2:$AC$281,"SOFTWARE ENG. ECONOMICS &gt; Software Engineering Economics Fundamentals")</f>
        <v>0</v>
      </c>
      <c r="CU15" s="17">
        <f>COUNTIFS('Prácticas_Revisiones'!$S$2:$S$282,"T009",'Prácticas_Revisiones'!$T$2:$T$282,"SOFTWARE ENG. ECONOMICS &gt; The Engineering Decision-Making Process")+COUNTIFS('Prácticas_Snowballing'!$AB$2:$AB$281,"T009",'Prácticas_Snowballing'!$AC$2:$AC$281,"SOFTWARE ENG. ECONOMICS &gt; The Engineering Decision-Making Process")</f>
        <v>0</v>
      </c>
      <c r="CV15" s="17">
        <f>COUNTIFS('Prácticas_Revisiones'!$S$2:$S$282,"T009",'Prácticas_Revisiones'!$T$2:$T$282,"SOFTWARE ENG. ECONOMICS &gt; For-Profit Decision-Making")+COUNTIFS('Prácticas_Snowballing'!$AB$2:$AB$281,"T009",'Prácticas_Snowballing'!$AC$2:$AC$281,"SOFTWARE ENG. ECONOMICS &gt; For-Profit Decision-Making")</f>
        <v>0</v>
      </c>
      <c r="CW15" s="17">
        <f>COUNTIFS('Prácticas_Revisiones'!$S$2:$S$282,"T009",'Prácticas_Revisiones'!$T$2:$T$282,"SOFTWARE ENG. ECONOMICS &gt; Nonprofit Decision-Making")+COUNTIFS('Prácticas_Snowballing'!$AB$2:$AB$281,"T009",'Prácticas_Snowballing'!$AC$2:$AC$281,"SOFTWARE ENG. ECONOMICS &gt; Nonprofit Decision-Making")</f>
        <v>0</v>
      </c>
      <c r="CX15" s="17">
        <f>COUNTIFS('Prácticas_Revisiones'!$S$2:$S$282,"T009",'Prácticas_Revisiones'!$T$2:$T$282,"SOFTWARE ENG. ECONOMICS &gt; Present Economy Decision-Making")+COUNTIFS('Prácticas_Snowballing'!$AB$2:$AB$281,"T009",'Prácticas_Snowballing'!$AC$2:$AC$281,"SOFTWARE ENG. ECONOMICS &gt; Present Economy Decision-Making")</f>
        <v>0</v>
      </c>
      <c r="CY15" s="17">
        <f>COUNTIFS('Prácticas_Revisiones'!$S$2:$S$282,"T009",'Prácticas_Revisiones'!$T$2:$T$282,"SOFTWARE ENG. ECONOMICS &gt; Multiple-Attribute Decision-Making")+COUNTIFS('Prácticas_Snowballing'!$AB$2:$AB$281,"T009",'Prácticas_Snowballing'!$AC$2:$AC$281,"SOFTWARE ENG. ECONOMICS &gt; Multiple-Attribute Decision-Making")</f>
        <v>0</v>
      </c>
      <c r="CZ15" s="17">
        <f>COUNTIFS('Prácticas_Revisiones'!$S$2:$S$282,"T009",'Prácticas_Revisiones'!$T$2:$T$282,"SOFTWARE ENG. ECONOMICS &gt; Identifying and Characterizing Intangible Assets")+COUNTIFS('Prácticas_Snowballing'!$AB$2:$AB$281,"T009",'Prácticas_Snowballing'!$AC$2:$AC$281,"SOFTWARE ENG. ECONOMICS &gt; Identifying and Characterizing Intangible Assets")</f>
        <v>0</v>
      </c>
      <c r="DA15" s="17">
        <f>COUNTIFS('Prácticas_Revisiones'!$S$2:$S$282,"T009",'Prácticas_Revisiones'!$T$2:$T$282,"SOFTWARE ENG. ECONOMICS &gt; Estimation")+COUNTIFS('Prácticas_Snowballing'!$AB$2:$AB$281,"T009",'Prácticas_Snowballing'!$AC$2:$AC$281,"SOFTWARE ENG. ECONOMICS &gt; Estimation")</f>
        <v>0</v>
      </c>
      <c r="DB15" s="17">
        <f>COUNTIFS('Prácticas_Revisiones'!$S$2:$S$282,"T009",'Prácticas_Revisiones'!$T$2:$T$282,"SOFTWARE ENG. ECONOMICS &gt; Practical Considerations")+COUNTIFS('Prácticas_Snowballing'!$AB$2:$AB$281,"T009",'Prácticas_Snowballing'!$AC$2:$AC$281,"SOFTWARE ENG. ECONOMICS &gt; Practical Considerations")</f>
        <v>0</v>
      </c>
      <c r="DC15" s="17">
        <f>COUNTIFS('Prácticas_Revisiones'!$S$2:$S$282,"T009",'Prácticas_Revisiones'!$T$2:$T$282,"SOFTWARE ENG. ECONOMICS &gt; Related Concepts")+COUNTIFS('Prácticas_Snowballing'!$AB$2:$AB$281,"T009",'Prácticas_Snowballing'!$AC$2:$AC$281,"SOFTWARE ENG. ECONOMICS &gt; Related Concepts")</f>
        <v>0</v>
      </c>
      <c r="DD15" s="17">
        <f>COUNTIFS('Prácticas_Revisiones'!$S$2:$S$282,"T009",'Prácticas_Revisiones'!$T$2:$T$282,"SOFTWARE ENG. ECONOMICS &gt; Subárea no determinable")+COUNTIFS('Prácticas_Snowballing'!$AB$2:$AB$281,"T009",'Prácticas_Snowballing'!$AC$2:$AC$281,"SOFTWARE ENG. ECONOMICS &gt; Subárea no determinable")</f>
        <v>0</v>
      </c>
      <c r="DE15" s="29">
        <f t="shared" si="14"/>
        <v>0</v>
      </c>
      <c r="DF15" s="17">
        <f>COUNTIFS('Prácticas_Revisiones'!$S$2:$S$282,"T009",'Prácticas_Revisiones'!$T$2:$T$282,"SOFTWARE ENG. MANAGEMENT &gt; Software Engineering Management Fundamentals")+COUNTIFS('Prácticas_Snowballing'!$AB$2:$AB$281,"T009",'Prácticas_Snowballing'!$AC$2:$AC$281,"SOFTWARE ENG. MANAGEMENT &gt; Software Engineering Management Fundamentals")</f>
        <v>0</v>
      </c>
      <c r="DG15" s="17">
        <f>COUNTIFS('Prácticas_Revisiones'!$S$2:$S$282,"T009",'Prácticas_Revisiones'!$T$2:$T$282,"SOFTWARE ENG. MANAGEMENT &gt; Initiation and Scope Definition")+COUNTIFS('Prácticas_Snowballing'!$AB$2:$AB$281,"T009",'Prácticas_Snowballing'!$AC$2:$AC$281,"SOFTWARE ENG. MANAGEMENT &gt; Initiation and Scope Definition")</f>
        <v>0</v>
      </c>
      <c r="DH15" s="17">
        <f>COUNTIFS('Prácticas_Revisiones'!$S$2:$S$282,"T009",'Prácticas_Revisiones'!$T$2:$T$282,"SOFTWARE ENG. MANAGEMENT &gt; Software Project Planning")+COUNTIFS('Prácticas_Snowballing'!$AB$2:$AB$281,"T009",'Prácticas_Snowballing'!$AC$2:$AC$281,"SOFTWARE ENG. MANAGEMENT &gt; Software Project Planning")</f>
        <v>0</v>
      </c>
      <c r="DI15" s="17">
        <f>COUNTIFS('Prácticas_Revisiones'!$S$2:$S$282,"T009",'Prácticas_Revisiones'!$T$2:$T$282,"SOFTWARE ENG. MANAGEMENT &gt; Software Project Enactment")+COUNTIFS('Prácticas_Snowballing'!$AB$2:$AB$281,"T009",'Prácticas_Snowballing'!$AC$2:$AC$281,"SOFTWARE ENG. MANAGEMENT &gt; Software Project Enactment")</f>
        <v>0</v>
      </c>
      <c r="DJ15" s="17">
        <f>COUNTIFS('Prácticas_Revisiones'!$S$2:$S$282,"T009",'Prácticas_Revisiones'!$T$2:$T$282,"SOFTWARE ENG. MANAGEMENT &gt; Review and Evaluation")+COUNTIFS('Prácticas_Snowballing'!$AB$2:$AB$281,"T009",'Prácticas_Snowballing'!$AC$2:$AC$281,"SOFTWARE ENG. MANAGEMENT &gt; Review and Evaluation")</f>
        <v>0</v>
      </c>
      <c r="DK15" s="17">
        <f>COUNTIFS('Prácticas_Revisiones'!$S$2:$S$282,"T009",'Prácticas_Revisiones'!$T$2:$T$282,"SOFTWARE ENG. MANAGEMENT &gt; Closure")+COUNTIFS('Prácticas_Snowballing'!$AB$2:$AB$281,"T009",'Prácticas_Snowballing'!$AC$2:$AC$281,"SOFTWARE ENG. MANAGEMENT &gt; Closure")</f>
        <v>0</v>
      </c>
      <c r="DL15" s="17">
        <f>COUNTIFS('Prácticas_Revisiones'!$S$2:$S$282,"T009",'Prácticas_Revisiones'!$T$2:$T$282,"SOFTWARE ENG. MANAGEMENT &gt; Software Engineering Management Tools")+COUNTIFS('Prácticas_Snowballing'!$AB$2:$AB$281,"T009",'Prácticas_Snowballing'!$AC$2:$AC$281,"SOFTWARE ENG. MANAGEMENT &gt; Software Engineering Management Tools")</f>
        <v>0</v>
      </c>
      <c r="DM15" s="17">
        <f>COUNTIFS('Prácticas_Revisiones'!$S$2:$S$282,"T009",'Prácticas_Revisiones'!$T$2:$T$282,"SOFTWARE ENG. MANAGEMENT &gt; Subárea no determinable")+COUNTIFS('Prácticas_Snowballing'!$AB$2:$AB$281,"T009",'Prácticas_Snowballing'!$AC$2:$AC$281,"SOFTWARE ENG. MANAGEMENT &gt; Subárea no determinable")</f>
        <v>0</v>
      </c>
      <c r="DN15" s="29">
        <f t="shared" si="15"/>
        <v>0</v>
      </c>
      <c r="DO15" s="17">
        <f>COUNTIFS('Prácticas_Revisiones'!$S$2:$S$282,"T009",'Prácticas_Revisiones'!$T$2:$T$282,"Sin área SWEBOK")+COUNTIFS('Prácticas_Snowballing'!$AB$2:$AB$281,"T009",'Prácticas_Snowballing'!$AC$2:$AC$281,"Sin área SWEBOK")</f>
        <v>0</v>
      </c>
      <c r="DP15" s="27">
        <f t="shared" si="16"/>
        <v>1</v>
      </c>
    </row>
    <row r="16">
      <c r="A16" s="28"/>
      <c r="B16" s="16" t="s">
        <v>1872</v>
      </c>
      <c r="C16" s="17">
        <f>COUNTIFS('Prácticas_Revisiones'!$S$2:$S$282,"T010",'Prácticas_Revisiones'!$T$2:$T$282,"REQUIREMENTS &gt; Software Requirements Fundamentals")+COUNTIFS('Prácticas_Snowballing'!$AB$2:$AB$281,"T010",'Prácticas_Snowballing'!$AC$2:$AC$281,"REQUIREMENTS &gt; Software Requirements Fundamentals")</f>
        <v>0</v>
      </c>
      <c r="D16" s="17">
        <f>COUNTIFS('Prácticas_Revisiones'!$S$2:$S$282,"T010",'Prácticas_Revisiones'!$T$2:$T$282,"REQUIREMENTS &gt; Requirements Elicitation")+COUNTIFS('Prácticas_Snowballing'!$AB$2:$AB$281,"T010",'Prácticas_Snowballing'!$AC$2:$AC$281,"REQUIREMENTS &gt; Requirements Elicitation")</f>
        <v>0</v>
      </c>
      <c r="E16" s="17">
        <f>COUNTIFS('Prácticas_Revisiones'!$S$2:$S$282,"T010",'Prácticas_Revisiones'!$T$2:$T$282,"REQUIREMENTS &gt; Requirements Analysis")+COUNTIFS('Prácticas_Snowballing'!$AB$2:$AB$281,"T010",'Prácticas_Snowballing'!$AC$2:$AC$281,"REQUIREMENTS &gt; Requirements Analysis")</f>
        <v>0</v>
      </c>
      <c r="F16" s="17">
        <f>COUNTIFS('Prácticas_Revisiones'!$S$2:$S$282,"T010",'Prácticas_Revisiones'!$T$2:$T$282,"REQUIREMENTS &gt; Requirements Specification")+COUNTIFS('Prácticas_Snowballing'!$AB$2:$AB$281,"T010",'Prácticas_Snowballing'!$AC$2:$AC$281,"REQUIREMENTS &gt; Requirements Specification")</f>
        <v>0</v>
      </c>
      <c r="G16" s="17">
        <f>COUNTIFS('Prácticas_Revisiones'!$S$2:$S$282,"T010",'Prácticas_Revisiones'!$T$2:$T$282,"REQUIREMENTS &gt; Requirements Validation")+COUNTIFS('Prácticas_Snowballing'!$AB$2:$AB$281,"T010",'Prácticas_Snowballing'!$AC$2:$AC$281,"REQUIREMENTS &gt; Requirements Validation")</f>
        <v>0</v>
      </c>
      <c r="H16" s="17">
        <f>COUNTIFS('Prácticas_Revisiones'!$S$2:$S$282,"T010",'Prácticas_Revisiones'!$T$2:$T$282,"REQUIREMENTS &gt; Requirements Management Activities")+COUNTIFS('Prácticas_Snowballing'!$AB$2:$AB$281,"T010",'Prácticas_Snowballing'!$AC$2:$AC$281,"REQUIREMENTS &gt; Requirements Management Activities")</f>
        <v>0</v>
      </c>
      <c r="I16" s="17">
        <f>COUNTIFS('Prácticas_Revisiones'!$S$2:$S$282,"T010",'Prácticas_Revisiones'!$T$2:$T$282,"REQUIREMENTS &gt; Practical Considerations")+COUNTIFS('Prácticas_Snowballing'!$AB$2:$AB$281,"T010",'Prácticas_Snowballing'!$AC$2:$AC$281,"REQUIREMENTS &gt; Practical Considerations")</f>
        <v>0</v>
      </c>
      <c r="J16" s="17">
        <f>COUNTIFS('Prácticas_Revisiones'!$S$2:$S$282,"T010",'Prácticas_Revisiones'!$T$2:$T$282,"REQUIREMENTS &gt; Software Requirements Tools")+COUNTIFS('Prácticas_Snowballing'!$AB$2:$AB$281,"T010",'Prácticas_Snowballing'!$AC$2:$AC$281,"REQUIREMENTS &gt; Software Requirements Tools")</f>
        <v>0</v>
      </c>
      <c r="K16" s="17">
        <f>COUNTIFS('Prácticas_Revisiones'!$S$2:$S$282,"T010",'Prácticas_Revisiones'!$T$2:$T$282,"REQUIREMENTS &gt; Subárea no determinable")+COUNTIFS('Prácticas_Snowballing'!$AB$2:$AB$281,"T010",'Prácticas_Snowballing'!$AC$2:$AC$281,"REQUIREMENTS &gt; Subárea no determinable")</f>
        <v>0</v>
      </c>
      <c r="L16" s="29">
        <f t="shared" si="1"/>
        <v>0</v>
      </c>
      <c r="M16" s="17">
        <f>COUNTIFS('Prácticas_Revisiones'!$S$2:$S$282,"T010",'Prácticas_Revisiones'!$T$2:$T$282,"ARCHITECTURE &gt; Software Architecture Fundamentals")+COUNTIFS('Prácticas_Snowballing'!$AB$2:$AB$281,"T010",'Prácticas_Snowballing'!$AC$2:$AC$281,"ARCHITECTURE &gt; Software Architecture Fundamentals")</f>
        <v>0</v>
      </c>
      <c r="N16" s="17">
        <f>COUNTIFS('Prácticas_Revisiones'!$S$2:$S$282,"T010",'Prácticas_Revisiones'!$T$2:$T$282,"ARCHITECTURE &gt; Software Architecture Description")+COUNTIFS('Prácticas_Snowballing'!$AB$2:$AB$281,"T010",'Prácticas_Snowballing'!$AC$2:$AC$281,"ARCHITECTURE &gt; Software Architecture Description")</f>
        <v>0</v>
      </c>
      <c r="O16" s="17">
        <f>COUNTIFS('Prácticas_Revisiones'!$S$2:$S$282,"T010",'Prácticas_Revisiones'!$T$2:$T$282,"ARCHITECTURE &gt; Software Architecture Process")+COUNTIFS('Prácticas_Snowballing'!$AB$2:$AB$281,"T010",'Prácticas_Snowballing'!$AC$2:$AC$281,"ARCHITECTURE &gt; Software Architecture Process")</f>
        <v>0</v>
      </c>
      <c r="P16" s="17">
        <f>COUNTIFS('Prácticas_Revisiones'!$S$2:$S$282,"T010",'Prácticas_Revisiones'!$T$2:$T$282,"ARCHITECTURE &gt; Software Architecture Evaluation")+COUNTIFS('Prácticas_Snowballing'!$AB$2:$AB$281,"T010",'Prácticas_Snowballing'!$AC$2:$AC$281,"ARCHITECTURE &gt; Software Architecture Evaluation")</f>
        <v>0</v>
      </c>
      <c r="Q16" s="17">
        <f>COUNTIFS('Prácticas_Revisiones'!$S$2:$S$282,"T010",'Prácticas_Revisiones'!$T$2:$T$282,"ARCHITECTURE &gt; Subárea no determinable")+COUNTIFS('Prácticas_Snowballing'!$AB$2:$AB$281,"T010",'Prácticas_Snowballing'!$AC$2:$AC$281,"ARCHITECTURE &gt; Subárea no determinable")</f>
        <v>0</v>
      </c>
      <c r="R16" s="29">
        <f t="shared" si="2"/>
        <v>0</v>
      </c>
      <c r="S16" s="17">
        <f>COUNTIFS('Prácticas_Revisiones'!$S$2:$S$282,"T010",'Prácticas_Revisiones'!$T$2:$T$282,"DESIGN &gt; Software Design Fundamentals")+COUNTIFS('Prácticas_Snowballing'!$AB$2:$AB$281,"T010",'Prácticas_Snowballing'!$AC$2:$AC$281,"DESIGN &gt; Software Design Fundamentals")</f>
        <v>0</v>
      </c>
      <c r="T16" s="17">
        <f>COUNTIFS('Prácticas_Revisiones'!$S$2:$S$282,"T010",'Prácticas_Revisiones'!$T$2:$T$282,"DESIGN &gt; Software Design Processes")+COUNTIFS('Prácticas_Snowballing'!$AB$2:$AB$281,"T010",'Prácticas_Snowballing'!$AC$2:$AC$281,"DESIGN &gt; Software Design Processes")</f>
        <v>0</v>
      </c>
      <c r="U16" s="17">
        <f>COUNTIFS('Prácticas_Revisiones'!$S$2:$S$282,"T010",'Prácticas_Revisiones'!$T$2:$T$282,"DESIGN &gt; Software Design Qualities")+COUNTIFS('Prácticas_Snowballing'!$AB$2:$AB$281,"T010",'Prácticas_Snowballing'!$AC$2:$AC$281,"DESIGN &gt; Software Design Qualities")</f>
        <v>0</v>
      </c>
      <c r="V16" s="17">
        <f>COUNTIFS('Prácticas_Revisiones'!$S$2:$S$282,"T010",'Prácticas_Revisiones'!$T$2:$T$282,"DESIGN &gt; Recording Software Design")+COUNTIFS('Prácticas_Snowballing'!$AB$2:$AB$281,"T010",'Prácticas_Snowballing'!$AC$2:$AC$281,"DESIGN &gt; Recording Software Design")</f>
        <v>0</v>
      </c>
      <c r="W16" s="17">
        <f>COUNTIFS('Prácticas_Revisiones'!$S$2:$S$282,"T010",'Prácticas_Revisiones'!$T$2:$T$282,"DESIGN &gt; Software Design Strategies and Methods")+COUNTIFS('Prácticas_Snowballing'!$AB$2:$AB$281,"T010",'Prácticas_Snowballing'!$AC$2:$AC$281,"DESIGN &gt; Software Design Strategies and Methods")</f>
        <v>0</v>
      </c>
      <c r="X16" s="17">
        <f>COUNTIFS('Prácticas_Revisiones'!$S$2:$S$282,"T010",'Prácticas_Revisiones'!$T$2:$T$282,"DESIGN &gt; Software Design Analysis and Evaluations")+COUNTIFS('Prácticas_Snowballing'!$AB$2:$AB$281,"T010",'Prácticas_Snowballing'!$AC$2:$AC$281,"DESIGN &gt; Software Design Analysis and Evaluations")</f>
        <v>0</v>
      </c>
      <c r="Y16" s="17">
        <f>COUNTIFS('Prácticas_Revisiones'!$S$2:$S$282,"T010",'Prácticas_Revisiones'!$T$2:$T$282,"DESIGN &gt; Subárea no determinable")+COUNTIFS('Prácticas_Snowballing'!$AB$2:$AB$281,"T010",'Prácticas_Snowballing'!$AC$2:$AC$281,"DESIGN &gt; Subárea no determinable")</f>
        <v>0</v>
      </c>
      <c r="Z16" s="29">
        <f t="shared" si="3"/>
        <v>0</v>
      </c>
      <c r="AA16" s="17">
        <f>COUNTIFS('Prácticas_Revisiones'!$S$2:$S$282,"T010",'Prácticas_Revisiones'!$T$2:$T$282,"CONSTRUCTION &gt; Software Construction Fundamentals")+COUNTIFS('Prácticas_Snowballing'!$AB$2:$AB$281,"T010",'Prácticas_Snowballing'!$AC$2:$AC$281,"CONSTRUCTION &gt; Software Construction Fundamentals")</f>
        <v>0</v>
      </c>
      <c r="AB16" s="17">
        <f>COUNTIFS('Prácticas_Revisiones'!$S$2:$S$282,"T010",'Prácticas_Revisiones'!$T$2:$T$282,"CONSTRUCTION &gt; Managing Construction")+COUNTIFS('Prácticas_Snowballing'!$AB$2:$AB$281,"T010",'Prácticas_Snowballing'!$AC$2:$AC$281,"CONSTRUCTION &gt; Managing Construction")</f>
        <v>0</v>
      </c>
      <c r="AC16" s="17">
        <f>COUNTIFS('Prácticas_Revisiones'!$S$2:$S$282,"T010",'Prácticas_Revisiones'!$T$2:$T$282,"CONSTRUCTION &gt; Practical Considerations")+COUNTIFS('Prácticas_Snowballing'!$AB$2:$AB$281,"T010",'Prácticas_Snowballing'!$AC$2:$AC$281,"CONSTRUCTION &gt; Practical Considerations")</f>
        <v>0</v>
      </c>
      <c r="AD16" s="17">
        <f>COUNTIFS('Prácticas_Revisiones'!$S$2:$S$282,"T010",'Prácticas_Revisiones'!$T$2:$T$282,"CONSTRUCTION &gt; Construction Technologies")+COUNTIFS('Prácticas_Snowballing'!$AB$2:$AB$281,"T010",'Prácticas_Snowballing'!$AC$2:$AC$281,"CONSTRUCTION &gt; Construction Technologies")</f>
        <v>0</v>
      </c>
      <c r="AE16" s="17">
        <f>COUNTIFS('Prácticas_Revisiones'!$S$2:$S$282,"T010",'Prácticas_Revisiones'!$T$2:$T$282,"CONSTRUCTION &gt; Software Construction Tools")+COUNTIFS('Prácticas_Snowballing'!$AB$2:$AB$281,"T010",'Prácticas_Snowballing'!$AC$2:$AC$281,"CONSTRUCTION &gt; Software Construction Tools")</f>
        <v>0</v>
      </c>
      <c r="AF16" s="17">
        <f>COUNTIFS('Prácticas_Revisiones'!$S$2:$S$282,"T010",'Prácticas_Revisiones'!$T$2:$T$282,"CONSTRUCTION &gt; Subárea no determinable")+COUNTIFS('Prácticas_Snowballing'!$AB$2:$AB$281,"T010",'Prácticas_Snowballing'!$AC$2:$AC$281,"CONSTRUCTION &gt; Subárea no determinable")</f>
        <v>0</v>
      </c>
      <c r="AG16" s="29">
        <f t="shared" si="4"/>
        <v>0</v>
      </c>
      <c r="AH16" s="17">
        <f>COUNTIFS('Prácticas_Revisiones'!$S$2:$S$282,"T010",'Prácticas_Revisiones'!$T$2:$T$282,"SOFTWARE TESTING &gt; Software Testing Fundamentals")+COUNTIFS('Prácticas_Snowballing'!$AB$2:$AB$281,"T010",'Prácticas_Snowballing'!$AC$2:$AC$281,"SOFTWARE TESTING &gt; Software Testing Fundamentals")</f>
        <v>0</v>
      </c>
      <c r="AI16" s="17">
        <f>COUNTIFS('Prácticas_Revisiones'!$S$2:$S$282,"T010",'Prácticas_Revisiones'!$T$2:$T$282,"SOFTWARE TESTING &gt; Test Levels")+COUNTIFS('Prácticas_Snowballing'!$AB$2:$AB$281,"T010",'Prácticas_Snowballing'!$AC$2:$AC$281,"SOFTWARE TESTING &gt; Test Levels")</f>
        <v>0</v>
      </c>
      <c r="AJ16" s="17">
        <f>COUNTIFS('Prácticas_Revisiones'!$S$2:$S$282,"T010",'Prácticas_Revisiones'!$T$2:$T$282,"SOFTWARE TESTING &gt; Test Techniques")+COUNTIFS('Prácticas_Snowballing'!$AB$2:$AB$281,"T010",'Prácticas_Snowballing'!$AC$2:$AC$281,"SOFTWARE TESTING &gt; Test Techniques")</f>
        <v>0</v>
      </c>
      <c r="AK16" s="17">
        <f>COUNTIFS('Prácticas_Revisiones'!$S$2:$S$282,"T010",'Prácticas_Revisiones'!$T$2:$T$282,"SOFTWARE TESTING &gt; Test-Related Measures")+COUNTIFS('Prácticas_Snowballing'!$AB$2:$AB$281,"T010",'Prácticas_Snowballing'!$AC$2:$AC$281,"SOFTWARE TESTING &gt; Test-Related Measures")</f>
        <v>0</v>
      </c>
      <c r="AL16" s="17">
        <f>COUNTIFS('Prácticas_Revisiones'!$S$2:$S$282,"T010",'Prácticas_Revisiones'!$T$2:$T$282,"SOFTWARE TESTING &gt; Test Process")+COUNTIFS('Prácticas_Snowballing'!$AB$2:$AB$281,"T010",'Prácticas_Snowballing'!$AC$2:$AC$281,"SOFTWARE TESTING &gt; Test Process")</f>
        <v>0</v>
      </c>
      <c r="AM16" s="17">
        <f>COUNTIFS('Prácticas_Revisiones'!$S$2:$S$282,"T010",'Prácticas_Revisiones'!$T$2:$T$282,"SOFTWARE TESTING &gt; Software Testing in the Development Processes...")+COUNTIFS('Prácticas_Snowballing'!$AB$2:$AB$281,"T010",'Prácticas_Snowballing'!$AC$2:$AC$281,"SOFTWARE TESTING &gt; Software Testing in the Development Processes...")</f>
        <v>0</v>
      </c>
      <c r="AN16" s="17">
        <f>COUNTIFS('Prácticas_Revisiones'!$S$2:$S$282,"T010",'Prácticas_Revisiones'!$T$2:$T$282,"SOFTWARE TESTING &gt; Testing of and Testing Through Emerging Tech...")+COUNTIFS('Prácticas_Snowballing'!$AB$2:$AB$281,"T010",'Prácticas_Snowballing'!$AC$2:$AC$281,"SOFTWARE TESTING &gt; Testing of and Testing Through Emerging Tech...")</f>
        <v>0</v>
      </c>
      <c r="AO16" s="17">
        <f>COUNTIFS('Prácticas_Revisiones'!$S$2:$S$282,"T010",'Prácticas_Revisiones'!$T$2:$T$282,"SOFTWARE TESTING &gt; Software Testing Tools")+COUNTIFS('Prácticas_Snowballing'!$AB$2:$AB$281,"T010",'Prácticas_Snowballing'!$AC$2:$AC$281,"SOFTWARE TESTING &gt; Software Testing Tools")</f>
        <v>0</v>
      </c>
      <c r="AP16" s="17">
        <f>COUNTIFS('Prácticas_Revisiones'!$S$2:$S$282,"T010",'Prácticas_Revisiones'!$T$2:$T$282,"SOFTWARE TESTING &gt; Subárea no determinable")+COUNTIFS('Prácticas_Snowballing'!$AB$2:$AB$281,"T010",'Prácticas_Snowballing'!$AC$2:$AC$281,"SOFTWARE TESTING &gt; Subárea no determinable")</f>
        <v>0</v>
      </c>
      <c r="AQ16" s="29">
        <f t="shared" si="5"/>
        <v>0</v>
      </c>
      <c r="AR16" s="17">
        <f>COUNTIFS('Prácticas_Revisiones'!$S$2:$S$282,"T010",'Prácticas_Revisiones'!$T$2:$T$282,"SOFTWARE ENG. OPERATIONS &gt; Software Engineering Operations Fundamentals")+COUNTIFS('Prácticas_Snowballing'!$AB$2:$AB$281,"T010",'Prácticas_Snowballing'!$AC$2:$AC$281,"SOFTWARE ENG. OPERATIONS &gt; Software Engineering Operations Fundamentals")</f>
        <v>0</v>
      </c>
      <c r="AS16" s="17">
        <f>COUNTIFS('Prácticas_Revisiones'!$S$2:$S$282,"T010",'Prácticas_Revisiones'!$T$2:$T$282,"SOFTWARE ENG. OPERATIONS &gt; Software Engineering Operations Planning")+COUNTIFS('Prácticas_Snowballing'!$AB$2:$AB$281,"T010",'Prácticas_Snowballing'!$AC$2:$AC$281,"SOFTWARE ENG. OPERATIONS &gt; Software Engineering Operations Planning")</f>
        <v>0</v>
      </c>
      <c r="AT16" s="17">
        <f>COUNTIFS('Prácticas_Revisiones'!$S$2:$S$282,"T010",'Prácticas_Revisiones'!$T$2:$T$282,"SOFTWARE ENG. OPERATIONS &gt; Software Engineering Operations Delivery")+COUNTIFS('Prácticas_Snowballing'!$AB$2:$AB$281,"T010",'Prácticas_Snowballing'!$AC$2:$AC$281,"SOFTWARE ENG. OPERATIONS &gt; Software Engineering Operations Delivery")</f>
        <v>0</v>
      </c>
      <c r="AU16" s="17">
        <f>COUNTIFS('Prácticas_Revisiones'!$S$2:$S$282,"T010",'Prácticas_Revisiones'!$T$2:$T$282,"SOFTWARE ENG. OPERATIONS &gt; Software Engineering Operations Control")+COUNTIFS('Prácticas_Snowballing'!$AB$2:$AB$281,"T010",'Prácticas_Snowballing'!$AC$2:$AC$281,"SOFTWARE ENG. OPERATIONS &gt; Software Engineering Operations Control")</f>
        <v>0</v>
      </c>
      <c r="AV16" s="17">
        <f>COUNTIFS('Prácticas_Revisiones'!$S$2:$S$282,"T010",'Prácticas_Revisiones'!$T$2:$T$282,"SOFTWARE ENG. OPERATIONS &gt; Practical Considerations")+COUNTIFS('Prácticas_Snowballing'!$AB$2:$AB$281,"T010",'Prácticas_Snowballing'!$AC$2:$AC$281,"SOFTWARE ENG. OPERATIONS &gt; Practical Considerations")</f>
        <v>0</v>
      </c>
      <c r="AW16" s="17">
        <f>COUNTIFS('Prácticas_Revisiones'!$S$2:$S$282,"T010",'Prácticas_Revisiones'!$T$2:$T$282,"SOFTWARE ENG. OPERATIONS &gt; Software Engineering Operations Tools")+COUNTIFS('Prácticas_Snowballing'!$AB$2:$AB$281,"T010",'Prácticas_Snowballing'!$AC$2:$AC$281,"SOFTWARE ENG. OPERATIONS &gt; Software Engineering Operations Tools")</f>
        <v>0</v>
      </c>
      <c r="AX16" s="17">
        <f>COUNTIFS('Prácticas_Revisiones'!$S$2:$S$282,"T010",'Prácticas_Revisiones'!$T$2:$T$282,"SOFTWARE ENG. OPERATIONS &gt; Subárea no determinable")+COUNTIFS('Prácticas_Snowballing'!$AB$2:$AB$281,"T010",'Prácticas_Snowballing'!$AC$2:$AC$281,"SOFTWARE ENG. OPERATIONS &gt; Subárea no determinable")</f>
        <v>0</v>
      </c>
      <c r="AY16" s="29">
        <f t="shared" si="6"/>
        <v>0</v>
      </c>
      <c r="AZ16" s="17">
        <f>COUNTIFS('Prácticas_Revisiones'!$S$2:$S$282,"T010",'Prácticas_Revisiones'!$T$2:$T$282,"MAINTENANCE &gt; Software Maintenance Fundamentals")+COUNTIFS('Prácticas_Snowballing'!$AB$2:$AB$281,"T010",'Prácticas_Snowballing'!$AC$2:$AC$281,"MAINTENANCE &gt; Software Maintenance Fundamentals")</f>
        <v>0</v>
      </c>
      <c r="BA16" s="17">
        <f>COUNTIFS('Prácticas_Revisiones'!$S$2:$S$282,"T010",'Prácticas_Revisiones'!$T$2:$T$282,"MAINTENANCE &gt; Key Issues in Software Maintenance")+COUNTIFS('Prácticas_Snowballing'!$AB$2:$AB$281,"T010",'Prácticas_Snowballing'!$AC$2:$AC$281,"MAINTENANCE &gt; Key Issues in Software Maintenance")</f>
        <v>0</v>
      </c>
      <c r="BB16" s="17">
        <f>COUNTIFS('Prácticas_Revisiones'!$S$2:$S$282,"T010",'Prácticas_Revisiones'!$T$2:$T$282,"MAINTENANCE &gt; Software Maintenance Processes")+COUNTIFS('Prácticas_Snowballing'!$AB$2:$AB$281,"T010",'Prácticas_Snowballing'!$AC$2:$AC$281,"MAINTENANCE &gt; Software Maintenance Processes")</f>
        <v>0</v>
      </c>
      <c r="BC16" s="17">
        <f>COUNTIFS('Prácticas_Revisiones'!$S$2:$S$282,"T010",'Prácticas_Revisiones'!$T$2:$T$282,"MAINTENANCE &gt; Software Maintenance Techniques")+COUNTIFS('Prácticas_Snowballing'!$AB$2:$AB$281,"T010",'Prácticas_Snowballing'!$AC$2:$AC$281,"MAINTENANCE &gt; Software Maintenance Techniques")</f>
        <v>0</v>
      </c>
      <c r="BD16" s="17">
        <f>COUNTIFS('Prácticas_Revisiones'!$S$2:$S$282,"T010",'Prácticas_Revisiones'!$T$2:$T$282,"MAINTENANCE &gt; Software Maintenance Tools")+COUNTIFS('Prácticas_Snowballing'!$AB$2:$AB$281,"T010",'Prácticas_Snowballing'!$AC$2:$AC$281,"MAINTENANCE &gt; Software Maintenance Tools")</f>
        <v>0</v>
      </c>
      <c r="BE16" s="17">
        <f>COUNTIFS('Prácticas_Revisiones'!$S$2:$S$282,"T010",'Prácticas_Revisiones'!$T$2:$T$282,"MAINTENANCE &gt; Subárea no determinable")+COUNTIFS('Prácticas_Snowballing'!$AB$2:$AB$281,"T010",'Prácticas_Snowballing'!$AC$2:$AC$281,"MAINTENANCE &gt; Subárea no determinable")</f>
        <v>0</v>
      </c>
      <c r="BF16" s="29">
        <f t="shared" si="7"/>
        <v>0</v>
      </c>
      <c r="BG16" s="17">
        <f>COUNTIFS('Prácticas_Revisiones'!$S$2:$S$282,"T010",'Prácticas_Revisiones'!$T$2:$T$282,"SOFTWARE CONFIG. MGMT. &gt; Management of the SCM Process")+COUNTIFS('Prácticas_Snowballing'!$AB$2:$AB$281,"T010",'Prácticas_Snowballing'!$AC$2:$AC$281,"SOFTWARE CONFIG. MGMT. &gt; Management of the SCM Process")</f>
        <v>0</v>
      </c>
      <c r="BH16" s="17">
        <f>COUNTIFS('Prácticas_Revisiones'!$S$2:$S$282,"T010",'Prácticas_Revisiones'!$T$2:$T$282,"SOFTWARE CONFIG. MGMT. &gt; Software Configuration Identification")+COUNTIFS('Prácticas_Snowballing'!$AB$2:$AB$281,"T010",'Prácticas_Snowballing'!$AC$2:$AC$281,"SOFTWARE CONFIG. MGMT. &gt; Software Configuration Identification")</f>
        <v>0</v>
      </c>
      <c r="BI16" s="17">
        <f>COUNTIFS('Prácticas_Revisiones'!$S$2:$S$282,"T010",'Prácticas_Revisiones'!$T$2:$T$282,"SOFTWARE CONFIG. MGMT. &gt; Software Configuration Change Control")+COUNTIFS('Prácticas_Snowballing'!$AB$2:$AB$281,"T010",'Prácticas_Snowballing'!$AC$2:$AC$281,"SOFTWARE CONFIG. MGMT. &gt; Software Configuration Change Control")</f>
        <v>0</v>
      </c>
      <c r="BJ16" s="17">
        <f>COUNTIFS('Prácticas_Revisiones'!$S$2:$S$282,"T010",'Prácticas_Revisiones'!$T$2:$T$282,"SOFTWARE CONFIG. MGMT. &gt; Software Configuration Status Accounting")+COUNTIFS('Prácticas_Snowballing'!$AB$2:$AB$281,"T010",'Prácticas_Snowballing'!$AC$2:$AC$281,"SOFTWARE CONFIG. MGMT. &gt; Software Configuration Status Accounting")</f>
        <v>0</v>
      </c>
      <c r="BK16" s="17">
        <f>COUNTIFS('Prácticas_Revisiones'!$S$2:$S$282,"T010",'Prácticas_Revisiones'!$T$2:$T$282,"SOFTWARE CONFIG. MGMT. &gt; Software Configuration Auditing")+COUNTIFS('Prácticas_Snowballing'!$AB$2:$AB$281,"T010",'Prácticas_Snowballing'!$AC$2:$AC$281,"SOFTWARE CONFIG. MGMT. &gt; Software Configuration Auditing")</f>
        <v>0</v>
      </c>
      <c r="BL16" s="17">
        <f>COUNTIFS('Prácticas_Revisiones'!$S$2:$S$282,"T010",'Prácticas_Revisiones'!$T$2:$T$282,"SOFTWARE CONFIG. MGMT. &gt; Software Release Management and Delivery")+COUNTIFS('Prácticas_Snowballing'!$AB$2:$AB$281,"T010",'Prácticas_Snowballing'!$AC$2:$AC$281,"SOFTWARE CONFIG. MGMT. &gt; Software Release Management and Delivery")</f>
        <v>0</v>
      </c>
      <c r="BM16" s="17">
        <f>COUNTIFS('Prácticas_Revisiones'!$S$2:$S$282,"T010",'Prácticas_Revisiones'!$T$2:$T$282,"SOFTWARE CONFIG. MGMT. &gt; Software Configuration Management Tools")+COUNTIFS('Prácticas_Snowballing'!$AB$2:$AB$281,"T010",'Prácticas_Snowballing'!$AC$2:$AC$281,"SOFTWARE CONFIG. MGMT. &gt; Software Configuration Management Tools")</f>
        <v>0</v>
      </c>
      <c r="BN16" s="17">
        <f>COUNTIFS('Prácticas_Revisiones'!$S$2:$S$282,"T010",'Prácticas_Revisiones'!$T$2:$T$282,"SOFTWARE CONFIG. MGMT. &gt; Subárea no determinable")+COUNTIFS('Prácticas_Snowballing'!$AB$2:$AB$281,"T010",'Prácticas_Snowballing'!$AC$2:$AC$281,"SOFTWARE CONFIG. MGMT. &gt; Subárea no determinable")</f>
        <v>0</v>
      </c>
      <c r="BO16" s="29">
        <f t="shared" si="8"/>
        <v>0</v>
      </c>
      <c r="BP16" s="17">
        <f>COUNTIFS('Prácticas_Revisiones'!$S$2:$S$282,"T010",'Prácticas_Revisiones'!$T$2:$T$282,"SOFTWARE ENG. PROCESS &gt; Software Engineering Process Fundamentals")+COUNTIFS('Prácticas_Snowballing'!$AB$2:$AB$281,"T010",'Prácticas_Snowballing'!$AC$2:$AC$281,"SOFTWARE ENG. PROCESS &gt; Software Engineering Process Fundamentals")</f>
        <v>0</v>
      </c>
      <c r="BQ16" s="17">
        <f>COUNTIFS('Prácticas_Revisiones'!$S$2:$S$282,"T010",'Prácticas_Revisiones'!$T$2:$T$282,"SOFTWARE ENG. PROCESS &gt; Life Cycles")+COUNTIFS('Prácticas_Snowballing'!$AB$2:$AB$281,"T010",'Prácticas_Snowballing'!$AC$2:$AC$281,"SOFTWARE ENG. PROCESS &gt; Life Cycles")</f>
        <v>0</v>
      </c>
      <c r="BR16" s="17">
        <f>COUNTIFS('Prácticas_Revisiones'!$S$2:$S$282,"T010",'Prácticas_Revisiones'!$T$2:$T$282,"SOFTWARE ENG. PROCESS &gt; Software Process Assessment and Improvement")+COUNTIFS('Prácticas_Snowballing'!$AB$2:$AB$281,"T010",'Prácticas_Snowballing'!$AC$2:$AC$281,"SOFTWARE ENG. PROCESS &gt; Software Process Assessment and Improvement")</f>
        <v>0</v>
      </c>
      <c r="BS16" s="17">
        <f>COUNTIFS('Prácticas_Revisiones'!$S$2:$S$282,"T010",'Prácticas_Revisiones'!$T$2:$T$282,"SOFTWARE ENG. PROCESS &gt; Subárea no determinable")+COUNTIFS('Prácticas_Snowballing'!$AB$2:$AB$281,"T010",'Prácticas_Snowballing'!$AC$2:$AC$281,"SOFTWARE ENG. PROCESS &gt; Subárea no determinable")</f>
        <v>0</v>
      </c>
      <c r="BT16" s="29">
        <f t="shared" si="9"/>
        <v>0</v>
      </c>
      <c r="BU16" s="17">
        <f>COUNTIFS('Prácticas_Revisiones'!$S$2:$S$282,"T010",'Prácticas_Revisiones'!$T$2:$T$282,"SOFTWARE ENG. MODELS/METH. &gt; Modeling")+COUNTIFS('Prácticas_Snowballing'!$AB$2:$AB$281,"T010",'Prácticas_Snowballing'!$AC$2:$AC$281,"SOFTWARE ENG. MODELS/METH. &gt; Modeling")</f>
        <v>0</v>
      </c>
      <c r="BV16" s="17">
        <f>COUNTIFS('Prácticas_Revisiones'!$S$2:$S$282,"T010",'Prácticas_Revisiones'!$T$2:$T$282,"SOFTWARE ENG. MODELS/METH. &gt; Types of Models")+COUNTIFS('Prácticas_Snowballing'!$AB$2:$AB$281,"T010",'Prácticas_Snowballing'!$AC$2:$AC$281,"SOFTWARE ENG. MODELS/METH. &gt; Types of Models")</f>
        <v>0</v>
      </c>
      <c r="BW16" s="17">
        <f>COUNTIFS('Prácticas_Revisiones'!$S$2:$S$282,"T010",'Prácticas_Revisiones'!$T$2:$T$282,"SOFTWARE ENG. MODELS/METH. &gt; Analysis of Models")+COUNTIFS('Prácticas_Snowballing'!$AB$2:$AB$281,"T010",'Prácticas_Snowballing'!$AC$2:$AC$281,"SOFTWARE ENG. MODELS/METH. &gt; Analysis of Models")</f>
        <v>0</v>
      </c>
      <c r="BX16" s="17">
        <f>COUNTIFS('Prácticas_Revisiones'!$S$2:$S$282,"T010",'Prácticas_Revisiones'!$T$2:$T$282,"SOFTWARE ENG. MODELS/METH. &gt; Software Engineering Methods")+COUNTIFS('Prácticas_Snowballing'!$AB$2:$AB$281,"T010",'Prácticas_Snowballing'!$AC$2:$AC$281,"SOFTWARE ENG. MODELS/METH. &gt; Software Engineering Methods")</f>
        <v>0</v>
      </c>
      <c r="BY16" s="17">
        <f>COUNTIFS('Prácticas_Revisiones'!$S$2:$S$282,"T010",'Prácticas_Revisiones'!$T$2:$T$282,"SOFTWARE ENG. MODELS/METH. &gt; Subárea no determinable")+COUNTIFS('Prácticas_Snowballing'!$AB$2:$AB$281,"T010",'Prácticas_Snowballing'!$AC$2:$AC$281,"SOFTWARE ENG. MODELS/METH. &gt; Subárea no determinable")</f>
        <v>0</v>
      </c>
      <c r="BZ16" s="29">
        <f t="shared" si="10"/>
        <v>0</v>
      </c>
      <c r="CA16" s="17">
        <f>COUNTIFS('Prácticas_Revisiones'!$S$2:$S$282,"T010",'Prácticas_Revisiones'!$T$2:$T$282,"SOFTWARE QUALITY &gt; Software Quality Fundamentals")+COUNTIFS('Prácticas_Snowballing'!$AB$2:$AB$281,"T010",'Prácticas_Snowballing'!$AC$2:$AC$281,"SOFTWARE QUALITY &gt; Software Quality Fundamentals")</f>
        <v>0</v>
      </c>
      <c r="CB16" s="17">
        <f>COUNTIFS('Prácticas_Revisiones'!$S$2:$S$282,"T010",'Prácticas_Revisiones'!$T$2:$T$282,"SOFTWARE QUALITY &gt; Software Quality Management Process")+COUNTIFS('Prácticas_Snowballing'!$AB$2:$AB$281,"T010",'Prácticas_Snowballing'!$AC$2:$AC$281,"SOFTWARE QUALITY &gt; Software Quality Management Process")</f>
        <v>0</v>
      </c>
      <c r="CC16" s="17">
        <f>COUNTIFS('Prácticas_Revisiones'!$S$2:$S$282,"T010",'Prácticas_Revisiones'!$T$2:$T$282,"SOFTWARE QUALITY &gt; Software Quality Assurance Process")+COUNTIFS('Prácticas_Snowballing'!$AB$2:$AB$281,"T010",'Prácticas_Snowballing'!$AC$2:$AC$281,"SOFTWARE QUALITY &gt; Software Quality Assurance Process")</f>
        <v>0</v>
      </c>
      <c r="CD16" s="17">
        <f>COUNTIFS('Prácticas_Revisiones'!$S$2:$S$282,"T010",'Prácticas_Revisiones'!$T$2:$T$282,"SOFTWARE QUALITY &gt; Software Quality Tools")+COUNTIFS('Prácticas_Snowballing'!$AB$2:$AB$281,"T010",'Prácticas_Snowballing'!$AC$2:$AC$281,"SOFTWARE QUALITY &gt; Software Quality Tools")</f>
        <v>0</v>
      </c>
      <c r="CE16" s="17">
        <f>COUNTIFS('Prácticas_Revisiones'!$S$2:$S$282,"T010",'Prácticas_Revisiones'!$T$2:$T$282,"SOFTWARE QUALITY &gt; Subárea no determinable")+COUNTIFS('Prácticas_Snowballing'!$AB$2:$AB$281,"T010",'Prácticas_Snowballing'!$AC$2:$AC$281,"SOFTWARE QUALITY &gt; Subárea no determinable")</f>
        <v>0</v>
      </c>
      <c r="CF16" s="29">
        <f t="shared" si="11"/>
        <v>0</v>
      </c>
      <c r="CG16" s="17">
        <f>COUNTIFS('Prácticas_Revisiones'!$S$2:$S$282,"T010",'Prácticas_Revisiones'!$T$2:$T$282,"SOFTWARE SECURITY &gt; Software Security Fundamentals")+COUNTIFS('Prácticas_Snowballing'!$AB$2:$AB$281,"T010",'Prácticas_Snowballing'!$AC$2:$AC$281,"SOFTWARE SECURITY &gt; Software Security Fundamentals")</f>
        <v>0</v>
      </c>
      <c r="CH16" s="17">
        <f>COUNTIFS('Prácticas_Revisiones'!$S$2:$S$282,"T010",'Prácticas_Revisiones'!$T$2:$T$282,"SOFTWARE SECURITY &gt; Security Management and Organization")+COUNTIFS('Prácticas_Snowballing'!$AB$2:$AB$281,"T010",'Prácticas_Snowballing'!$AC$2:$AC$281,"SOFTWARE SECURITY &gt; Security Management and Organization")</f>
        <v>0</v>
      </c>
      <c r="CI16" s="17">
        <f>COUNTIFS('Prácticas_Revisiones'!$S$2:$S$282,"T010",'Prácticas_Revisiones'!$T$2:$T$282,"SOFTWARE SECURITY &gt; Software Security Engineering and Process")+COUNTIFS('Prácticas_Snowballing'!$AB$2:$AB$281,"T010",'Prácticas_Snowballing'!$AC$2:$AC$281,"SOFTWARE SECURITY &gt; Software Security Engineering and Process")</f>
        <v>0</v>
      </c>
      <c r="CJ16" s="17">
        <f>COUNTIFS('Prácticas_Revisiones'!$S$2:$S$282,"T010",'Prácticas_Revisiones'!$T$2:$T$282,"SOFTWARE SECURITY &gt; Security Engineering for Software Systems")+COUNTIFS('Prácticas_Snowballing'!$AB$2:$AB$281,"T010",'Prácticas_Snowballing'!$AC$2:$AC$281,"SOFTWARE SECURITY &gt; Security Engineering for Software Systems")</f>
        <v>0</v>
      </c>
      <c r="CK16" s="17">
        <f>COUNTIFS('Prácticas_Revisiones'!$S$2:$S$282,"T010",'Prácticas_Revisiones'!$T$2:$T$282,"SOFTWARE SECURITY &gt; Software Security Tools")+COUNTIFS('Prácticas_Snowballing'!$AB$2:$AB$281,"T010",'Prácticas_Snowballing'!$AC$2:$AC$281,"SOFTWARE SECURITY &gt; Software Security Tools")</f>
        <v>0</v>
      </c>
      <c r="CL16" s="17">
        <f>COUNTIFS('Prácticas_Revisiones'!$S$2:$S$282,"T010",'Prácticas_Revisiones'!$T$2:$T$282,"SOFTWARE SECURITY &gt; Domain Specific Software Security")+COUNTIFS('Prácticas_Snowballing'!$AB$2:$AB$281,"T010",'Prácticas_Snowballing'!$AC$2:$AC$281,"SOFTWARE SECURITY &gt; Domain Specific Software Security")</f>
        <v>0</v>
      </c>
      <c r="CM16" s="17">
        <f>COUNTIFS('Prácticas_Revisiones'!$S$2:$S$282,"T010",'Prácticas_Revisiones'!$T$2:$T$282,"SOFTWARE SECURITY &gt; Subárea no determinable")+COUNTIFS('Prácticas_Snowballing'!$AB$2:$AB$281,"T010",'Prácticas_Snowballing'!$AC$2:$AC$281,"SOFTWARE SECURITY &gt; Subárea no determinable")</f>
        <v>0</v>
      </c>
      <c r="CN16" s="29">
        <f t="shared" si="12"/>
        <v>0</v>
      </c>
      <c r="CO16" s="17">
        <f>COUNTIFS('Prácticas_Revisiones'!$S$2:$S$282,"T010",'Prácticas_Revisiones'!$T$2:$T$282,"PROFESSIONAL PRACTICE &gt; Professionalism")+COUNTIFS('Prácticas_Snowballing'!$AB$2:$AB$281,"T010",'Prácticas_Snowballing'!$AC$2:$AC$281,"PROFESSIONAL PRACTICE &gt; Professionalism")</f>
        <v>0</v>
      </c>
      <c r="CP16" s="17">
        <f>COUNTIFS('Prácticas_Revisiones'!$S$2:$S$282,"T010",'Prácticas_Revisiones'!$T$2:$T$282,"PROFESSIONAL PRACTICE &gt; Group Dynamics and Psychology")+COUNTIFS('Prácticas_Snowballing'!$AB$2:$AB$281,"T010",'Prácticas_Snowballing'!$AC$2:$AC$281,"PROFESSIONAL PRACTICE &gt; Group Dynamics and Psychology")</f>
        <v>0</v>
      </c>
      <c r="CQ16" s="17">
        <f>COUNTIFS('Prácticas_Revisiones'!$S$2:$S$282,"T010",'Prácticas_Revisiones'!$T$2:$T$282,"PROFESSIONAL PRACTICE &gt; Communication Skills")+COUNTIFS('Prácticas_Snowballing'!$AB$2:$AB$281,"T010",'Prácticas_Snowballing'!$AC$2:$AC$281,"PROFESSIONAL PRACTICE &gt; Communication Skills")</f>
        <v>0</v>
      </c>
      <c r="CR16" s="17">
        <f>COUNTIFS('Prácticas_Revisiones'!$S$2:$S$282,"T010",'Prácticas_Revisiones'!$T$2:$T$282,"PROFESSIONAL PRACTICE &gt; Subárea no determinable")+COUNTIFS('Prácticas_Snowballing'!$AB$2:$AB$281,"T010",'Prácticas_Snowballing'!$AC$2:$AC$281,"PROFESSIONAL PRACTICE &gt; Subárea no determinable")</f>
        <v>0</v>
      </c>
      <c r="CS16" s="29">
        <f t="shared" si="13"/>
        <v>0</v>
      </c>
      <c r="CT16" s="17">
        <f>COUNTIFS('Prácticas_Revisiones'!$S$2:$S$282,"T010",'Prácticas_Revisiones'!$T$2:$T$282,"SOFTWARE ENG. ECONOMICS &gt; Software Engineering Economics Fundamentals")+COUNTIFS('Prácticas_Snowballing'!$AB$2:$AB$281,"T010",'Prácticas_Snowballing'!$AC$2:$AC$281,"SOFTWARE ENG. ECONOMICS &gt; Software Engineering Economics Fundamentals")</f>
        <v>0</v>
      </c>
      <c r="CU16" s="17">
        <f>COUNTIFS('Prácticas_Revisiones'!$S$2:$S$282,"T010",'Prácticas_Revisiones'!$T$2:$T$282,"SOFTWARE ENG. ECONOMICS &gt; The Engineering Decision-Making Process")+COUNTIFS('Prácticas_Snowballing'!$AB$2:$AB$281,"T010",'Prácticas_Snowballing'!$AC$2:$AC$281,"SOFTWARE ENG. ECONOMICS &gt; The Engineering Decision-Making Process")</f>
        <v>0</v>
      </c>
      <c r="CV16" s="17">
        <f>COUNTIFS('Prácticas_Revisiones'!$S$2:$S$282,"T010",'Prácticas_Revisiones'!$T$2:$T$282,"SOFTWARE ENG. ECONOMICS &gt; For-Profit Decision-Making")+COUNTIFS('Prácticas_Snowballing'!$AB$2:$AB$281,"T010",'Prácticas_Snowballing'!$AC$2:$AC$281,"SOFTWARE ENG. ECONOMICS &gt; For-Profit Decision-Making")</f>
        <v>0</v>
      </c>
      <c r="CW16" s="17">
        <f>COUNTIFS('Prácticas_Revisiones'!$S$2:$S$282,"T010",'Prácticas_Revisiones'!$T$2:$T$282,"SOFTWARE ENG. ECONOMICS &gt; Nonprofit Decision-Making")+COUNTIFS('Prácticas_Snowballing'!$AB$2:$AB$281,"T010",'Prácticas_Snowballing'!$AC$2:$AC$281,"SOFTWARE ENG. ECONOMICS &gt; Nonprofit Decision-Making")</f>
        <v>0</v>
      </c>
      <c r="CX16" s="17">
        <f>COUNTIFS('Prácticas_Revisiones'!$S$2:$S$282,"T010",'Prácticas_Revisiones'!$T$2:$T$282,"SOFTWARE ENG. ECONOMICS &gt; Present Economy Decision-Making")+COUNTIFS('Prácticas_Snowballing'!$AB$2:$AB$281,"T010",'Prácticas_Snowballing'!$AC$2:$AC$281,"SOFTWARE ENG. ECONOMICS &gt; Present Economy Decision-Making")</f>
        <v>0</v>
      </c>
      <c r="CY16" s="17">
        <f>COUNTIFS('Prácticas_Revisiones'!$S$2:$S$282,"T010",'Prácticas_Revisiones'!$T$2:$T$282,"SOFTWARE ENG. ECONOMICS &gt; Multiple-Attribute Decision-Making")+COUNTIFS('Prácticas_Snowballing'!$AB$2:$AB$281,"T010",'Prácticas_Snowballing'!$AC$2:$AC$281,"SOFTWARE ENG. ECONOMICS &gt; Multiple-Attribute Decision-Making")</f>
        <v>0</v>
      </c>
      <c r="CZ16" s="17">
        <f>COUNTIFS('Prácticas_Revisiones'!$S$2:$S$282,"T010",'Prácticas_Revisiones'!$T$2:$T$282,"SOFTWARE ENG. ECONOMICS &gt; Identifying and Characterizing Intangible Assets")+COUNTIFS('Prácticas_Snowballing'!$AB$2:$AB$281,"T010",'Prácticas_Snowballing'!$AC$2:$AC$281,"SOFTWARE ENG. ECONOMICS &gt; Identifying and Characterizing Intangible Assets")</f>
        <v>0</v>
      </c>
      <c r="DA16" s="17">
        <f>COUNTIFS('Prácticas_Revisiones'!$S$2:$S$282,"T010",'Prácticas_Revisiones'!$T$2:$T$282,"SOFTWARE ENG. ECONOMICS &gt; Estimation")+COUNTIFS('Prácticas_Snowballing'!$AB$2:$AB$281,"T010",'Prácticas_Snowballing'!$AC$2:$AC$281,"SOFTWARE ENG. ECONOMICS &gt; Estimation")</f>
        <v>0</v>
      </c>
      <c r="DB16" s="17">
        <f>COUNTIFS('Prácticas_Revisiones'!$S$2:$S$282,"T010",'Prácticas_Revisiones'!$T$2:$T$282,"SOFTWARE ENG. ECONOMICS &gt; Practical Considerations")+COUNTIFS('Prácticas_Snowballing'!$AB$2:$AB$281,"T010",'Prácticas_Snowballing'!$AC$2:$AC$281,"SOFTWARE ENG. ECONOMICS &gt; Practical Considerations")</f>
        <v>0</v>
      </c>
      <c r="DC16" s="17">
        <f>COUNTIFS('Prácticas_Revisiones'!$S$2:$S$282,"T010",'Prácticas_Revisiones'!$T$2:$T$282,"SOFTWARE ENG. ECONOMICS &gt; Related Concepts")+COUNTIFS('Prácticas_Snowballing'!$AB$2:$AB$281,"T010",'Prácticas_Snowballing'!$AC$2:$AC$281,"SOFTWARE ENG. ECONOMICS &gt; Related Concepts")</f>
        <v>0</v>
      </c>
      <c r="DD16" s="17">
        <f>COUNTIFS('Prácticas_Revisiones'!$S$2:$S$282,"T010",'Prácticas_Revisiones'!$T$2:$T$282,"SOFTWARE ENG. ECONOMICS &gt; Subárea no determinable")+COUNTIFS('Prácticas_Snowballing'!$AB$2:$AB$281,"T010",'Prácticas_Snowballing'!$AC$2:$AC$281,"SOFTWARE ENG. ECONOMICS &gt; Subárea no determinable")</f>
        <v>0</v>
      </c>
      <c r="DE16" s="29">
        <f t="shared" si="14"/>
        <v>0</v>
      </c>
      <c r="DF16" s="17">
        <f>COUNTIFS('Prácticas_Revisiones'!$S$2:$S$282,"T010",'Prácticas_Revisiones'!$T$2:$T$282,"SOFTWARE ENG. MANAGEMENT &gt; Software Engineering Management Fundamentals")+COUNTIFS('Prácticas_Snowballing'!$AB$2:$AB$281,"T010",'Prácticas_Snowballing'!$AC$2:$AC$281,"SOFTWARE ENG. MANAGEMENT &gt; Software Engineering Management Fundamentals")</f>
        <v>0</v>
      </c>
      <c r="DG16" s="17">
        <f>COUNTIFS('Prácticas_Revisiones'!$S$2:$S$282,"T010",'Prácticas_Revisiones'!$T$2:$T$282,"SOFTWARE ENG. MANAGEMENT &gt; Initiation and Scope Definition")+COUNTIFS('Prácticas_Snowballing'!$AB$2:$AB$281,"T010",'Prácticas_Snowballing'!$AC$2:$AC$281,"SOFTWARE ENG. MANAGEMENT &gt; Initiation and Scope Definition")</f>
        <v>0</v>
      </c>
      <c r="DH16" s="17">
        <f>COUNTIFS('Prácticas_Revisiones'!$S$2:$S$282,"T010",'Prácticas_Revisiones'!$T$2:$T$282,"SOFTWARE ENG. MANAGEMENT &gt; Software Project Planning")+COUNTIFS('Prácticas_Snowballing'!$AB$2:$AB$281,"T010",'Prácticas_Snowballing'!$AC$2:$AC$281,"SOFTWARE ENG. MANAGEMENT &gt; Software Project Planning")</f>
        <v>0</v>
      </c>
      <c r="DI16" s="17">
        <f>COUNTIFS('Prácticas_Revisiones'!$S$2:$S$282,"T010",'Prácticas_Revisiones'!$T$2:$T$282,"SOFTWARE ENG. MANAGEMENT &gt; Software Project Enactment")+COUNTIFS('Prácticas_Snowballing'!$AB$2:$AB$281,"T010",'Prácticas_Snowballing'!$AC$2:$AC$281,"SOFTWARE ENG. MANAGEMENT &gt; Software Project Enactment")</f>
        <v>0</v>
      </c>
      <c r="DJ16" s="17">
        <f>COUNTIFS('Prácticas_Revisiones'!$S$2:$S$282,"T010",'Prácticas_Revisiones'!$T$2:$T$282,"SOFTWARE ENG. MANAGEMENT &gt; Review and Evaluation")+COUNTIFS('Prácticas_Snowballing'!$AB$2:$AB$281,"T010",'Prácticas_Snowballing'!$AC$2:$AC$281,"SOFTWARE ENG. MANAGEMENT &gt; Review and Evaluation")</f>
        <v>0</v>
      </c>
      <c r="DK16" s="17">
        <f>COUNTIFS('Prácticas_Revisiones'!$S$2:$S$282,"T010",'Prácticas_Revisiones'!$T$2:$T$282,"SOFTWARE ENG. MANAGEMENT &gt; Closure")+COUNTIFS('Prácticas_Snowballing'!$AB$2:$AB$281,"T010",'Prácticas_Snowballing'!$AC$2:$AC$281,"SOFTWARE ENG. MANAGEMENT &gt; Closure")</f>
        <v>0</v>
      </c>
      <c r="DL16" s="17">
        <f>COUNTIFS('Prácticas_Revisiones'!$S$2:$S$282,"T010",'Prácticas_Revisiones'!$T$2:$T$282,"SOFTWARE ENG. MANAGEMENT &gt; Software Engineering Management Tools")+COUNTIFS('Prácticas_Snowballing'!$AB$2:$AB$281,"T010",'Prácticas_Snowballing'!$AC$2:$AC$281,"SOFTWARE ENG. MANAGEMENT &gt; Software Engineering Management Tools")</f>
        <v>0</v>
      </c>
      <c r="DM16" s="17">
        <f>COUNTIFS('Prácticas_Revisiones'!$S$2:$S$282,"T010",'Prácticas_Revisiones'!$T$2:$T$282,"SOFTWARE ENG. MANAGEMENT &gt; Subárea no determinable")+COUNTIFS('Prácticas_Snowballing'!$AB$2:$AB$281,"T010",'Prácticas_Snowballing'!$AC$2:$AC$281,"SOFTWARE ENG. MANAGEMENT &gt; Subárea no determinable")</f>
        <v>0</v>
      </c>
      <c r="DN16" s="29">
        <f t="shared" si="15"/>
        <v>0</v>
      </c>
      <c r="DO16" s="17">
        <f>COUNTIFS('Prácticas_Revisiones'!$S$2:$S$282,"T010",'Prácticas_Revisiones'!$T$2:$T$282,"Sin área SWEBOK")+COUNTIFS('Prácticas_Snowballing'!$AB$2:$AB$281,"T010",'Prácticas_Snowballing'!$AC$2:$AC$281,"Sin área SWEBOK")</f>
        <v>0</v>
      </c>
      <c r="DP16" s="27">
        <f t="shared" si="16"/>
        <v>0</v>
      </c>
    </row>
    <row r="17">
      <c r="A17" s="28"/>
      <c r="B17" s="16" t="s">
        <v>2083</v>
      </c>
      <c r="C17" s="17">
        <f>COUNTIFS('Prácticas_Revisiones'!$S$2:$S$282,"T011",'Prácticas_Revisiones'!$T$2:$T$282,"REQUIREMENTS &gt; Software Requirements Fundamentals")+COUNTIFS('Prácticas_Snowballing'!$AB$2:$AB$281,"T011",'Prácticas_Snowballing'!$AC$2:$AC$281,"REQUIREMENTS &gt; Software Requirements Fundamentals")</f>
        <v>0</v>
      </c>
      <c r="D17" s="17">
        <f>COUNTIFS('Prácticas_Revisiones'!$S$2:$S$282,"T011",'Prácticas_Revisiones'!$T$2:$T$282,"REQUIREMENTS &gt; Requirements Elicitation")+COUNTIFS('Prácticas_Snowballing'!$AB$2:$AB$281,"T011",'Prácticas_Snowballing'!$AC$2:$AC$281,"REQUIREMENTS &gt; Requirements Elicitation")</f>
        <v>0</v>
      </c>
      <c r="E17" s="17">
        <f>COUNTIFS('Prácticas_Revisiones'!$S$2:$S$282,"T011",'Prácticas_Revisiones'!$T$2:$T$282,"REQUIREMENTS &gt; Requirements Analysis")+COUNTIFS('Prácticas_Snowballing'!$AB$2:$AB$281,"T011",'Prácticas_Snowballing'!$AC$2:$AC$281,"REQUIREMENTS &gt; Requirements Analysis")</f>
        <v>0</v>
      </c>
      <c r="F17" s="17">
        <f>COUNTIFS('Prácticas_Revisiones'!$S$2:$S$282,"T011",'Prácticas_Revisiones'!$T$2:$T$282,"REQUIREMENTS &gt; Requirements Specification")+COUNTIFS('Prácticas_Snowballing'!$AB$2:$AB$281,"T011",'Prácticas_Snowballing'!$AC$2:$AC$281,"REQUIREMENTS &gt; Requirements Specification")</f>
        <v>0</v>
      </c>
      <c r="G17" s="17">
        <f>COUNTIFS('Prácticas_Revisiones'!$S$2:$S$282,"T011",'Prácticas_Revisiones'!$T$2:$T$282,"REQUIREMENTS &gt; Requirements Validation")+COUNTIFS('Prácticas_Snowballing'!$AB$2:$AB$281,"T011",'Prácticas_Snowballing'!$AC$2:$AC$281,"REQUIREMENTS &gt; Requirements Validation")</f>
        <v>0</v>
      </c>
      <c r="H17" s="17">
        <f>COUNTIFS('Prácticas_Revisiones'!$S$2:$S$282,"T011",'Prácticas_Revisiones'!$T$2:$T$282,"REQUIREMENTS &gt; Requirements Management Activities")+COUNTIFS('Prácticas_Snowballing'!$AB$2:$AB$281,"T011",'Prácticas_Snowballing'!$AC$2:$AC$281,"REQUIREMENTS &gt; Requirements Management Activities")</f>
        <v>0</v>
      </c>
      <c r="I17" s="17">
        <f>COUNTIFS('Prácticas_Revisiones'!$S$2:$S$282,"T011",'Prácticas_Revisiones'!$T$2:$T$282,"REQUIREMENTS &gt; Practical Considerations")+COUNTIFS('Prácticas_Snowballing'!$AB$2:$AB$281,"T011",'Prácticas_Snowballing'!$AC$2:$AC$281,"REQUIREMENTS &gt; Practical Considerations")</f>
        <v>0</v>
      </c>
      <c r="J17" s="17">
        <f>COUNTIFS('Prácticas_Revisiones'!$S$2:$S$282,"T011",'Prácticas_Revisiones'!$T$2:$T$282,"REQUIREMENTS &gt; Software Requirements Tools")+COUNTIFS('Prácticas_Snowballing'!$AB$2:$AB$281,"T011",'Prácticas_Snowballing'!$AC$2:$AC$281,"REQUIREMENTS &gt; Software Requirements Tools")</f>
        <v>0</v>
      </c>
      <c r="K17" s="17">
        <f>COUNTIFS('Prácticas_Revisiones'!$S$2:$S$282,"T011",'Prácticas_Revisiones'!$T$2:$T$282,"REQUIREMENTS &gt; Subárea no determinable")+COUNTIFS('Prácticas_Snowballing'!$AB$2:$AB$281,"T011",'Prácticas_Snowballing'!$AC$2:$AC$281,"REQUIREMENTS &gt; Subárea no determinable")</f>
        <v>0</v>
      </c>
      <c r="L17" s="29">
        <f t="shared" si="1"/>
        <v>0</v>
      </c>
      <c r="M17" s="17">
        <f>COUNTIFS('Prácticas_Revisiones'!$S$2:$S$282,"T011",'Prácticas_Revisiones'!$T$2:$T$282,"ARCHITECTURE &gt; Software Architecture Fundamentals")+COUNTIFS('Prácticas_Snowballing'!$AB$2:$AB$281,"T011",'Prácticas_Snowballing'!$AC$2:$AC$281,"ARCHITECTURE &gt; Software Architecture Fundamentals")</f>
        <v>0</v>
      </c>
      <c r="N17" s="17">
        <f>COUNTIFS('Prácticas_Revisiones'!$S$2:$S$282,"T011",'Prácticas_Revisiones'!$T$2:$T$282,"ARCHITECTURE &gt; Software Architecture Description")+COUNTIFS('Prácticas_Snowballing'!$AB$2:$AB$281,"T011",'Prácticas_Snowballing'!$AC$2:$AC$281,"ARCHITECTURE &gt; Software Architecture Description")</f>
        <v>0</v>
      </c>
      <c r="O17" s="17">
        <f>COUNTIFS('Prácticas_Revisiones'!$S$2:$S$282,"T011",'Prácticas_Revisiones'!$T$2:$T$282,"ARCHITECTURE &gt; Software Architecture Process")+COUNTIFS('Prácticas_Snowballing'!$AB$2:$AB$281,"T011",'Prácticas_Snowballing'!$AC$2:$AC$281,"ARCHITECTURE &gt; Software Architecture Process")</f>
        <v>0</v>
      </c>
      <c r="P17" s="17">
        <f>COUNTIFS('Prácticas_Revisiones'!$S$2:$S$282,"T011",'Prácticas_Revisiones'!$T$2:$T$282,"ARCHITECTURE &gt; Software Architecture Evaluation")+COUNTIFS('Prácticas_Snowballing'!$AB$2:$AB$281,"T011",'Prácticas_Snowballing'!$AC$2:$AC$281,"ARCHITECTURE &gt; Software Architecture Evaluation")</f>
        <v>0</v>
      </c>
      <c r="Q17" s="17">
        <f>COUNTIFS('Prácticas_Revisiones'!$S$2:$S$282,"T011",'Prácticas_Revisiones'!$T$2:$T$282,"ARCHITECTURE &gt; Subárea no determinable")+COUNTIFS('Prácticas_Snowballing'!$AB$2:$AB$281,"T011",'Prácticas_Snowballing'!$AC$2:$AC$281,"ARCHITECTURE &gt; Subárea no determinable")</f>
        <v>0</v>
      </c>
      <c r="R17" s="29">
        <f t="shared" si="2"/>
        <v>0</v>
      </c>
      <c r="S17" s="17">
        <f>COUNTIFS('Prácticas_Revisiones'!$S$2:$S$282,"T011",'Prácticas_Revisiones'!$T$2:$T$282,"DESIGN &gt; Software Design Fundamentals")+COUNTIFS('Prácticas_Snowballing'!$AB$2:$AB$281,"T011",'Prácticas_Snowballing'!$AC$2:$AC$281,"DESIGN &gt; Software Design Fundamentals")</f>
        <v>0</v>
      </c>
      <c r="T17" s="17">
        <f>COUNTIFS('Prácticas_Revisiones'!$S$2:$S$282,"T011",'Prácticas_Revisiones'!$T$2:$T$282,"DESIGN &gt; Software Design Processes")+COUNTIFS('Prácticas_Snowballing'!$AB$2:$AB$281,"T011",'Prácticas_Snowballing'!$AC$2:$AC$281,"DESIGN &gt; Software Design Processes")</f>
        <v>0</v>
      </c>
      <c r="U17" s="17">
        <f>COUNTIFS('Prácticas_Revisiones'!$S$2:$S$282,"T011",'Prácticas_Revisiones'!$T$2:$T$282,"DESIGN &gt; Software Design Qualities")+COUNTIFS('Prácticas_Snowballing'!$AB$2:$AB$281,"T011",'Prácticas_Snowballing'!$AC$2:$AC$281,"DESIGN &gt; Software Design Qualities")</f>
        <v>0</v>
      </c>
      <c r="V17" s="17">
        <f>COUNTIFS('Prácticas_Revisiones'!$S$2:$S$282,"T011",'Prácticas_Revisiones'!$T$2:$T$282,"DESIGN &gt; Recording Software Design")+COUNTIFS('Prácticas_Snowballing'!$AB$2:$AB$281,"T011",'Prácticas_Snowballing'!$AC$2:$AC$281,"DESIGN &gt; Recording Software Design")</f>
        <v>0</v>
      </c>
      <c r="W17" s="17">
        <f>COUNTIFS('Prácticas_Revisiones'!$S$2:$S$282,"T011",'Prácticas_Revisiones'!$T$2:$T$282,"DESIGN &gt; Software Design Strategies and Methods")+COUNTIFS('Prácticas_Snowballing'!$AB$2:$AB$281,"T011",'Prácticas_Snowballing'!$AC$2:$AC$281,"DESIGN &gt; Software Design Strategies and Methods")</f>
        <v>0</v>
      </c>
      <c r="X17" s="17">
        <f>COUNTIFS('Prácticas_Revisiones'!$S$2:$S$282,"T011",'Prácticas_Revisiones'!$T$2:$T$282,"DESIGN &gt; Software Design Analysis and Evaluations")+COUNTIFS('Prácticas_Snowballing'!$AB$2:$AB$281,"T011",'Prácticas_Snowballing'!$AC$2:$AC$281,"DESIGN &gt; Software Design Analysis and Evaluations")</f>
        <v>0</v>
      </c>
      <c r="Y17" s="17">
        <f>COUNTIFS('Prácticas_Revisiones'!$S$2:$S$282,"T011",'Prácticas_Revisiones'!$T$2:$T$282,"DESIGN &gt; Subárea no determinable")+COUNTIFS('Prácticas_Snowballing'!$AB$2:$AB$281,"T011",'Prácticas_Snowballing'!$AC$2:$AC$281,"DESIGN &gt; Subárea no determinable")</f>
        <v>0</v>
      </c>
      <c r="Z17" s="29">
        <f t="shared" si="3"/>
        <v>0</v>
      </c>
      <c r="AA17" s="17">
        <f>COUNTIFS('Prácticas_Revisiones'!$S$2:$S$282,"T011",'Prácticas_Revisiones'!$T$2:$T$282,"CONSTRUCTION &gt; Software Construction Fundamentals")+COUNTIFS('Prácticas_Snowballing'!$AB$2:$AB$281,"T011",'Prácticas_Snowballing'!$AC$2:$AC$281,"CONSTRUCTION &gt; Software Construction Fundamentals")</f>
        <v>0</v>
      </c>
      <c r="AB17" s="17">
        <f>COUNTIFS('Prácticas_Revisiones'!$S$2:$S$282,"T011",'Prácticas_Revisiones'!$T$2:$T$282,"CONSTRUCTION &gt; Managing Construction")+COUNTIFS('Prácticas_Snowballing'!$AB$2:$AB$281,"T011",'Prácticas_Snowballing'!$AC$2:$AC$281,"CONSTRUCTION &gt; Managing Construction")</f>
        <v>0</v>
      </c>
      <c r="AC17" s="17">
        <f>COUNTIFS('Prácticas_Revisiones'!$S$2:$S$282,"T011",'Prácticas_Revisiones'!$T$2:$T$282,"CONSTRUCTION &gt; Practical Considerations")+COUNTIFS('Prácticas_Snowballing'!$AB$2:$AB$281,"T011",'Prácticas_Snowballing'!$AC$2:$AC$281,"CONSTRUCTION &gt; Practical Considerations")</f>
        <v>0</v>
      </c>
      <c r="AD17" s="17">
        <f>COUNTIFS('Prácticas_Revisiones'!$S$2:$S$282,"T011",'Prácticas_Revisiones'!$T$2:$T$282,"CONSTRUCTION &gt; Construction Technologies")+COUNTIFS('Prácticas_Snowballing'!$AB$2:$AB$281,"T011",'Prácticas_Snowballing'!$AC$2:$AC$281,"CONSTRUCTION &gt; Construction Technologies")</f>
        <v>0</v>
      </c>
      <c r="AE17" s="17">
        <f>COUNTIFS('Prácticas_Revisiones'!$S$2:$S$282,"T011",'Prácticas_Revisiones'!$T$2:$T$282,"CONSTRUCTION &gt; Software Construction Tools")+COUNTIFS('Prácticas_Snowballing'!$AB$2:$AB$281,"T011",'Prácticas_Snowballing'!$AC$2:$AC$281,"CONSTRUCTION &gt; Software Construction Tools")</f>
        <v>0</v>
      </c>
      <c r="AF17" s="17">
        <f>COUNTIFS('Prácticas_Revisiones'!$S$2:$S$282,"T011",'Prácticas_Revisiones'!$T$2:$T$282,"CONSTRUCTION &gt; Subárea no determinable")+COUNTIFS('Prácticas_Snowballing'!$AB$2:$AB$281,"T011",'Prácticas_Snowballing'!$AC$2:$AC$281,"CONSTRUCTION &gt; Subárea no determinable")</f>
        <v>0</v>
      </c>
      <c r="AG17" s="29">
        <f t="shared" si="4"/>
        <v>0</v>
      </c>
      <c r="AH17" s="17">
        <f>COUNTIFS('Prácticas_Revisiones'!$S$2:$S$282,"T011",'Prácticas_Revisiones'!$T$2:$T$282,"SOFTWARE TESTING &gt; Software Testing Fundamentals")+COUNTIFS('Prácticas_Snowballing'!$AB$2:$AB$281,"T011",'Prácticas_Snowballing'!$AC$2:$AC$281,"SOFTWARE TESTING &gt; Software Testing Fundamentals")</f>
        <v>0</v>
      </c>
      <c r="AI17" s="17">
        <f>COUNTIFS('Prácticas_Revisiones'!$S$2:$S$282,"T011",'Prácticas_Revisiones'!$T$2:$T$282,"SOFTWARE TESTING &gt; Test Levels")+COUNTIFS('Prácticas_Snowballing'!$AB$2:$AB$281,"T011",'Prácticas_Snowballing'!$AC$2:$AC$281,"SOFTWARE TESTING &gt; Test Levels")</f>
        <v>0</v>
      </c>
      <c r="AJ17" s="17">
        <f>COUNTIFS('Prácticas_Revisiones'!$S$2:$S$282,"T011",'Prácticas_Revisiones'!$T$2:$T$282,"SOFTWARE TESTING &gt; Test Techniques")+COUNTIFS('Prácticas_Snowballing'!$AB$2:$AB$281,"T011",'Prácticas_Snowballing'!$AC$2:$AC$281,"SOFTWARE TESTING &gt; Test Techniques")</f>
        <v>0</v>
      </c>
      <c r="AK17" s="17">
        <f>COUNTIFS('Prácticas_Revisiones'!$S$2:$S$282,"T011",'Prácticas_Revisiones'!$T$2:$T$282,"SOFTWARE TESTING &gt; Test-Related Measures")+COUNTIFS('Prácticas_Snowballing'!$AB$2:$AB$281,"T011",'Prácticas_Snowballing'!$AC$2:$AC$281,"SOFTWARE TESTING &gt; Test-Related Measures")</f>
        <v>0</v>
      </c>
      <c r="AL17" s="17">
        <f>COUNTIFS('Prácticas_Revisiones'!$S$2:$S$282,"T011",'Prácticas_Revisiones'!$T$2:$T$282,"SOFTWARE TESTING &gt; Test Process")+COUNTIFS('Prácticas_Snowballing'!$AB$2:$AB$281,"T011",'Prácticas_Snowballing'!$AC$2:$AC$281,"SOFTWARE TESTING &gt; Test Process")</f>
        <v>0</v>
      </c>
      <c r="AM17" s="17">
        <f>COUNTIFS('Prácticas_Revisiones'!$S$2:$S$282,"T011",'Prácticas_Revisiones'!$T$2:$T$282,"SOFTWARE TESTING &gt; Software Testing in the Development Processes...")+COUNTIFS('Prácticas_Snowballing'!$AB$2:$AB$281,"T011",'Prácticas_Snowballing'!$AC$2:$AC$281,"SOFTWARE TESTING &gt; Software Testing in the Development Processes...")</f>
        <v>0</v>
      </c>
      <c r="AN17" s="17">
        <f>COUNTIFS('Prácticas_Revisiones'!$S$2:$S$282,"T011",'Prácticas_Revisiones'!$T$2:$T$282,"SOFTWARE TESTING &gt; Testing of and Testing Through Emerging Tech...")+COUNTIFS('Prácticas_Snowballing'!$AB$2:$AB$281,"T011",'Prácticas_Snowballing'!$AC$2:$AC$281,"SOFTWARE TESTING &gt; Testing of and Testing Through Emerging Tech...")</f>
        <v>0</v>
      </c>
      <c r="AO17" s="17">
        <f>COUNTIFS('Prácticas_Revisiones'!$S$2:$S$282,"T011",'Prácticas_Revisiones'!$T$2:$T$282,"SOFTWARE TESTING &gt; Software Testing Tools")+COUNTIFS('Prácticas_Snowballing'!$AB$2:$AB$281,"T011",'Prácticas_Snowballing'!$AC$2:$AC$281,"SOFTWARE TESTING &gt; Software Testing Tools")</f>
        <v>0</v>
      </c>
      <c r="AP17" s="17">
        <f>COUNTIFS('Prácticas_Revisiones'!$S$2:$S$282,"T011",'Prácticas_Revisiones'!$T$2:$T$282,"SOFTWARE TESTING &gt; Subárea no determinable")+COUNTIFS('Prácticas_Snowballing'!$AB$2:$AB$281,"T011",'Prácticas_Snowballing'!$AC$2:$AC$281,"SOFTWARE TESTING &gt; Subárea no determinable")</f>
        <v>0</v>
      </c>
      <c r="AQ17" s="29">
        <f t="shared" si="5"/>
        <v>0</v>
      </c>
      <c r="AR17" s="17">
        <f>COUNTIFS('Prácticas_Revisiones'!$S$2:$S$282,"T011",'Prácticas_Revisiones'!$T$2:$T$282,"SOFTWARE ENG. OPERATIONS &gt; Software Engineering Operations Fundamentals")+COUNTIFS('Prácticas_Snowballing'!$AB$2:$AB$281,"T011",'Prácticas_Snowballing'!$AC$2:$AC$281,"SOFTWARE ENG. OPERATIONS &gt; Software Engineering Operations Fundamentals")</f>
        <v>0</v>
      </c>
      <c r="AS17" s="17">
        <f>COUNTIFS('Prácticas_Revisiones'!$S$2:$S$282,"T011",'Prácticas_Revisiones'!$T$2:$T$282,"SOFTWARE ENG. OPERATIONS &gt; Software Engineering Operations Planning")+COUNTIFS('Prácticas_Snowballing'!$AB$2:$AB$281,"T011",'Prácticas_Snowballing'!$AC$2:$AC$281,"SOFTWARE ENG. OPERATIONS &gt; Software Engineering Operations Planning")</f>
        <v>0</v>
      </c>
      <c r="AT17" s="17">
        <f>COUNTIFS('Prácticas_Revisiones'!$S$2:$S$282,"T011",'Prácticas_Revisiones'!$T$2:$T$282,"SOFTWARE ENG. OPERATIONS &gt; Software Engineering Operations Delivery")+COUNTIFS('Prácticas_Snowballing'!$AB$2:$AB$281,"T011",'Prácticas_Snowballing'!$AC$2:$AC$281,"SOFTWARE ENG. OPERATIONS &gt; Software Engineering Operations Delivery")</f>
        <v>0</v>
      </c>
      <c r="AU17" s="17">
        <f>COUNTIFS('Prácticas_Revisiones'!$S$2:$S$282,"T011",'Prácticas_Revisiones'!$T$2:$T$282,"SOFTWARE ENG. OPERATIONS &gt; Software Engineering Operations Control")+COUNTIFS('Prácticas_Snowballing'!$AB$2:$AB$281,"T011",'Prácticas_Snowballing'!$AC$2:$AC$281,"SOFTWARE ENG. OPERATIONS &gt; Software Engineering Operations Control")</f>
        <v>0</v>
      </c>
      <c r="AV17" s="17">
        <f>COUNTIFS('Prácticas_Revisiones'!$S$2:$S$282,"T011",'Prácticas_Revisiones'!$T$2:$T$282,"SOFTWARE ENG. OPERATIONS &gt; Practical Considerations")+COUNTIFS('Prácticas_Snowballing'!$AB$2:$AB$281,"T011",'Prácticas_Snowballing'!$AC$2:$AC$281,"SOFTWARE ENG. OPERATIONS &gt; Practical Considerations")</f>
        <v>0</v>
      </c>
      <c r="AW17" s="17">
        <f>COUNTIFS('Prácticas_Revisiones'!$S$2:$S$282,"T011",'Prácticas_Revisiones'!$T$2:$T$282,"SOFTWARE ENG. OPERATIONS &gt; Software Engineering Operations Tools")+COUNTIFS('Prácticas_Snowballing'!$AB$2:$AB$281,"T011",'Prácticas_Snowballing'!$AC$2:$AC$281,"SOFTWARE ENG. OPERATIONS &gt; Software Engineering Operations Tools")</f>
        <v>0</v>
      </c>
      <c r="AX17" s="17">
        <f>COUNTIFS('Prácticas_Revisiones'!$S$2:$S$282,"T011",'Prácticas_Revisiones'!$T$2:$T$282,"SOFTWARE ENG. OPERATIONS &gt; Subárea no determinable")+COUNTIFS('Prácticas_Snowballing'!$AB$2:$AB$281,"T011",'Prácticas_Snowballing'!$AC$2:$AC$281,"SOFTWARE ENG. OPERATIONS &gt; Subárea no determinable")</f>
        <v>0</v>
      </c>
      <c r="AY17" s="29">
        <f t="shared" si="6"/>
        <v>0</v>
      </c>
      <c r="AZ17" s="17">
        <f>COUNTIFS('Prácticas_Revisiones'!$S$2:$S$282,"T011",'Prácticas_Revisiones'!$T$2:$T$282,"MAINTENANCE &gt; Software Maintenance Fundamentals")+COUNTIFS('Prácticas_Snowballing'!$AB$2:$AB$281,"T011",'Prácticas_Snowballing'!$AC$2:$AC$281,"MAINTENANCE &gt; Software Maintenance Fundamentals")</f>
        <v>0</v>
      </c>
      <c r="BA17" s="17">
        <f>COUNTIFS('Prácticas_Revisiones'!$S$2:$S$282,"T011",'Prácticas_Revisiones'!$T$2:$T$282,"MAINTENANCE &gt; Key Issues in Software Maintenance")+COUNTIFS('Prácticas_Snowballing'!$AB$2:$AB$281,"T011",'Prácticas_Snowballing'!$AC$2:$AC$281,"MAINTENANCE &gt; Key Issues in Software Maintenance")</f>
        <v>0</v>
      </c>
      <c r="BB17" s="17">
        <f>COUNTIFS('Prácticas_Revisiones'!$S$2:$S$282,"T011",'Prácticas_Revisiones'!$T$2:$T$282,"MAINTENANCE &gt; Software Maintenance Processes")+COUNTIFS('Prácticas_Snowballing'!$AB$2:$AB$281,"T011",'Prácticas_Snowballing'!$AC$2:$AC$281,"MAINTENANCE &gt; Software Maintenance Processes")</f>
        <v>0</v>
      </c>
      <c r="BC17" s="17">
        <f>COUNTIFS('Prácticas_Revisiones'!$S$2:$S$282,"T011",'Prácticas_Revisiones'!$T$2:$T$282,"MAINTENANCE &gt; Software Maintenance Techniques")+COUNTIFS('Prácticas_Snowballing'!$AB$2:$AB$281,"T011",'Prácticas_Snowballing'!$AC$2:$AC$281,"MAINTENANCE &gt; Software Maintenance Techniques")</f>
        <v>0</v>
      </c>
      <c r="BD17" s="17">
        <f>COUNTIFS('Prácticas_Revisiones'!$S$2:$S$282,"T011",'Prácticas_Revisiones'!$T$2:$T$282,"MAINTENANCE &gt; Software Maintenance Tools")+COUNTIFS('Prácticas_Snowballing'!$AB$2:$AB$281,"T011",'Prácticas_Snowballing'!$AC$2:$AC$281,"MAINTENANCE &gt; Software Maintenance Tools")</f>
        <v>0</v>
      </c>
      <c r="BE17" s="17">
        <f>COUNTIFS('Prácticas_Revisiones'!$S$2:$S$282,"T011",'Prácticas_Revisiones'!$T$2:$T$282,"MAINTENANCE &gt; Subárea no determinable")+COUNTIFS('Prácticas_Snowballing'!$AB$2:$AB$281,"T011",'Prácticas_Snowballing'!$AC$2:$AC$281,"MAINTENANCE &gt; Subárea no determinable")</f>
        <v>0</v>
      </c>
      <c r="BF17" s="29">
        <f t="shared" si="7"/>
        <v>0</v>
      </c>
      <c r="BG17" s="17">
        <f>COUNTIFS('Prácticas_Revisiones'!$S$2:$S$282,"T011",'Prácticas_Revisiones'!$T$2:$T$282,"SOFTWARE CONFIG. MGMT. &gt; Management of the SCM Process")+COUNTIFS('Prácticas_Snowballing'!$AB$2:$AB$281,"T011",'Prácticas_Snowballing'!$AC$2:$AC$281,"SOFTWARE CONFIG. MGMT. &gt; Management of the SCM Process")</f>
        <v>0</v>
      </c>
      <c r="BH17" s="17">
        <f>COUNTIFS('Prácticas_Revisiones'!$S$2:$S$282,"T011",'Prácticas_Revisiones'!$T$2:$T$282,"SOFTWARE CONFIG. MGMT. &gt; Software Configuration Identification")+COUNTIFS('Prácticas_Snowballing'!$AB$2:$AB$281,"T011",'Prácticas_Snowballing'!$AC$2:$AC$281,"SOFTWARE CONFIG. MGMT. &gt; Software Configuration Identification")</f>
        <v>0</v>
      </c>
      <c r="BI17" s="17">
        <f>COUNTIFS('Prácticas_Revisiones'!$S$2:$S$282,"T011",'Prácticas_Revisiones'!$T$2:$T$282,"SOFTWARE CONFIG. MGMT. &gt; Software Configuration Change Control")+COUNTIFS('Prácticas_Snowballing'!$AB$2:$AB$281,"T011",'Prácticas_Snowballing'!$AC$2:$AC$281,"SOFTWARE CONFIG. MGMT. &gt; Software Configuration Change Control")</f>
        <v>0</v>
      </c>
      <c r="BJ17" s="17">
        <f>COUNTIFS('Prácticas_Revisiones'!$S$2:$S$282,"T011",'Prácticas_Revisiones'!$T$2:$T$282,"SOFTWARE CONFIG. MGMT. &gt; Software Configuration Status Accounting")+COUNTIFS('Prácticas_Snowballing'!$AB$2:$AB$281,"T011",'Prácticas_Snowballing'!$AC$2:$AC$281,"SOFTWARE CONFIG. MGMT. &gt; Software Configuration Status Accounting")</f>
        <v>0</v>
      </c>
      <c r="BK17" s="17">
        <f>COUNTIFS('Prácticas_Revisiones'!$S$2:$S$282,"T011",'Prácticas_Revisiones'!$T$2:$T$282,"SOFTWARE CONFIG. MGMT. &gt; Software Configuration Auditing")+COUNTIFS('Prácticas_Snowballing'!$AB$2:$AB$281,"T011",'Prácticas_Snowballing'!$AC$2:$AC$281,"SOFTWARE CONFIG. MGMT. &gt; Software Configuration Auditing")</f>
        <v>0</v>
      </c>
      <c r="BL17" s="17">
        <f>COUNTIFS('Prácticas_Revisiones'!$S$2:$S$282,"T011",'Prácticas_Revisiones'!$T$2:$T$282,"SOFTWARE CONFIG. MGMT. &gt; Software Release Management and Delivery")+COUNTIFS('Prácticas_Snowballing'!$AB$2:$AB$281,"T011",'Prácticas_Snowballing'!$AC$2:$AC$281,"SOFTWARE CONFIG. MGMT. &gt; Software Release Management and Delivery")</f>
        <v>0</v>
      </c>
      <c r="BM17" s="17">
        <f>COUNTIFS('Prácticas_Revisiones'!$S$2:$S$282,"T011",'Prácticas_Revisiones'!$T$2:$T$282,"SOFTWARE CONFIG. MGMT. &gt; Software Configuration Management Tools")+COUNTIFS('Prácticas_Snowballing'!$AB$2:$AB$281,"T011",'Prácticas_Snowballing'!$AC$2:$AC$281,"SOFTWARE CONFIG. MGMT. &gt; Software Configuration Management Tools")</f>
        <v>0</v>
      </c>
      <c r="BN17" s="17">
        <f>COUNTIFS('Prácticas_Revisiones'!$S$2:$S$282,"T011",'Prácticas_Revisiones'!$T$2:$T$282,"SOFTWARE CONFIG. MGMT. &gt; Subárea no determinable")+COUNTIFS('Prácticas_Snowballing'!$AB$2:$AB$281,"T011",'Prácticas_Snowballing'!$AC$2:$AC$281,"SOFTWARE CONFIG. MGMT. &gt; Subárea no determinable")</f>
        <v>0</v>
      </c>
      <c r="BO17" s="29">
        <f t="shared" si="8"/>
        <v>0</v>
      </c>
      <c r="BP17" s="17">
        <f>COUNTIFS('Prácticas_Revisiones'!$S$2:$S$282,"T011",'Prácticas_Revisiones'!$T$2:$T$282,"SOFTWARE ENG. PROCESS &gt; Software Engineering Process Fundamentals")+COUNTIFS('Prácticas_Snowballing'!$AB$2:$AB$281,"T011",'Prácticas_Snowballing'!$AC$2:$AC$281,"SOFTWARE ENG. PROCESS &gt; Software Engineering Process Fundamentals")</f>
        <v>0</v>
      </c>
      <c r="BQ17" s="17">
        <f>COUNTIFS('Prácticas_Revisiones'!$S$2:$S$282,"T011",'Prácticas_Revisiones'!$T$2:$T$282,"SOFTWARE ENG. PROCESS &gt; Life Cycles")+COUNTIFS('Prácticas_Snowballing'!$AB$2:$AB$281,"T011",'Prácticas_Snowballing'!$AC$2:$AC$281,"SOFTWARE ENG. PROCESS &gt; Life Cycles")</f>
        <v>0</v>
      </c>
      <c r="BR17" s="17">
        <f>COUNTIFS('Prácticas_Revisiones'!$S$2:$S$282,"T011",'Prácticas_Revisiones'!$T$2:$T$282,"SOFTWARE ENG. PROCESS &gt; Software Process Assessment and Improvement")+COUNTIFS('Prácticas_Snowballing'!$AB$2:$AB$281,"T011",'Prácticas_Snowballing'!$AC$2:$AC$281,"SOFTWARE ENG. PROCESS &gt; Software Process Assessment and Improvement")</f>
        <v>0</v>
      </c>
      <c r="BS17" s="17">
        <f>COUNTIFS('Prácticas_Revisiones'!$S$2:$S$282,"T011",'Prácticas_Revisiones'!$T$2:$T$282,"SOFTWARE ENG. PROCESS &gt; Subárea no determinable")+COUNTIFS('Prácticas_Snowballing'!$AB$2:$AB$281,"T011",'Prácticas_Snowballing'!$AC$2:$AC$281,"SOFTWARE ENG. PROCESS &gt; Subárea no determinable")</f>
        <v>0</v>
      </c>
      <c r="BT17" s="29">
        <f t="shared" si="9"/>
        <v>0</v>
      </c>
      <c r="BU17" s="17">
        <f>COUNTIFS('Prácticas_Revisiones'!$S$2:$S$282,"T011",'Prácticas_Revisiones'!$T$2:$T$282,"SOFTWARE ENG. MODELS/METH. &gt; Modeling")+COUNTIFS('Prácticas_Snowballing'!$AB$2:$AB$281,"T011",'Prácticas_Snowballing'!$AC$2:$AC$281,"SOFTWARE ENG. MODELS/METH. &gt; Modeling")</f>
        <v>0</v>
      </c>
      <c r="BV17" s="17">
        <f>COUNTIFS('Prácticas_Revisiones'!$S$2:$S$282,"T011",'Prácticas_Revisiones'!$T$2:$T$282,"SOFTWARE ENG. MODELS/METH. &gt; Types of Models")+COUNTIFS('Prácticas_Snowballing'!$AB$2:$AB$281,"T011",'Prácticas_Snowballing'!$AC$2:$AC$281,"SOFTWARE ENG. MODELS/METH. &gt; Types of Models")</f>
        <v>0</v>
      </c>
      <c r="BW17" s="17">
        <f>COUNTIFS('Prácticas_Revisiones'!$S$2:$S$282,"T011",'Prácticas_Revisiones'!$T$2:$T$282,"SOFTWARE ENG. MODELS/METH. &gt; Analysis of Models")+COUNTIFS('Prácticas_Snowballing'!$AB$2:$AB$281,"T011",'Prácticas_Snowballing'!$AC$2:$AC$281,"SOFTWARE ENG. MODELS/METH. &gt; Analysis of Models")</f>
        <v>0</v>
      </c>
      <c r="BX17" s="17">
        <f>COUNTIFS('Prácticas_Revisiones'!$S$2:$S$282,"T011",'Prácticas_Revisiones'!$T$2:$T$282,"SOFTWARE ENG. MODELS/METH. &gt; Software Engineering Methods")+COUNTIFS('Prácticas_Snowballing'!$AB$2:$AB$281,"T011",'Prácticas_Snowballing'!$AC$2:$AC$281,"SOFTWARE ENG. MODELS/METH. &gt; Software Engineering Methods")</f>
        <v>0</v>
      </c>
      <c r="BY17" s="17">
        <f>COUNTIFS('Prácticas_Revisiones'!$S$2:$S$282,"T011",'Prácticas_Revisiones'!$T$2:$T$282,"SOFTWARE ENG. MODELS/METH. &gt; Subárea no determinable")+COUNTIFS('Prácticas_Snowballing'!$AB$2:$AB$281,"T011",'Prácticas_Snowballing'!$AC$2:$AC$281,"SOFTWARE ENG. MODELS/METH. &gt; Subárea no determinable")</f>
        <v>0</v>
      </c>
      <c r="BZ17" s="29">
        <f t="shared" si="10"/>
        <v>0</v>
      </c>
      <c r="CA17" s="17">
        <f>COUNTIFS('Prácticas_Revisiones'!$S$2:$S$282,"T011",'Prácticas_Revisiones'!$T$2:$T$282,"SOFTWARE QUALITY &gt; Software Quality Fundamentals")+COUNTIFS('Prácticas_Snowballing'!$AB$2:$AB$281,"T011",'Prácticas_Snowballing'!$AC$2:$AC$281,"SOFTWARE QUALITY &gt; Software Quality Fundamentals")</f>
        <v>0</v>
      </c>
      <c r="CB17" s="17">
        <f>COUNTIFS('Prácticas_Revisiones'!$S$2:$S$282,"T011",'Prácticas_Revisiones'!$T$2:$T$282,"SOFTWARE QUALITY &gt; Software Quality Management Process")+COUNTIFS('Prácticas_Snowballing'!$AB$2:$AB$281,"T011",'Prácticas_Snowballing'!$AC$2:$AC$281,"SOFTWARE QUALITY &gt; Software Quality Management Process")</f>
        <v>0</v>
      </c>
      <c r="CC17" s="17">
        <f>COUNTIFS('Prácticas_Revisiones'!$S$2:$S$282,"T011",'Prácticas_Revisiones'!$T$2:$T$282,"SOFTWARE QUALITY &gt; Software Quality Assurance Process")+COUNTIFS('Prácticas_Snowballing'!$AB$2:$AB$281,"T011",'Prácticas_Snowballing'!$AC$2:$AC$281,"SOFTWARE QUALITY &gt; Software Quality Assurance Process")</f>
        <v>0</v>
      </c>
      <c r="CD17" s="17">
        <f>COUNTIFS('Prácticas_Revisiones'!$S$2:$S$282,"T011",'Prácticas_Revisiones'!$T$2:$T$282,"SOFTWARE QUALITY &gt; Software Quality Tools")+COUNTIFS('Prácticas_Snowballing'!$AB$2:$AB$281,"T011",'Prácticas_Snowballing'!$AC$2:$AC$281,"SOFTWARE QUALITY &gt; Software Quality Tools")</f>
        <v>0</v>
      </c>
      <c r="CE17" s="17">
        <f>COUNTIFS('Prácticas_Revisiones'!$S$2:$S$282,"T011",'Prácticas_Revisiones'!$T$2:$T$282,"SOFTWARE QUALITY &gt; Subárea no determinable")+COUNTIFS('Prácticas_Snowballing'!$AB$2:$AB$281,"T011",'Prácticas_Snowballing'!$AC$2:$AC$281,"SOFTWARE QUALITY &gt; Subárea no determinable")</f>
        <v>0</v>
      </c>
      <c r="CF17" s="29">
        <f t="shared" si="11"/>
        <v>0</v>
      </c>
      <c r="CG17" s="17">
        <f>COUNTIFS('Prácticas_Revisiones'!$S$2:$S$282,"T011",'Prácticas_Revisiones'!$T$2:$T$282,"SOFTWARE SECURITY &gt; Software Security Fundamentals")+COUNTIFS('Prácticas_Snowballing'!$AB$2:$AB$281,"T011",'Prácticas_Snowballing'!$AC$2:$AC$281,"SOFTWARE SECURITY &gt; Software Security Fundamentals")</f>
        <v>0</v>
      </c>
      <c r="CH17" s="17">
        <f>COUNTIFS('Prácticas_Revisiones'!$S$2:$S$282,"T011",'Prácticas_Revisiones'!$T$2:$T$282,"SOFTWARE SECURITY &gt; Security Management and Organization")+COUNTIFS('Prácticas_Snowballing'!$AB$2:$AB$281,"T011",'Prácticas_Snowballing'!$AC$2:$AC$281,"SOFTWARE SECURITY &gt; Security Management and Organization")</f>
        <v>0</v>
      </c>
      <c r="CI17" s="17">
        <f>COUNTIFS('Prácticas_Revisiones'!$S$2:$S$282,"T011",'Prácticas_Revisiones'!$T$2:$T$282,"SOFTWARE SECURITY &gt; Software Security Engineering and Process")+COUNTIFS('Prácticas_Snowballing'!$AB$2:$AB$281,"T011",'Prácticas_Snowballing'!$AC$2:$AC$281,"SOFTWARE SECURITY &gt; Software Security Engineering and Process")</f>
        <v>0</v>
      </c>
      <c r="CJ17" s="17">
        <f>COUNTIFS('Prácticas_Revisiones'!$S$2:$S$282,"T011",'Prácticas_Revisiones'!$T$2:$T$282,"SOFTWARE SECURITY &gt; Security Engineering for Software Systems")+COUNTIFS('Prácticas_Snowballing'!$AB$2:$AB$281,"T011",'Prácticas_Snowballing'!$AC$2:$AC$281,"SOFTWARE SECURITY &gt; Security Engineering for Software Systems")</f>
        <v>0</v>
      </c>
      <c r="CK17" s="17">
        <f>COUNTIFS('Prácticas_Revisiones'!$S$2:$S$282,"T011",'Prácticas_Revisiones'!$T$2:$T$282,"SOFTWARE SECURITY &gt; Software Security Tools")+COUNTIFS('Prácticas_Snowballing'!$AB$2:$AB$281,"T011",'Prácticas_Snowballing'!$AC$2:$AC$281,"SOFTWARE SECURITY &gt; Software Security Tools")</f>
        <v>0</v>
      </c>
      <c r="CL17" s="17">
        <f>COUNTIFS('Prácticas_Revisiones'!$S$2:$S$282,"T011",'Prácticas_Revisiones'!$T$2:$T$282,"SOFTWARE SECURITY &gt; Domain Specific Software Security")+COUNTIFS('Prácticas_Snowballing'!$AB$2:$AB$281,"T011",'Prácticas_Snowballing'!$AC$2:$AC$281,"SOFTWARE SECURITY &gt; Domain Specific Software Security")</f>
        <v>0</v>
      </c>
      <c r="CM17" s="17">
        <f>COUNTIFS('Prácticas_Revisiones'!$S$2:$S$282,"T011",'Prácticas_Revisiones'!$T$2:$T$282,"SOFTWARE SECURITY &gt; Subárea no determinable")+COUNTIFS('Prácticas_Snowballing'!$AB$2:$AB$281,"T011",'Prácticas_Snowballing'!$AC$2:$AC$281,"SOFTWARE SECURITY &gt; Subárea no determinable")</f>
        <v>0</v>
      </c>
      <c r="CN17" s="29">
        <f t="shared" si="12"/>
        <v>0</v>
      </c>
      <c r="CO17" s="17">
        <f>COUNTIFS('Prácticas_Revisiones'!$S$2:$S$282,"T011",'Prácticas_Revisiones'!$T$2:$T$282,"PROFESSIONAL PRACTICE &gt; Professionalism")+COUNTIFS('Prácticas_Snowballing'!$AB$2:$AB$281,"T011",'Prácticas_Snowballing'!$AC$2:$AC$281,"PROFESSIONAL PRACTICE &gt; Professionalism")</f>
        <v>0</v>
      </c>
      <c r="CP17" s="17">
        <f>COUNTIFS('Prácticas_Revisiones'!$S$2:$S$282,"T011",'Prácticas_Revisiones'!$T$2:$T$282,"PROFESSIONAL PRACTICE &gt; Group Dynamics and Psychology")+COUNTIFS('Prácticas_Snowballing'!$AB$2:$AB$281,"T011",'Prácticas_Snowballing'!$AC$2:$AC$281,"PROFESSIONAL PRACTICE &gt; Group Dynamics and Psychology")</f>
        <v>0</v>
      </c>
      <c r="CQ17" s="17">
        <f>COUNTIFS('Prácticas_Revisiones'!$S$2:$S$282,"T011",'Prácticas_Revisiones'!$T$2:$T$282,"PROFESSIONAL PRACTICE &gt; Communication Skills")+COUNTIFS('Prácticas_Snowballing'!$AB$2:$AB$281,"T011",'Prácticas_Snowballing'!$AC$2:$AC$281,"PROFESSIONAL PRACTICE &gt; Communication Skills")</f>
        <v>0</v>
      </c>
      <c r="CR17" s="17">
        <f>COUNTIFS('Prácticas_Revisiones'!$S$2:$S$282,"T011",'Prácticas_Revisiones'!$T$2:$T$282,"PROFESSIONAL PRACTICE &gt; Subárea no determinable")+COUNTIFS('Prácticas_Snowballing'!$AB$2:$AB$281,"T011",'Prácticas_Snowballing'!$AC$2:$AC$281,"PROFESSIONAL PRACTICE &gt; Subárea no determinable")</f>
        <v>0</v>
      </c>
      <c r="CS17" s="29">
        <f t="shared" si="13"/>
        <v>0</v>
      </c>
      <c r="CT17" s="17">
        <f>COUNTIFS('Prácticas_Revisiones'!$S$2:$S$282,"T011",'Prácticas_Revisiones'!$T$2:$T$282,"SOFTWARE ENG. ECONOMICS &gt; Software Engineering Economics Fundamentals")+COUNTIFS('Prácticas_Snowballing'!$AB$2:$AB$281,"T011",'Prácticas_Snowballing'!$AC$2:$AC$281,"SOFTWARE ENG. ECONOMICS &gt; Software Engineering Economics Fundamentals")</f>
        <v>0</v>
      </c>
      <c r="CU17" s="17">
        <f>COUNTIFS('Prácticas_Revisiones'!$S$2:$S$282,"T011",'Prácticas_Revisiones'!$T$2:$T$282,"SOFTWARE ENG. ECONOMICS &gt; The Engineering Decision-Making Process")+COUNTIFS('Prácticas_Snowballing'!$AB$2:$AB$281,"T011",'Prácticas_Snowballing'!$AC$2:$AC$281,"SOFTWARE ENG. ECONOMICS &gt; The Engineering Decision-Making Process")</f>
        <v>0</v>
      </c>
      <c r="CV17" s="17">
        <f>COUNTIFS('Prácticas_Revisiones'!$S$2:$S$282,"T011",'Prácticas_Revisiones'!$T$2:$T$282,"SOFTWARE ENG. ECONOMICS &gt; For-Profit Decision-Making")+COUNTIFS('Prácticas_Snowballing'!$AB$2:$AB$281,"T011",'Prácticas_Snowballing'!$AC$2:$AC$281,"SOFTWARE ENG. ECONOMICS &gt; For-Profit Decision-Making")</f>
        <v>0</v>
      </c>
      <c r="CW17" s="17">
        <f>COUNTIFS('Prácticas_Revisiones'!$S$2:$S$282,"T011",'Prácticas_Revisiones'!$T$2:$T$282,"SOFTWARE ENG. ECONOMICS &gt; Nonprofit Decision-Making")+COUNTIFS('Prácticas_Snowballing'!$AB$2:$AB$281,"T011",'Prácticas_Snowballing'!$AC$2:$AC$281,"SOFTWARE ENG. ECONOMICS &gt; Nonprofit Decision-Making")</f>
        <v>0</v>
      </c>
      <c r="CX17" s="17">
        <f>COUNTIFS('Prácticas_Revisiones'!$S$2:$S$282,"T011",'Prácticas_Revisiones'!$T$2:$T$282,"SOFTWARE ENG. ECONOMICS &gt; Present Economy Decision-Making")+COUNTIFS('Prácticas_Snowballing'!$AB$2:$AB$281,"T011",'Prácticas_Snowballing'!$AC$2:$AC$281,"SOFTWARE ENG. ECONOMICS &gt; Present Economy Decision-Making")</f>
        <v>0</v>
      </c>
      <c r="CY17" s="17">
        <f>COUNTIFS('Prácticas_Revisiones'!$S$2:$S$282,"T011",'Prácticas_Revisiones'!$T$2:$T$282,"SOFTWARE ENG. ECONOMICS &gt; Multiple-Attribute Decision-Making")+COUNTIFS('Prácticas_Snowballing'!$AB$2:$AB$281,"T011",'Prácticas_Snowballing'!$AC$2:$AC$281,"SOFTWARE ENG. ECONOMICS &gt; Multiple-Attribute Decision-Making")</f>
        <v>0</v>
      </c>
      <c r="CZ17" s="17">
        <f>COUNTIFS('Prácticas_Revisiones'!$S$2:$S$282,"T011",'Prácticas_Revisiones'!$T$2:$T$282,"SOFTWARE ENG. ECONOMICS &gt; Identifying and Characterizing Intangible Assets")+COUNTIFS('Prácticas_Snowballing'!$AB$2:$AB$281,"T011",'Prácticas_Snowballing'!$AC$2:$AC$281,"SOFTWARE ENG. ECONOMICS &gt; Identifying and Characterizing Intangible Assets")</f>
        <v>0</v>
      </c>
      <c r="DA17" s="17">
        <f>COUNTIFS('Prácticas_Revisiones'!$S$2:$S$282,"T011",'Prácticas_Revisiones'!$T$2:$T$282,"SOFTWARE ENG. ECONOMICS &gt; Estimation")+COUNTIFS('Prácticas_Snowballing'!$AB$2:$AB$281,"T011",'Prácticas_Snowballing'!$AC$2:$AC$281,"SOFTWARE ENG. ECONOMICS &gt; Estimation")</f>
        <v>0</v>
      </c>
      <c r="DB17" s="17">
        <f>COUNTIFS('Prácticas_Revisiones'!$S$2:$S$282,"T011",'Prácticas_Revisiones'!$T$2:$T$282,"SOFTWARE ENG. ECONOMICS &gt; Practical Considerations")+COUNTIFS('Prácticas_Snowballing'!$AB$2:$AB$281,"T011",'Prácticas_Snowballing'!$AC$2:$AC$281,"SOFTWARE ENG. ECONOMICS &gt; Practical Considerations")</f>
        <v>0</v>
      </c>
      <c r="DC17" s="17">
        <f>COUNTIFS('Prácticas_Revisiones'!$S$2:$S$282,"T011",'Prácticas_Revisiones'!$T$2:$T$282,"SOFTWARE ENG. ECONOMICS &gt; Related Concepts")+COUNTIFS('Prácticas_Snowballing'!$AB$2:$AB$281,"T011",'Prácticas_Snowballing'!$AC$2:$AC$281,"SOFTWARE ENG. ECONOMICS &gt; Related Concepts")</f>
        <v>0</v>
      </c>
      <c r="DD17" s="17">
        <f>COUNTIFS('Prácticas_Revisiones'!$S$2:$S$282,"T011",'Prácticas_Revisiones'!$T$2:$T$282,"SOFTWARE ENG. ECONOMICS &gt; Subárea no determinable")+COUNTIFS('Prácticas_Snowballing'!$AB$2:$AB$281,"T011",'Prácticas_Snowballing'!$AC$2:$AC$281,"SOFTWARE ENG. ECONOMICS &gt; Subárea no determinable")</f>
        <v>0</v>
      </c>
      <c r="DE17" s="29">
        <f t="shared" si="14"/>
        <v>0</v>
      </c>
      <c r="DF17" s="17">
        <f>COUNTIFS('Prácticas_Revisiones'!$S$2:$S$282,"T011",'Prácticas_Revisiones'!$T$2:$T$282,"SOFTWARE ENG. MANAGEMENT &gt; Software Engineering Management Fundamentals")+COUNTIFS('Prácticas_Snowballing'!$AB$2:$AB$281,"T011",'Prácticas_Snowballing'!$AC$2:$AC$281,"SOFTWARE ENG. MANAGEMENT &gt; Software Engineering Management Fundamentals")</f>
        <v>0</v>
      </c>
      <c r="DG17" s="17">
        <f>COUNTIFS('Prácticas_Revisiones'!$S$2:$S$282,"T011",'Prácticas_Revisiones'!$T$2:$T$282,"SOFTWARE ENG. MANAGEMENT &gt; Initiation and Scope Definition")+COUNTIFS('Prácticas_Snowballing'!$AB$2:$AB$281,"T011",'Prácticas_Snowballing'!$AC$2:$AC$281,"SOFTWARE ENG. MANAGEMENT &gt; Initiation and Scope Definition")</f>
        <v>0</v>
      </c>
      <c r="DH17" s="17">
        <f>COUNTIFS('Prácticas_Revisiones'!$S$2:$S$282,"T011",'Prácticas_Revisiones'!$T$2:$T$282,"SOFTWARE ENG. MANAGEMENT &gt; Software Project Planning")+COUNTIFS('Prácticas_Snowballing'!$AB$2:$AB$281,"T011",'Prácticas_Snowballing'!$AC$2:$AC$281,"SOFTWARE ENG. MANAGEMENT &gt; Software Project Planning")</f>
        <v>0</v>
      </c>
      <c r="DI17" s="17">
        <f>COUNTIFS('Prácticas_Revisiones'!$S$2:$S$282,"T011",'Prácticas_Revisiones'!$T$2:$T$282,"SOFTWARE ENG. MANAGEMENT &gt; Software Project Enactment")+COUNTIFS('Prácticas_Snowballing'!$AB$2:$AB$281,"T011",'Prácticas_Snowballing'!$AC$2:$AC$281,"SOFTWARE ENG. MANAGEMENT &gt; Software Project Enactment")</f>
        <v>0</v>
      </c>
      <c r="DJ17" s="17">
        <f>COUNTIFS('Prácticas_Revisiones'!$S$2:$S$282,"T011",'Prácticas_Revisiones'!$T$2:$T$282,"SOFTWARE ENG. MANAGEMENT &gt; Review and Evaluation")+COUNTIFS('Prácticas_Snowballing'!$AB$2:$AB$281,"T011",'Prácticas_Snowballing'!$AC$2:$AC$281,"SOFTWARE ENG. MANAGEMENT &gt; Review and Evaluation")</f>
        <v>0</v>
      </c>
      <c r="DK17" s="17">
        <f>COUNTIFS('Prácticas_Revisiones'!$S$2:$S$282,"T011",'Prácticas_Revisiones'!$T$2:$T$282,"SOFTWARE ENG. MANAGEMENT &gt; Closure")+COUNTIFS('Prácticas_Snowballing'!$AB$2:$AB$281,"T011",'Prácticas_Snowballing'!$AC$2:$AC$281,"SOFTWARE ENG. MANAGEMENT &gt; Closure")</f>
        <v>0</v>
      </c>
      <c r="DL17" s="17">
        <f>COUNTIFS('Prácticas_Revisiones'!$S$2:$S$282,"T011",'Prácticas_Revisiones'!$T$2:$T$282,"SOFTWARE ENG. MANAGEMENT &gt; Software Engineering Management Tools")+COUNTIFS('Prácticas_Snowballing'!$AB$2:$AB$281,"T011",'Prácticas_Snowballing'!$AC$2:$AC$281,"SOFTWARE ENG. MANAGEMENT &gt; Software Engineering Management Tools")</f>
        <v>0</v>
      </c>
      <c r="DM17" s="17">
        <f>COUNTIFS('Prácticas_Revisiones'!$S$2:$S$282,"T011",'Prácticas_Revisiones'!$T$2:$T$282,"SOFTWARE ENG. MANAGEMENT &gt; Subárea no determinable")+COUNTIFS('Prácticas_Snowballing'!$AB$2:$AB$281,"T011",'Prácticas_Snowballing'!$AC$2:$AC$281,"SOFTWARE ENG. MANAGEMENT &gt; Subárea no determinable")</f>
        <v>0</v>
      </c>
      <c r="DN17" s="29">
        <f t="shared" si="15"/>
        <v>0</v>
      </c>
      <c r="DO17" s="17">
        <f>COUNTIFS('Prácticas_Revisiones'!$S$2:$S$282,"T011",'Prácticas_Revisiones'!$T$2:$T$282,"Sin área SWEBOK")+COUNTIFS('Prácticas_Snowballing'!$AB$2:$AB$281,"T011",'Prácticas_Snowballing'!$AC$2:$AC$281,"Sin área SWEBOK")</f>
        <v>0</v>
      </c>
      <c r="DP17" s="27">
        <f t="shared" si="16"/>
        <v>0</v>
      </c>
    </row>
    <row r="18">
      <c r="A18" s="23"/>
      <c r="B18" s="9" t="s">
        <v>2199</v>
      </c>
      <c r="C18" s="17">
        <f>COUNTIFS('Prácticas_Revisiones'!$S$2:$S$282,"Sin equivalente en catálogo (RECORDAR)",'Prácticas_Revisiones'!$T$2:$T$282,"REQUIREMENTS &gt; Software Requirements Fundamentals")+COUNTIFS('Prácticas_Snowballing'!$AB$2:$AB$281,"Sin equivalente en catálogo (RECORDAR)",'Prácticas_Snowballing'!$AC$2:$AC$281,"REQUIREMENTS &gt; Software Requirements Fundamentals")</f>
        <v>0</v>
      </c>
      <c r="D18" s="17">
        <f>COUNTIFS('Prácticas_Revisiones'!$S$2:$S$282,"Sin equivalente en catálogo (RECORDAR)",'Prácticas_Revisiones'!$T$2:$T$282,"REQUIREMENTS &gt; Requirements Elicitation")+COUNTIFS('Prácticas_Snowballing'!$AB$2:$AB$281,"Sin equivalente en catálogo (RECORDAR)",'Prácticas_Snowballing'!$AC$2:$AC$281,"REQUIREMENTS &gt; Requirements Elicitation")</f>
        <v>0</v>
      </c>
      <c r="E18" s="17">
        <f>COUNTIFS('Prácticas_Revisiones'!$S$2:$S$282,"Sin equivalente en catálogo (RECORDAR)",'Prácticas_Revisiones'!$T$2:$T$282,"REQUIREMENTS &gt; Requirements Analysis")+COUNTIFS('Prácticas_Snowballing'!$AB$2:$AB$281,"Sin equivalente en catálogo (RECORDAR)",'Prácticas_Snowballing'!$AC$2:$AC$281,"REQUIREMENTS &gt; Requirements Analysis")</f>
        <v>0</v>
      </c>
      <c r="F18" s="17">
        <f>COUNTIFS('Prácticas_Revisiones'!$S$2:$S$282,"Sin equivalente en catálogo (RECORDAR)",'Prácticas_Revisiones'!$T$2:$T$282,"REQUIREMENTS &gt; Requirements Specification")+COUNTIFS('Prácticas_Snowballing'!$AB$2:$AB$281,"Sin equivalente en catálogo (RECORDAR)",'Prácticas_Snowballing'!$AC$2:$AC$281,"REQUIREMENTS &gt; Requirements Specification")</f>
        <v>0</v>
      </c>
      <c r="G18" s="17">
        <f>COUNTIFS('Prácticas_Revisiones'!$S$2:$S$282,"Sin equivalente en catálogo (RECORDAR)",'Prácticas_Revisiones'!$T$2:$T$282,"REQUIREMENTS &gt; Requirements Validation")+COUNTIFS('Prácticas_Snowballing'!$AB$2:$AB$281,"Sin equivalente en catálogo (RECORDAR)",'Prácticas_Snowballing'!$AC$2:$AC$281,"REQUIREMENTS &gt; Requirements Validation")</f>
        <v>0</v>
      </c>
      <c r="H18" s="17">
        <f>COUNTIFS('Prácticas_Revisiones'!$S$2:$S$282,"Sin equivalente en catálogo (RECORDAR)",'Prácticas_Revisiones'!$T$2:$T$282,"REQUIREMENTS &gt; Requirements Management Activities")+COUNTIFS('Prácticas_Snowballing'!$AB$2:$AB$281,"Sin equivalente en catálogo (RECORDAR)",'Prácticas_Snowballing'!$AC$2:$AC$281,"REQUIREMENTS &gt; Requirements Management Activities")</f>
        <v>0</v>
      </c>
      <c r="I18" s="17">
        <f>COUNTIFS('Prácticas_Revisiones'!$S$2:$S$282,"Sin equivalente en catálogo (RECORDAR)",'Prácticas_Revisiones'!$T$2:$T$282,"REQUIREMENTS &gt; Practical Considerations")+COUNTIFS('Prácticas_Snowballing'!$AB$2:$AB$281,"Sin equivalente en catálogo (RECORDAR)",'Prácticas_Snowballing'!$AC$2:$AC$281,"REQUIREMENTS &gt; Practical Considerations")</f>
        <v>0</v>
      </c>
      <c r="J18" s="17">
        <f>COUNTIFS('Prácticas_Revisiones'!$S$2:$S$282,"Sin equivalente en catálogo (RECORDAR)",'Prácticas_Revisiones'!$T$2:$T$282,"REQUIREMENTS &gt; Software Requirements Tools")+COUNTIFS('Prácticas_Snowballing'!$AB$2:$AB$281,"Sin equivalente en catálogo (RECORDAR)",'Prácticas_Snowballing'!$AC$2:$AC$281,"REQUIREMENTS &gt; Software Requirements Tools")</f>
        <v>0</v>
      </c>
      <c r="K18" s="17">
        <f>COUNTIFS('Prácticas_Revisiones'!$S$2:$S$282,"Sin equivalente en catálogo (RECORDAR)",'Prácticas_Revisiones'!$T$2:$T$282,"REQUIREMENTS &gt; Subárea no determinable")+COUNTIFS('Prácticas_Snowballing'!$AB$2:$AB$281,"Sin equivalente en catálogo (RECORDAR)",'Prácticas_Snowballing'!$AC$2:$AC$281,"REQUIREMENTS &gt; Subárea no determinable")</f>
        <v>0</v>
      </c>
      <c r="L18" s="29">
        <f t="shared" si="1"/>
        <v>0</v>
      </c>
      <c r="M18" s="17">
        <f>COUNTIFS('Prácticas_Revisiones'!$S$2:$S$282,"Sin equivalente en catálogo (RECORDAR)",'Prácticas_Revisiones'!$T$2:$T$282,"ARCHITECTURE &gt; Software Architecture Fundamentals")+COUNTIFS('Prácticas_Snowballing'!$AB$2:$AB$281,"Sin equivalente en catálogo (RECORDAR)",'Prácticas_Snowballing'!$AC$2:$AC$281,"ARCHITECTURE &gt; Software Architecture Fundamentals")</f>
        <v>0</v>
      </c>
      <c r="N18" s="17">
        <f>COUNTIFS('Prácticas_Revisiones'!$S$2:$S$282,"Sin equivalente en catálogo (RECORDAR)",'Prácticas_Revisiones'!$T$2:$T$282,"ARCHITECTURE &gt; Software Architecture Description")+COUNTIFS('Prácticas_Snowballing'!$AB$2:$AB$281,"Sin equivalente en catálogo (RECORDAR)",'Prácticas_Snowballing'!$AC$2:$AC$281,"ARCHITECTURE &gt; Software Architecture Description")</f>
        <v>0</v>
      </c>
      <c r="O18" s="17">
        <f>COUNTIFS('Prácticas_Revisiones'!$S$2:$S$282,"Sin equivalente en catálogo (RECORDAR)",'Prácticas_Revisiones'!$T$2:$T$282,"ARCHITECTURE &gt; Software Architecture Process")+COUNTIFS('Prácticas_Snowballing'!$AB$2:$AB$281,"Sin equivalente en catálogo (RECORDAR)",'Prácticas_Snowballing'!$AC$2:$AC$281,"ARCHITECTURE &gt; Software Architecture Process")</f>
        <v>0</v>
      </c>
      <c r="P18" s="17">
        <f>COUNTIFS('Prácticas_Revisiones'!$S$2:$S$282,"Sin equivalente en catálogo (RECORDAR)",'Prácticas_Revisiones'!$T$2:$T$282,"ARCHITECTURE &gt; Software Architecture Evaluation")+COUNTIFS('Prácticas_Snowballing'!$AB$2:$AB$281,"Sin equivalente en catálogo (RECORDAR)",'Prácticas_Snowballing'!$AC$2:$AC$281,"ARCHITECTURE &gt; Software Architecture Evaluation")</f>
        <v>0</v>
      </c>
      <c r="Q18" s="17">
        <f>COUNTIFS('Prácticas_Revisiones'!$S$2:$S$282,"Sin equivalente en catálogo (RECORDAR)",'Prácticas_Revisiones'!$T$2:$T$282,"ARCHITECTURE &gt; Subárea no determinable")+COUNTIFS('Prácticas_Snowballing'!$AB$2:$AB$281,"Sin equivalente en catálogo (RECORDAR)",'Prácticas_Snowballing'!$AC$2:$AC$281,"ARCHITECTURE &gt; Subárea no determinable")</f>
        <v>0</v>
      </c>
      <c r="R18" s="29">
        <f t="shared" si="2"/>
        <v>0</v>
      </c>
      <c r="S18" s="17">
        <f>COUNTIFS('Prácticas_Revisiones'!$S$2:$S$282,"Sin equivalente en catálogo (RECORDAR)",'Prácticas_Revisiones'!$T$2:$T$282,"DESIGN &gt; Software Design Fundamentals")+COUNTIFS('Prácticas_Snowballing'!$AB$2:$AB$281,"Sin equivalente en catálogo (RECORDAR)",'Prácticas_Snowballing'!$AC$2:$AC$281,"DESIGN &gt; Software Design Fundamentals")</f>
        <v>0</v>
      </c>
      <c r="T18" s="17">
        <f>COUNTIFS('Prácticas_Revisiones'!$S$2:$S$282,"Sin equivalente en catálogo (RECORDAR)",'Prácticas_Revisiones'!$T$2:$T$282,"DESIGN &gt; Software Design Processes")+COUNTIFS('Prácticas_Snowballing'!$AB$2:$AB$281,"Sin equivalente en catálogo (RECORDAR)",'Prácticas_Snowballing'!$AC$2:$AC$281,"DESIGN &gt; Software Design Processes")</f>
        <v>0</v>
      </c>
      <c r="U18" s="17">
        <f>COUNTIFS('Prácticas_Revisiones'!$S$2:$S$282,"Sin equivalente en catálogo (RECORDAR)",'Prácticas_Revisiones'!$T$2:$T$282,"DESIGN &gt; Software Design Qualities")+COUNTIFS('Prácticas_Snowballing'!$AB$2:$AB$281,"Sin equivalente en catálogo (RECORDAR)",'Prácticas_Snowballing'!$AC$2:$AC$281,"DESIGN &gt; Software Design Qualities")</f>
        <v>0</v>
      </c>
      <c r="V18" s="17">
        <f>COUNTIFS('Prácticas_Revisiones'!$S$2:$S$282,"Sin equivalente en catálogo (RECORDAR)",'Prácticas_Revisiones'!$T$2:$T$282,"DESIGN &gt; Recording Software Design")+COUNTIFS('Prácticas_Snowballing'!$AB$2:$AB$281,"Sin equivalente en catálogo (RECORDAR)",'Prácticas_Snowballing'!$AC$2:$AC$281,"DESIGN &gt; Recording Software Design")</f>
        <v>0</v>
      </c>
      <c r="W18" s="17">
        <f>COUNTIFS('Prácticas_Revisiones'!$S$2:$S$282,"Sin equivalente en catálogo (RECORDAR)",'Prácticas_Revisiones'!$T$2:$T$282,"DESIGN &gt; Software Design Strategies and Methods")+COUNTIFS('Prácticas_Snowballing'!$AB$2:$AB$281,"Sin equivalente en catálogo (RECORDAR)",'Prácticas_Snowballing'!$AC$2:$AC$281,"DESIGN &gt; Software Design Strategies and Methods")</f>
        <v>0</v>
      </c>
      <c r="X18" s="17">
        <f>COUNTIFS('Prácticas_Revisiones'!$S$2:$S$282,"Sin equivalente en catálogo (RECORDAR)",'Prácticas_Revisiones'!$T$2:$T$282,"DESIGN &gt; Software Design Analysis and Evaluations")+COUNTIFS('Prácticas_Snowballing'!$AB$2:$AB$281,"Sin equivalente en catálogo (RECORDAR)",'Prácticas_Snowballing'!$AC$2:$AC$281,"DESIGN &gt; Software Design Analysis and Evaluations")</f>
        <v>0</v>
      </c>
      <c r="Y18" s="17">
        <f>COUNTIFS('Prácticas_Revisiones'!$S$2:$S$282,"Sin equivalente en catálogo (RECORDAR)",'Prácticas_Revisiones'!$T$2:$T$282,"DESIGN &gt; Subárea no determinable")+COUNTIFS('Prácticas_Snowballing'!$AB$2:$AB$281,"Sin equivalente en catálogo (RECORDAR)",'Prácticas_Snowballing'!$AC$2:$AC$281,"DESIGN &gt; Subárea no determinable")</f>
        <v>0</v>
      </c>
      <c r="Z18" s="29">
        <f t="shared" si="3"/>
        <v>0</v>
      </c>
      <c r="AA18" s="17">
        <f>COUNTIFS('Prácticas_Revisiones'!$S$2:$S$282,"Sin equivalente en catálogo (RECORDAR)",'Prácticas_Revisiones'!$T$2:$T$282,"CONSTRUCTION &gt; Software Construction Fundamentals")+COUNTIFS('Prácticas_Snowballing'!$AB$2:$AB$281,"Sin equivalente en catálogo (RECORDAR)",'Prácticas_Snowballing'!$AC$2:$AC$281,"CONSTRUCTION &gt; Software Construction Fundamentals")</f>
        <v>0</v>
      </c>
      <c r="AB18" s="17">
        <f>COUNTIFS('Prácticas_Revisiones'!$S$2:$S$282,"Sin equivalente en catálogo (RECORDAR)",'Prácticas_Revisiones'!$T$2:$T$282,"CONSTRUCTION &gt; Managing Construction")+COUNTIFS('Prácticas_Snowballing'!$AB$2:$AB$281,"Sin equivalente en catálogo (RECORDAR)",'Prácticas_Snowballing'!$AC$2:$AC$281,"CONSTRUCTION &gt; Managing Construction")</f>
        <v>0</v>
      </c>
      <c r="AC18" s="17">
        <f>COUNTIFS('Prácticas_Revisiones'!$S$2:$S$282,"Sin equivalente en catálogo (RECORDAR)",'Prácticas_Revisiones'!$T$2:$T$282,"CONSTRUCTION &gt; Practical Considerations")+COUNTIFS('Prácticas_Snowballing'!$AB$2:$AB$281,"Sin equivalente en catálogo (RECORDAR)",'Prácticas_Snowballing'!$AC$2:$AC$281,"CONSTRUCTION &gt; Practical Considerations")</f>
        <v>0</v>
      </c>
      <c r="AD18" s="17">
        <f>COUNTIFS('Prácticas_Revisiones'!$S$2:$S$282,"Sin equivalente en catálogo (RECORDAR)",'Prácticas_Revisiones'!$T$2:$T$282,"CONSTRUCTION &gt; Construction Technologies")+COUNTIFS('Prácticas_Snowballing'!$AB$2:$AB$281,"Sin equivalente en catálogo (RECORDAR)",'Prácticas_Snowballing'!$AC$2:$AC$281,"CONSTRUCTION &gt; Construction Technologies")</f>
        <v>0</v>
      </c>
      <c r="AE18" s="17">
        <f>COUNTIFS('Prácticas_Revisiones'!$S$2:$S$282,"Sin equivalente en catálogo (RECORDAR)",'Prácticas_Revisiones'!$T$2:$T$282,"CONSTRUCTION &gt; Software Construction Tools")+COUNTIFS('Prácticas_Snowballing'!$AB$2:$AB$281,"Sin equivalente en catálogo (RECORDAR)",'Prácticas_Snowballing'!$AC$2:$AC$281,"CONSTRUCTION &gt; Software Construction Tools")</f>
        <v>0</v>
      </c>
      <c r="AF18" s="17">
        <f>COUNTIFS('Prácticas_Revisiones'!$S$2:$S$282,"Sin equivalente en catálogo (RECORDAR)",'Prácticas_Revisiones'!$T$2:$T$282,"CONSTRUCTION &gt; Subárea no determinable")+COUNTIFS('Prácticas_Snowballing'!$AB$2:$AB$281,"Sin equivalente en catálogo (RECORDAR)",'Prácticas_Snowballing'!$AC$2:$AC$281,"CONSTRUCTION &gt; Subárea no determinable")</f>
        <v>0</v>
      </c>
      <c r="AG18" s="29">
        <f t="shared" si="4"/>
        <v>0</v>
      </c>
      <c r="AH18" s="17">
        <f>COUNTIFS('Prácticas_Revisiones'!$S$2:$S$282,"Sin equivalente en catálogo (RECORDAR)",'Prácticas_Revisiones'!$T$2:$T$282,"SOFTWARE TESTING &gt; Software Testing Fundamentals")+COUNTIFS('Prácticas_Snowballing'!$AB$2:$AB$281,"Sin equivalente en catálogo (RECORDAR)",'Prácticas_Snowballing'!$AC$2:$AC$281,"SOFTWARE TESTING &gt; Software Testing Fundamentals")</f>
        <v>0</v>
      </c>
      <c r="AI18" s="17">
        <f>COUNTIFS('Prácticas_Revisiones'!$S$2:$S$282,"Sin equivalente en catálogo (RECORDAR)",'Prácticas_Revisiones'!$T$2:$T$282,"SOFTWARE TESTING &gt; Test Levels")+COUNTIFS('Prácticas_Snowballing'!$AB$2:$AB$281,"Sin equivalente en catálogo (RECORDAR)",'Prácticas_Snowballing'!$AC$2:$AC$281,"SOFTWARE TESTING &gt; Test Levels")</f>
        <v>0</v>
      </c>
      <c r="AJ18" s="17">
        <f>COUNTIFS('Prácticas_Revisiones'!$S$2:$S$282,"Sin equivalente en catálogo (RECORDAR)",'Prácticas_Revisiones'!$T$2:$T$282,"SOFTWARE TESTING &gt; Test Techniques")+COUNTIFS('Prácticas_Snowballing'!$AB$2:$AB$281,"Sin equivalente en catálogo (RECORDAR)",'Prácticas_Snowballing'!$AC$2:$AC$281,"SOFTWARE TESTING &gt; Test Techniques")</f>
        <v>0</v>
      </c>
      <c r="AK18" s="17">
        <f>COUNTIFS('Prácticas_Revisiones'!$S$2:$S$282,"Sin equivalente en catálogo (RECORDAR)",'Prácticas_Revisiones'!$T$2:$T$282,"SOFTWARE TESTING &gt; Test-Related Measures")+COUNTIFS('Prácticas_Snowballing'!$AB$2:$AB$281,"Sin equivalente en catálogo (RECORDAR)",'Prácticas_Snowballing'!$AC$2:$AC$281,"SOFTWARE TESTING &gt; Test-Related Measures")</f>
        <v>0</v>
      </c>
      <c r="AL18" s="17">
        <f>COUNTIFS('Prácticas_Revisiones'!$S$2:$S$282,"Sin equivalente en catálogo (RECORDAR)",'Prácticas_Revisiones'!$T$2:$T$282,"SOFTWARE TESTING &gt; Test Process")+COUNTIFS('Prácticas_Snowballing'!$AB$2:$AB$281,"Sin equivalente en catálogo (RECORDAR)",'Prácticas_Snowballing'!$AC$2:$AC$281,"SOFTWARE TESTING &gt; Test Process")</f>
        <v>0</v>
      </c>
      <c r="AM18" s="17">
        <f>COUNTIFS('Prácticas_Revisiones'!$S$2:$S$282,"Sin equivalente en catálogo (RECORDAR)",'Prácticas_Revisiones'!$T$2:$T$282,"SOFTWARE TESTING &gt; Software Testing in the Development Processes...")+COUNTIFS('Prácticas_Snowballing'!$AB$2:$AB$281,"Sin equivalente en catálogo (RECORDAR)",'Prácticas_Snowballing'!$AC$2:$AC$281,"SOFTWARE TESTING &gt; Software Testing in the Development Processes...")</f>
        <v>0</v>
      </c>
      <c r="AN18" s="17">
        <f>COUNTIFS('Prácticas_Revisiones'!$S$2:$S$282,"Sin equivalente en catálogo (RECORDAR)",'Prácticas_Revisiones'!$T$2:$T$282,"SOFTWARE TESTING &gt; Testing of and Testing Through Emerging Tech...")+COUNTIFS('Prácticas_Snowballing'!$AB$2:$AB$281,"Sin equivalente en catálogo (RECORDAR)",'Prácticas_Snowballing'!$AC$2:$AC$281,"SOFTWARE TESTING &gt; Testing of and Testing Through Emerging Tech...")</f>
        <v>0</v>
      </c>
      <c r="AO18" s="17">
        <f>COUNTIFS('Prácticas_Revisiones'!$S$2:$S$282,"Sin equivalente en catálogo (RECORDAR)",'Prácticas_Revisiones'!$T$2:$T$282,"SOFTWARE TESTING &gt; Software Testing Tools")+COUNTIFS('Prácticas_Snowballing'!$AB$2:$AB$281,"Sin equivalente en catálogo (RECORDAR)",'Prácticas_Snowballing'!$AC$2:$AC$281,"SOFTWARE TESTING &gt; Software Testing Tools")</f>
        <v>0</v>
      </c>
      <c r="AP18" s="17">
        <f>COUNTIFS('Prácticas_Revisiones'!$S$2:$S$282,"Sin equivalente en catálogo (RECORDAR)",'Prácticas_Revisiones'!$T$2:$T$282,"SOFTWARE TESTING &gt; Subárea no determinable")+COUNTIFS('Prácticas_Snowballing'!$AB$2:$AB$281,"Sin equivalente en catálogo (RECORDAR)",'Prácticas_Snowballing'!$AC$2:$AC$281,"SOFTWARE TESTING &gt; Subárea no determinable")</f>
        <v>0</v>
      </c>
      <c r="AQ18" s="29">
        <f t="shared" si="5"/>
        <v>0</v>
      </c>
      <c r="AR18" s="17">
        <f>COUNTIFS('Prácticas_Revisiones'!$S$2:$S$282,"Sin equivalente en catálogo (RECORDAR)",'Prácticas_Revisiones'!$T$2:$T$282,"SOFTWARE ENG. OPERATIONS &gt; Software Engineering Operations Fundamentals")+COUNTIFS('Prácticas_Snowballing'!$AB$2:$AB$281,"Sin equivalente en catálogo (RECORDAR)",'Prácticas_Snowballing'!$AC$2:$AC$281,"SOFTWARE ENG. OPERATIONS &gt; Software Engineering Operations Fundamentals")</f>
        <v>0</v>
      </c>
      <c r="AS18" s="17">
        <f>COUNTIFS('Prácticas_Revisiones'!$S$2:$S$282,"Sin equivalente en catálogo (RECORDAR)",'Prácticas_Revisiones'!$T$2:$T$282,"SOFTWARE ENG. OPERATIONS &gt; Software Engineering Operations Planning")+COUNTIFS('Prácticas_Snowballing'!$AB$2:$AB$281,"Sin equivalente en catálogo (RECORDAR)",'Prácticas_Snowballing'!$AC$2:$AC$281,"SOFTWARE ENG. OPERATIONS &gt; Software Engineering Operations Planning")</f>
        <v>0</v>
      </c>
      <c r="AT18" s="17">
        <f>COUNTIFS('Prácticas_Revisiones'!$S$2:$S$282,"Sin equivalente en catálogo (RECORDAR)",'Prácticas_Revisiones'!$T$2:$T$282,"SOFTWARE ENG. OPERATIONS &gt; Software Engineering Operations Delivery")+COUNTIFS('Prácticas_Snowballing'!$AB$2:$AB$281,"Sin equivalente en catálogo (RECORDAR)",'Prácticas_Snowballing'!$AC$2:$AC$281,"SOFTWARE ENG. OPERATIONS &gt; Software Engineering Operations Delivery")</f>
        <v>0</v>
      </c>
      <c r="AU18" s="17">
        <f>COUNTIFS('Prácticas_Revisiones'!$S$2:$S$282,"Sin equivalente en catálogo (RECORDAR)",'Prácticas_Revisiones'!$T$2:$T$282,"SOFTWARE ENG. OPERATIONS &gt; Software Engineering Operations Control")+COUNTIFS('Prácticas_Snowballing'!$AB$2:$AB$281,"Sin equivalente en catálogo (RECORDAR)",'Prácticas_Snowballing'!$AC$2:$AC$281,"SOFTWARE ENG. OPERATIONS &gt; Software Engineering Operations Control")</f>
        <v>0</v>
      </c>
      <c r="AV18" s="17">
        <f>COUNTIFS('Prácticas_Revisiones'!$S$2:$S$282,"Sin equivalente en catálogo (RECORDAR)",'Prácticas_Revisiones'!$T$2:$T$282,"SOFTWARE ENG. OPERATIONS &gt; Practical Considerations")+COUNTIFS('Prácticas_Snowballing'!$AB$2:$AB$281,"Sin equivalente en catálogo (RECORDAR)",'Prácticas_Snowballing'!$AC$2:$AC$281,"SOFTWARE ENG. OPERATIONS &gt; Practical Considerations")</f>
        <v>0</v>
      </c>
      <c r="AW18" s="17">
        <f>COUNTIFS('Prácticas_Revisiones'!$S$2:$S$282,"Sin equivalente en catálogo (RECORDAR)",'Prácticas_Revisiones'!$T$2:$T$282,"SOFTWARE ENG. OPERATIONS &gt; Software Engineering Operations Tools")+COUNTIFS('Prácticas_Snowballing'!$AB$2:$AB$281,"Sin equivalente en catálogo (RECORDAR)",'Prácticas_Snowballing'!$AC$2:$AC$281,"SOFTWARE ENG. OPERATIONS &gt; Software Engineering Operations Tools")</f>
        <v>0</v>
      </c>
      <c r="AX18" s="17">
        <f>COUNTIFS('Prácticas_Revisiones'!$S$2:$S$282,"Sin equivalente en catálogo (RECORDAR)",'Prácticas_Revisiones'!$T$2:$T$282,"SOFTWARE ENG. OPERATIONS &gt; Subárea no determinable")+COUNTIFS('Prácticas_Snowballing'!$AB$2:$AB$281,"Sin equivalente en catálogo (RECORDAR)",'Prácticas_Snowballing'!$AC$2:$AC$281,"SOFTWARE ENG. OPERATIONS &gt; Subárea no determinable")</f>
        <v>0</v>
      </c>
      <c r="AY18" s="29">
        <f t="shared" si="6"/>
        <v>0</v>
      </c>
      <c r="AZ18" s="17">
        <f>COUNTIFS('Prácticas_Revisiones'!$S$2:$S$282,"Sin equivalente en catálogo (RECORDAR)",'Prácticas_Revisiones'!$T$2:$T$282,"MAINTENANCE &gt; Software Maintenance Fundamentals")+COUNTIFS('Prácticas_Snowballing'!$AB$2:$AB$281,"Sin equivalente en catálogo (RECORDAR)",'Prácticas_Snowballing'!$AC$2:$AC$281,"MAINTENANCE &gt; Software Maintenance Fundamentals")</f>
        <v>0</v>
      </c>
      <c r="BA18" s="17">
        <f>COUNTIFS('Prácticas_Revisiones'!$S$2:$S$282,"Sin equivalente en catálogo (RECORDAR)",'Prácticas_Revisiones'!$T$2:$T$282,"MAINTENANCE &gt; Key Issues in Software Maintenance")+COUNTIFS('Prácticas_Snowballing'!$AB$2:$AB$281,"Sin equivalente en catálogo (RECORDAR)",'Prácticas_Snowballing'!$AC$2:$AC$281,"MAINTENANCE &gt; Key Issues in Software Maintenance")</f>
        <v>0</v>
      </c>
      <c r="BB18" s="17">
        <f>COUNTIFS('Prácticas_Revisiones'!$S$2:$S$282,"Sin equivalente en catálogo (RECORDAR)",'Prácticas_Revisiones'!$T$2:$T$282,"MAINTENANCE &gt; Software Maintenance Processes")+COUNTIFS('Prácticas_Snowballing'!$AB$2:$AB$281,"Sin equivalente en catálogo (RECORDAR)",'Prácticas_Snowballing'!$AC$2:$AC$281,"MAINTENANCE &gt; Software Maintenance Processes")</f>
        <v>0</v>
      </c>
      <c r="BC18" s="17">
        <f>COUNTIFS('Prácticas_Revisiones'!$S$2:$S$282,"Sin equivalente en catálogo (RECORDAR)",'Prácticas_Revisiones'!$T$2:$T$282,"MAINTENANCE &gt; Software Maintenance Techniques")+COUNTIFS('Prácticas_Snowballing'!$AB$2:$AB$281,"Sin equivalente en catálogo (RECORDAR)",'Prácticas_Snowballing'!$AC$2:$AC$281,"MAINTENANCE &gt; Software Maintenance Techniques")</f>
        <v>0</v>
      </c>
      <c r="BD18" s="17">
        <f>COUNTIFS('Prácticas_Revisiones'!$S$2:$S$282,"Sin equivalente en catálogo (RECORDAR)",'Prácticas_Revisiones'!$T$2:$T$282,"MAINTENANCE &gt; Software Maintenance Tools")+COUNTIFS('Prácticas_Snowballing'!$AB$2:$AB$281,"Sin equivalente en catálogo (RECORDAR)",'Prácticas_Snowballing'!$AC$2:$AC$281,"MAINTENANCE &gt; Software Maintenance Tools")</f>
        <v>0</v>
      </c>
      <c r="BE18" s="17">
        <f>COUNTIFS('Prácticas_Revisiones'!$S$2:$S$282,"Sin equivalente en catálogo (RECORDAR)",'Prácticas_Revisiones'!$T$2:$T$282,"MAINTENANCE &gt; Subárea no determinable")+COUNTIFS('Prácticas_Snowballing'!$AB$2:$AB$281,"Sin equivalente en catálogo (RECORDAR)",'Prácticas_Snowballing'!$AC$2:$AC$281,"MAINTENANCE &gt; Subárea no determinable")</f>
        <v>0</v>
      </c>
      <c r="BF18" s="29">
        <f t="shared" si="7"/>
        <v>0</v>
      </c>
      <c r="BG18" s="17">
        <f>COUNTIFS('Prácticas_Revisiones'!$S$2:$S$282,"Sin equivalente en catálogo (RECORDAR)",'Prácticas_Revisiones'!$T$2:$T$282,"SOFTWARE CONFIG. MGMT. &gt; Management of the SCM Process")+COUNTIFS('Prácticas_Snowballing'!$AB$2:$AB$281,"Sin equivalente en catálogo (RECORDAR)",'Prácticas_Snowballing'!$AC$2:$AC$281,"SOFTWARE CONFIG. MGMT. &gt; Management of the SCM Process")</f>
        <v>0</v>
      </c>
      <c r="BH18" s="17">
        <f>COUNTIFS('Prácticas_Revisiones'!$S$2:$S$282,"Sin equivalente en catálogo (RECORDAR)",'Prácticas_Revisiones'!$T$2:$T$282,"SOFTWARE CONFIG. MGMT. &gt; Software Configuration Identification")+COUNTIFS('Prácticas_Snowballing'!$AB$2:$AB$281,"Sin equivalente en catálogo (RECORDAR)",'Prácticas_Snowballing'!$AC$2:$AC$281,"SOFTWARE CONFIG. MGMT. &gt; Software Configuration Identification")</f>
        <v>0</v>
      </c>
      <c r="BI18" s="17">
        <f>COUNTIFS('Prácticas_Revisiones'!$S$2:$S$282,"Sin equivalente en catálogo (RECORDAR)",'Prácticas_Revisiones'!$T$2:$T$282,"SOFTWARE CONFIG. MGMT. &gt; Software Configuration Change Control")+COUNTIFS('Prácticas_Snowballing'!$AB$2:$AB$281,"Sin equivalente en catálogo (RECORDAR)",'Prácticas_Snowballing'!$AC$2:$AC$281,"SOFTWARE CONFIG. MGMT. &gt; Software Configuration Change Control")</f>
        <v>0</v>
      </c>
      <c r="BJ18" s="17">
        <f>COUNTIFS('Prácticas_Revisiones'!$S$2:$S$282,"Sin equivalente en catálogo (RECORDAR)",'Prácticas_Revisiones'!$T$2:$T$282,"SOFTWARE CONFIG. MGMT. &gt; Software Configuration Status Accounting")+COUNTIFS('Prácticas_Snowballing'!$AB$2:$AB$281,"Sin equivalente en catálogo (RECORDAR)",'Prácticas_Snowballing'!$AC$2:$AC$281,"SOFTWARE CONFIG. MGMT. &gt; Software Configuration Status Accounting")</f>
        <v>0</v>
      </c>
      <c r="BK18" s="17">
        <f>COUNTIFS('Prácticas_Revisiones'!$S$2:$S$282,"Sin equivalente en catálogo (RECORDAR)",'Prácticas_Revisiones'!$T$2:$T$282,"SOFTWARE CONFIG. MGMT. &gt; Software Configuration Auditing")+COUNTIFS('Prácticas_Snowballing'!$AB$2:$AB$281,"Sin equivalente en catálogo (RECORDAR)",'Prácticas_Snowballing'!$AC$2:$AC$281,"SOFTWARE CONFIG. MGMT. &gt; Software Configuration Auditing")</f>
        <v>0</v>
      </c>
      <c r="BL18" s="17">
        <f>COUNTIFS('Prácticas_Revisiones'!$S$2:$S$282,"Sin equivalente en catálogo (RECORDAR)",'Prácticas_Revisiones'!$T$2:$T$282,"SOFTWARE CONFIG. MGMT. &gt; Software Release Management and Delivery")+COUNTIFS('Prácticas_Snowballing'!$AB$2:$AB$281,"Sin equivalente en catálogo (RECORDAR)",'Prácticas_Snowballing'!$AC$2:$AC$281,"SOFTWARE CONFIG. MGMT. &gt; Software Release Management and Delivery")</f>
        <v>0</v>
      </c>
      <c r="BM18" s="17">
        <f>COUNTIFS('Prácticas_Revisiones'!$S$2:$S$282,"Sin equivalente en catálogo (RECORDAR)",'Prácticas_Revisiones'!$T$2:$T$282,"SOFTWARE CONFIG. MGMT. &gt; Software Configuration Management Tools")+COUNTIFS('Prácticas_Snowballing'!$AB$2:$AB$281,"Sin equivalente en catálogo (RECORDAR)",'Prácticas_Snowballing'!$AC$2:$AC$281,"SOFTWARE CONFIG. MGMT. &gt; Software Configuration Management Tools")</f>
        <v>0</v>
      </c>
      <c r="BN18" s="17">
        <f>COUNTIFS('Prácticas_Revisiones'!$S$2:$S$282,"Sin equivalente en catálogo (RECORDAR)",'Prácticas_Revisiones'!$T$2:$T$282,"SOFTWARE CONFIG. MGMT. &gt; Subárea no determinable")+COUNTIFS('Prácticas_Snowballing'!$AB$2:$AB$281,"Sin equivalente en catálogo (RECORDAR)",'Prácticas_Snowballing'!$AC$2:$AC$281,"SOFTWARE CONFIG. MGMT. &gt; Subárea no determinable")</f>
        <v>0</v>
      </c>
      <c r="BO18" s="29">
        <f t="shared" si="8"/>
        <v>0</v>
      </c>
      <c r="BP18" s="17">
        <f>COUNTIFS('Prácticas_Revisiones'!$S$2:$S$282,"Sin equivalente en catálogo (RECORDAR)",'Prácticas_Revisiones'!$T$2:$T$282,"SOFTWARE ENG. PROCESS &gt; Software Engineering Process Fundamentals")+COUNTIFS('Prácticas_Snowballing'!$AB$2:$AB$281,"Sin equivalente en catálogo (RECORDAR)",'Prácticas_Snowballing'!$AC$2:$AC$281,"SOFTWARE ENG. PROCESS &gt; Software Engineering Process Fundamentals")</f>
        <v>0</v>
      </c>
      <c r="BQ18" s="17">
        <f>COUNTIFS('Prácticas_Revisiones'!$S$2:$S$282,"Sin equivalente en catálogo (RECORDAR)",'Prácticas_Revisiones'!$T$2:$T$282,"SOFTWARE ENG. PROCESS &gt; Life Cycles")+COUNTIFS('Prácticas_Snowballing'!$AB$2:$AB$281,"Sin equivalente en catálogo (RECORDAR)",'Prácticas_Snowballing'!$AC$2:$AC$281,"SOFTWARE ENG. PROCESS &gt; Life Cycles")</f>
        <v>0</v>
      </c>
      <c r="BR18" s="17">
        <f>COUNTIFS('Prácticas_Revisiones'!$S$2:$S$282,"Sin equivalente en catálogo (RECORDAR)",'Prácticas_Revisiones'!$T$2:$T$282,"SOFTWARE ENG. PROCESS &gt; Software Process Assessment and Improvement")+COUNTIFS('Prácticas_Snowballing'!$AB$2:$AB$281,"Sin equivalente en catálogo (RECORDAR)",'Prácticas_Snowballing'!$AC$2:$AC$281,"SOFTWARE ENG. PROCESS &gt; Software Process Assessment and Improvement")</f>
        <v>0</v>
      </c>
      <c r="BS18" s="17">
        <f>COUNTIFS('Prácticas_Revisiones'!$S$2:$S$282,"Sin equivalente en catálogo (RECORDAR)",'Prácticas_Revisiones'!$T$2:$T$282,"SOFTWARE ENG. PROCESS &gt; Subárea no determinable")+COUNTIFS('Prácticas_Snowballing'!$AB$2:$AB$281,"Sin equivalente en catálogo (RECORDAR)",'Prácticas_Snowballing'!$AC$2:$AC$281,"SOFTWARE ENG. PROCESS &gt; Subárea no determinable")</f>
        <v>0</v>
      </c>
      <c r="BT18" s="29">
        <f t="shared" si="9"/>
        <v>0</v>
      </c>
      <c r="BU18" s="17">
        <f>COUNTIFS('Prácticas_Revisiones'!$S$2:$S$282,"Sin equivalente en catálogo (RECORDAR)",'Prácticas_Revisiones'!$T$2:$T$282,"SOFTWARE ENG. MODELS/METH. &gt; Modeling")+COUNTIFS('Prácticas_Snowballing'!$AB$2:$AB$281,"Sin equivalente en catálogo (RECORDAR)",'Prácticas_Snowballing'!$AC$2:$AC$281,"SOFTWARE ENG. MODELS/METH. &gt; Modeling")</f>
        <v>0</v>
      </c>
      <c r="BV18" s="17">
        <f>COUNTIFS('Prácticas_Revisiones'!$S$2:$S$282,"Sin equivalente en catálogo (RECORDAR)",'Prácticas_Revisiones'!$T$2:$T$282,"SOFTWARE ENG. MODELS/METH. &gt; Types of Models")+COUNTIFS('Prácticas_Snowballing'!$AB$2:$AB$281,"Sin equivalente en catálogo (RECORDAR)",'Prácticas_Snowballing'!$AC$2:$AC$281,"SOFTWARE ENG. MODELS/METH. &gt; Types of Models")</f>
        <v>0</v>
      </c>
      <c r="BW18" s="17">
        <f>COUNTIFS('Prácticas_Revisiones'!$S$2:$S$282,"Sin equivalente en catálogo (RECORDAR)",'Prácticas_Revisiones'!$T$2:$T$282,"SOFTWARE ENG. MODELS/METH. &gt; Analysis of Models")+COUNTIFS('Prácticas_Snowballing'!$AB$2:$AB$281,"Sin equivalente en catálogo (RECORDAR)",'Prácticas_Snowballing'!$AC$2:$AC$281,"SOFTWARE ENG. MODELS/METH. &gt; Analysis of Models")</f>
        <v>0</v>
      </c>
      <c r="BX18" s="17">
        <f>COUNTIFS('Prácticas_Revisiones'!$S$2:$S$282,"Sin equivalente en catálogo (RECORDAR)",'Prácticas_Revisiones'!$T$2:$T$282,"SOFTWARE ENG. MODELS/METH. &gt; Software Engineering Methods")+COUNTIFS('Prácticas_Snowballing'!$AB$2:$AB$281,"Sin equivalente en catálogo (RECORDAR)",'Prácticas_Snowballing'!$AC$2:$AC$281,"SOFTWARE ENG. MODELS/METH. &gt; Software Engineering Methods")</f>
        <v>0</v>
      </c>
      <c r="BY18" s="17">
        <f>COUNTIFS('Prácticas_Revisiones'!$S$2:$S$282,"Sin equivalente en catálogo (RECORDAR)",'Prácticas_Revisiones'!$T$2:$T$282,"SOFTWARE ENG. MODELS/METH. &gt; Subárea no determinable")+COUNTIFS('Prácticas_Snowballing'!$AB$2:$AB$281,"Sin equivalente en catálogo (RECORDAR)",'Prácticas_Snowballing'!$AC$2:$AC$281,"SOFTWARE ENG. MODELS/METH. &gt; Subárea no determinable")</f>
        <v>0</v>
      </c>
      <c r="BZ18" s="29">
        <f t="shared" si="10"/>
        <v>0</v>
      </c>
      <c r="CA18" s="17">
        <f>COUNTIFS('Prácticas_Revisiones'!$S$2:$S$282,"Sin equivalente en catálogo (RECORDAR)",'Prácticas_Revisiones'!$T$2:$T$282,"SOFTWARE QUALITY &gt; Software Quality Fundamentals")+COUNTIFS('Prácticas_Snowballing'!$AB$2:$AB$281,"Sin equivalente en catálogo (RECORDAR)",'Prácticas_Snowballing'!$AC$2:$AC$281,"SOFTWARE QUALITY &gt; Software Quality Fundamentals")</f>
        <v>0</v>
      </c>
      <c r="CB18" s="17">
        <f>COUNTIFS('Prácticas_Revisiones'!$S$2:$S$282,"Sin equivalente en catálogo (RECORDAR)",'Prácticas_Revisiones'!$T$2:$T$282,"SOFTWARE QUALITY &gt; Software Quality Management Process")+COUNTIFS('Prácticas_Snowballing'!$AB$2:$AB$281,"Sin equivalente en catálogo (RECORDAR)",'Prácticas_Snowballing'!$AC$2:$AC$281,"SOFTWARE QUALITY &gt; Software Quality Management Process")</f>
        <v>0</v>
      </c>
      <c r="CC18" s="17">
        <f>COUNTIFS('Prácticas_Revisiones'!$S$2:$S$282,"Sin equivalente en catálogo (RECORDAR)",'Prácticas_Revisiones'!$T$2:$T$282,"SOFTWARE QUALITY &gt; Software Quality Assurance Process")+COUNTIFS('Prácticas_Snowballing'!$AB$2:$AB$281,"Sin equivalente en catálogo (RECORDAR)",'Prácticas_Snowballing'!$AC$2:$AC$281,"SOFTWARE QUALITY &gt; Software Quality Assurance Process")</f>
        <v>0</v>
      </c>
      <c r="CD18" s="17">
        <f>COUNTIFS('Prácticas_Revisiones'!$S$2:$S$282,"Sin equivalente en catálogo (RECORDAR)",'Prácticas_Revisiones'!$T$2:$T$282,"SOFTWARE QUALITY &gt; Software Quality Tools")+COUNTIFS('Prácticas_Snowballing'!$AB$2:$AB$281,"Sin equivalente en catálogo (RECORDAR)",'Prácticas_Snowballing'!$AC$2:$AC$281,"SOFTWARE QUALITY &gt; Software Quality Tools")</f>
        <v>0</v>
      </c>
      <c r="CE18" s="17">
        <f>COUNTIFS('Prácticas_Revisiones'!$S$2:$S$282,"Sin equivalente en catálogo (RECORDAR)",'Prácticas_Revisiones'!$T$2:$T$282,"SOFTWARE QUALITY &gt; Subárea no determinable")+COUNTIFS('Prácticas_Snowballing'!$AB$2:$AB$281,"Sin equivalente en catálogo (RECORDAR)",'Prácticas_Snowballing'!$AC$2:$AC$281,"SOFTWARE QUALITY &gt; Subárea no determinable")</f>
        <v>0</v>
      </c>
      <c r="CF18" s="29">
        <f t="shared" si="11"/>
        <v>0</v>
      </c>
      <c r="CG18" s="17">
        <f>COUNTIFS('Prácticas_Revisiones'!$S$2:$S$282,"Sin equivalente en catálogo (RECORDAR)",'Prácticas_Revisiones'!$T$2:$T$282,"SOFTWARE SECURITY &gt; Software Security Fundamentals")+COUNTIFS('Prácticas_Snowballing'!$AB$2:$AB$281,"Sin equivalente en catálogo (RECORDAR)",'Prácticas_Snowballing'!$AC$2:$AC$281,"SOFTWARE SECURITY &gt; Software Security Fundamentals")</f>
        <v>0</v>
      </c>
      <c r="CH18" s="17">
        <f>COUNTIFS('Prácticas_Revisiones'!$S$2:$S$282,"Sin equivalente en catálogo (RECORDAR)",'Prácticas_Revisiones'!$T$2:$T$282,"SOFTWARE SECURITY &gt; Security Management and Organization")+COUNTIFS('Prácticas_Snowballing'!$AB$2:$AB$281,"Sin equivalente en catálogo (RECORDAR)",'Prácticas_Snowballing'!$AC$2:$AC$281,"SOFTWARE SECURITY &gt; Security Management and Organization")</f>
        <v>0</v>
      </c>
      <c r="CI18" s="17">
        <f>COUNTIFS('Prácticas_Revisiones'!$S$2:$S$282,"Sin equivalente en catálogo (RECORDAR)",'Prácticas_Revisiones'!$T$2:$T$282,"SOFTWARE SECURITY &gt; Software Security Engineering and Process")+COUNTIFS('Prácticas_Snowballing'!$AB$2:$AB$281,"Sin equivalente en catálogo (RECORDAR)",'Prácticas_Snowballing'!$AC$2:$AC$281,"SOFTWARE SECURITY &gt; Software Security Engineering and Process")</f>
        <v>0</v>
      </c>
      <c r="CJ18" s="17">
        <f>COUNTIFS('Prácticas_Revisiones'!$S$2:$S$282,"Sin equivalente en catálogo (RECORDAR)",'Prácticas_Revisiones'!$T$2:$T$282,"SOFTWARE SECURITY &gt; Security Engineering for Software Systems")+COUNTIFS('Prácticas_Snowballing'!$AB$2:$AB$281,"Sin equivalente en catálogo (RECORDAR)",'Prácticas_Snowballing'!$AC$2:$AC$281,"SOFTWARE SECURITY &gt; Security Engineering for Software Systems")</f>
        <v>0</v>
      </c>
      <c r="CK18" s="17">
        <f>COUNTIFS('Prácticas_Revisiones'!$S$2:$S$282,"Sin equivalente en catálogo (RECORDAR)",'Prácticas_Revisiones'!$T$2:$T$282,"SOFTWARE SECURITY &gt; Software Security Tools")+COUNTIFS('Prácticas_Snowballing'!$AB$2:$AB$281,"Sin equivalente en catálogo (RECORDAR)",'Prácticas_Snowballing'!$AC$2:$AC$281,"SOFTWARE SECURITY &gt; Software Security Tools")</f>
        <v>0</v>
      </c>
      <c r="CL18" s="17">
        <f>COUNTIFS('Prácticas_Revisiones'!$S$2:$S$282,"Sin equivalente en catálogo (RECORDAR)",'Prácticas_Revisiones'!$T$2:$T$282,"SOFTWARE SECURITY &gt; Domain Specific Software Security")+COUNTIFS('Prácticas_Snowballing'!$AB$2:$AB$281,"Sin equivalente en catálogo (RECORDAR)",'Prácticas_Snowballing'!$AC$2:$AC$281,"SOFTWARE SECURITY &gt; Domain Specific Software Security")</f>
        <v>0</v>
      </c>
      <c r="CM18" s="17">
        <f>COUNTIFS('Prácticas_Revisiones'!$S$2:$S$282,"Sin equivalente en catálogo (RECORDAR)",'Prácticas_Revisiones'!$T$2:$T$282,"SOFTWARE SECURITY &gt; Subárea no determinable")+COUNTIFS('Prácticas_Snowballing'!$AB$2:$AB$281,"Sin equivalente en catálogo (RECORDAR)",'Prácticas_Snowballing'!$AC$2:$AC$281,"SOFTWARE SECURITY &gt; Subárea no determinable")</f>
        <v>0</v>
      </c>
      <c r="CN18" s="29">
        <f t="shared" si="12"/>
        <v>0</v>
      </c>
      <c r="CO18" s="17">
        <f>COUNTIFS('Prácticas_Revisiones'!$S$2:$S$282,"Sin equivalente en catálogo (RECORDAR)",'Prácticas_Revisiones'!$T$2:$T$282,"PROFESSIONAL PRACTICE &gt; Professionalism")+COUNTIFS('Prácticas_Snowballing'!$AB$2:$AB$281,"Sin equivalente en catálogo (RECORDAR)",'Prácticas_Snowballing'!$AC$2:$AC$281,"PROFESSIONAL PRACTICE &gt; Professionalism")</f>
        <v>0</v>
      </c>
      <c r="CP18" s="17">
        <f>COUNTIFS('Prácticas_Revisiones'!$S$2:$S$282,"Sin equivalente en catálogo (RECORDAR)",'Prácticas_Revisiones'!$T$2:$T$282,"PROFESSIONAL PRACTICE &gt; Group Dynamics and Psychology")+COUNTIFS('Prácticas_Snowballing'!$AB$2:$AB$281,"Sin equivalente en catálogo (RECORDAR)",'Prácticas_Snowballing'!$AC$2:$AC$281,"PROFESSIONAL PRACTICE &gt; Group Dynamics and Psychology")</f>
        <v>0</v>
      </c>
      <c r="CQ18" s="17">
        <f>COUNTIFS('Prácticas_Revisiones'!$S$2:$S$282,"Sin equivalente en catálogo (RECORDAR)",'Prácticas_Revisiones'!$T$2:$T$282,"PROFESSIONAL PRACTICE &gt; Communication Skills")+COUNTIFS('Prácticas_Snowballing'!$AB$2:$AB$281,"Sin equivalente en catálogo (RECORDAR)",'Prácticas_Snowballing'!$AC$2:$AC$281,"PROFESSIONAL PRACTICE &gt; Communication Skills")</f>
        <v>0</v>
      </c>
      <c r="CR18" s="17">
        <f>COUNTIFS('Prácticas_Revisiones'!$S$2:$S$282,"Sin equivalente en catálogo (RECORDAR)",'Prácticas_Revisiones'!$T$2:$T$282,"PROFESSIONAL PRACTICE &gt; Subárea no determinable")+COUNTIFS('Prácticas_Snowballing'!$AB$2:$AB$281,"Sin equivalente en catálogo (RECORDAR)",'Prácticas_Snowballing'!$AC$2:$AC$281,"PROFESSIONAL PRACTICE &gt; Subárea no determinable")</f>
        <v>0</v>
      </c>
      <c r="CS18" s="29">
        <f t="shared" si="13"/>
        <v>0</v>
      </c>
      <c r="CT18" s="17">
        <f>COUNTIFS('Prácticas_Revisiones'!$S$2:$S$282,"Sin equivalente en catálogo (RECORDAR)",'Prácticas_Revisiones'!$T$2:$T$282,"SOFTWARE ENG. ECONOMICS &gt; Software Engineering Economics Fundamentals")+COUNTIFS('Prácticas_Snowballing'!$AB$2:$AB$281,"Sin equivalente en catálogo (RECORDAR)",'Prácticas_Snowballing'!$AC$2:$AC$281,"SOFTWARE ENG. ECONOMICS &gt; Software Engineering Economics Fundamentals")</f>
        <v>0</v>
      </c>
      <c r="CU18" s="17">
        <f>COUNTIFS('Prácticas_Revisiones'!$S$2:$S$282,"Sin equivalente en catálogo (RECORDAR)",'Prácticas_Revisiones'!$T$2:$T$282,"SOFTWARE ENG. ECONOMICS &gt; The Engineering Decision-Making Process")+COUNTIFS('Prácticas_Snowballing'!$AB$2:$AB$281,"Sin equivalente en catálogo (RECORDAR)",'Prácticas_Snowballing'!$AC$2:$AC$281,"SOFTWARE ENG. ECONOMICS &gt; The Engineering Decision-Making Process")</f>
        <v>0</v>
      </c>
      <c r="CV18" s="17">
        <f>COUNTIFS('Prácticas_Revisiones'!$S$2:$S$282,"Sin equivalente en catálogo (RECORDAR)",'Prácticas_Revisiones'!$T$2:$T$282,"SOFTWARE ENG. ECONOMICS &gt; For-Profit Decision-Making")+COUNTIFS('Prácticas_Snowballing'!$AB$2:$AB$281,"Sin equivalente en catálogo (RECORDAR)",'Prácticas_Snowballing'!$AC$2:$AC$281,"SOFTWARE ENG. ECONOMICS &gt; For-Profit Decision-Making")</f>
        <v>0</v>
      </c>
      <c r="CW18" s="17">
        <f>COUNTIFS('Prácticas_Revisiones'!$S$2:$S$282,"Sin equivalente en catálogo (RECORDAR)",'Prácticas_Revisiones'!$T$2:$T$282,"SOFTWARE ENG. ECONOMICS &gt; Nonprofit Decision-Making")+COUNTIFS('Prácticas_Snowballing'!$AB$2:$AB$281,"Sin equivalente en catálogo (RECORDAR)",'Prácticas_Snowballing'!$AC$2:$AC$281,"SOFTWARE ENG. ECONOMICS &gt; Nonprofit Decision-Making")</f>
        <v>0</v>
      </c>
      <c r="CX18" s="17">
        <f>COUNTIFS('Prácticas_Revisiones'!$S$2:$S$282,"Sin equivalente en catálogo (RECORDAR)",'Prácticas_Revisiones'!$T$2:$T$282,"SOFTWARE ENG. ECONOMICS &gt; Present Economy Decision-Making")+COUNTIFS('Prácticas_Snowballing'!$AB$2:$AB$281,"Sin equivalente en catálogo (RECORDAR)",'Prácticas_Snowballing'!$AC$2:$AC$281,"SOFTWARE ENG. ECONOMICS &gt; Present Economy Decision-Making")</f>
        <v>0</v>
      </c>
      <c r="CY18" s="17">
        <f>COUNTIFS('Prácticas_Revisiones'!$S$2:$S$282,"Sin equivalente en catálogo (RECORDAR)",'Prácticas_Revisiones'!$T$2:$T$282,"SOFTWARE ENG. ECONOMICS &gt; Multiple-Attribute Decision-Making")+COUNTIFS('Prácticas_Snowballing'!$AB$2:$AB$281,"Sin equivalente en catálogo (RECORDAR)",'Prácticas_Snowballing'!$AC$2:$AC$281,"SOFTWARE ENG. ECONOMICS &gt; Multiple-Attribute Decision-Making")</f>
        <v>0</v>
      </c>
      <c r="CZ18" s="17">
        <f>COUNTIFS('Prácticas_Revisiones'!$S$2:$S$282,"Sin equivalente en catálogo (RECORDAR)",'Prácticas_Revisiones'!$T$2:$T$282,"SOFTWARE ENG. ECONOMICS &gt; Identifying and Characterizing Intangible Assets")+COUNTIFS('Prácticas_Snowballing'!$AB$2:$AB$281,"Sin equivalente en catálogo (RECORDAR)",'Prácticas_Snowballing'!$AC$2:$AC$281,"SOFTWARE ENG. ECONOMICS &gt; Identifying and Characterizing Intangible Assets")</f>
        <v>0</v>
      </c>
      <c r="DA18" s="17">
        <f>COUNTIFS('Prácticas_Revisiones'!$S$2:$S$282,"Sin equivalente en catálogo (RECORDAR)",'Prácticas_Revisiones'!$T$2:$T$282,"SOFTWARE ENG. ECONOMICS &gt; Estimation")+COUNTIFS('Prácticas_Snowballing'!$AB$2:$AB$281,"Sin equivalente en catálogo (RECORDAR)",'Prácticas_Snowballing'!$AC$2:$AC$281,"SOFTWARE ENG. ECONOMICS &gt; Estimation")</f>
        <v>0</v>
      </c>
      <c r="DB18" s="17">
        <f>COUNTIFS('Prácticas_Revisiones'!$S$2:$S$282,"Sin equivalente en catálogo (RECORDAR)",'Prácticas_Revisiones'!$T$2:$T$282,"SOFTWARE ENG. ECONOMICS &gt; Practical Considerations")+COUNTIFS('Prácticas_Snowballing'!$AB$2:$AB$281,"Sin equivalente en catálogo (RECORDAR)",'Prácticas_Snowballing'!$AC$2:$AC$281,"SOFTWARE ENG. ECONOMICS &gt; Practical Considerations")</f>
        <v>0</v>
      </c>
      <c r="DC18" s="17">
        <f>COUNTIFS('Prácticas_Revisiones'!$S$2:$S$282,"Sin equivalente en catálogo (RECORDAR)",'Prácticas_Revisiones'!$T$2:$T$282,"SOFTWARE ENG. ECONOMICS &gt; Related Concepts")+COUNTIFS('Prácticas_Snowballing'!$AB$2:$AB$281,"Sin equivalente en catálogo (RECORDAR)",'Prácticas_Snowballing'!$AC$2:$AC$281,"SOFTWARE ENG. ECONOMICS &gt; Related Concepts")</f>
        <v>0</v>
      </c>
      <c r="DD18" s="17">
        <f>COUNTIFS('Prácticas_Revisiones'!$S$2:$S$282,"Sin equivalente en catálogo (RECORDAR)",'Prácticas_Revisiones'!$T$2:$T$282,"SOFTWARE ENG. ECONOMICS &gt; Subárea no determinable")+COUNTIFS('Prácticas_Snowballing'!$AB$2:$AB$281,"Sin equivalente en catálogo (RECORDAR)",'Prácticas_Snowballing'!$AC$2:$AC$281,"SOFTWARE ENG. ECONOMICS &gt; Subárea no determinable")</f>
        <v>0</v>
      </c>
      <c r="DE18" s="29">
        <f t="shared" si="14"/>
        <v>0</v>
      </c>
      <c r="DF18" s="17">
        <f>COUNTIFS('Prácticas_Revisiones'!$S$2:$S$282,"Sin equivalente en catálogo (RECORDAR)",'Prácticas_Revisiones'!$T$2:$T$282,"SOFTWARE ENG. MANAGEMENT &gt; Software Engineering Management Fundamentals")+COUNTIFS('Prácticas_Snowballing'!$AB$2:$AB$281,"Sin equivalente en catálogo (RECORDAR)",'Prácticas_Snowballing'!$AC$2:$AC$281,"SOFTWARE ENG. MANAGEMENT &gt; Software Engineering Management Fundamentals")</f>
        <v>0</v>
      </c>
      <c r="DG18" s="17">
        <f>COUNTIFS('Prácticas_Revisiones'!$S$2:$S$282,"Sin equivalente en catálogo (RECORDAR)",'Prácticas_Revisiones'!$T$2:$T$282,"SOFTWARE ENG. MANAGEMENT &gt; Initiation and Scope Definition")+COUNTIFS('Prácticas_Snowballing'!$AB$2:$AB$281,"Sin equivalente en catálogo (RECORDAR)",'Prácticas_Snowballing'!$AC$2:$AC$281,"SOFTWARE ENG. MANAGEMENT &gt; Initiation and Scope Definition")</f>
        <v>0</v>
      </c>
      <c r="DH18" s="17">
        <f>COUNTIFS('Prácticas_Revisiones'!$S$2:$S$282,"Sin equivalente en catálogo (RECORDAR)",'Prácticas_Revisiones'!$T$2:$T$282,"SOFTWARE ENG. MANAGEMENT &gt; Software Project Planning")+COUNTIFS('Prácticas_Snowballing'!$AB$2:$AB$281,"Sin equivalente en catálogo (RECORDAR)",'Prácticas_Snowballing'!$AC$2:$AC$281,"SOFTWARE ENG. MANAGEMENT &gt; Software Project Planning")</f>
        <v>0</v>
      </c>
      <c r="DI18" s="17">
        <f>COUNTIFS('Prácticas_Revisiones'!$S$2:$S$282,"Sin equivalente en catálogo (RECORDAR)",'Prácticas_Revisiones'!$T$2:$T$282,"SOFTWARE ENG. MANAGEMENT &gt; Software Project Enactment")+COUNTIFS('Prácticas_Snowballing'!$AB$2:$AB$281,"Sin equivalente en catálogo (RECORDAR)",'Prácticas_Snowballing'!$AC$2:$AC$281,"SOFTWARE ENG. MANAGEMENT &gt; Software Project Enactment")</f>
        <v>0</v>
      </c>
      <c r="DJ18" s="17">
        <f>COUNTIFS('Prácticas_Revisiones'!$S$2:$S$282,"Sin equivalente en catálogo (RECORDAR)",'Prácticas_Revisiones'!$T$2:$T$282,"SOFTWARE ENG. MANAGEMENT &gt; Review and Evaluation")+COUNTIFS('Prácticas_Snowballing'!$AB$2:$AB$281,"Sin equivalente en catálogo (RECORDAR)",'Prácticas_Snowballing'!$AC$2:$AC$281,"SOFTWARE ENG. MANAGEMENT &gt; Review and Evaluation")</f>
        <v>0</v>
      </c>
      <c r="DK18" s="17">
        <f>COUNTIFS('Prácticas_Revisiones'!$S$2:$S$282,"Sin equivalente en catálogo (RECORDAR)",'Prácticas_Revisiones'!$T$2:$T$282,"SOFTWARE ENG. MANAGEMENT &gt; Closure")+COUNTIFS('Prácticas_Snowballing'!$AB$2:$AB$281,"Sin equivalente en catálogo (RECORDAR)",'Prácticas_Snowballing'!$AC$2:$AC$281,"SOFTWARE ENG. MANAGEMENT &gt; Closure")</f>
        <v>0</v>
      </c>
      <c r="DL18" s="17">
        <f>COUNTIFS('Prácticas_Revisiones'!$S$2:$S$282,"Sin equivalente en catálogo (RECORDAR)",'Prácticas_Revisiones'!$T$2:$T$282,"SOFTWARE ENG. MANAGEMENT &gt; Software Engineering Management Tools")+COUNTIFS('Prácticas_Snowballing'!$AB$2:$AB$281,"Sin equivalente en catálogo (RECORDAR)",'Prácticas_Snowballing'!$AC$2:$AC$281,"SOFTWARE ENG. MANAGEMENT &gt; Software Engineering Management Tools")</f>
        <v>0</v>
      </c>
      <c r="DM18" s="17">
        <f>COUNTIFS('Prácticas_Revisiones'!$S$2:$S$282,"Sin equivalente en catálogo (RECORDAR)",'Prácticas_Revisiones'!$T$2:$T$282,"SOFTWARE ENG. MANAGEMENT &gt; Subárea no determinable")+COUNTIFS('Prácticas_Snowballing'!$AB$2:$AB$281,"Sin equivalente en catálogo (RECORDAR)",'Prácticas_Snowballing'!$AC$2:$AC$281,"SOFTWARE ENG. MANAGEMENT &gt; Subárea no determinable")</f>
        <v>0</v>
      </c>
      <c r="DN18" s="29">
        <f t="shared" si="15"/>
        <v>0</v>
      </c>
      <c r="DO18" s="17">
        <f>COUNTIFS('Prácticas_Revisiones'!$S$2:$S$282,"Sin equivalente en catálogo (RECORDAR)",'Prácticas_Revisiones'!$T$2:$T$282,"Sin área SWEBOK")+COUNTIFS('Prácticas_Snowballing'!$AB$2:$AB$281,"Sin equivalente en catálogo (RECORDAR)",'Prácticas_Snowballing'!$AC$2:$AC$281,"Sin área SWEBOK")</f>
        <v>0</v>
      </c>
      <c r="DP18" s="27">
        <f t="shared" si="16"/>
        <v>0</v>
      </c>
    </row>
    <row r="19">
      <c r="A19" s="35" t="s">
        <v>2293</v>
      </c>
      <c r="B19" s="20"/>
      <c r="C19" s="29">
        <f t="shared" ref="C19:DP19" si="17">SUM(C7:C18)</f>
        <v>0</v>
      </c>
      <c r="D19" s="29">
        <f t="shared" si="17"/>
        <v>0</v>
      </c>
      <c r="E19" s="29">
        <f t="shared" si="17"/>
        <v>0</v>
      </c>
      <c r="F19" s="29">
        <f t="shared" si="17"/>
        <v>0</v>
      </c>
      <c r="G19" s="29">
        <f t="shared" si="17"/>
        <v>0</v>
      </c>
      <c r="H19" s="29">
        <f t="shared" si="17"/>
        <v>0</v>
      </c>
      <c r="I19" s="29">
        <f t="shared" si="17"/>
        <v>0</v>
      </c>
      <c r="J19" s="29">
        <f t="shared" si="17"/>
        <v>0</v>
      </c>
      <c r="K19" s="29">
        <f t="shared" si="17"/>
        <v>0</v>
      </c>
      <c r="L19" s="29">
        <f t="shared" si="17"/>
        <v>0</v>
      </c>
      <c r="M19" s="29">
        <f t="shared" si="17"/>
        <v>0</v>
      </c>
      <c r="N19" s="29">
        <f t="shared" si="17"/>
        <v>0</v>
      </c>
      <c r="O19" s="29">
        <f t="shared" si="17"/>
        <v>0</v>
      </c>
      <c r="P19" s="29">
        <f t="shared" si="17"/>
        <v>0</v>
      </c>
      <c r="Q19" s="29">
        <f t="shared" si="17"/>
        <v>0</v>
      </c>
      <c r="R19" s="29">
        <f t="shared" si="17"/>
        <v>0</v>
      </c>
      <c r="S19" s="29">
        <f t="shared" si="17"/>
        <v>0</v>
      </c>
      <c r="T19" s="29">
        <f t="shared" si="17"/>
        <v>1</v>
      </c>
      <c r="U19" s="29">
        <f t="shared" si="17"/>
        <v>0</v>
      </c>
      <c r="V19" s="29">
        <f t="shared" si="17"/>
        <v>0</v>
      </c>
      <c r="W19" s="29">
        <f t="shared" si="17"/>
        <v>0</v>
      </c>
      <c r="X19" s="29">
        <f t="shared" si="17"/>
        <v>1</v>
      </c>
      <c r="Y19" s="29">
        <f t="shared" si="17"/>
        <v>0</v>
      </c>
      <c r="Z19" s="29">
        <f t="shared" si="17"/>
        <v>2</v>
      </c>
      <c r="AA19" s="29">
        <f t="shared" si="17"/>
        <v>6</v>
      </c>
      <c r="AB19" s="29">
        <f t="shared" si="17"/>
        <v>0</v>
      </c>
      <c r="AC19" s="29">
        <f t="shared" si="17"/>
        <v>3</v>
      </c>
      <c r="AD19" s="29">
        <f t="shared" si="17"/>
        <v>0</v>
      </c>
      <c r="AE19" s="29">
        <f t="shared" si="17"/>
        <v>1</v>
      </c>
      <c r="AF19" s="29">
        <f t="shared" si="17"/>
        <v>0</v>
      </c>
      <c r="AG19" s="29">
        <f t="shared" si="17"/>
        <v>10</v>
      </c>
      <c r="AH19" s="29">
        <f t="shared" si="17"/>
        <v>0</v>
      </c>
      <c r="AI19" s="29">
        <f t="shared" si="17"/>
        <v>0</v>
      </c>
      <c r="AJ19" s="29">
        <f t="shared" si="17"/>
        <v>0</v>
      </c>
      <c r="AK19" s="29">
        <f t="shared" si="17"/>
        <v>0</v>
      </c>
      <c r="AL19" s="29">
        <f t="shared" si="17"/>
        <v>0</v>
      </c>
      <c r="AM19" s="29">
        <f t="shared" si="17"/>
        <v>0</v>
      </c>
      <c r="AN19" s="29">
        <f t="shared" si="17"/>
        <v>0</v>
      </c>
      <c r="AO19" s="29">
        <f t="shared" si="17"/>
        <v>0</v>
      </c>
      <c r="AP19" s="29">
        <f t="shared" si="17"/>
        <v>0</v>
      </c>
      <c r="AQ19" s="29">
        <f t="shared" si="17"/>
        <v>0</v>
      </c>
      <c r="AR19" s="29">
        <f t="shared" si="17"/>
        <v>0</v>
      </c>
      <c r="AS19" s="29">
        <f t="shared" si="17"/>
        <v>0</v>
      </c>
      <c r="AT19" s="29">
        <f t="shared" si="17"/>
        <v>0</v>
      </c>
      <c r="AU19" s="29">
        <f t="shared" si="17"/>
        <v>0</v>
      </c>
      <c r="AV19" s="29">
        <f t="shared" si="17"/>
        <v>0</v>
      </c>
      <c r="AW19" s="29">
        <f t="shared" si="17"/>
        <v>0</v>
      </c>
      <c r="AX19" s="29">
        <f t="shared" si="17"/>
        <v>0</v>
      </c>
      <c r="AY19" s="29">
        <f t="shared" si="17"/>
        <v>0</v>
      </c>
      <c r="AZ19" s="29">
        <f t="shared" si="17"/>
        <v>0</v>
      </c>
      <c r="BA19" s="29">
        <f t="shared" si="17"/>
        <v>0</v>
      </c>
      <c r="BB19" s="29">
        <f t="shared" si="17"/>
        <v>0</v>
      </c>
      <c r="BC19" s="29">
        <f t="shared" si="17"/>
        <v>0</v>
      </c>
      <c r="BD19" s="29">
        <f t="shared" si="17"/>
        <v>0</v>
      </c>
      <c r="BE19" s="29">
        <f t="shared" si="17"/>
        <v>0</v>
      </c>
      <c r="BF19" s="29">
        <f t="shared" si="17"/>
        <v>0</v>
      </c>
      <c r="BG19" s="29">
        <f t="shared" si="17"/>
        <v>0</v>
      </c>
      <c r="BH19" s="29">
        <f t="shared" si="17"/>
        <v>0</v>
      </c>
      <c r="BI19" s="29">
        <f t="shared" si="17"/>
        <v>0</v>
      </c>
      <c r="BJ19" s="29">
        <f t="shared" si="17"/>
        <v>0</v>
      </c>
      <c r="BK19" s="29">
        <f t="shared" si="17"/>
        <v>0</v>
      </c>
      <c r="BL19" s="29">
        <f t="shared" si="17"/>
        <v>0</v>
      </c>
      <c r="BM19" s="29">
        <f t="shared" si="17"/>
        <v>0</v>
      </c>
      <c r="BN19" s="29">
        <f t="shared" si="17"/>
        <v>0</v>
      </c>
      <c r="BO19" s="29">
        <f t="shared" si="17"/>
        <v>0</v>
      </c>
      <c r="BP19" s="29">
        <f t="shared" si="17"/>
        <v>0</v>
      </c>
      <c r="BQ19" s="29">
        <f t="shared" si="17"/>
        <v>0</v>
      </c>
      <c r="BR19" s="29">
        <f t="shared" si="17"/>
        <v>0</v>
      </c>
      <c r="BS19" s="29">
        <f t="shared" si="17"/>
        <v>0</v>
      </c>
      <c r="BT19" s="29">
        <f t="shared" si="17"/>
        <v>0</v>
      </c>
      <c r="BU19" s="29">
        <f t="shared" si="17"/>
        <v>0</v>
      </c>
      <c r="BV19" s="29">
        <f t="shared" si="17"/>
        <v>0</v>
      </c>
      <c r="BW19" s="29">
        <f t="shared" si="17"/>
        <v>0</v>
      </c>
      <c r="BX19" s="29">
        <f t="shared" si="17"/>
        <v>0</v>
      </c>
      <c r="BY19" s="29">
        <f t="shared" si="17"/>
        <v>0</v>
      </c>
      <c r="BZ19" s="29">
        <f t="shared" si="17"/>
        <v>0</v>
      </c>
      <c r="CA19" s="29">
        <f t="shared" si="17"/>
        <v>0</v>
      </c>
      <c r="CB19" s="29">
        <f t="shared" si="17"/>
        <v>0</v>
      </c>
      <c r="CC19" s="29">
        <f t="shared" si="17"/>
        <v>0</v>
      </c>
      <c r="CD19" s="29">
        <f t="shared" si="17"/>
        <v>0</v>
      </c>
      <c r="CE19" s="29">
        <f t="shared" si="17"/>
        <v>0</v>
      </c>
      <c r="CF19" s="29">
        <f t="shared" si="17"/>
        <v>0</v>
      </c>
      <c r="CG19" s="29">
        <f t="shared" si="17"/>
        <v>0</v>
      </c>
      <c r="CH19" s="29">
        <f t="shared" si="17"/>
        <v>0</v>
      </c>
      <c r="CI19" s="29">
        <f t="shared" si="17"/>
        <v>0</v>
      </c>
      <c r="CJ19" s="29">
        <f t="shared" si="17"/>
        <v>0</v>
      </c>
      <c r="CK19" s="29">
        <f t="shared" si="17"/>
        <v>0</v>
      </c>
      <c r="CL19" s="29">
        <f t="shared" si="17"/>
        <v>0</v>
      </c>
      <c r="CM19" s="29">
        <f t="shared" si="17"/>
        <v>0</v>
      </c>
      <c r="CN19" s="29">
        <f t="shared" si="17"/>
        <v>0</v>
      </c>
      <c r="CO19" s="29">
        <f t="shared" si="17"/>
        <v>0</v>
      </c>
      <c r="CP19" s="29">
        <f t="shared" si="17"/>
        <v>0</v>
      </c>
      <c r="CQ19" s="29">
        <f t="shared" si="17"/>
        <v>0</v>
      </c>
      <c r="CR19" s="29">
        <f t="shared" si="17"/>
        <v>0</v>
      </c>
      <c r="CS19" s="29">
        <f t="shared" si="17"/>
        <v>0</v>
      </c>
      <c r="CT19" s="29">
        <f t="shared" si="17"/>
        <v>0</v>
      </c>
      <c r="CU19" s="29">
        <f t="shared" si="17"/>
        <v>0</v>
      </c>
      <c r="CV19" s="29">
        <f t="shared" si="17"/>
        <v>0</v>
      </c>
      <c r="CW19" s="29">
        <f t="shared" si="17"/>
        <v>0</v>
      </c>
      <c r="CX19" s="29">
        <f t="shared" si="17"/>
        <v>0</v>
      </c>
      <c r="CY19" s="29">
        <f t="shared" si="17"/>
        <v>0</v>
      </c>
      <c r="CZ19" s="29">
        <f t="shared" si="17"/>
        <v>0</v>
      </c>
      <c r="DA19" s="29">
        <f t="shared" si="17"/>
        <v>0</v>
      </c>
      <c r="DB19" s="29">
        <f t="shared" si="17"/>
        <v>0</v>
      </c>
      <c r="DC19" s="29">
        <f t="shared" si="17"/>
        <v>0</v>
      </c>
      <c r="DD19" s="29">
        <f t="shared" si="17"/>
        <v>0</v>
      </c>
      <c r="DE19" s="29">
        <f t="shared" si="17"/>
        <v>0</v>
      </c>
      <c r="DF19" s="29">
        <f t="shared" si="17"/>
        <v>0</v>
      </c>
      <c r="DG19" s="29">
        <f t="shared" si="17"/>
        <v>0</v>
      </c>
      <c r="DH19" s="29">
        <f t="shared" si="17"/>
        <v>0</v>
      </c>
      <c r="DI19" s="29">
        <f t="shared" si="17"/>
        <v>0</v>
      </c>
      <c r="DJ19" s="29">
        <f t="shared" si="17"/>
        <v>0</v>
      </c>
      <c r="DK19" s="29">
        <f t="shared" si="17"/>
        <v>0</v>
      </c>
      <c r="DL19" s="29">
        <f t="shared" si="17"/>
        <v>0</v>
      </c>
      <c r="DM19" s="29">
        <f t="shared" si="17"/>
        <v>0</v>
      </c>
      <c r="DN19" s="29">
        <f t="shared" si="17"/>
        <v>0</v>
      </c>
      <c r="DO19" s="29">
        <f t="shared" si="17"/>
        <v>2</v>
      </c>
      <c r="DP19" s="29">
        <f t="shared" si="17"/>
        <v>14</v>
      </c>
    </row>
    <row r="20">
      <c r="A20" s="15" t="s">
        <v>232</v>
      </c>
      <c r="B20" s="16" t="s">
        <v>2330</v>
      </c>
      <c r="C20" s="17">
        <f>COUNTIFS('Prácticas_Revisiones'!$S$2:$S$282,"T012",'Prácticas_Revisiones'!$T$2:$T$282,"REQUIREMENTS &gt; Software Requirements Fundamentals")+COUNTIFS('Prácticas_Snowballing'!$AB$2:$AB$281,"T012",'Prácticas_Snowballing'!$AC$2:$AC$281,"REQUIREMENTS &gt; Software Requirements Fundamentals")</f>
        <v>0</v>
      </c>
      <c r="D20" s="17">
        <f>COUNTIFS('Prácticas_Revisiones'!$S$2:$S$282,"T012",'Prácticas_Revisiones'!$T$2:$T$282,"REQUIREMENTS &gt; Requirements Elicitation")+COUNTIFS('Prácticas_Snowballing'!$AB$2:$AB$281,"T012",'Prácticas_Snowballing'!$AC$2:$AC$281,"REQUIREMENTS &gt; Requirements Elicitation")</f>
        <v>0</v>
      </c>
      <c r="E20" s="17">
        <f>COUNTIFS('Prácticas_Revisiones'!$S$2:$S$282,"T012",'Prácticas_Revisiones'!$T$2:$T$282,"REQUIREMENTS &gt; Requirements Analysis")+COUNTIFS('Prácticas_Snowballing'!$AB$2:$AB$281,"T012",'Prácticas_Snowballing'!$AC$2:$AC$281,"REQUIREMENTS &gt; Requirements Analysis")</f>
        <v>0</v>
      </c>
      <c r="F20" s="17">
        <f>COUNTIFS('Prácticas_Revisiones'!$S$2:$S$282,"T012",'Prácticas_Revisiones'!$T$2:$T$282,"REQUIREMENTS &gt; Requirements Specification")+COUNTIFS('Prácticas_Snowballing'!$AB$2:$AB$281,"T012",'Prácticas_Snowballing'!$AC$2:$AC$281,"REQUIREMENTS &gt; Requirements Specification")</f>
        <v>0</v>
      </c>
      <c r="G20" s="17">
        <f>COUNTIFS('Prácticas_Revisiones'!$S$2:$S$282,"T012",'Prácticas_Revisiones'!$T$2:$T$282,"REQUIREMENTS &gt; Requirements Validation")+COUNTIFS('Prácticas_Snowballing'!$AB$2:$AB$281,"T012",'Prácticas_Snowballing'!$AC$2:$AC$281,"REQUIREMENTS &gt; Requirements Validation")</f>
        <v>0</v>
      </c>
      <c r="H20" s="17">
        <f>COUNTIFS('Prácticas_Revisiones'!$S$2:$S$282,"T012",'Prácticas_Revisiones'!$T$2:$T$282,"REQUIREMENTS &gt; Requirements Management Activities")+COUNTIFS('Prácticas_Snowballing'!$AB$2:$AB$281,"T012",'Prácticas_Snowballing'!$AC$2:$AC$281,"REQUIREMENTS &gt; Requirements Management Activities")</f>
        <v>0</v>
      </c>
      <c r="I20" s="17">
        <f>COUNTIFS('Prácticas_Revisiones'!$S$2:$S$282,"T012",'Prácticas_Revisiones'!$T$2:$T$282,"REQUIREMENTS &gt; Practical Considerations")+COUNTIFS('Prácticas_Snowballing'!$AB$2:$AB$281,"T012",'Prácticas_Snowballing'!$AC$2:$AC$281,"REQUIREMENTS &gt; Practical Considerations")</f>
        <v>0</v>
      </c>
      <c r="J20" s="17">
        <f>COUNTIFS('Prácticas_Revisiones'!$S$2:$S$282,"T012",'Prácticas_Revisiones'!$T$2:$T$282,"REQUIREMENTS &gt; Software Requirements Tools")+COUNTIFS('Prácticas_Snowballing'!$AB$2:$AB$281,"T012",'Prácticas_Snowballing'!$AC$2:$AC$281,"REQUIREMENTS &gt; Software Requirements Tools")</f>
        <v>0</v>
      </c>
      <c r="K20" s="17">
        <f>COUNTIFS('Prácticas_Revisiones'!$S$2:$S$282,"T012",'Prácticas_Revisiones'!$T$2:$T$282,"REQUIREMENTS &gt; Subárea no determinable")+COUNTIFS('Prácticas_Snowballing'!$AB$2:$AB$281,"T012",'Prácticas_Snowballing'!$AC$2:$AC$281,"REQUIREMENTS &gt; Subárea no determinable")</f>
        <v>0</v>
      </c>
      <c r="L20" s="29">
        <f t="shared" ref="L20:L39" si="18">SUM(C20:K20)</f>
        <v>0</v>
      </c>
      <c r="M20" s="17">
        <f>COUNTIFS('Prácticas_Revisiones'!$S$2:$S$282,"T012",'Prácticas_Revisiones'!$T$2:$T$282,"ARCHITECTURE &gt; Software Architecture Fundamentals")+COUNTIFS('Prácticas_Snowballing'!$AB$2:$AB$281,"T012",'Prácticas_Snowballing'!$AC$2:$AC$281,"ARCHITECTURE &gt; Software Architecture Fundamentals")</f>
        <v>0</v>
      </c>
      <c r="N20" s="17">
        <f>COUNTIFS('Prácticas_Revisiones'!$S$2:$S$282,"T012",'Prácticas_Revisiones'!$T$2:$T$282,"ARCHITECTURE &gt; Software Architecture Description")+COUNTIFS('Prácticas_Snowballing'!$AB$2:$AB$281,"T012",'Prácticas_Snowballing'!$AC$2:$AC$281,"ARCHITECTURE &gt; Software Architecture Description")</f>
        <v>0</v>
      </c>
      <c r="O20" s="17">
        <f>COUNTIFS('Prácticas_Revisiones'!$S$2:$S$282,"T012",'Prácticas_Revisiones'!$T$2:$T$282,"ARCHITECTURE &gt; Software Architecture Process")+COUNTIFS('Prácticas_Snowballing'!$AB$2:$AB$281,"T012",'Prácticas_Snowballing'!$AC$2:$AC$281,"ARCHITECTURE &gt; Software Architecture Process")</f>
        <v>0</v>
      </c>
      <c r="P20" s="17">
        <f>COUNTIFS('Prácticas_Revisiones'!$S$2:$S$282,"T012",'Prácticas_Revisiones'!$T$2:$T$282,"ARCHITECTURE &gt; Software Architecture Evaluation")+COUNTIFS('Prácticas_Snowballing'!$AB$2:$AB$281,"T012",'Prácticas_Snowballing'!$AC$2:$AC$281,"ARCHITECTURE &gt; Software Architecture Evaluation")</f>
        <v>0</v>
      </c>
      <c r="Q20" s="17">
        <f>COUNTIFS('Prácticas_Revisiones'!$S$2:$S$282,"T012",'Prácticas_Revisiones'!$T$2:$T$282,"ARCHITECTURE &gt; Subárea no determinable")+COUNTIFS('Prácticas_Snowballing'!$AB$2:$AB$281,"T012",'Prácticas_Snowballing'!$AC$2:$AC$281,"ARCHITECTURE &gt; Subárea no determinable")</f>
        <v>0</v>
      </c>
      <c r="R20" s="29">
        <f t="shared" ref="R20:R39" si="19">SUM(M20:Q20)</f>
        <v>0</v>
      </c>
      <c r="S20" s="17">
        <f>COUNTIFS('Prácticas_Revisiones'!$S$2:$S$282,"T012",'Prácticas_Revisiones'!$T$2:$T$282,"DESIGN &gt; Software Design Fundamentals")+COUNTIFS('Prácticas_Snowballing'!$AB$2:$AB$281,"T012",'Prácticas_Snowballing'!$AC$2:$AC$281,"DESIGN &gt; Software Design Fundamentals")</f>
        <v>0</v>
      </c>
      <c r="T20" s="17">
        <f>COUNTIFS('Prácticas_Revisiones'!$S$2:$S$282,"T012",'Prácticas_Revisiones'!$T$2:$T$282,"DESIGN &gt; Software Design Processes")+COUNTIFS('Prácticas_Snowballing'!$AB$2:$AB$281,"T012",'Prácticas_Snowballing'!$AC$2:$AC$281,"DESIGN &gt; Software Design Processes")</f>
        <v>0</v>
      </c>
      <c r="U20" s="17">
        <f>COUNTIFS('Prácticas_Revisiones'!$S$2:$S$282,"T012",'Prácticas_Revisiones'!$T$2:$T$282,"DESIGN &gt; Software Design Qualities")+COUNTIFS('Prácticas_Snowballing'!$AB$2:$AB$281,"T012",'Prácticas_Snowballing'!$AC$2:$AC$281,"DESIGN &gt; Software Design Qualities")</f>
        <v>0</v>
      </c>
      <c r="V20" s="17">
        <f>COUNTIFS('Prácticas_Revisiones'!$S$2:$S$282,"T012",'Prácticas_Revisiones'!$T$2:$T$282,"DESIGN &gt; Recording Software Design")+COUNTIFS('Prácticas_Snowballing'!$AB$2:$AB$281,"T012",'Prácticas_Snowballing'!$AC$2:$AC$281,"DESIGN &gt; Recording Software Design")</f>
        <v>0</v>
      </c>
      <c r="W20" s="17">
        <f>COUNTIFS('Prácticas_Revisiones'!$S$2:$S$282,"T012",'Prácticas_Revisiones'!$T$2:$T$282,"DESIGN &gt; Software Design Strategies and Methods")+COUNTIFS('Prácticas_Snowballing'!$AB$2:$AB$281,"T012",'Prácticas_Snowballing'!$AC$2:$AC$281,"DESIGN &gt; Software Design Strategies and Methods")</f>
        <v>0</v>
      </c>
      <c r="X20" s="17">
        <f>COUNTIFS('Prácticas_Revisiones'!$S$2:$S$282,"T012",'Prácticas_Revisiones'!$T$2:$T$282,"DESIGN &gt; Software Design Analysis and Evaluations")+COUNTIFS('Prácticas_Snowballing'!$AB$2:$AB$281,"T012",'Prácticas_Snowballing'!$AC$2:$AC$281,"DESIGN &gt; Software Design Analysis and Evaluations")</f>
        <v>0</v>
      </c>
      <c r="Y20" s="17">
        <f>COUNTIFS('Prácticas_Revisiones'!$S$2:$S$282,"T012",'Prácticas_Revisiones'!$T$2:$T$282,"DESIGN &gt; Subárea no determinable")+COUNTIFS('Prácticas_Snowballing'!$AB$2:$AB$281,"T012",'Prácticas_Snowballing'!$AC$2:$AC$281,"DESIGN &gt; Subárea no determinable")</f>
        <v>0</v>
      </c>
      <c r="Z20" s="29">
        <f t="shared" ref="Z20:Z39" si="20">SUM(S20:Y20)</f>
        <v>0</v>
      </c>
      <c r="AA20" s="17">
        <f>COUNTIFS('Prácticas_Revisiones'!$S$2:$S$282,"T012",'Prácticas_Revisiones'!$T$2:$T$282,"CONSTRUCTION &gt; Software Construction Fundamentals")+COUNTIFS('Prácticas_Snowballing'!$AB$2:$AB$281,"T012",'Prácticas_Snowballing'!$AC$2:$AC$281,"CONSTRUCTION &gt; Software Construction Fundamentals")</f>
        <v>0</v>
      </c>
      <c r="AB20" s="17">
        <f>COUNTIFS('Prácticas_Revisiones'!$S$2:$S$282,"T012",'Prácticas_Revisiones'!$T$2:$T$282,"CONSTRUCTION &gt; Managing Construction")+COUNTIFS('Prácticas_Snowballing'!$AB$2:$AB$281,"T012",'Prácticas_Snowballing'!$AC$2:$AC$281,"CONSTRUCTION &gt; Managing Construction")</f>
        <v>0</v>
      </c>
      <c r="AC20" s="17">
        <f>COUNTIFS('Prácticas_Revisiones'!$S$2:$S$282,"T012",'Prácticas_Revisiones'!$T$2:$T$282,"CONSTRUCTION &gt; Practical Considerations")+COUNTIFS('Prácticas_Snowballing'!$AB$2:$AB$281,"T012",'Prácticas_Snowballing'!$AC$2:$AC$281,"CONSTRUCTION &gt; Practical Considerations")</f>
        <v>0</v>
      </c>
      <c r="AD20" s="17">
        <f>COUNTIFS('Prácticas_Revisiones'!$S$2:$S$282,"T012",'Prácticas_Revisiones'!$T$2:$T$282,"CONSTRUCTION &gt; Construction Technologies")+COUNTIFS('Prácticas_Snowballing'!$AB$2:$AB$281,"T012",'Prácticas_Snowballing'!$AC$2:$AC$281,"CONSTRUCTION &gt; Construction Technologies")</f>
        <v>0</v>
      </c>
      <c r="AE20" s="17">
        <f>COUNTIFS('Prácticas_Revisiones'!$S$2:$S$282,"T012",'Prácticas_Revisiones'!$T$2:$T$282,"CONSTRUCTION &gt; Software Construction Tools")+COUNTIFS('Prácticas_Snowballing'!$AB$2:$AB$281,"T012",'Prácticas_Snowballing'!$AC$2:$AC$281,"CONSTRUCTION &gt; Software Construction Tools")</f>
        <v>0</v>
      </c>
      <c r="AF20" s="17">
        <f>COUNTIFS('Prácticas_Revisiones'!$S$2:$S$282,"T012",'Prácticas_Revisiones'!$T$2:$T$282,"CONSTRUCTION &gt; Subárea no determinable")+COUNTIFS('Prácticas_Snowballing'!$AB$2:$AB$281,"T012",'Prácticas_Snowballing'!$AC$2:$AC$281,"CONSTRUCTION &gt; Subárea no determinable")</f>
        <v>0</v>
      </c>
      <c r="AG20" s="29">
        <f t="shared" ref="AG20:AG39" si="21">SUM(AA20:AF20)</f>
        <v>0</v>
      </c>
      <c r="AH20" s="17">
        <f>COUNTIFS('Prácticas_Revisiones'!$S$2:$S$282,"T012",'Prácticas_Revisiones'!$T$2:$T$282,"SOFTWARE TESTING &gt; Software Testing Fundamentals")+COUNTIFS('Prácticas_Snowballing'!$AB$2:$AB$281,"T012",'Prácticas_Snowballing'!$AC$2:$AC$281,"SOFTWARE TESTING &gt; Software Testing Fundamentals")</f>
        <v>0</v>
      </c>
      <c r="AI20" s="17">
        <f>COUNTIFS('Prácticas_Revisiones'!$S$2:$S$282,"T012",'Prácticas_Revisiones'!$T$2:$T$282,"SOFTWARE TESTING &gt; Test Levels")+COUNTIFS('Prácticas_Snowballing'!$AB$2:$AB$281,"T012",'Prácticas_Snowballing'!$AC$2:$AC$281,"SOFTWARE TESTING &gt; Test Levels")</f>
        <v>0</v>
      </c>
      <c r="AJ20" s="17">
        <f>COUNTIFS('Prácticas_Revisiones'!$S$2:$S$282,"T012",'Prácticas_Revisiones'!$T$2:$T$282,"SOFTWARE TESTING &gt; Test Techniques")+COUNTIFS('Prácticas_Snowballing'!$AB$2:$AB$281,"T012",'Prácticas_Snowballing'!$AC$2:$AC$281,"SOFTWARE TESTING &gt; Test Techniques")</f>
        <v>0</v>
      </c>
      <c r="AK20" s="17">
        <f>COUNTIFS('Prácticas_Revisiones'!$S$2:$S$282,"T012",'Prácticas_Revisiones'!$T$2:$T$282,"SOFTWARE TESTING &gt; Test-Related Measures")+COUNTIFS('Prácticas_Snowballing'!$AB$2:$AB$281,"T012",'Prácticas_Snowballing'!$AC$2:$AC$281,"SOFTWARE TESTING &gt; Test-Related Measures")</f>
        <v>0</v>
      </c>
      <c r="AL20" s="17">
        <f>COUNTIFS('Prácticas_Revisiones'!$S$2:$S$282,"T012",'Prácticas_Revisiones'!$T$2:$T$282,"SOFTWARE TESTING &gt; Test Process")+COUNTIFS('Prácticas_Snowballing'!$AB$2:$AB$281,"T012",'Prácticas_Snowballing'!$AC$2:$AC$281,"SOFTWARE TESTING &gt; Test Process")</f>
        <v>0</v>
      </c>
      <c r="AM20" s="17">
        <f>COUNTIFS('Prácticas_Revisiones'!$S$2:$S$282,"T012",'Prácticas_Revisiones'!$T$2:$T$282,"SOFTWARE TESTING &gt; Software Testing in the Development Processes...")+COUNTIFS('Prácticas_Snowballing'!$AB$2:$AB$281,"T012",'Prácticas_Snowballing'!$AC$2:$AC$281,"SOFTWARE TESTING &gt; Software Testing in the Development Processes...")</f>
        <v>0</v>
      </c>
      <c r="AN20" s="17">
        <f>COUNTIFS('Prácticas_Revisiones'!$S$2:$S$282,"T012",'Prácticas_Revisiones'!$T$2:$T$282,"SOFTWARE TESTING &gt; Testing of and Testing Through Emerging Tech...")+COUNTIFS('Prácticas_Snowballing'!$AB$2:$AB$281,"T012",'Prácticas_Snowballing'!$AC$2:$AC$281,"SOFTWARE TESTING &gt; Testing of and Testing Through Emerging Tech...")</f>
        <v>0</v>
      </c>
      <c r="AO20" s="17">
        <f>COUNTIFS('Prácticas_Revisiones'!$S$2:$S$282,"T012",'Prácticas_Revisiones'!$T$2:$T$282,"SOFTWARE TESTING &gt; Software Testing Tools")+COUNTIFS('Prácticas_Snowballing'!$AB$2:$AB$281,"T012",'Prácticas_Snowballing'!$AC$2:$AC$281,"SOFTWARE TESTING &gt; Software Testing Tools")</f>
        <v>0</v>
      </c>
      <c r="AP20" s="17">
        <f>COUNTIFS('Prácticas_Revisiones'!$S$2:$S$282,"T012",'Prácticas_Revisiones'!$T$2:$T$282,"SOFTWARE TESTING &gt; Subárea no determinable")+COUNTIFS('Prácticas_Snowballing'!$AB$2:$AB$281,"T012",'Prácticas_Snowballing'!$AC$2:$AC$281,"SOFTWARE TESTING &gt; Subárea no determinable")</f>
        <v>0</v>
      </c>
      <c r="AQ20" s="29">
        <f t="shared" ref="AQ20:AQ39" si="22">SUM(AH20:AP20)</f>
        <v>0</v>
      </c>
      <c r="AR20" s="17">
        <f>COUNTIFS('Prácticas_Revisiones'!$S$2:$S$282,"T012",'Prácticas_Revisiones'!$T$2:$T$282,"SOFTWARE ENG. OPERATIONS &gt; Software Engineering Operations Fundamentals")+COUNTIFS('Prácticas_Snowballing'!$AB$2:$AB$281,"T012",'Prácticas_Snowballing'!$AC$2:$AC$281,"SOFTWARE ENG. OPERATIONS &gt; Software Engineering Operations Fundamentals")</f>
        <v>0</v>
      </c>
      <c r="AS20" s="17">
        <f>COUNTIFS('Prácticas_Revisiones'!$S$2:$S$282,"T012",'Prácticas_Revisiones'!$T$2:$T$282,"SOFTWARE ENG. OPERATIONS &gt; Software Engineering Operations Planning")+COUNTIFS('Prácticas_Snowballing'!$AB$2:$AB$281,"T012",'Prácticas_Snowballing'!$AC$2:$AC$281,"SOFTWARE ENG. OPERATIONS &gt; Software Engineering Operations Planning")</f>
        <v>0</v>
      </c>
      <c r="AT20" s="17">
        <f>COUNTIFS('Prácticas_Revisiones'!$S$2:$S$282,"T012",'Prácticas_Revisiones'!$T$2:$T$282,"SOFTWARE ENG. OPERATIONS &gt; Software Engineering Operations Delivery")+COUNTIFS('Prácticas_Snowballing'!$AB$2:$AB$281,"T012",'Prácticas_Snowballing'!$AC$2:$AC$281,"SOFTWARE ENG. OPERATIONS &gt; Software Engineering Operations Delivery")</f>
        <v>0</v>
      </c>
      <c r="AU20" s="17">
        <f>COUNTIFS('Prácticas_Revisiones'!$S$2:$S$282,"T012",'Prácticas_Revisiones'!$T$2:$T$282,"SOFTWARE ENG. OPERATIONS &gt; Software Engineering Operations Control")+COUNTIFS('Prácticas_Snowballing'!$AB$2:$AB$281,"T012",'Prácticas_Snowballing'!$AC$2:$AC$281,"SOFTWARE ENG. OPERATIONS &gt; Software Engineering Operations Control")</f>
        <v>0</v>
      </c>
      <c r="AV20" s="17">
        <f>COUNTIFS('Prácticas_Revisiones'!$S$2:$S$282,"T012",'Prácticas_Revisiones'!$T$2:$T$282,"SOFTWARE ENG. OPERATIONS &gt; Practical Considerations")+COUNTIFS('Prácticas_Snowballing'!$AB$2:$AB$281,"T012",'Prácticas_Snowballing'!$AC$2:$AC$281,"SOFTWARE ENG. OPERATIONS &gt; Practical Considerations")</f>
        <v>0</v>
      </c>
      <c r="AW20" s="17">
        <f>COUNTIFS('Prácticas_Revisiones'!$S$2:$S$282,"T012",'Prácticas_Revisiones'!$T$2:$T$282,"SOFTWARE ENG. OPERATIONS &gt; Software Engineering Operations Tools")+COUNTIFS('Prácticas_Snowballing'!$AB$2:$AB$281,"T012",'Prácticas_Snowballing'!$AC$2:$AC$281,"SOFTWARE ENG. OPERATIONS &gt; Software Engineering Operations Tools")</f>
        <v>0</v>
      </c>
      <c r="AX20" s="17">
        <f>COUNTIFS('Prácticas_Revisiones'!$S$2:$S$282,"T012",'Prácticas_Revisiones'!$T$2:$T$282,"SOFTWARE ENG. OPERATIONS &gt; Subárea no determinable")+COUNTIFS('Prácticas_Snowballing'!$AB$2:$AB$281,"T012",'Prácticas_Snowballing'!$AC$2:$AC$281,"SOFTWARE ENG. OPERATIONS &gt; Subárea no determinable")</f>
        <v>0</v>
      </c>
      <c r="AY20" s="29">
        <f t="shared" ref="AY20:AY39" si="23">SUM(AR20:AX20)</f>
        <v>0</v>
      </c>
      <c r="AZ20" s="17">
        <f>COUNTIFS('Prácticas_Revisiones'!$S$2:$S$282,"T012",'Prácticas_Revisiones'!$T$2:$T$282,"MAINTENANCE &gt; Software Maintenance Fundamentals")+COUNTIFS('Prácticas_Snowballing'!$AB$2:$AB$281,"T012",'Prácticas_Snowballing'!$AC$2:$AC$281,"MAINTENANCE &gt; Software Maintenance Fundamentals")</f>
        <v>0</v>
      </c>
      <c r="BA20" s="17">
        <f>COUNTIFS('Prácticas_Revisiones'!$S$2:$S$282,"T012",'Prácticas_Revisiones'!$T$2:$T$282,"MAINTENANCE &gt; Key Issues in Software Maintenance")+COUNTIFS('Prácticas_Snowballing'!$AB$2:$AB$281,"T012",'Prácticas_Snowballing'!$AC$2:$AC$281,"MAINTENANCE &gt; Key Issues in Software Maintenance")</f>
        <v>0</v>
      </c>
      <c r="BB20" s="17">
        <f>COUNTIFS('Prácticas_Revisiones'!$S$2:$S$282,"T012",'Prácticas_Revisiones'!$T$2:$T$282,"MAINTENANCE &gt; Software Maintenance Processes")+COUNTIFS('Prácticas_Snowballing'!$AB$2:$AB$281,"T012",'Prácticas_Snowballing'!$AC$2:$AC$281,"MAINTENANCE &gt; Software Maintenance Processes")</f>
        <v>0</v>
      </c>
      <c r="BC20" s="17">
        <f>COUNTIFS('Prácticas_Revisiones'!$S$2:$S$282,"T012",'Prácticas_Revisiones'!$T$2:$T$282,"MAINTENANCE &gt; Software Maintenance Techniques")+COUNTIFS('Prácticas_Snowballing'!$AB$2:$AB$281,"T012",'Prácticas_Snowballing'!$AC$2:$AC$281,"MAINTENANCE &gt; Software Maintenance Techniques")</f>
        <v>0</v>
      </c>
      <c r="BD20" s="17">
        <f>COUNTIFS('Prácticas_Revisiones'!$S$2:$S$282,"T012",'Prácticas_Revisiones'!$T$2:$T$282,"MAINTENANCE &gt; Software Maintenance Tools")+COUNTIFS('Prácticas_Snowballing'!$AB$2:$AB$281,"T012",'Prácticas_Snowballing'!$AC$2:$AC$281,"MAINTENANCE &gt; Software Maintenance Tools")</f>
        <v>0</v>
      </c>
      <c r="BE20" s="17">
        <f>COUNTIFS('Prácticas_Revisiones'!$S$2:$S$282,"T012",'Prácticas_Revisiones'!$T$2:$T$282,"MAINTENANCE &gt; Subárea no determinable")+COUNTIFS('Prácticas_Snowballing'!$AB$2:$AB$281,"T012",'Prácticas_Snowballing'!$AC$2:$AC$281,"MAINTENANCE &gt; Subárea no determinable")</f>
        <v>0</v>
      </c>
      <c r="BF20" s="29">
        <f t="shared" ref="BF20:BF39" si="24">SUM(AZ20:BE20)</f>
        <v>0</v>
      </c>
      <c r="BG20" s="17">
        <f>COUNTIFS('Prácticas_Revisiones'!$S$2:$S$282,"T012",'Prácticas_Revisiones'!$T$2:$T$282,"SOFTWARE CONFIG. MGMT. &gt; Management of the SCM Process")+COUNTIFS('Prácticas_Snowballing'!$AB$2:$AB$281,"T012",'Prácticas_Snowballing'!$AC$2:$AC$281,"SOFTWARE CONFIG. MGMT. &gt; Management of the SCM Process")</f>
        <v>0</v>
      </c>
      <c r="BH20" s="17">
        <f>COUNTIFS('Prácticas_Revisiones'!$S$2:$S$282,"T012",'Prácticas_Revisiones'!$T$2:$T$282,"SOFTWARE CONFIG. MGMT. &gt; Software Configuration Identification")+COUNTIFS('Prácticas_Snowballing'!$AB$2:$AB$281,"T012",'Prácticas_Snowballing'!$AC$2:$AC$281,"SOFTWARE CONFIG. MGMT. &gt; Software Configuration Identification")</f>
        <v>0</v>
      </c>
      <c r="BI20" s="17">
        <f>COUNTIFS('Prácticas_Revisiones'!$S$2:$S$282,"T012",'Prácticas_Revisiones'!$T$2:$T$282,"SOFTWARE CONFIG. MGMT. &gt; Software Configuration Change Control")+COUNTIFS('Prácticas_Snowballing'!$AB$2:$AB$281,"T012",'Prácticas_Snowballing'!$AC$2:$AC$281,"SOFTWARE CONFIG. MGMT. &gt; Software Configuration Change Control")</f>
        <v>0</v>
      </c>
      <c r="BJ20" s="17">
        <f>COUNTIFS('Prácticas_Revisiones'!$S$2:$S$282,"T012",'Prácticas_Revisiones'!$T$2:$T$282,"SOFTWARE CONFIG. MGMT. &gt; Software Configuration Status Accounting")+COUNTIFS('Prácticas_Snowballing'!$AB$2:$AB$281,"T012",'Prácticas_Snowballing'!$AC$2:$AC$281,"SOFTWARE CONFIG. MGMT. &gt; Software Configuration Status Accounting")</f>
        <v>0</v>
      </c>
      <c r="BK20" s="17">
        <f>COUNTIFS('Prácticas_Revisiones'!$S$2:$S$282,"T012",'Prácticas_Revisiones'!$T$2:$T$282,"SOFTWARE CONFIG. MGMT. &gt; Software Configuration Auditing")+COUNTIFS('Prácticas_Snowballing'!$AB$2:$AB$281,"T012",'Prácticas_Snowballing'!$AC$2:$AC$281,"SOFTWARE CONFIG. MGMT. &gt; Software Configuration Auditing")</f>
        <v>0</v>
      </c>
      <c r="BL20" s="17">
        <f>COUNTIFS('Prácticas_Revisiones'!$S$2:$S$282,"T012",'Prácticas_Revisiones'!$T$2:$T$282,"SOFTWARE CONFIG. MGMT. &gt; Software Release Management and Delivery")+COUNTIFS('Prácticas_Snowballing'!$AB$2:$AB$281,"T012",'Prácticas_Snowballing'!$AC$2:$AC$281,"SOFTWARE CONFIG. MGMT. &gt; Software Release Management and Delivery")</f>
        <v>0</v>
      </c>
      <c r="BM20" s="17">
        <f>COUNTIFS('Prácticas_Revisiones'!$S$2:$S$282,"T012",'Prácticas_Revisiones'!$T$2:$T$282,"SOFTWARE CONFIG. MGMT. &gt; Software Configuration Management Tools")+COUNTIFS('Prácticas_Snowballing'!$AB$2:$AB$281,"T012",'Prácticas_Snowballing'!$AC$2:$AC$281,"SOFTWARE CONFIG. MGMT. &gt; Software Configuration Management Tools")</f>
        <v>0</v>
      </c>
      <c r="BN20" s="17">
        <f>COUNTIFS('Prácticas_Revisiones'!$S$2:$S$282,"T012",'Prácticas_Revisiones'!$T$2:$T$282,"SOFTWARE CONFIG. MGMT. &gt; Subárea no determinable")+COUNTIFS('Prácticas_Snowballing'!$AB$2:$AB$281,"T012",'Prácticas_Snowballing'!$AC$2:$AC$281,"SOFTWARE CONFIG. MGMT. &gt; Subárea no determinable")</f>
        <v>0</v>
      </c>
      <c r="BO20" s="29">
        <f t="shared" ref="BO20:BO39" si="25">SUM(BG20:BN20)</f>
        <v>0</v>
      </c>
      <c r="BP20" s="17">
        <f>COUNTIFS('Prácticas_Revisiones'!$S$2:$S$282,"T012",'Prácticas_Revisiones'!$T$2:$T$282,"SOFTWARE ENG. PROCESS &gt; Software Engineering Process Fundamentals")+COUNTIFS('Prácticas_Snowballing'!$AB$2:$AB$281,"T012",'Prácticas_Snowballing'!$AC$2:$AC$281,"SOFTWARE ENG. PROCESS &gt; Software Engineering Process Fundamentals")</f>
        <v>0</v>
      </c>
      <c r="BQ20" s="17">
        <f>COUNTIFS('Prácticas_Revisiones'!$S$2:$S$282,"T012",'Prácticas_Revisiones'!$T$2:$T$282,"SOFTWARE ENG. PROCESS &gt; Life Cycles")+COUNTIFS('Prácticas_Snowballing'!$AB$2:$AB$281,"T012",'Prácticas_Snowballing'!$AC$2:$AC$281,"SOFTWARE ENG. PROCESS &gt; Life Cycles")</f>
        <v>0</v>
      </c>
      <c r="BR20" s="17">
        <f>COUNTIFS('Prácticas_Revisiones'!$S$2:$S$282,"T012",'Prácticas_Revisiones'!$T$2:$T$282,"SOFTWARE ENG. PROCESS &gt; Software Process Assessment and Improvement")+COUNTIFS('Prácticas_Snowballing'!$AB$2:$AB$281,"T012",'Prácticas_Snowballing'!$AC$2:$AC$281,"SOFTWARE ENG. PROCESS &gt; Software Process Assessment and Improvement")</f>
        <v>0</v>
      </c>
      <c r="BS20" s="17">
        <f>COUNTIFS('Prácticas_Revisiones'!$S$2:$S$282,"T012",'Prácticas_Revisiones'!$T$2:$T$282,"SOFTWARE ENG. PROCESS &gt; Subárea no determinable")+COUNTIFS('Prácticas_Snowballing'!$AB$2:$AB$281,"T012",'Prácticas_Snowballing'!$AC$2:$AC$281,"SOFTWARE ENG. PROCESS &gt; Subárea no determinable")</f>
        <v>0</v>
      </c>
      <c r="BT20" s="29">
        <f t="shared" ref="BT20:BT39" si="26">SUM(BP20:BS20)</f>
        <v>0</v>
      </c>
      <c r="BU20" s="17">
        <f>COUNTIFS('Prácticas_Revisiones'!$S$2:$S$282,"T012",'Prácticas_Revisiones'!$T$2:$T$282,"SOFTWARE ENG. MODELS/METH. &gt; Modeling")+COUNTIFS('Prácticas_Snowballing'!$AB$2:$AB$281,"T012",'Prácticas_Snowballing'!$AC$2:$AC$281,"SOFTWARE ENG. MODELS/METH. &gt; Modeling")</f>
        <v>0</v>
      </c>
      <c r="BV20" s="17">
        <f>COUNTIFS('Prácticas_Revisiones'!$S$2:$S$282,"T012",'Prácticas_Revisiones'!$T$2:$T$282,"SOFTWARE ENG. MODELS/METH. &gt; Types of Models")+COUNTIFS('Prácticas_Snowballing'!$AB$2:$AB$281,"T012",'Prácticas_Snowballing'!$AC$2:$AC$281,"SOFTWARE ENG. MODELS/METH. &gt; Types of Models")</f>
        <v>0</v>
      </c>
      <c r="BW20" s="17">
        <f>COUNTIFS('Prácticas_Revisiones'!$S$2:$S$282,"T012",'Prácticas_Revisiones'!$T$2:$T$282,"SOFTWARE ENG. MODELS/METH. &gt; Analysis of Models")+COUNTIFS('Prácticas_Snowballing'!$AB$2:$AB$281,"T012",'Prácticas_Snowballing'!$AC$2:$AC$281,"SOFTWARE ENG. MODELS/METH. &gt; Analysis of Models")</f>
        <v>0</v>
      </c>
      <c r="BX20" s="17">
        <f>COUNTIFS('Prácticas_Revisiones'!$S$2:$S$282,"T012",'Prácticas_Revisiones'!$T$2:$T$282,"SOFTWARE ENG. MODELS/METH. &gt; Software Engineering Methods")+COUNTIFS('Prácticas_Snowballing'!$AB$2:$AB$281,"T012",'Prácticas_Snowballing'!$AC$2:$AC$281,"SOFTWARE ENG. MODELS/METH. &gt; Software Engineering Methods")</f>
        <v>0</v>
      </c>
      <c r="BY20" s="17">
        <f>COUNTIFS('Prácticas_Revisiones'!$S$2:$S$282,"T012",'Prácticas_Revisiones'!$T$2:$T$282,"SOFTWARE ENG. MODELS/METH. &gt; Subárea no determinable")+COUNTIFS('Prácticas_Snowballing'!$AB$2:$AB$281,"T012",'Prácticas_Snowballing'!$AC$2:$AC$281,"SOFTWARE ENG. MODELS/METH. &gt; Subárea no determinable")</f>
        <v>0</v>
      </c>
      <c r="BZ20" s="29">
        <f t="shared" ref="BZ20:BZ39" si="27">SUM(BU20:BY20)</f>
        <v>0</v>
      </c>
      <c r="CA20" s="17">
        <f>COUNTIFS('Prácticas_Revisiones'!$S$2:$S$282,"T012",'Prácticas_Revisiones'!$T$2:$T$282,"SOFTWARE QUALITY &gt; Software Quality Fundamentals")+COUNTIFS('Prácticas_Snowballing'!$AB$2:$AB$281,"T012",'Prácticas_Snowballing'!$AC$2:$AC$281,"SOFTWARE QUALITY &gt; Software Quality Fundamentals")</f>
        <v>0</v>
      </c>
      <c r="CB20" s="17">
        <f>COUNTIFS('Prácticas_Revisiones'!$S$2:$S$282,"T012",'Prácticas_Revisiones'!$T$2:$T$282,"SOFTWARE QUALITY &gt; Software Quality Management Process")+COUNTIFS('Prácticas_Snowballing'!$AB$2:$AB$281,"T012",'Prácticas_Snowballing'!$AC$2:$AC$281,"SOFTWARE QUALITY &gt; Software Quality Management Process")</f>
        <v>0</v>
      </c>
      <c r="CC20" s="17">
        <f>COUNTIFS('Prácticas_Revisiones'!$S$2:$S$282,"T012",'Prácticas_Revisiones'!$T$2:$T$282,"SOFTWARE QUALITY &gt; Software Quality Assurance Process")+COUNTIFS('Prácticas_Snowballing'!$AB$2:$AB$281,"T012",'Prácticas_Snowballing'!$AC$2:$AC$281,"SOFTWARE QUALITY &gt; Software Quality Assurance Process")</f>
        <v>0</v>
      </c>
      <c r="CD20" s="17">
        <f>COUNTIFS('Prácticas_Revisiones'!$S$2:$S$282,"T012",'Prácticas_Revisiones'!$T$2:$T$282,"SOFTWARE QUALITY &gt; Software Quality Tools")+COUNTIFS('Prácticas_Snowballing'!$AB$2:$AB$281,"T012",'Prácticas_Snowballing'!$AC$2:$AC$281,"SOFTWARE QUALITY &gt; Software Quality Tools")</f>
        <v>0</v>
      </c>
      <c r="CE20" s="17">
        <f>COUNTIFS('Prácticas_Revisiones'!$S$2:$S$282,"T012",'Prácticas_Revisiones'!$T$2:$T$282,"SOFTWARE QUALITY &gt; Subárea no determinable")+COUNTIFS('Prácticas_Snowballing'!$AB$2:$AB$281,"T012",'Prácticas_Snowballing'!$AC$2:$AC$281,"SOFTWARE QUALITY &gt; Subárea no determinable")</f>
        <v>0</v>
      </c>
      <c r="CF20" s="29">
        <f t="shared" ref="CF20:CF39" si="28">SUM(CA20:CE20)</f>
        <v>0</v>
      </c>
      <c r="CG20" s="17">
        <f>COUNTIFS('Prácticas_Revisiones'!$S$2:$S$282,"T012",'Prácticas_Revisiones'!$T$2:$T$282,"SOFTWARE SECURITY &gt; Software Security Fundamentals")+COUNTIFS('Prácticas_Snowballing'!$AB$2:$AB$281,"T012",'Prácticas_Snowballing'!$AC$2:$AC$281,"SOFTWARE SECURITY &gt; Software Security Fundamentals")</f>
        <v>0</v>
      </c>
      <c r="CH20" s="17">
        <f>COUNTIFS('Prácticas_Revisiones'!$S$2:$S$282,"T012",'Prácticas_Revisiones'!$T$2:$T$282,"SOFTWARE SECURITY &gt; Security Management and Organization")+COUNTIFS('Prácticas_Snowballing'!$AB$2:$AB$281,"T012",'Prácticas_Snowballing'!$AC$2:$AC$281,"SOFTWARE SECURITY &gt; Security Management and Organization")</f>
        <v>0</v>
      </c>
      <c r="CI20" s="17">
        <f>COUNTIFS('Prácticas_Revisiones'!$S$2:$S$282,"T012",'Prácticas_Revisiones'!$T$2:$T$282,"SOFTWARE SECURITY &gt; Software Security Engineering and Process")+COUNTIFS('Prácticas_Snowballing'!$AB$2:$AB$281,"T012",'Prácticas_Snowballing'!$AC$2:$AC$281,"SOFTWARE SECURITY &gt; Software Security Engineering and Process")</f>
        <v>0</v>
      </c>
      <c r="CJ20" s="17">
        <f>COUNTIFS('Prácticas_Revisiones'!$S$2:$S$282,"T012",'Prácticas_Revisiones'!$T$2:$T$282,"SOFTWARE SECURITY &gt; Security Engineering for Software Systems")+COUNTIFS('Prácticas_Snowballing'!$AB$2:$AB$281,"T012",'Prácticas_Snowballing'!$AC$2:$AC$281,"SOFTWARE SECURITY &gt; Security Engineering for Software Systems")</f>
        <v>0</v>
      </c>
      <c r="CK20" s="17">
        <f>COUNTIFS('Prácticas_Revisiones'!$S$2:$S$282,"T012",'Prácticas_Revisiones'!$T$2:$T$282,"SOFTWARE SECURITY &gt; Software Security Tools")+COUNTIFS('Prácticas_Snowballing'!$AB$2:$AB$281,"T012",'Prácticas_Snowballing'!$AC$2:$AC$281,"SOFTWARE SECURITY &gt; Software Security Tools")</f>
        <v>0</v>
      </c>
      <c r="CL20" s="17">
        <f>COUNTIFS('Prácticas_Revisiones'!$S$2:$S$282,"T012",'Prácticas_Revisiones'!$T$2:$T$282,"SOFTWARE SECURITY &gt; Domain Specific Software Security")+COUNTIFS('Prácticas_Snowballing'!$AB$2:$AB$281,"T012",'Prácticas_Snowballing'!$AC$2:$AC$281,"SOFTWARE SECURITY &gt; Domain Specific Software Security")</f>
        <v>0</v>
      </c>
      <c r="CM20" s="17">
        <f>COUNTIFS('Prácticas_Revisiones'!$S$2:$S$282,"T012",'Prácticas_Revisiones'!$T$2:$T$282,"SOFTWARE SECURITY &gt; Subárea no determinable")+COUNTIFS('Prácticas_Snowballing'!$AB$2:$AB$281,"T012",'Prácticas_Snowballing'!$AC$2:$AC$281,"SOFTWARE SECURITY &gt; Subárea no determinable")</f>
        <v>0</v>
      </c>
      <c r="CN20" s="29">
        <f t="shared" ref="CN20:CN39" si="29">SUM(CG20:CM20)</f>
        <v>0</v>
      </c>
      <c r="CO20" s="17">
        <f>COUNTIFS('Prácticas_Revisiones'!$S$2:$S$282,"T012",'Prácticas_Revisiones'!$T$2:$T$282,"PROFESSIONAL PRACTICE &gt; Professionalism")+COUNTIFS('Prácticas_Snowballing'!$AB$2:$AB$281,"T012",'Prácticas_Snowballing'!$AC$2:$AC$281,"PROFESSIONAL PRACTICE &gt; Professionalism")</f>
        <v>0</v>
      </c>
      <c r="CP20" s="17">
        <f>COUNTIFS('Prácticas_Revisiones'!$S$2:$S$282,"T012",'Prácticas_Revisiones'!$T$2:$T$282,"PROFESSIONAL PRACTICE &gt; Group Dynamics and Psychology")+COUNTIFS('Prácticas_Snowballing'!$AB$2:$AB$281,"T012",'Prácticas_Snowballing'!$AC$2:$AC$281,"PROFESSIONAL PRACTICE &gt; Group Dynamics and Psychology")</f>
        <v>0</v>
      </c>
      <c r="CQ20" s="17">
        <f>COUNTIFS('Prácticas_Revisiones'!$S$2:$S$282,"T012",'Prácticas_Revisiones'!$T$2:$T$282,"PROFESSIONAL PRACTICE &gt; Communication Skills")+COUNTIFS('Prácticas_Snowballing'!$AB$2:$AB$281,"T012",'Prácticas_Snowballing'!$AC$2:$AC$281,"PROFESSIONAL PRACTICE &gt; Communication Skills")</f>
        <v>0</v>
      </c>
      <c r="CR20" s="17">
        <f>COUNTIFS('Prácticas_Revisiones'!$S$2:$S$282,"T012",'Prácticas_Revisiones'!$T$2:$T$282,"PROFESSIONAL PRACTICE &gt; Subárea no determinable")+COUNTIFS('Prácticas_Snowballing'!$AB$2:$AB$281,"T012",'Prácticas_Snowballing'!$AC$2:$AC$281,"PROFESSIONAL PRACTICE &gt; Subárea no determinable")</f>
        <v>0</v>
      </c>
      <c r="CS20" s="29">
        <f t="shared" ref="CS20:CS39" si="30">SUM(CO20:CR20)</f>
        <v>0</v>
      </c>
      <c r="CT20" s="17">
        <f>COUNTIFS('Prácticas_Revisiones'!$S$2:$S$282,"T012",'Prácticas_Revisiones'!$T$2:$T$282,"SOFTWARE ENG. ECONOMICS &gt; Software Engineering Economics Fundamentals")+COUNTIFS('Prácticas_Snowballing'!$AB$2:$AB$281,"T012",'Prácticas_Snowballing'!$AC$2:$AC$281,"SOFTWARE ENG. ECONOMICS &gt; Software Engineering Economics Fundamentals")</f>
        <v>0</v>
      </c>
      <c r="CU20" s="17">
        <f>COUNTIFS('Prácticas_Revisiones'!$S$2:$S$282,"T012",'Prácticas_Revisiones'!$T$2:$T$282,"SOFTWARE ENG. ECONOMICS &gt; The Engineering Decision-Making Process")+COUNTIFS('Prácticas_Snowballing'!$AB$2:$AB$281,"T012",'Prácticas_Snowballing'!$AC$2:$AC$281,"SOFTWARE ENG. ECONOMICS &gt; The Engineering Decision-Making Process")</f>
        <v>0</v>
      </c>
      <c r="CV20" s="17">
        <f>COUNTIFS('Prácticas_Revisiones'!$S$2:$S$282,"T012",'Prácticas_Revisiones'!$T$2:$T$282,"SOFTWARE ENG. ECONOMICS &gt; For-Profit Decision-Making")+COUNTIFS('Prácticas_Snowballing'!$AB$2:$AB$281,"T012",'Prácticas_Snowballing'!$AC$2:$AC$281,"SOFTWARE ENG. ECONOMICS &gt; For-Profit Decision-Making")</f>
        <v>0</v>
      </c>
      <c r="CW20" s="17">
        <f>COUNTIFS('Prácticas_Revisiones'!$S$2:$S$282,"T012",'Prácticas_Revisiones'!$T$2:$T$282,"SOFTWARE ENG. ECONOMICS &gt; Nonprofit Decision-Making")+COUNTIFS('Prácticas_Snowballing'!$AB$2:$AB$281,"T012",'Prácticas_Snowballing'!$AC$2:$AC$281,"SOFTWARE ENG. ECONOMICS &gt; Nonprofit Decision-Making")</f>
        <v>0</v>
      </c>
      <c r="CX20" s="17">
        <f>COUNTIFS('Prácticas_Revisiones'!$S$2:$S$282,"T012",'Prácticas_Revisiones'!$T$2:$T$282,"SOFTWARE ENG. ECONOMICS &gt; Present Economy Decision-Making")+COUNTIFS('Prácticas_Snowballing'!$AB$2:$AB$281,"T012",'Prácticas_Snowballing'!$AC$2:$AC$281,"SOFTWARE ENG. ECONOMICS &gt; Present Economy Decision-Making")</f>
        <v>0</v>
      </c>
      <c r="CY20" s="17">
        <f>COUNTIFS('Prácticas_Revisiones'!$S$2:$S$282,"T012",'Prácticas_Revisiones'!$T$2:$T$282,"SOFTWARE ENG. ECONOMICS &gt; Multiple-Attribute Decision-Making")+COUNTIFS('Prácticas_Snowballing'!$AB$2:$AB$281,"T012",'Prácticas_Snowballing'!$AC$2:$AC$281,"SOFTWARE ENG. ECONOMICS &gt; Multiple-Attribute Decision-Making")</f>
        <v>0</v>
      </c>
      <c r="CZ20" s="17">
        <f>COUNTIFS('Prácticas_Revisiones'!$S$2:$S$282,"T012",'Prácticas_Revisiones'!$T$2:$T$282,"SOFTWARE ENG. ECONOMICS &gt; Identifying and Characterizing Intangible Assets")+COUNTIFS('Prácticas_Snowballing'!$AB$2:$AB$281,"T012",'Prácticas_Snowballing'!$AC$2:$AC$281,"SOFTWARE ENG. ECONOMICS &gt; Identifying and Characterizing Intangible Assets")</f>
        <v>0</v>
      </c>
      <c r="DA20" s="17">
        <f>COUNTIFS('Prácticas_Revisiones'!$S$2:$S$282,"T012",'Prácticas_Revisiones'!$T$2:$T$282,"SOFTWARE ENG. ECONOMICS &gt; Estimation")+COUNTIFS('Prácticas_Snowballing'!$AB$2:$AB$281,"T012",'Prácticas_Snowballing'!$AC$2:$AC$281,"SOFTWARE ENG. ECONOMICS &gt; Estimation")</f>
        <v>0</v>
      </c>
      <c r="DB20" s="17">
        <f>COUNTIFS('Prácticas_Revisiones'!$S$2:$S$282,"T012",'Prácticas_Revisiones'!$T$2:$T$282,"SOFTWARE ENG. ECONOMICS &gt; Practical Considerations")+COUNTIFS('Prácticas_Snowballing'!$AB$2:$AB$281,"T012",'Prácticas_Snowballing'!$AC$2:$AC$281,"SOFTWARE ENG. ECONOMICS &gt; Practical Considerations")</f>
        <v>0</v>
      </c>
      <c r="DC20" s="17">
        <f>COUNTIFS('Prácticas_Revisiones'!$S$2:$S$282,"T012",'Prácticas_Revisiones'!$T$2:$T$282,"SOFTWARE ENG. ECONOMICS &gt; Related Concepts")+COUNTIFS('Prácticas_Snowballing'!$AB$2:$AB$281,"T012",'Prácticas_Snowballing'!$AC$2:$AC$281,"SOFTWARE ENG. ECONOMICS &gt; Related Concepts")</f>
        <v>0</v>
      </c>
      <c r="DD20" s="17">
        <f>COUNTIFS('Prácticas_Revisiones'!$S$2:$S$282,"T012",'Prácticas_Revisiones'!$T$2:$T$282,"SOFTWARE ENG. ECONOMICS &gt; Subárea no determinable")+COUNTIFS('Prácticas_Snowballing'!$AB$2:$AB$281,"T012",'Prácticas_Snowballing'!$AC$2:$AC$281,"SOFTWARE ENG. ECONOMICS &gt; Subárea no determinable")</f>
        <v>0</v>
      </c>
      <c r="DE20" s="29">
        <f t="shared" ref="DE20:DE39" si="31">SUM(CT20:DD20)</f>
        <v>0</v>
      </c>
      <c r="DF20" s="17">
        <f>COUNTIFS('Prácticas_Revisiones'!$S$2:$S$282,"T012",'Prácticas_Revisiones'!$T$2:$T$282,"SOFTWARE ENG. MANAGEMENT &gt; Software Engineering Management Fundamentals")+COUNTIFS('Prácticas_Snowballing'!$AB$2:$AB$281,"T012",'Prácticas_Snowballing'!$AC$2:$AC$281,"SOFTWARE ENG. MANAGEMENT &gt; Software Engineering Management Fundamentals")</f>
        <v>0</v>
      </c>
      <c r="DG20" s="17">
        <f>COUNTIFS('Prácticas_Revisiones'!$S$2:$S$282,"T012",'Prácticas_Revisiones'!$T$2:$T$282,"SOFTWARE ENG. MANAGEMENT &gt; Initiation and Scope Definition")+COUNTIFS('Prácticas_Snowballing'!$AB$2:$AB$281,"T012",'Prácticas_Snowballing'!$AC$2:$AC$281,"SOFTWARE ENG. MANAGEMENT &gt; Initiation and Scope Definition")</f>
        <v>0</v>
      </c>
      <c r="DH20" s="17">
        <f>COUNTIFS('Prácticas_Revisiones'!$S$2:$S$282,"T012",'Prácticas_Revisiones'!$T$2:$T$282,"SOFTWARE ENG. MANAGEMENT &gt; Software Project Planning")+COUNTIFS('Prácticas_Snowballing'!$AB$2:$AB$281,"T012",'Prácticas_Snowballing'!$AC$2:$AC$281,"SOFTWARE ENG. MANAGEMENT &gt; Software Project Planning")</f>
        <v>0</v>
      </c>
      <c r="DI20" s="17">
        <f>COUNTIFS('Prácticas_Revisiones'!$S$2:$S$282,"T012",'Prácticas_Revisiones'!$T$2:$T$282,"SOFTWARE ENG. MANAGEMENT &gt; Software Project Enactment")+COUNTIFS('Prácticas_Snowballing'!$AB$2:$AB$281,"T012",'Prácticas_Snowballing'!$AC$2:$AC$281,"SOFTWARE ENG. MANAGEMENT &gt; Software Project Enactment")</f>
        <v>0</v>
      </c>
      <c r="DJ20" s="17">
        <f>COUNTIFS('Prácticas_Revisiones'!$S$2:$S$282,"T012",'Prácticas_Revisiones'!$T$2:$T$282,"SOFTWARE ENG. MANAGEMENT &gt; Review and Evaluation")+COUNTIFS('Prácticas_Snowballing'!$AB$2:$AB$281,"T012",'Prácticas_Snowballing'!$AC$2:$AC$281,"SOFTWARE ENG. MANAGEMENT &gt; Review and Evaluation")</f>
        <v>0</v>
      </c>
      <c r="DK20" s="17">
        <f>COUNTIFS('Prácticas_Revisiones'!$S$2:$S$282,"T012",'Prácticas_Revisiones'!$T$2:$T$282,"SOFTWARE ENG. MANAGEMENT &gt; Closure")+COUNTIFS('Prácticas_Snowballing'!$AB$2:$AB$281,"T012",'Prácticas_Snowballing'!$AC$2:$AC$281,"SOFTWARE ENG. MANAGEMENT &gt; Closure")</f>
        <v>0</v>
      </c>
      <c r="DL20" s="17">
        <f>COUNTIFS('Prácticas_Revisiones'!$S$2:$S$282,"T012",'Prácticas_Revisiones'!$T$2:$T$282,"SOFTWARE ENG. MANAGEMENT &gt; Software Engineering Management Tools")+COUNTIFS('Prácticas_Snowballing'!$AB$2:$AB$281,"T012",'Prácticas_Snowballing'!$AC$2:$AC$281,"SOFTWARE ENG. MANAGEMENT &gt; Software Engineering Management Tools")</f>
        <v>0</v>
      </c>
      <c r="DM20" s="17">
        <f>COUNTIFS('Prácticas_Revisiones'!$S$2:$S$282,"T012",'Prácticas_Revisiones'!$T$2:$T$282,"SOFTWARE ENG. MANAGEMENT &gt; Subárea no determinable")+COUNTIFS('Prácticas_Snowballing'!$AB$2:$AB$281,"T012",'Prácticas_Snowballing'!$AC$2:$AC$281,"SOFTWARE ENG. MANAGEMENT &gt; Subárea no determinable")</f>
        <v>0</v>
      </c>
      <c r="DN20" s="29">
        <f t="shared" ref="DN20:DN39" si="32">SUM(DF20:DM20)</f>
        <v>0</v>
      </c>
      <c r="DO20" s="17">
        <f>COUNTIFS('Prácticas_Revisiones'!$S$2:$S$282,"T012",'Prácticas_Revisiones'!$T$2:$T$282,"Sin área SWEBOK")+COUNTIFS('Prácticas_Snowballing'!$AB$2:$AB$281,"T012",'Prácticas_Snowballing'!$AC$2:$AC$281,"Sin área SWEBOK")</f>
        <v>0</v>
      </c>
      <c r="DP20" s="27">
        <f t="shared" ref="DP20:DP39" si="33">SUM(C20:K20,M20:Q20,S20:Y20,AA20:AF20,AH20:AP20,AR20:AX20,AZ20:BE20,BG20:BN20,BP20:BS20,BU20:BY20,CA20:CE20,CG20:CM20,CO20:CR20,CT20:DD20,DF20:DM20,DO20)</f>
        <v>0</v>
      </c>
    </row>
    <row r="21" ht="15.75" customHeight="1">
      <c r="A21" s="28"/>
      <c r="B21" s="16" t="s">
        <v>2453</v>
      </c>
      <c r="C21" s="17">
        <f>COUNTIFS('Prácticas_Revisiones'!$S$2:$S$282,"T013",'Prácticas_Revisiones'!$T$2:$T$282,"REQUIREMENTS &gt; Software Requirements Fundamentals")+COUNTIFS('Prácticas_Snowballing'!$AB$2:$AB$281,"T013",'Prácticas_Snowballing'!$AC$2:$AC$281,"REQUIREMENTS &gt; Software Requirements Fundamentals")</f>
        <v>0</v>
      </c>
      <c r="D21" s="17">
        <f>COUNTIFS('Prácticas_Revisiones'!$S$2:$S$282,"T013",'Prácticas_Revisiones'!$T$2:$T$282,"REQUIREMENTS &gt; Requirements Elicitation")+COUNTIFS('Prácticas_Snowballing'!$AB$2:$AB$281,"T013",'Prácticas_Snowballing'!$AC$2:$AC$281,"REQUIREMENTS &gt; Requirements Elicitation")</f>
        <v>0</v>
      </c>
      <c r="E21" s="17">
        <f>COUNTIFS('Prácticas_Revisiones'!$S$2:$S$282,"T013",'Prácticas_Revisiones'!$T$2:$T$282,"REQUIREMENTS &gt; Requirements Analysis")+COUNTIFS('Prácticas_Snowballing'!$AB$2:$AB$281,"T013",'Prácticas_Snowballing'!$AC$2:$AC$281,"REQUIREMENTS &gt; Requirements Analysis")</f>
        <v>0</v>
      </c>
      <c r="F21" s="17">
        <f>COUNTIFS('Prácticas_Revisiones'!$S$2:$S$282,"T013",'Prácticas_Revisiones'!$T$2:$T$282,"REQUIREMENTS &gt; Requirements Specification")+COUNTIFS('Prácticas_Snowballing'!$AB$2:$AB$281,"T013",'Prácticas_Snowballing'!$AC$2:$AC$281,"REQUIREMENTS &gt; Requirements Specification")</f>
        <v>0</v>
      </c>
      <c r="G21" s="17">
        <f>COUNTIFS('Prácticas_Revisiones'!$S$2:$S$282,"T013",'Prácticas_Revisiones'!$T$2:$T$282,"REQUIREMENTS &gt; Requirements Validation")+COUNTIFS('Prácticas_Snowballing'!$AB$2:$AB$281,"T013",'Prácticas_Snowballing'!$AC$2:$AC$281,"REQUIREMENTS &gt; Requirements Validation")</f>
        <v>0</v>
      </c>
      <c r="H21" s="17">
        <f>COUNTIFS('Prácticas_Revisiones'!$S$2:$S$282,"T013",'Prácticas_Revisiones'!$T$2:$T$282,"REQUIREMENTS &gt; Requirements Management Activities")+COUNTIFS('Prácticas_Snowballing'!$AB$2:$AB$281,"T013",'Prácticas_Snowballing'!$AC$2:$AC$281,"REQUIREMENTS &gt; Requirements Management Activities")</f>
        <v>0</v>
      </c>
      <c r="I21" s="17">
        <f>COUNTIFS('Prácticas_Revisiones'!$S$2:$S$282,"T013",'Prácticas_Revisiones'!$T$2:$T$282,"REQUIREMENTS &gt; Practical Considerations")+COUNTIFS('Prácticas_Snowballing'!$AB$2:$AB$281,"T013",'Prácticas_Snowballing'!$AC$2:$AC$281,"REQUIREMENTS &gt; Practical Considerations")</f>
        <v>0</v>
      </c>
      <c r="J21" s="17">
        <f>COUNTIFS('Prácticas_Revisiones'!$S$2:$S$282,"T013",'Prácticas_Revisiones'!$T$2:$T$282,"REQUIREMENTS &gt; Software Requirements Tools")+COUNTIFS('Prácticas_Snowballing'!$AB$2:$AB$281,"T013",'Prácticas_Snowballing'!$AC$2:$AC$281,"REQUIREMENTS &gt; Software Requirements Tools")</f>
        <v>0</v>
      </c>
      <c r="K21" s="17">
        <f>COUNTIFS('Prácticas_Revisiones'!$S$2:$S$282,"T013",'Prácticas_Revisiones'!$T$2:$T$282,"REQUIREMENTS &gt; Subárea no determinable")+COUNTIFS('Prácticas_Snowballing'!$AB$2:$AB$281,"T013",'Prácticas_Snowballing'!$AC$2:$AC$281,"REQUIREMENTS &gt; Subárea no determinable")</f>
        <v>0</v>
      </c>
      <c r="L21" s="29">
        <f t="shared" si="18"/>
        <v>0</v>
      </c>
      <c r="M21" s="17">
        <f>COUNTIFS('Prácticas_Revisiones'!$S$2:$S$282,"T013",'Prácticas_Revisiones'!$T$2:$T$282,"ARCHITECTURE &gt; Software Architecture Fundamentals")+COUNTIFS('Prácticas_Snowballing'!$AB$2:$AB$281,"T013",'Prácticas_Snowballing'!$AC$2:$AC$281,"ARCHITECTURE &gt; Software Architecture Fundamentals")</f>
        <v>0</v>
      </c>
      <c r="N21" s="17">
        <f>COUNTIFS('Prácticas_Revisiones'!$S$2:$S$282,"T013",'Prácticas_Revisiones'!$T$2:$T$282,"ARCHITECTURE &gt; Software Architecture Description")+COUNTIFS('Prácticas_Snowballing'!$AB$2:$AB$281,"T013",'Prácticas_Snowballing'!$AC$2:$AC$281,"ARCHITECTURE &gt; Software Architecture Description")</f>
        <v>0</v>
      </c>
      <c r="O21" s="17">
        <f>COUNTIFS('Prácticas_Revisiones'!$S$2:$S$282,"T013",'Prácticas_Revisiones'!$T$2:$T$282,"ARCHITECTURE &gt; Software Architecture Process")+COUNTIFS('Prácticas_Snowballing'!$AB$2:$AB$281,"T013",'Prácticas_Snowballing'!$AC$2:$AC$281,"ARCHITECTURE &gt; Software Architecture Process")</f>
        <v>0</v>
      </c>
      <c r="P21" s="17">
        <f>COUNTIFS('Prácticas_Revisiones'!$S$2:$S$282,"T013",'Prácticas_Revisiones'!$T$2:$T$282,"ARCHITECTURE &gt; Software Architecture Evaluation")+COUNTIFS('Prácticas_Snowballing'!$AB$2:$AB$281,"T013",'Prácticas_Snowballing'!$AC$2:$AC$281,"ARCHITECTURE &gt; Software Architecture Evaluation")</f>
        <v>0</v>
      </c>
      <c r="Q21" s="17">
        <f>COUNTIFS('Prácticas_Revisiones'!$S$2:$S$282,"T013",'Prácticas_Revisiones'!$T$2:$T$282,"ARCHITECTURE &gt; Subárea no determinable")+COUNTIFS('Prácticas_Snowballing'!$AB$2:$AB$281,"T013",'Prácticas_Snowballing'!$AC$2:$AC$281,"ARCHITECTURE &gt; Subárea no determinable")</f>
        <v>0</v>
      </c>
      <c r="R21" s="29">
        <f t="shared" si="19"/>
        <v>0</v>
      </c>
      <c r="S21" s="17">
        <f>COUNTIFS('Prácticas_Revisiones'!$S$2:$S$282,"T013",'Prácticas_Revisiones'!$T$2:$T$282,"DESIGN &gt; Software Design Fundamentals")+COUNTIFS('Prácticas_Snowballing'!$AB$2:$AB$281,"T013",'Prácticas_Snowballing'!$AC$2:$AC$281,"DESIGN &gt; Software Design Fundamentals")</f>
        <v>0</v>
      </c>
      <c r="T21" s="17">
        <f>COUNTIFS('Prácticas_Revisiones'!$S$2:$S$282,"T013",'Prácticas_Revisiones'!$T$2:$T$282,"DESIGN &gt; Software Design Processes")+COUNTIFS('Prácticas_Snowballing'!$AB$2:$AB$281,"T013",'Prácticas_Snowballing'!$AC$2:$AC$281,"DESIGN &gt; Software Design Processes")</f>
        <v>0</v>
      </c>
      <c r="U21" s="17">
        <f>COUNTIFS('Prácticas_Revisiones'!$S$2:$S$282,"T013",'Prácticas_Revisiones'!$T$2:$T$282,"DESIGN &gt; Software Design Qualities")+COUNTIFS('Prácticas_Snowballing'!$AB$2:$AB$281,"T013",'Prácticas_Snowballing'!$AC$2:$AC$281,"DESIGN &gt; Software Design Qualities")</f>
        <v>0</v>
      </c>
      <c r="V21" s="17">
        <f>COUNTIFS('Prácticas_Revisiones'!$S$2:$S$282,"T013",'Prácticas_Revisiones'!$T$2:$T$282,"DESIGN &gt; Recording Software Design")+COUNTIFS('Prácticas_Snowballing'!$AB$2:$AB$281,"T013",'Prácticas_Snowballing'!$AC$2:$AC$281,"DESIGN &gt; Recording Software Design")</f>
        <v>0</v>
      </c>
      <c r="W21" s="17">
        <f>COUNTIFS('Prácticas_Revisiones'!$S$2:$S$282,"T013",'Prácticas_Revisiones'!$T$2:$T$282,"DESIGN &gt; Software Design Strategies and Methods")+COUNTIFS('Prácticas_Snowballing'!$AB$2:$AB$281,"T013",'Prácticas_Snowballing'!$AC$2:$AC$281,"DESIGN &gt; Software Design Strategies and Methods")</f>
        <v>0</v>
      </c>
      <c r="X21" s="17">
        <f>COUNTIFS('Prácticas_Revisiones'!$S$2:$S$282,"T013",'Prácticas_Revisiones'!$T$2:$T$282,"DESIGN &gt; Software Design Analysis and Evaluations")+COUNTIFS('Prácticas_Snowballing'!$AB$2:$AB$281,"T013",'Prácticas_Snowballing'!$AC$2:$AC$281,"DESIGN &gt; Software Design Analysis and Evaluations")</f>
        <v>0</v>
      </c>
      <c r="Y21" s="17">
        <f>COUNTIFS('Prácticas_Revisiones'!$S$2:$S$282,"T013",'Prácticas_Revisiones'!$T$2:$T$282,"DESIGN &gt; Subárea no determinable")+COUNTIFS('Prácticas_Snowballing'!$AB$2:$AB$281,"T013",'Prácticas_Snowballing'!$AC$2:$AC$281,"DESIGN &gt; Subárea no determinable")</f>
        <v>0</v>
      </c>
      <c r="Z21" s="29">
        <f t="shared" si="20"/>
        <v>0</v>
      </c>
      <c r="AA21" s="17">
        <f>COUNTIFS('Prácticas_Revisiones'!$S$2:$S$282,"T013",'Prácticas_Revisiones'!$T$2:$T$282,"CONSTRUCTION &gt; Software Construction Fundamentals")+COUNTIFS('Prácticas_Snowballing'!$AB$2:$AB$281,"T013",'Prácticas_Snowballing'!$AC$2:$AC$281,"CONSTRUCTION &gt; Software Construction Fundamentals")</f>
        <v>0</v>
      </c>
      <c r="AB21" s="17">
        <f>COUNTIFS('Prácticas_Revisiones'!$S$2:$S$282,"T013",'Prácticas_Revisiones'!$T$2:$T$282,"CONSTRUCTION &gt; Managing Construction")+COUNTIFS('Prácticas_Snowballing'!$AB$2:$AB$281,"T013",'Prácticas_Snowballing'!$AC$2:$AC$281,"CONSTRUCTION &gt; Managing Construction")</f>
        <v>0</v>
      </c>
      <c r="AC21" s="17">
        <f>COUNTIFS('Prácticas_Revisiones'!$S$2:$S$282,"T013",'Prácticas_Revisiones'!$T$2:$T$282,"CONSTRUCTION &gt; Practical Considerations")+COUNTIFS('Prácticas_Snowballing'!$AB$2:$AB$281,"T013",'Prácticas_Snowballing'!$AC$2:$AC$281,"CONSTRUCTION &gt; Practical Considerations")</f>
        <v>0</v>
      </c>
      <c r="AD21" s="17">
        <f>COUNTIFS('Prácticas_Revisiones'!$S$2:$S$282,"T013",'Prácticas_Revisiones'!$T$2:$T$282,"CONSTRUCTION &gt; Construction Technologies")+COUNTIFS('Prácticas_Snowballing'!$AB$2:$AB$281,"T013",'Prácticas_Snowballing'!$AC$2:$AC$281,"CONSTRUCTION &gt; Construction Technologies")</f>
        <v>0</v>
      </c>
      <c r="AE21" s="17">
        <f>COUNTIFS('Prácticas_Revisiones'!$S$2:$S$282,"T013",'Prácticas_Revisiones'!$T$2:$T$282,"CONSTRUCTION &gt; Software Construction Tools")+COUNTIFS('Prácticas_Snowballing'!$AB$2:$AB$281,"T013",'Prácticas_Snowballing'!$AC$2:$AC$281,"CONSTRUCTION &gt; Software Construction Tools")</f>
        <v>0</v>
      </c>
      <c r="AF21" s="17">
        <f>COUNTIFS('Prácticas_Revisiones'!$S$2:$S$282,"T013",'Prácticas_Revisiones'!$T$2:$T$282,"CONSTRUCTION &gt; Subárea no determinable")+COUNTIFS('Prácticas_Snowballing'!$AB$2:$AB$281,"T013",'Prácticas_Snowballing'!$AC$2:$AC$281,"CONSTRUCTION &gt; Subárea no determinable")</f>
        <v>0</v>
      </c>
      <c r="AG21" s="29">
        <f t="shared" si="21"/>
        <v>0</v>
      </c>
      <c r="AH21" s="17">
        <f>COUNTIFS('Prácticas_Revisiones'!$S$2:$S$282,"T013",'Prácticas_Revisiones'!$T$2:$T$282,"SOFTWARE TESTING &gt; Software Testing Fundamentals")+COUNTIFS('Prácticas_Snowballing'!$AB$2:$AB$281,"T013",'Prácticas_Snowballing'!$AC$2:$AC$281,"SOFTWARE TESTING &gt; Software Testing Fundamentals")</f>
        <v>0</v>
      </c>
      <c r="AI21" s="17">
        <f>COUNTIFS('Prácticas_Revisiones'!$S$2:$S$282,"T013",'Prácticas_Revisiones'!$T$2:$T$282,"SOFTWARE TESTING &gt; Test Levels")+COUNTIFS('Prácticas_Snowballing'!$AB$2:$AB$281,"T013",'Prácticas_Snowballing'!$AC$2:$AC$281,"SOFTWARE TESTING &gt; Test Levels")</f>
        <v>0</v>
      </c>
      <c r="AJ21" s="17">
        <f>COUNTIFS('Prácticas_Revisiones'!$S$2:$S$282,"T013",'Prácticas_Revisiones'!$T$2:$T$282,"SOFTWARE TESTING &gt; Test Techniques")+COUNTIFS('Prácticas_Snowballing'!$AB$2:$AB$281,"T013",'Prácticas_Snowballing'!$AC$2:$AC$281,"SOFTWARE TESTING &gt; Test Techniques")</f>
        <v>0</v>
      </c>
      <c r="AK21" s="17">
        <f>COUNTIFS('Prácticas_Revisiones'!$S$2:$S$282,"T013",'Prácticas_Revisiones'!$T$2:$T$282,"SOFTWARE TESTING &gt; Test-Related Measures")+COUNTIFS('Prácticas_Snowballing'!$AB$2:$AB$281,"T013",'Prácticas_Snowballing'!$AC$2:$AC$281,"SOFTWARE TESTING &gt; Test-Related Measures")</f>
        <v>0</v>
      </c>
      <c r="AL21" s="17">
        <f>COUNTIFS('Prácticas_Revisiones'!$S$2:$S$282,"T013",'Prácticas_Revisiones'!$T$2:$T$282,"SOFTWARE TESTING &gt; Test Process")+COUNTIFS('Prácticas_Snowballing'!$AB$2:$AB$281,"T013",'Prácticas_Snowballing'!$AC$2:$AC$281,"SOFTWARE TESTING &gt; Test Process")</f>
        <v>0</v>
      </c>
      <c r="AM21" s="17">
        <f>COUNTIFS('Prácticas_Revisiones'!$S$2:$S$282,"T013",'Prácticas_Revisiones'!$T$2:$T$282,"SOFTWARE TESTING &gt; Software Testing in the Development Processes...")+COUNTIFS('Prácticas_Snowballing'!$AB$2:$AB$281,"T013",'Prácticas_Snowballing'!$AC$2:$AC$281,"SOFTWARE TESTING &gt; Software Testing in the Development Processes...")</f>
        <v>0</v>
      </c>
      <c r="AN21" s="17">
        <f>COUNTIFS('Prácticas_Revisiones'!$S$2:$S$282,"T013",'Prácticas_Revisiones'!$T$2:$T$282,"SOFTWARE TESTING &gt; Testing of and Testing Through Emerging Tech...")+COUNTIFS('Prácticas_Snowballing'!$AB$2:$AB$281,"T013",'Prácticas_Snowballing'!$AC$2:$AC$281,"SOFTWARE TESTING &gt; Testing of and Testing Through Emerging Tech...")</f>
        <v>0</v>
      </c>
      <c r="AO21" s="17">
        <f>COUNTIFS('Prácticas_Revisiones'!$S$2:$S$282,"T013",'Prácticas_Revisiones'!$T$2:$T$282,"SOFTWARE TESTING &gt; Software Testing Tools")+COUNTIFS('Prácticas_Snowballing'!$AB$2:$AB$281,"T013",'Prácticas_Snowballing'!$AC$2:$AC$281,"SOFTWARE TESTING &gt; Software Testing Tools")</f>
        <v>0</v>
      </c>
      <c r="AP21" s="17">
        <f>COUNTIFS('Prácticas_Revisiones'!$S$2:$S$282,"T013",'Prácticas_Revisiones'!$T$2:$T$282,"SOFTWARE TESTING &gt; Subárea no determinable")+COUNTIFS('Prácticas_Snowballing'!$AB$2:$AB$281,"T013",'Prácticas_Snowballing'!$AC$2:$AC$281,"SOFTWARE TESTING &gt; Subárea no determinable")</f>
        <v>0</v>
      </c>
      <c r="AQ21" s="29">
        <f t="shared" si="22"/>
        <v>0</v>
      </c>
      <c r="AR21" s="17">
        <f>COUNTIFS('Prácticas_Revisiones'!$S$2:$S$282,"T013",'Prácticas_Revisiones'!$T$2:$T$282,"SOFTWARE ENG. OPERATIONS &gt; Software Engineering Operations Fundamentals")+COUNTIFS('Prácticas_Snowballing'!$AB$2:$AB$281,"T013",'Prácticas_Snowballing'!$AC$2:$AC$281,"SOFTWARE ENG. OPERATIONS &gt; Software Engineering Operations Fundamentals")</f>
        <v>0</v>
      </c>
      <c r="AS21" s="17">
        <f>COUNTIFS('Prácticas_Revisiones'!$S$2:$S$282,"T013",'Prácticas_Revisiones'!$T$2:$T$282,"SOFTWARE ENG. OPERATIONS &gt; Software Engineering Operations Planning")+COUNTIFS('Prácticas_Snowballing'!$AB$2:$AB$281,"T013",'Prácticas_Snowballing'!$AC$2:$AC$281,"SOFTWARE ENG. OPERATIONS &gt; Software Engineering Operations Planning")</f>
        <v>0</v>
      </c>
      <c r="AT21" s="17">
        <f>COUNTIFS('Prácticas_Revisiones'!$S$2:$S$282,"T013",'Prácticas_Revisiones'!$T$2:$T$282,"SOFTWARE ENG. OPERATIONS &gt; Software Engineering Operations Delivery")+COUNTIFS('Prácticas_Snowballing'!$AB$2:$AB$281,"T013",'Prácticas_Snowballing'!$AC$2:$AC$281,"SOFTWARE ENG. OPERATIONS &gt; Software Engineering Operations Delivery")</f>
        <v>0</v>
      </c>
      <c r="AU21" s="17">
        <f>COUNTIFS('Prácticas_Revisiones'!$S$2:$S$282,"T013",'Prácticas_Revisiones'!$T$2:$T$282,"SOFTWARE ENG. OPERATIONS &gt; Software Engineering Operations Control")+COUNTIFS('Prácticas_Snowballing'!$AB$2:$AB$281,"T013",'Prácticas_Snowballing'!$AC$2:$AC$281,"SOFTWARE ENG. OPERATIONS &gt; Software Engineering Operations Control")</f>
        <v>0</v>
      </c>
      <c r="AV21" s="17">
        <f>COUNTIFS('Prácticas_Revisiones'!$S$2:$S$282,"T013",'Prácticas_Revisiones'!$T$2:$T$282,"SOFTWARE ENG. OPERATIONS &gt; Practical Considerations")+COUNTIFS('Prácticas_Snowballing'!$AB$2:$AB$281,"T013",'Prácticas_Snowballing'!$AC$2:$AC$281,"SOFTWARE ENG. OPERATIONS &gt; Practical Considerations")</f>
        <v>0</v>
      </c>
      <c r="AW21" s="17">
        <f>COUNTIFS('Prácticas_Revisiones'!$S$2:$S$282,"T013",'Prácticas_Revisiones'!$T$2:$T$282,"SOFTWARE ENG. OPERATIONS &gt; Software Engineering Operations Tools")+COUNTIFS('Prácticas_Snowballing'!$AB$2:$AB$281,"T013",'Prácticas_Snowballing'!$AC$2:$AC$281,"SOFTWARE ENG. OPERATIONS &gt; Software Engineering Operations Tools")</f>
        <v>0</v>
      </c>
      <c r="AX21" s="17">
        <f>COUNTIFS('Prácticas_Revisiones'!$S$2:$S$282,"T013",'Prácticas_Revisiones'!$T$2:$T$282,"SOFTWARE ENG. OPERATIONS &gt; Subárea no determinable")+COUNTIFS('Prácticas_Snowballing'!$AB$2:$AB$281,"T013",'Prácticas_Snowballing'!$AC$2:$AC$281,"SOFTWARE ENG. OPERATIONS &gt; Subárea no determinable")</f>
        <v>0</v>
      </c>
      <c r="AY21" s="29">
        <f t="shared" si="23"/>
        <v>0</v>
      </c>
      <c r="AZ21" s="17">
        <f>COUNTIFS('Prácticas_Revisiones'!$S$2:$S$282,"T013",'Prácticas_Revisiones'!$T$2:$T$282,"MAINTENANCE &gt; Software Maintenance Fundamentals")+COUNTIFS('Prácticas_Snowballing'!$AB$2:$AB$281,"T013",'Prácticas_Snowballing'!$AC$2:$AC$281,"MAINTENANCE &gt; Software Maintenance Fundamentals")</f>
        <v>0</v>
      </c>
      <c r="BA21" s="17">
        <f>COUNTIFS('Prácticas_Revisiones'!$S$2:$S$282,"T013",'Prácticas_Revisiones'!$T$2:$T$282,"MAINTENANCE &gt; Key Issues in Software Maintenance")+COUNTIFS('Prácticas_Snowballing'!$AB$2:$AB$281,"T013",'Prácticas_Snowballing'!$AC$2:$AC$281,"MAINTENANCE &gt; Key Issues in Software Maintenance")</f>
        <v>0</v>
      </c>
      <c r="BB21" s="17">
        <f>COUNTIFS('Prácticas_Revisiones'!$S$2:$S$282,"T013",'Prácticas_Revisiones'!$T$2:$T$282,"MAINTENANCE &gt; Software Maintenance Processes")+COUNTIFS('Prácticas_Snowballing'!$AB$2:$AB$281,"T013",'Prácticas_Snowballing'!$AC$2:$AC$281,"MAINTENANCE &gt; Software Maintenance Processes")</f>
        <v>0</v>
      </c>
      <c r="BC21" s="17">
        <f>COUNTIFS('Prácticas_Revisiones'!$S$2:$S$282,"T013",'Prácticas_Revisiones'!$T$2:$T$282,"MAINTENANCE &gt; Software Maintenance Techniques")+COUNTIFS('Prácticas_Snowballing'!$AB$2:$AB$281,"T013",'Prácticas_Snowballing'!$AC$2:$AC$281,"MAINTENANCE &gt; Software Maintenance Techniques")</f>
        <v>0</v>
      </c>
      <c r="BD21" s="17">
        <f>COUNTIFS('Prácticas_Revisiones'!$S$2:$S$282,"T013",'Prácticas_Revisiones'!$T$2:$T$282,"MAINTENANCE &gt; Software Maintenance Tools")+COUNTIFS('Prácticas_Snowballing'!$AB$2:$AB$281,"T013",'Prácticas_Snowballing'!$AC$2:$AC$281,"MAINTENANCE &gt; Software Maintenance Tools")</f>
        <v>0</v>
      </c>
      <c r="BE21" s="17">
        <f>COUNTIFS('Prácticas_Revisiones'!$S$2:$S$282,"T013",'Prácticas_Revisiones'!$T$2:$T$282,"MAINTENANCE &gt; Subárea no determinable")+COUNTIFS('Prácticas_Snowballing'!$AB$2:$AB$281,"T013",'Prácticas_Snowballing'!$AC$2:$AC$281,"MAINTENANCE &gt; Subárea no determinable")</f>
        <v>0</v>
      </c>
      <c r="BF21" s="29">
        <f t="shared" si="24"/>
        <v>0</v>
      </c>
      <c r="BG21" s="17">
        <f>COUNTIFS('Prácticas_Revisiones'!$S$2:$S$282,"T013",'Prácticas_Revisiones'!$T$2:$T$282,"SOFTWARE CONFIG. MGMT. &gt; Management of the SCM Process")+COUNTIFS('Prácticas_Snowballing'!$AB$2:$AB$281,"T013",'Prácticas_Snowballing'!$AC$2:$AC$281,"SOFTWARE CONFIG. MGMT. &gt; Management of the SCM Process")</f>
        <v>0</v>
      </c>
      <c r="BH21" s="17">
        <f>COUNTIFS('Prácticas_Revisiones'!$S$2:$S$282,"T013",'Prácticas_Revisiones'!$T$2:$T$282,"SOFTWARE CONFIG. MGMT. &gt; Software Configuration Identification")+COUNTIFS('Prácticas_Snowballing'!$AB$2:$AB$281,"T013",'Prácticas_Snowballing'!$AC$2:$AC$281,"SOFTWARE CONFIG. MGMT. &gt; Software Configuration Identification")</f>
        <v>0</v>
      </c>
      <c r="BI21" s="17">
        <f>COUNTIFS('Prácticas_Revisiones'!$S$2:$S$282,"T013",'Prácticas_Revisiones'!$T$2:$T$282,"SOFTWARE CONFIG. MGMT. &gt; Software Configuration Change Control")+COUNTIFS('Prácticas_Snowballing'!$AB$2:$AB$281,"T013",'Prácticas_Snowballing'!$AC$2:$AC$281,"SOFTWARE CONFIG. MGMT. &gt; Software Configuration Change Control")</f>
        <v>0</v>
      </c>
      <c r="BJ21" s="17">
        <f>COUNTIFS('Prácticas_Revisiones'!$S$2:$S$282,"T013",'Prácticas_Revisiones'!$T$2:$T$282,"SOFTWARE CONFIG. MGMT. &gt; Software Configuration Status Accounting")+COUNTIFS('Prácticas_Snowballing'!$AB$2:$AB$281,"T013",'Prácticas_Snowballing'!$AC$2:$AC$281,"SOFTWARE CONFIG. MGMT. &gt; Software Configuration Status Accounting")</f>
        <v>0</v>
      </c>
      <c r="BK21" s="17">
        <f>COUNTIFS('Prácticas_Revisiones'!$S$2:$S$282,"T013",'Prácticas_Revisiones'!$T$2:$T$282,"SOFTWARE CONFIG. MGMT. &gt; Software Configuration Auditing")+COUNTIFS('Prácticas_Snowballing'!$AB$2:$AB$281,"T013",'Prácticas_Snowballing'!$AC$2:$AC$281,"SOFTWARE CONFIG. MGMT. &gt; Software Configuration Auditing")</f>
        <v>0</v>
      </c>
      <c r="BL21" s="17">
        <f>COUNTIFS('Prácticas_Revisiones'!$S$2:$S$282,"T013",'Prácticas_Revisiones'!$T$2:$T$282,"SOFTWARE CONFIG. MGMT. &gt; Software Release Management and Delivery")+COUNTIFS('Prácticas_Snowballing'!$AB$2:$AB$281,"T013",'Prácticas_Snowballing'!$AC$2:$AC$281,"SOFTWARE CONFIG. MGMT. &gt; Software Release Management and Delivery")</f>
        <v>0</v>
      </c>
      <c r="BM21" s="17">
        <f>COUNTIFS('Prácticas_Revisiones'!$S$2:$S$282,"T013",'Prácticas_Revisiones'!$T$2:$T$282,"SOFTWARE CONFIG. MGMT. &gt; Software Configuration Management Tools")+COUNTIFS('Prácticas_Snowballing'!$AB$2:$AB$281,"T013",'Prácticas_Snowballing'!$AC$2:$AC$281,"SOFTWARE CONFIG. MGMT. &gt; Software Configuration Management Tools")</f>
        <v>0</v>
      </c>
      <c r="BN21" s="17">
        <f>COUNTIFS('Prácticas_Revisiones'!$S$2:$S$282,"T013",'Prácticas_Revisiones'!$T$2:$T$282,"SOFTWARE CONFIG. MGMT. &gt; Subárea no determinable")+COUNTIFS('Prácticas_Snowballing'!$AB$2:$AB$281,"T013",'Prácticas_Snowballing'!$AC$2:$AC$281,"SOFTWARE CONFIG. MGMT. &gt; Subárea no determinable")</f>
        <v>0</v>
      </c>
      <c r="BO21" s="29">
        <f t="shared" si="25"/>
        <v>0</v>
      </c>
      <c r="BP21" s="17">
        <f>COUNTIFS('Prácticas_Revisiones'!$S$2:$S$282,"T013",'Prácticas_Revisiones'!$T$2:$T$282,"SOFTWARE ENG. PROCESS &gt; Software Engineering Process Fundamentals")+COUNTIFS('Prácticas_Snowballing'!$AB$2:$AB$281,"T013",'Prácticas_Snowballing'!$AC$2:$AC$281,"SOFTWARE ENG. PROCESS &gt; Software Engineering Process Fundamentals")</f>
        <v>0</v>
      </c>
      <c r="BQ21" s="17">
        <f>COUNTIFS('Prácticas_Revisiones'!$S$2:$S$282,"T013",'Prácticas_Revisiones'!$T$2:$T$282,"SOFTWARE ENG. PROCESS &gt; Life Cycles")+COUNTIFS('Prácticas_Snowballing'!$AB$2:$AB$281,"T013",'Prácticas_Snowballing'!$AC$2:$AC$281,"SOFTWARE ENG. PROCESS &gt; Life Cycles")</f>
        <v>0</v>
      </c>
      <c r="BR21" s="17">
        <f>COUNTIFS('Prácticas_Revisiones'!$S$2:$S$282,"T013",'Prácticas_Revisiones'!$T$2:$T$282,"SOFTWARE ENG. PROCESS &gt; Software Process Assessment and Improvement")+COUNTIFS('Prácticas_Snowballing'!$AB$2:$AB$281,"T013",'Prácticas_Snowballing'!$AC$2:$AC$281,"SOFTWARE ENG. PROCESS &gt; Software Process Assessment and Improvement")</f>
        <v>0</v>
      </c>
      <c r="BS21" s="17">
        <f>COUNTIFS('Prácticas_Revisiones'!$S$2:$S$282,"T013",'Prácticas_Revisiones'!$T$2:$T$282,"SOFTWARE ENG. PROCESS &gt; Subárea no determinable")+COUNTIFS('Prácticas_Snowballing'!$AB$2:$AB$281,"T013",'Prácticas_Snowballing'!$AC$2:$AC$281,"SOFTWARE ENG. PROCESS &gt; Subárea no determinable")</f>
        <v>0</v>
      </c>
      <c r="BT21" s="29">
        <f t="shared" si="26"/>
        <v>0</v>
      </c>
      <c r="BU21" s="17">
        <f>COUNTIFS('Prácticas_Revisiones'!$S$2:$S$282,"T013",'Prácticas_Revisiones'!$T$2:$T$282,"SOFTWARE ENG. MODELS/METH. &gt; Modeling")+COUNTIFS('Prácticas_Snowballing'!$AB$2:$AB$281,"T013",'Prácticas_Snowballing'!$AC$2:$AC$281,"SOFTWARE ENG. MODELS/METH. &gt; Modeling")</f>
        <v>0</v>
      </c>
      <c r="BV21" s="17">
        <f>COUNTIFS('Prácticas_Revisiones'!$S$2:$S$282,"T013",'Prácticas_Revisiones'!$T$2:$T$282,"SOFTWARE ENG. MODELS/METH. &gt; Types of Models")+COUNTIFS('Prácticas_Snowballing'!$AB$2:$AB$281,"T013",'Prácticas_Snowballing'!$AC$2:$AC$281,"SOFTWARE ENG. MODELS/METH. &gt; Types of Models")</f>
        <v>0</v>
      </c>
      <c r="BW21" s="17">
        <f>COUNTIFS('Prácticas_Revisiones'!$S$2:$S$282,"T013",'Prácticas_Revisiones'!$T$2:$T$282,"SOFTWARE ENG. MODELS/METH. &gt; Analysis of Models")+COUNTIFS('Prácticas_Snowballing'!$AB$2:$AB$281,"T013",'Prácticas_Snowballing'!$AC$2:$AC$281,"SOFTWARE ENG. MODELS/METH. &gt; Analysis of Models")</f>
        <v>0</v>
      </c>
      <c r="BX21" s="17">
        <f>COUNTIFS('Prácticas_Revisiones'!$S$2:$S$282,"T013",'Prácticas_Revisiones'!$T$2:$T$282,"SOFTWARE ENG. MODELS/METH. &gt; Software Engineering Methods")+COUNTIFS('Prácticas_Snowballing'!$AB$2:$AB$281,"T013",'Prácticas_Snowballing'!$AC$2:$AC$281,"SOFTWARE ENG. MODELS/METH. &gt; Software Engineering Methods")</f>
        <v>0</v>
      </c>
      <c r="BY21" s="17">
        <f>COUNTIFS('Prácticas_Revisiones'!$S$2:$S$282,"T013",'Prácticas_Revisiones'!$T$2:$T$282,"SOFTWARE ENG. MODELS/METH. &gt; Subárea no determinable")+COUNTIFS('Prácticas_Snowballing'!$AB$2:$AB$281,"T013",'Prácticas_Snowballing'!$AC$2:$AC$281,"SOFTWARE ENG. MODELS/METH. &gt; Subárea no determinable")</f>
        <v>0</v>
      </c>
      <c r="BZ21" s="29">
        <f t="shared" si="27"/>
        <v>0</v>
      </c>
      <c r="CA21" s="17">
        <f>COUNTIFS('Prácticas_Revisiones'!$S$2:$S$282,"T013",'Prácticas_Revisiones'!$T$2:$T$282,"SOFTWARE QUALITY &gt; Software Quality Fundamentals")+COUNTIFS('Prácticas_Snowballing'!$AB$2:$AB$281,"T013",'Prácticas_Snowballing'!$AC$2:$AC$281,"SOFTWARE QUALITY &gt; Software Quality Fundamentals")</f>
        <v>0</v>
      </c>
      <c r="CB21" s="17">
        <f>COUNTIFS('Prácticas_Revisiones'!$S$2:$S$282,"T013",'Prácticas_Revisiones'!$T$2:$T$282,"SOFTWARE QUALITY &gt; Software Quality Management Process")+COUNTIFS('Prácticas_Snowballing'!$AB$2:$AB$281,"T013",'Prácticas_Snowballing'!$AC$2:$AC$281,"SOFTWARE QUALITY &gt; Software Quality Management Process")</f>
        <v>0</v>
      </c>
      <c r="CC21" s="17">
        <f>COUNTIFS('Prácticas_Revisiones'!$S$2:$S$282,"T013",'Prácticas_Revisiones'!$T$2:$T$282,"SOFTWARE QUALITY &gt; Software Quality Assurance Process")+COUNTIFS('Prácticas_Snowballing'!$AB$2:$AB$281,"T013",'Prácticas_Snowballing'!$AC$2:$AC$281,"SOFTWARE QUALITY &gt; Software Quality Assurance Process")</f>
        <v>0</v>
      </c>
      <c r="CD21" s="17">
        <f>COUNTIFS('Prácticas_Revisiones'!$S$2:$S$282,"T013",'Prácticas_Revisiones'!$T$2:$T$282,"SOFTWARE QUALITY &gt; Software Quality Tools")+COUNTIFS('Prácticas_Snowballing'!$AB$2:$AB$281,"T013",'Prácticas_Snowballing'!$AC$2:$AC$281,"SOFTWARE QUALITY &gt; Software Quality Tools")</f>
        <v>0</v>
      </c>
      <c r="CE21" s="17">
        <f>COUNTIFS('Prácticas_Revisiones'!$S$2:$S$282,"T013",'Prácticas_Revisiones'!$T$2:$T$282,"SOFTWARE QUALITY &gt; Subárea no determinable")+COUNTIFS('Prácticas_Snowballing'!$AB$2:$AB$281,"T013",'Prácticas_Snowballing'!$AC$2:$AC$281,"SOFTWARE QUALITY &gt; Subárea no determinable")</f>
        <v>0</v>
      </c>
      <c r="CF21" s="29">
        <f t="shared" si="28"/>
        <v>0</v>
      </c>
      <c r="CG21" s="17">
        <f>COUNTIFS('Prácticas_Revisiones'!$S$2:$S$282,"T013",'Prácticas_Revisiones'!$T$2:$T$282,"SOFTWARE SECURITY &gt; Software Security Fundamentals")+COUNTIFS('Prácticas_Snowballing'!$AB$2:$AB$281,"T013",'Prácticas_Snowballing'!$AC$2:$AC$281,"SOFTWARE SECURITY &gt; Software Security Fundamentals")</f>
        <v>0</v>
      </c>
      <c r="CH21" s="17">
        <f>COUNTIFS('Prácticas_Revisiones'!$S$2:$S$282,"T013",'Prácticas_Revisiones'!$T$2:$T$282,"SOFTWARE SECURITY &gt; Security Management and Organization")+COUNTIFS('Prácticas_Snowballing'!$AB$2:$AB$281,"T013",'Prácticas_Snowballing'!$AC$2:$AC$281,"SOFTWARE SECURITY &gt; Security Management and Organization")</f>
        <v>0</v>
      </c>
      <c r="CI21" s="17">
        <f>COUNTIFS('Prácticas_Revisiones'!$S$2:$S$282,"T013",'Prácticas_Revisiones'!$T$2:$T$282,"SOFTWARE SECURITY &gt; Software Security Engineering and Process")+COUNTIFS('Prácticas_Snowballing'!$AB$2:$AB$281,"T013",'Prácticas_Snowballing'!$AC$2:$AC$281,"SOFTWARE SECURITY &gt; Software Security Engineering and Process")</f>
        <v>0</v>
      </c>
      <c r="CJ21" s="17">
        <f>COUNTIFS('Prácticas_Revisiones'!$S$2:$S$282,"T013",'Prácticas_Revisiones'!$T$2:$T$282,"SOFTWARE SECURITY &gt; Security Engineering for Software Systems")+COUNTIFS('Prácticas_Snowballing'!$AB$2:$AB$281,"T013",'Prácticas_Snowballing'!$AC$2:$AC$281,"SOFTWARE SECURITY &gt; Security Engineering for Software Systems")</f>
        <v>0</v>
      </c>
      <c r="CK21" s="17">
        <f>COUNTIFS('Prácticas_Revisiones'!$S$2:$S$282,"T013",'Prácticas_Revisiones'!$T$2:$T$282,"SOFTWARE SECURITY &gt; Software Security Tools")+COUNTIFS('Prácticas_Snowballing'!$AB$2:$AB$281,"T013",'Prácticas_Snowballing'!$AC$2:$AC$281,"SOFTWARE SECURITY &gt; Software Security Tools")</f>
        <v>0</v>
      </c>
      <c r="CL21" s="17">
        <f>COUNTIFS('Prácticas_Revisiones'!$S$2:$S$282,"T013",'Prácticas_Revisiones'!$T$2:$T$282,"SOFTWARE SECURITY &gt; Domain Specific Software Security")+COUNTIFS('Prácticas_Snowballing'!$AB$2:$AB$281,"T013",'Prácticas_Snowballing'!$AC$2:$AC$281,"SOFTWARE SECURITY &gt; Domain Specific Software Security")</f>
        <v>0</v>
      </c>
      <c r="CM21" s="17">
        <f>COUNTIFS('Prácticas_Revisiones'!$S$2:$S$282,"T013",'Prácticas_Revisiones'!$T$2:$T$282,"SOFTWARE SECURITY &gt; Subárea no determinable")+COUNTIFS('Prácticas_Snowballing'!$AB$2:$AB$281,"T013",'Prácticas_Snowballing'!$AC$2:$AC$281,"SOFTWARE SECURITY &gt; Subárea no determinable")</f>
        <v>0</v>
      </c>
      <c r="CN21" s="29">
        <f t="shared" si="29"/>
        <v>0</v>
      </c>
      <c r="CO21" s="17">
        <f>COUNTIFS('Prácticas_Revisiones'!$S$2:$S$282,"T013",'Prácticas_Revisiones'!$T$2:$T$282,"PROFESSIONAL PRACTICE &gt; Professionalism")+COUNTIFS('Prácticas_Snowballing'!$AB$2:$AB$281,"T013",'Prácticas_Snowballing'!$AC$2:$AC$281,"PROFESSIONAL PRACTICE &gt; Professionalism")</f>
        <v>0</v>
      </c>
      <c r="CP21" s="17">
        <f>COUNTIFS('Prácticas_Revisiones'!$S$2:$S$282,"T013",'Prácticas_Revisiones'!$T$2:$T$282,"PROFESSIONAL PRACTICE &gt; Group Dynamics and Psychology")+COUNTIFS('Prácticas_Snowballing'!$AB$2:$AB$281,"T013",'Prácticas_Snowballing'!$AC$2:$AC$281,"PROFESSIONAL PRACTICE &gt; Group Dynamics and Psychology")</f>
        <v>0</v>
      </c>
      <c r="CQ21" s="17">
        <f>COUNTIFS('Prácticas_Revisiones'!$S$2:$S$282,"T013",'Prácticas_Revisiones'!$T$2:$T$282,"PROFESSIONAL PRACTICE &gt; Communication Skills")+COUNTIFS('Prácticas_Snowballing'!$AB$2:$AB$281,"T013",'Prácticas_Snowballing'!$AC$2:$AC$281,"PROFESSIONAL PRACTICE &gt; Communication Skills")</f>
        <v>0</v>
      </c>
      <c r="CR21" s="17">
        <f>COUNTIFS('Prácticas_Revisiones'!$S$2:$S$282,"T013",'Prácticas_Revisiones'!$T$2:$T$282,"PROFESSIONAL PRACTICE &gt; Subárea no determinable")+COUNTIFS('Prácticas_Snowballing'!$AB$2:$AB$281,"T013",'Prácticas_Snowballing'!$AC$2:$AC$281,"PROFESSIONAL PRACTICE &gt; Subárea no determinable")</f>
        <v>0</v>
      </c>
      <c r="CS21" s="29">
        <f t="shared" si="30"/>
        <v>0</v>
      </c>
      <c r="CT21" s="17">
        <f>COUNTIFS('Prácticas_Revisiones'!$S$2:$S$282,"T013",'Prácticas_Revisiones'!$T$2:$T$282,"SOFTWARE ENG. ECONOMICS &gt; Software Engineering Economics Fundamentals")+COUNTIFS('Prácticas_Snowballing'!$AB$2:$AB$281,"T013",'Prácticas_Snowballing'!$AC$2:$AC$281,"SOFTWARE ENG. ECONOMICS &gt; Software Engineering Economics Fundamentals")</f>
        <v>0</v>
      </c>
      <c r="CU21" s="17">
        <f>COUNTIFS('Prácticas_Revisiones'!$S$2:$S$282,"T013",'Prácticas_Revisiones'!$T$2:$T$282,"SOFTWARE ENG. ECONOMICS &gt; The Engineering Decision-Making Process")+COUNTIFS('Prácticas_Snowballing'!$AB$2:$AB$281,"T013",'Prácticas_Snowballing'!$AC$2:$AC$281,"SOFTWARE ENG. ECONOMICS &gt; The Engineering Decision-Making Process")</f>
        <v>0</v>
      </c>
      <c r="CV21" s="17">
        <f>COUNTIFS('Prácticas_Revisiones'!$S$2:$S$282,"T013",'Prácticas_Revisiones'!$T$2:$T$282,"SOFTWARE ENG. ECONOMICS &gt; For-Profit Decision-Making")+COUNTIFS('Prácticas_Snowballing'!$AB$2:$AB$281,"T013",'Prácticas_Snowballing'!$AC$2:$AC$281,"SOFTWARE ENG. ECONOMICS &gt; For-Profit Decision-Making")</f>
        <v>0</v>
      </c>
      <c r="CW21" s="17">
        <f>COUNTIFS('Prácticas_Revisiones'!$S$2:$S$282,"T013",'Prácticas_Revisiones'!$T$2:$T$282,"SOFTWARE ENG. ECONOMICS &gt; Nonprofit Decision-Making")+COUNTIFS('Prácticas_Snowballing'!$AB$2:$AB$281,"T013",'Prácticas_Snowballing'!$AC$2:$AC$281,"SOFTWARE ENG. ECONOMICS &gt; Nonprofit Decision-Making")</f>
        <v>0</v>
      </c>
      <c r="CX21" s="17">
        <f>COUNTIFS('Prácticas_Revisiones'!$S$2:$S$282,"T013",'Prácticas_Revisiones'!$T$2:$T$282,"SOFTWARE ENG. ECONOMICS &gt; Present Economy Decision-Making")+COUNTIFS('Prácticas_Snowballing'!$AB$2:$AB$281,"T013",'Prácticas_Snowballing'!$AC$2:$AC$281,"SOFTWARE ENG. ECONOMICS &gt; Present Economy Decision-Making")</f>
        <v>0</v>
      </c>
      <c r="CY21" s="17">
        <f>COUNTIFS('Prácticas_Revisiones'!$S$2:$S$282,"T013",'Prácticas_Revisiones'!$T$2:$T$282,"SOFTWARE ENG. ECONOMICS &gt; Multiple-Attribute Decision-Making")+COUNTIFS('Prácticas_Snowballing'!$AB$2:$AB$281,"T013",'Prácticas_Snowballing'!$AC$2:$AC$281,"SOFTWARE ENG. ECONOMICS &gt; Multiple-Attribute Decision-Making")</f>
        <v>0</v>
      </c>
      <c r="CZ21" s="17">
        <f>COUNTIFS('Prácticas_Revisiones'!$S$2:$S$282,"T013",'Prácticas_Revisiones'!$T$2:$T$282,"SOFTWARE ENG. ECONOMICS &gt; Identifying and Characterizing Intangible Assets")+COUNTIFS('Prácticas_Snowballing'!$AB$2:$AB$281,"T013",'Prácticas_Snowballing'!$AC$2:$AC$281,"SOFTWARE ENG. ECONOMICS &gt; Identifying and Characterizing Intangible Assets")</f>
        <v>0</v>
      </c>
      <c r="DA21" s="17">
        <f>COUNTIFS('Prácticas_Revisiones'!$S$2:$S$282,"T013",'Prácticas_Revisiones'!$T$2:$T$282,"SOFTWARE ENG. ECONOMICS &gt; Estimation")+COUNTIFS('Prácticas_Snowballing'!$AB$2:$AB$281,"T013",'Prácticas_Snowballing'!$AC$2:$AC$281,"SOFTWARE ENG. ECONOMICS &gt; Estimation")</f>
        <v>0</v>
      </c>
      <c r="DB21" s="17">
        <f>COUNTIFS('Prácticas_Revisiones'!$S$2:$S$282,"T013",'Prácticas_Revisiones'!$T$2:$T$282,"SOFTWARE ENG. ECONOMICS &gt; Practical Considerations")+COUNTIFS('Prácticas_Snowballing'!$AB$2:$AB$281,"T013",'Prácticas_Snowballing'!$AC$2:$AC$281,"SOFTWARE ENG. ECONOMICS &gt; Practical Considerations")</f>
        <v>0</v>
      </c>
      <c r="DC21" s="17">
        <f>COUNTIFS('Prácticas_Revisiones'!$S$2:$S$282,"T013",'Prácticas_Revisiones'!$T$2:$T$282,"SOFTWARE ENG. ECONOMICS &gt; Related Concepts")+COUNTIFS('Prácticas_Snowballing'!$AB$2:$AB$281,"T013",'Prácticas_Snowballing'!$AC$2:$AC$281,"SOFTWARE ENG. ECONOMICS &gt; Related Concepts")</f>
        <v>0</v>
      </c>
      <c r="DD21" s="17">
        <f>COUNTIFS('Prácticas_Revisiones'!$S$2:$S$282,"T013",'Prácticas_Revisiones'!$T$2:$T$282,"SOFTWARE ENG. ECONOMICS &gt; Subárea no determinable")+COUNTIFS('Prácticas_Snowballing'!$AB$2:$AB$281,"T013",'Prácticas_Snowballing'!$AC$2:$AC$281,"SOFTWARE ENG. ECONOMICS &gt; Subárea no determinable")</f>
        <v>0</v>
      </c>
      <c r="DE21" s="29">
        <f t="shared" si="31"/>
        <v>0</v>
      </c>
      <c r="DF21" s="17">
        <f>COUNTIFS('Prácticas_Revisiones'!$S$2:$S$282,"T013",'Prácticas_Revisiones'!$T$2:$T$282,"SOFTWARE ENG. MANAGEMENT &gt; Software Engineering Management Fundamentals")+COUNTIFS('Prácticas_Snowballing'!$AB$2:$AB$281,"T013",'Prácticas_Snowballing'!$AC$2:$AC$281,"SOFTWARE ENG. MANAGEMENT &gt; Software Engineering Management Fundamentals")</f>
        <v>0</v>
      </c>
      <c r="DG21" s="17">
        <f>COUNTIFS('Prácticas_Revisiones'!$S$2:$S$282,"T013",'Prácticas_Revisiones'!$T$2:$T$282,"SOFTWARE ENG. MANAGEMENT &gt; Initiation and Scope Definition")+COUNTIFS('Prácticas_Snowballing'!$AB$2:$AB$281,"T013",'Prácticas_Snowballing'!$AC$2:$AC$281,"SOFTWARE ENG. MANAGEMENT &gt; Initiation and Scope Definition")</f>
        <v>0</v>
      </c>
      <c r="DH21" s="17">
        <f>COUNTIFS('Prácticas_Revisiones'!$S$2:$S$282,"T013",'Prácticas_Revisiones'!$T$2:$T$282,"SOFTWARE ENG. MANAGEMENT &gt; Software Project Planning")+COUNTIFS('Prácticas_Snowballing'!$AB$2:$AB$281,"T013",'Prácticas_Snowballing'!$AC$2:$AC$281,"SOFTWARE ENG. MANAGEMENT &gt; Software Project Planning")</f>
        <v>0</v>
      </c>
      <c r="DI21" s="17">
        <f>COUNTIFS('Prácticas_Revisiones'!$S$2:$S$282,"T013",'Prácticas_Revisiones'!$T$2:$T$282,"SOFTWARE ENG. MANAGEMENT &gt; Software Project Enactment")+COUNTIFS('Prácticas_Snowballing'!$AB$2:$AB$281,"T013",'Prácticas_Snowballing'!$AC$2:$AC$281,"SOFTWARE ENG. MANAGEMENT &gt; Software Project Enactment")</f>
        <v>0</v>
      </c>
      <c r="DJ21" s="17">
        <f>COUNTIFS('Prácticas_Revisiones'!$S$2:$S$282,"T013",'Prácticas_Revisiones'!$T$2:$T$282,"SOFTWARE ENG. MANAGEMENT &gt; Review and Evaluation")+COUNTIFS('Prácticas_Snowballing'!$AB$2:$AB$281,"T013",'Prácticas_Snowballing'!$AC$2:$AC$281,"SOFTWARE ENG. MANAGEMENT &gt; Review and Evaluation")</f>
        <v>0</v>
      </c>
      <c r="DK21" s="17">
        <f>COUNTIFS('Prácticas_Revisiones'!$S$2:$S$282,"T013",'Prácticas_Revisiones'!$T$2:$T$282,"SOFTWARE ENG. MANAGEMENT &gt; Closure")+COUNTIFS('Prácticas_Snowballing'!$AB$2:$AB$281,"T013",'Prácticas_Snowballing'!$AC$2:$AC$281,"SOFTWARE ENG. MANAGEMENT &gt; Closure")</f>
        <v>0</v>
      </c>
      <c r="DL21" s="17">
        <f>COUNTIFS('Prácticas_Revisiones'!$S$2:$S$282,"T013",'Prácticas_Revisiones'!$T$2:$T$282,"SOFTWARE ENG. MANAGEMENT &gt; Software Engineering Management Tools")+COUNTIFS('Prácticas_Snowballing'!$AB$2:$AB$281,"T013",'Prácticas_Snowballing'!$AC$2:$AC$281,"SOFTWARE ENG. MANAGEMENT &gt; Software Engineering Management Tools")</f>
        <v>0</v>
      </c>
      <c r="DM21" s="17">
        <f>COUNTIFS('Prácticas_Revisiones'!$S$2:$S$282,"T013",'Prácticas_Revisiones'!$T$2:$T$282,"SOFTWARE ENG. MANAGEMENT &gt; Subárea no determinable")+COUNTIFS('Prácticas_Snowballing'!$AB$2:$AB$281,"T013",'Prácticas_Snowballing'!$AC$2:$AC$281,"SOFTWARE ENG. MANAGEMENT &gt; Subárea no determinable")</f>
        <v>0</v>
      </c>
      <c r="DN21" s="29">
        <f t="shared" si="32"/>
        <v>0</v>
      </c>
      <c r="DO21" s="17">
        <f>COUNTIFS('Prácticas_Revisiones'!$S$2:$S$282,"T013",'Prácticas_Revisiones'!$T$2:$T$282,"Sin área SWEBOK")+COUNTIFS('Prácticas_Snowballing'!$AB$2:$AB$281,"T013",'Prácticas_Snowballing'!$AC$2:$AC$281,"Sin área SWEBOK")</f>
        <v>0</v>
      </c>
      <c r="DP21" s="27">
        <f t="shared" si="33"/>
        <v>0</v>
      </c>
    </row>
    <row r="22" ht="15.75" customHeight="1">
      <c r="A22" s="28"/>
      <c r="B22" s="16" t="s">
        <v>2497</v>
      </c>
      <c r="C22" s="17">
        <f>COUNTIFS('Prácticas_Revisiones'!$S$2:$S$282,"T014",'Prácticas_Revisiones'!$T$2:$T$282,"REQUIREMENTS &gt; Software Requirements Fundamentals")+COUNTIFS('Prácticas_Snowballing'!$AB$2:$AB$281,"T014",'Prácticas_Snowballing'!$AC$2:$AC$281,"REQUIREMENTS &gt; Software Requirements Fundamentals")</f>
        <v>0</v>
      </c>
      <c r="D22" s="17">
        <f>COUNTIFS('Prácticas_Revisiones'!$S$2:$S$282,"T014",'Prácticas_Revisiones'!$T$2:$T$282,"REQUIREMENTS &gt; Requirements Elicitation")+COUNTIFS('Prácticas_Snowballing'!$AB$2:$AB$281,"T014",'Prácticas_Snowballing'!$AC$2:$AC$281,"REQUIREMENTS &gt; Requirements Elicitation")</f>
        <v>0</v>
      </c>
      <c r="E22" s="17">
        <f>COUNTIFS('Prácticas_Revisiones'!$S$2:$S$282,"T014",'Prácticas_Revisiones'!$T$2:$T$282,"REQUIREMENTS &gt; Requirements Analysis")+COUNTIFS('Prácticas_Snowballing'!$AB$2:$AB$281,"T014",'Prácticas_Snowballing'!$AC$2:$AC$281,"REQUIREMENTS &gt; Requirements Analysis")</f>
        <v>0</v>
      </c>
      <c r="F22" s="17">
        <f>COUNTIFS('Prácticas_Revisiones'!$S$2:$S$282,"T014",'Prácticas_Revisiones'!$T$2:$T$282,"REQUIREMENTS &gt; Requirements Specification")+COUNTIFS('Prácticas_Snowballing'!$AB$2:$AB$281,"T014",'Prácticas_Snowballing'!$AC$2:$AC$281,"REQUIREMENTS &gt; Requirements Specification")</f>
        <v>0</v>
      </c>
      <c r="G22" s="17">
        <f>COUNTIFS('Prácticas_Revisiones'!$S$2:$S$282,"T014",'Prácticas_Revisiones'!$T$2:$T$282,"REQUIREMENTS &gt; Requirements Validation")+COUNTIFS('Prácticas_Snowballing'!$AB$2:$AB$281,"T014",'Prácticas_Snowballing'!$AC$2:$AC$281,"REQUIREMENTS &gt; Requirements Validation")</f>
        <v>0</v>
      </c>
      <c r="H22" s="17">
        <f>COUNTIFS('Prácticas_Revisiones'!$S$2:$S$282,"T014",'Prácticas_Revisiones'!$T$2:$T$282,"REQUIREMENTS &gt; Requirements Management Activities")+COUNTIFS('Prácticas_Snowballing'!$AB$2:$AB$281,"T014",'Prácticas_Snowballing'!$AC$2:$AC$281,"REQUIREMENTS &gt; Requirements Management Activities")</f>
        <v>0</v>
      </c>
      <c r="I22" s="17">
        <f>COUNTIFS('Prácticas_Revisiones'!$S$2:$S$282,"T014",'Prácticas_Revisiones'!$T$2:$T$282,"REQUIREMENTS &gt; Practical Considerations")+COUNTIFS('Prácticas_Snowballing'!$AB$2:$AB$281,"T014",'Prácticas_Snowballing'!$AC$2:$AC$281,"REQUIREMENTS &gt; Practical Considerations")</f>
        <v>0</v>
      </c>
      <c r="J22" s="17">
        <f>COUNTIFS('Prácticas_Revisiones'!$S$2:$S$282,"T014",'Prácticas_Revisiones'!$T$2:$T$282,"REQUIREMENTS &gt; Software Requirements Tools")+COUNTIFS('Prácticas_Snowballing'!$AB$2:$AB$281,"T014",'Prácticas_Snowballing'!$AC$2:$AC$281,"REQUIREMENTS &gt; Software Requirements Tools")</f>
        <v>0</v>
      </c>
      <c r="K22" s="17">
        <f>COUNTIFS('Prácticas_Revisiones'!$S$2:$S$282,"T014",'Prácticas_Revisiones'!$T$2:$T$282,"REQUIREMENTS &gt; Subárea no determinable")+COUNTIFS('Prácticas_Snowballing'!$AB$2:$AB$281,"T014",'Prácticas_Snowballing'!$AC$2:$AC$281,"REQUIREMENTS &gt; Subárea no determinable")</f>
        <v>0</v>
      </c>
      <c r="L22" s="29">
        <f t="shared" si="18"/>
        <v>0</v>
      </c>
      <c r="M22" s="17">
        <f>COUNTIFS('Prácticas_Revisiones'!$S$2:$S$282,"T014",'Prácticas_Revisiones'!$T$2:$T$282,"ARCHITECTURE &gt; Software Architecture Fundamentals")+COUNTIFS('Prácticas_Snowballing'!$AB$2:$AB$281,"T014",'Prácticas_Snowballing'!$AC$2:$AC$281,"ARCHITECTURE &gt; Software Architecture Fundamentals")</f>
        <v>0</v>
      </c>
      <c r="N22" s="17">
        <f>COUNTIFS('Prácticas_Revisiones'!$S$2:$S$282,"T014",'Prácticas_Revisiones'!$T$2:$T$282,"ARCHITECTURE &gt; Software Architecture Description")+COUNTIFS('Prácticas_Snowballing'!$AB$2:$AB$281,"T014",'Prácticas_Snowballing'!$AC$2:$AC$281,"ARCHITECTURE &gt; Software Architecture Description")</f>
        <v>0</v>
      </c>
      <c r="O22" s="17">
        <f>COUNTIFS('Prácticas_Revisiones'!$S$2:$S$282,"T014",'Prácticas_Revisiones'!$T$2:$T$282,"ARCHITECTURE &gt; Software Architecture Process")+COUNTIFS('Prácticas_Snowballing'!$AB$2:$AB$281,"T014",'Prácticas_Snowballing'!$AC$2:$AC$281,"ARCHITECTURE &gt; Software Architecture Process")</f>
        <v>0</v>
      </c>
      <c r="P22" s="17">
        <f>COUNTIFS('Prácticas_Revisiones'!$S$2:$S$282,"T014",'Prácticas_Revisiones'!$T$2:$T$282,"ARCHITECTURE &gt; Software Architecture Evaluation")+COUNTIFS('Prácticas_Snowballing'!$AB$2:$AB$281,"T014",'Prácticas_Snowballing'!$AC$2:$AC$281,"ARCHITECTURE &gt; Software Architecture Evaluation")</f>
        <v>0</v>
      </c>
      <c r="Q22" s="17">
        <f>COUNTIFS('Prácticas_Revisiones'!$S$2:$S$282,"T014",'Prácticas_Revisiones'!$T$2:$T$282,"ARCHITECTURE &gt; Subárea no determinable")+COUNTIFS('Prácticas_Snowballing'!$AB$2:$AB$281,"T014",'Prácticas_Snowballing'!$AC$2:$AC$281,"ARCHITECTURE &gt; Subárea no determinable")</f>
        <v>0</v>
      </c>
      <c r="R22" s="29">
        <f t="shared" si="19"/>
        <v>0</v>
      </c>
      <c r="S22" s="17">
        <f>COUNTIFS('Prácticas_Revisiones'!$S$2:$S$282,"T014",'Prácticas_Revisiones'!$T$2:$T$282,"DESIGN &gt; Software Design Fundamentals")+COUNTIFS('Prácticas_Snowballing'!$AB$2:$AB$281,"T014",'Prácticas_Snowballing'!$AC$2:$AC$281,"DESIGN &gt; Software Design Fundamentals")</f>
        <v>0</v>
      </c>
      <c r="T22" s="17">
        <f>COUNTIFS('Prácticas_Revisiones'!$S$2:$S$282,"T014",'Prácticas_Revisiones'!$T$2:$T$282,"DESIGN &gt; Software Design Processes")+COUNTIFS('Prácticas_Snowballing'!$AB$2:$AB$281,"T014",'Prácticas_Snowballing'!$AC$2:$AC$281,"DESIGN &gt; Software Design Processes")</f>
        <v>0</v>
      </c>
      <c r="U22" s="17">
        <f>COUNTIFS('Prácticas_Revisiones'!$S$2:$S$282,"T014",'Prácticas_Revisiones'!$T$2:$T$282,"DESIGN &gt; Software Design Qualities")+COUNTIFS('Prácticas_Snowballing'!$AB$2:$AB$281,"T014",'Prácticas_Snowballing'!$AC$2:$AC$281,"DESIGN &gt; Software Design Qualities")</f>
        <v>0</v>
      </c>
      <c r="V22" s="17">
        <f>COUNTIFS('Prácticas_Revisiones'!$S$2:$S$282,"T014",'Prácticas_Revisiones'!$T$2:$T$282,"DESIGN &gt; Recording Software Design")+COUNTIFS('Prácticas_Snowballing'!$AB$2:$AB$281,"T014",'Prácticas_Snowballing'!$AC$2:$AC$281,"DESIGN &gt; Recording Software Design")</f>
        <v>0</v>
      </c>
      <c r="W22" s="17">
        <f>COUNTIFS('Prácticas_Revisiones'!$S$2:$S$282,"T014",'Prácticas_Revisiones'!$T$2:$T$282,"DESIGN &gt; Software Design Strategies and Methods")+COUNTIFS('Prácticas_Snowballing'!$AB$2:$AB$281,"T014",'Prácticas_Snowballing'!$AC$2:$AC$281,"DESIGN &gt; Software Design Strategies and Methods")</f>
        <v>0</v>
      </c>
      <c r="X22" s="17">
        <f>COUNTIFS('Prácticas_Revisiones'!$S$2:$S$282,"T014",'Prácticas_Revisiones'!$T$2:$T$282,"DESIGN &gt; Software Design Analysis and Evaluations")+COUNTIFS('Prácticas_Snowballing'!$AB$2:$AB$281,"T014",'Prácticas_Snowballing'!$AC$2:$AC$281,"DESIGN &gt; Software Design Analysis and Evaluations")</f>
        <v>0</v>
      </c>
      <c r="Y22" s="17">
        <f>COUNTIFS('Prácticas_Revisiones'!$S$2:$S$282,"T014",'Prácticas_Revisiones'!$T$2:$T$282,"DESIGN &gt; Subárea no determinable")+COUNTIFS('Prácticas_Snowballing'!$AB$2:$AB$281,"T014",'Prácticas_Snowballing'!$AC$2:$AC$281,"DESIGN &gt; Subárea no determinable")</f>
        <v>0</v>
      </c>
      <c r="Z22" s="29">
        <f t="shared" si="20"/>
        <v>0</v>
      </c>
      <c r="AA22" s="17">
        <f>COUNTIFS('Prácticas_Revisiones'!$S$2:$S$282,"T014",'Prácticas_Revisiones'!$T$2:$T$282,"CONSTRUCTION &gt; Software Construction Fundamentals")+COUNTIFS('Prácticas_Snowballing'!$AB$2:$AB$281,"T014",'Prácticas_Snowballing'!$AC$2:$AC$281,"CONSTRUCTION &gt; Software Construction Fundamentals")</f>
        <v>0</v>
      </c>
      <c r="AB22" s="17">
        <f>COUNTIFS('Prácticas_Revisiones'!$S$2:$S$282,"T014",'Prácticas_Revisiones'!$T$2:$T$282,"CONSTRUCTION &gt; Managing Construction")+COUNTIFS('Prácticas_Snowballing'!$AB$2:$AB$281,"T014",'Prácticas_Snowballing'!$AC$2:$AC$281,"CONSTRUCTION &gt; Managing Construction")</f>
        <v>0</v>
      </c>
      <c r="AC22" s="17">
        <f>COUNTIFS('Prácticas_Revisiones'!$S$2:$S$282,"T014",'Prácticas_Revisiones'!$T$2:$T$282,"CONSTRUCTION &gt; Practical Considerations")+COUNTIFS('Prácticas_Snowballing'!$AB$2:$AB$281,"T014",'Prácticas_Snowballing'!$AC$2:$AC$281,"CONSTRUCTION &gt; Practical Considerations")</f>
        <v>0</v>
      </c>
      <c r="AD22" s="17">
        <f>COUNTIFS('Prácticas_Revisiones'!$S$2:$S$282,"T014",'Prácticas_Revisiones'!$T$2:$T$282,"CONSTRUCTION &gt; Construction Technologies")+COUNTIFS('Prácticas_Snowballing'!$AB$2:$AB$281,"T014",'Prácticas_Snowballing'!$AC$2:$AC$281,"CONSTRUCTION &gt; Construction Technologies")</f>
        <v>0</v>
      </c>
      <c r="AE22" s="17">
        <f>COUNTIFS('Prácticas_Revisiones'!$S$2:$S$282,"T014",'Prácticas_Revisiones'!$T$2:$T$282,"CONSTRUCTION &gt; Software Construction Tools")+COUNTIFS('Prácticas_Snowballing'!$AB$2:$AB$281,"T014",'Prácticas_Snowballing'!$AC$2:$AC$281,"CONSTRUCTION &gt; Software Construction Tools")</f>
        <v>0</v>
      </c>
      <c r="AF22" s="17">
        <f>COUNTIFS('Prácticas_Revisiones'!$S$2:$S$282,"T014",'Prácticas_Revisiones'!$T$2:$T$282,"CONSTRUCTION &gt; Subárea no determinable")+COUNTIFS('Prácticas_Snowballing'!$AB$2:$AB$281,"T014",'Prácticas_Snowballing'!$AC$2:$AC$281,"CONSTRUCTION &gt; Subárea no determinable")</f>
        <v>0</v>
      </c>
      <c r="AG22" s="29">
        <f t="shared" si="21"/>
        <v>0</v>
      </c>
      <c r="AH22" s="17">
        <f>COUNTIFS('Prácticas_Revisiones'!$S$2:$S$282,"T014",'Prácticas_Revisiones'!$T$2:$T$282,"SOFTWARE TESTING &gt; Software Testing Fundamentals")+COUNTIFS('Prácticas_Snowballing'!$AB$2:$AB$281,"T014",'Prácticas_Snowballing'!$AC$2:$AC$281,"SOFTWARE TESTING &gt; Software Testing Fundamentals")</f>
        <v>0</v>
      </c>
      <c r="AI22" s="17">
        <f>COUNTIFS('Prácticas_Revisiones'!$S$2:$S$282,"T014",'Prácticas_Revisiones'!$T$2:$T$282,"SOFTWARE TESTING &gt; Test Levels")+COUNTIFS('Prácticas_Snowballing'!$AB$2:$AB$281,"T014",'Prácticas_Snowballing'!$AC$2:$AC$281,"SOFTWARE TESTING &gt; Test Levels")</f>
        <v>0</v>
      </c>
      <c r="AJ22" s="17">
        <f>COUNTIFS('Prácticas_Revisiones'!$S$2:$S$282,"T014",'Prácticas_Revisiones'!$T$2:$T$282,"SOFTWARE TESTING &gt; Test Techniques")+COUNTIFS('Prácticas_Snowballing'!$AB$2:$AB$281,"T014",'Prácticas_Snowballing'!$AC$2:$AC$281,"SOFTWARE TESTING &gt; Test Techniques")</f>
        <v>0</v>
      </c>
      <c r="AK22" s="17">
        <f>COUNTIFS('Prácticas_Revisiones'!$S$2:$S$282,"T014",'Prácticas_Revisiones'!$T$2:$T$282,"SOFTWARE TESTING &gt; Test-Related Measures")+COUNTIFS('Prácticas_Snowballing'!$AB$2:$AB$281,"T014",'Prácticas_Snowballing'!$AC$2:$AC$281,"SOFTWARE TESTING &gt; Test-Related Measures")</f>
        <v>0</v>
      </c>
      <c r="AL22" s="17">
        <f>COUNTIFS('Prácticas_Revisiones'!$S$2:$S$282,"T014",'Prácticas_Revisiones'!$T$2:$T$282,"SOFTWARE TESTING &gt; Test Process")+COUNTIFS('Prácticas_Snowballing'!$AB$2:$AB$281,"T014",'Prácticas_Snowballing'!$AC$2:$AC$281,"SOFTWARE TESTING &gt; Test Process")</f>
        <v>0</v>
      </c>
      <c r="AM22" s="17">
        <f>COUNTIFS('Prácticas_Revisiones'!$S$2:$S$282,"T014",'Prácticas_Revisiones'!$T$2:$T$282,"SOFTWARE TESTING &gt; Software Testing in the Development Processes...")+COUNTIFS('Prácticas_Snowballing'!$AB$2:$AB$281,"T014",'Prácticas_Snowballing'!$AC$2:$AC$281,"SOFTWARE TESTING &gt; Software Testing in the Development Processes...")</f>
        <v>0</v>
      </c>
      <c r="AN22" s="17">
        <f>COUNTIFS('Prácticas_Revisiones'!$S$2:$S$282,"T014",'Prácticas_Revisiones'!$T$2:$T$282,"SOFTWARE TESTING &gt; Testing of and Testing Through Emerging Tech...")+COUNTIFS('Prácticas_Snowballing'!$AB$2:$AB$281,"T014",'Prácticas_Snowballing'!$AC$2:$AC$281,"SOFTWARE TESTING &gt; Testing of and Testing Through Emerging Tech...")</f>
        <v>0</v>
      </c>
      <c r="AO22" s="17">
        <f>COUNTIFS('Prácticas_Revisiones'!$S$2:$S$282,"T014",'Prácticas_Revisiones'!$T$2:$T$282,"SOFTWARE TESTING &gt; Software Testing Tools")+COUNTIFS('Prácticas_Snowballing'!$AB$2:$AB$281,"T014",'Prácticas_Snowballing'!$AC$2:$AC$281,"SOFTWARE TESTING &gt; Software Testing Tools")</f>
        <v>0</v>
      </c>
      <c r="AP22" s="17">
        <f>COUNTIFS('Prácticas_Revisiones'!$S$2:$S$282,"T014",'Prácticas_Revisiones'!$T$2:$T$282,"SOFTWARE TESTING &gt; Subárea no determinable")+COUNTIFS('Prácticas_Snowballing'!$AB$2:$AB$281,"T014",'Prácticas_Snowballing'!$AC$2:$AC$281,"SOFTWARE TESTING &gt; Subárea no determinable")</f>
        <v>0</v>
      </c>
      <c r="AQ22" s="29">
        <f t="shared" si="22"/>
        <v>0</v>
      </c>
      <c r="AR22" s="17">
        <f>COUNTIFS('Prácticas_Revisiones'!$S$2:$S$282,"T014",'Prácticas_Revisiones'!$T$2:$T$282,"SOFTWARE ENG. OPERATIONS &gt; Software Engineering Operations Fundamentals")+COUNTIFS('Prácticas_Snowballing'!$AB$2:$AB$281,"T014",'Prácticas_Snowballing'!$AC$2:$AC$281,"SOFTWARE ENG. OPERATIONS &gt; Software Engineering Operations Fundamentals")</f>
        <v>0</v>
      </c>
      <c r="AS22" s="17">
        <f>COUNTIFS('Prácticas_Revisiones'!$S$2:$S$282,"T014",'Prácticas_Revisiones'!$T$2:$T$282,"SOFTWARE ENG. OPERATIONS &gt; Software Engineering Operations Planning")+COUNTIFS('Prácticas_Snowballing'!$AB$2:$AB$281,"T014",'Prácticas_Snowballing'!$AC$2:$AC$281,"SOFTWARE ENG. OPERATIONS &gt; Software Engineering Operations Planning")</f>
        <v>0</v>
      </c>
      <c r="AT22" s="17">
        <f>COUNTIFS('Prácticas_Revisiones'!$S$2:$S$282,"T014",'Prácticas_Revisiones'!$T$2:$T$282,"SOFTWARE ENG. OPERATIONS &gt; Software Engineering Operations Delivery")+COUNTIFS('Prácticas_Snowballing'!$AB$2:$AB$281,"T014",'Prácticas_Snowballing'!$AC$2:$AC$281,"SOFTWARE ENG. OPERATIONS &gt; Software Engineering Operations Delivery")</f>
        <v>0</v>
      </c>
      <c r="AU22" s="17">
        <f>COUNTIFS('Prácticas_Revisiones'!$S$2:$S$282,"T014",'Prácticas_Revisiones'!$T$2:$T$282,"SOFTWARE ENG. OPERATIONS &gt; Software Engineering Operations Control")+COUNTIFS('Prácticas_Snowballing'!$AB$2:$AB$281,"T014",'Prácticas_Snowballing'!$AC$2:$AC$281,"SOFTWARE ENG. OPERATIONS &gt; Software Engineering Operations Control")</f>
        <v>0</v>
      </c>
      <c r="AV22" s="17">
        <f>COUNTIFS('Prácticas_Revisiones'!$S$2:$S$282,"T014",'Prácticas_Revisiones'!$T$2:$T$282,"SOFTWARE ENG. OPERATIONS &gt; Practical Considerations")+COUNTIFS('Prácticas_Snowballing'!$AB$2:$AB$281,"T014",'Prácticas_Snowballing'!$AC$2:$AC$281,"SOFTWARE ENG. OPERATIONS &gt; Practical Considerations")</f>
        <v>0</v>
      </c>
      <c r="AW22" s="17">
        <f>COUNTIFS('Prácticas_Revisiones'!$S$2:$S$282,"T014",'Prácticas_Revisiones'!$T$2:$T$282,"SOFTWARE ENG. OPERATIONS &gt; Software Engineering Operations Tools")+COUNTIFS('Prácticas_Snowballing'!$AB$2:$AB$281,"T014",'Prácticas_Snowballing'!$AC$2:$AC$281,"SOFTWARE ENG. OPERATIONS &gt; Software Engineering Operations Tools")</f>
        <v>0</v>
      </c>
      <c r="AX22" s="17">
        <f>COUNTIFS('Prácticas_Revisiones'!$S$2:$S$282,"T014",'Prácticas_Revisiones'!$T$2:$T$282,"SOFTWARE ENG. OPERATIONS &gt; Subárea no determinable")+COUNTIFS('Prácticas_Snowballing'!$AB$2:$AB$281,"T014",'Prácticas_Snowballing'!$AC$2:$AC$281,"SOFTWARE ENG. OPERATIONS &gt; Subárea no determinable")</f>
        <v>0</v>
      </c>
      <c r="AY22" s="29">
        <f t="shared" si="23"/>
        <v>0</v>
      </c>
      <c r="AZ22" s="17">
        <f>COUNTIFS('Prácticas_Revisiones'!$S$2:$S$282,"T014",'Prácticas_Revisiones'!$T$2:$T$282,"MAINTENANCE &gt; Software Maintenance Fundamentals")+COUNTIFS('Prácticas_Snowballing'!$AB$2:$AB$281,"T014",'Prácticas_Snowballing'!$AC$2:$AC$281,"MAINTENANCE &gt; Software Maintenance Fundamentals")</f>
        <v>0</v>
      </c>
      <c r="BA22" s="17">
        <f>COUNTIFS('Prácticas_Revisiones'!$S$2:$S$282,"T014",'Prácticas_Revisiones'!$T$2:$T$282,"MAINTENANCE &gt; Key Issues in Software Maintenance")+COUNTIFS('Prácticas_Snowballing'!$AB$2:$AB$281,"T014",'Prácticas_Snowballing'!$AC$2:$AC$281,"MAINTENANCE &gt; Key Issues in Software Maintenance")</f>
        <v>0</v>
      </c>
      <c r="BB22" s="17">
        <f>COUNTIFS('Prácticas_Revisiones'!$S$2:$S$282,"T014",'Prácticas_Revisiones'!$T$2:$T$282,"MAINTENANCE &gt; Software Maintenance Processes")+COUNTIFS('Prácticas_Snowballing'!$AB$2:$AB$281,"T014",'Prácticas_Snowballing'!$AC$2:$AC$281,"MAINTENANCE &gt; Software Maintenance Processes")</f>
        <v>0</v>
      </c>
      <c r="BC22" s="17">
        <f>COUNTIFS('Prácticas_Revisiones'!$S$2:$S$282,"T014",'Prácticas_Revisiones'!$T$2:$T$282,"MAINTENANCE &gt; Software Maintenance Techniques")+COUNTIFS('Prácticas_Snowballing'!$AB$2:$AB$281,"T014",'Prácticas_Snowballing'!$AC$2:$AC$281,"MAINTENANCE &gt; Software Maintenance Techniques")</f>
        <v>0</v>
      </c>
      <c r="BD22" s="17">
        <f>COUNTIFS('Prácticas_Revisiones'!$S$2:$S$282,"T014",'Prácticas_Revisiones'!$T$2:$T$282,"MAINTENANCE &gt; Software Maintenance Tools")+COUNTIFS('Prácticas_Snowballing'!$AB$2:$AB$281,"T014",'Prácticas_Snowballing'!$AC$2:$AC$281,"MAINTENANCE &gt; Software Maintenance Tools")</f>
        <v>0</v>
      </c>
      <c r="BE22" s="17">
        <f>COUNTIFS('Prácticas_Revisiones'!$S$2:$S$282,"T014",'Prácticas_Revisiones'!$T$2:$T$282,"MAINTENANCE &gt; Subárea no determinable")+COUNTIFS('Prácticas_Snowballing'!$AB$2:$AB$281,"T014",'Prácticas_Snowballing'!$AC$2:$AC$281,"MAINTENANCE &gt; Subárea no determinable")</f>
        <v>0</v>
      </c>
      <c r="BF22" s="29">
        <f t="shared" si="24"/>
        <v>0</v>
      </c>
      <c r="BG22" s="17">
        <f>COUNTIFS('Prácticas_Revisiones'!$S$2:$S$282,"T014",'Prácticas_Revisiones'!$T$2:$T$282,"SOFTWARE CONFIG. MGMT. &gt; Management of the SCM Process")+COUNTIFS('Prácticas_Snowballing'!$AB$2:$AB$281,"T014",'Prácticas_Snowballing'!$AC$2:$AC$281,"SOFTWARE CONFIG. MGMT. &gt; Management of the SCM Process")</f>
        <v>0</v>
      </c>
      <c r="BH22" s="17">
        <f>COUNTIFS('Prácticas_Revisiones'!$S$2:$S$282,"T014",'Prácticas_Revisiones'!$T$2:$T$282,"SOFTWARE CONFIG. MGMT. &gt; Software Configuration Identification")+COUNTIFS('Prácticas_Snowballing'!$AB$2:$AB$281,"T014",'Prácticas_Snowballing'!$AC$2:$AC$281,"SOFTWARE CONFIG. MGMT. &gt; Software Configuration Identification")</f>
        <v>0</v>
      </c>
      <c r="BI22" s="17">
        <f>COUNTIFS('Prácticas_Revisiones'!$S$2:$S$282,"T014",'Prácticas_Revisiones'!$T$2:$T$282,"SOFTWARE CONFIG. MGMT. &gt; Software Configuration Change Control")+COUNTIFS('Prácticas_Snowballing'!$AB$2:$AB$281,"T014",'Prácticas_Snowballing'!$AC$2:$AC$281,"SOFTWARE CONFIG. MGMT. &gt; Software Configuration Change Control")</f>
        <v>0</v>
      </c>
      <c r="BJ22" s="17">
        <f>COUNTIFS('Prácticas_Revisiones'!$S$2:$S$282,"T014",'Prácticas_Revisiones'!$T$2:$T$282,"SOFTWARE CONFIG. MGMT. &gt; Software Configuration Status Accounting")+COUNTIFS('Prácticas_Snowballing'!$AB$2:$AB$281,"T014",'Prácticas_Snowballing'!$AC$2:$AC$281,"SOFTWARE CONFIG. MGMT. &gt; Software Configuration Status Accounting")</f>
        <v>0</v>
      </c>
      <c r="BK22" s="17">
        <f>COUNTIFS('Prácticas_Revisiones'!$S$2:$S$282,"T014",'Prácticas_Revisiones'!$T$2:$T$282,"SOFTWARE CONFIG. MGMT. &gt; Software Configuration Auditing")+COUNTIFS('Prácticas_Snowballing'!$AB$2:$AB$281,"T014",'Prácticas_Snowballing'!$AC$2:$AC$281,"SOFTWARE CONFIG. MGMT. &gt; Software Configuration Auditing")</f>
        <v>0</v>
      </c>
      <c r="BL22" s="17">
        <f>COUNTIFS('Prácticas_Revisiones'!$S$2:$S$282,"T014",'Prácticas_Revisiones'!$T$2:$T$282,"SOFTWARE CONFIG. MGMT. &gt; Software Release Management and Delivery")+COUNTIFS('Prácticas_Snowballing'!$AB$2:$AB$281,"T014",'Prácticas_Snowballing'!$AC$2:$AC$281,"SOFTWARE CONFIG. MGMT. &gt; Software Release Management and Delivery")</f>
        <v>0</v>
      </c>
      <c r="BM22" s="17">
        <f>COUNTIFS('Prácticas_Revisiones'!$S$2:$S$282,"T014",'Prácticas_Revisiones'!$T$2:$T$282,"SOFTWARE CONFIG. MGMT. &gt; Software Configuration Management Tools")+COUNTIFS('Prácticas_Snowballing'!$AB$2:$AB$281,"T014",'Prácticas_Snowballing'!$AC$2:$AC$281,"SOFTWARE CONFIG. MGMT. &gt; Software Configuration Management Tools")</f>
        <v>0</v>
      </c>
      <c r="BN22" s="17">
        <f>COUNTIFS('Prácticas_Revisiones'!$S$2:$S$282,"T014",'Prácticas_Revisiones'!$T$2:$T$282,"SOFTWARE CONFIG. MGMT. &gt; Subárea no determinable")+COUNTIFS('Prácticas_Snowballing'!$AB$2:$AB$281,"T014",'Prácticas_Snowballing'!$AC$2:$AC$281,"SOFTWARE CONFIG. MGMT. &gt; Subárea no determinable")</f>
        <v>0</v>
      </c>
      <c r="BO22" s="29">
        <f t="shared" si="25"/>
        <v>0</v>
      </c>
      <c r="BP22" s="17">
        <f>COUNTIFS('Prácticas_Revisiones'!$S$2:$S$282,"T014",'Prácticas_Revisiones'!$T$2:$T$282,"SOFTWARE ENG. PROCESS &gt; Software Engineering Process Fundamentals")+COUNTIFS('Prácticas_Snowballing'!$AB$2:$AB$281,"T014",'Prácticas_Snowballing'!$AC$2:$AC$281,"SOFTWARE ENG. PROCESS &gt; Software Engineering Process Fundamentals")</f>
        <v>0</v>
      </c>
      <c r="BQ22" s="17">
        <f>COUNTIFS('Prácticas_Revisiones'!$S$2:$S$282,"T014",'Prácticas_Revisiones'!$T$2:$T$282,"SOFTWARE ENG. PROCESS &gt; Life Cycles")+COUNTIFS('Prácticas_Snowballing'!$AB$2:$AB$281,"T014",'Prácticas_Snowballing'!$AC$2:$AC$281,"SOFTWARE ENG. PROCESS &gt; Life Cycles")</f>
        <v>0</v>
      </c>
      <c r="BR22" s="17">
        <f>COUNTIFS('Prácticas_Revisiones'!$S$2:$S$282,"T014",'Prácticas_Revisiones'!$T$2:$T$282,"SOFTWARE ENG. PROCESS &gt; Software Process Assessment and Improvement")+COUNTIFS('Prácticas_Snowballing'!$AB$2:$AB$281,"T014",'Prácticas_Snowballing'!$AC$2:$AC$281,"SOFTWARE ENG. PROCESS &gt; Software Process Assessment and Improvement")</f>
        <v>0</v>
      </c>
      <c r="BS22" s="17">
        <f>COUNTIFS('Prácticas_Revisiones'!$S$2:$S$282,"T014",'Prácticas_Revisiones'!$T$2:$T$282,"SOFTWARE ENG. PROCESS &gt; Subárea no determinable")+COUNTIFS('Prácticas_Snowballing'!$AB$2:$AB$281,"T014",'Prácticas_Snowballing'!$AC$2:$AC$281,"SOFTWARE ENG. PROCESS &gt; Subárea no determinable")</f>
        <v>0</v>
      </c>
      <c r="BT22" s="29">
        <f t="shared" si="26"/>
        <v>0</v>
      </c>
      <c r="BU22" s="17">
        <f>COUNTIFS('Prácticas_Revisiones'!$S$2:$S$282,"T014",'Prácticas_Revisiones'!$T$2:$T$282,"SOFTWARE ENG. MODELS/METH. &gt; Modeling")+COUNTIFS('Prácticas_Snowballing'!$AB$2:$AB$281,"T014",'Prácticas_Snowballing'!$AC$2:$AC$281,"SOFTWARE ENG. MODELS/METH. &gt; Modeling")</f>
        <v>0</v>
      </c>
      <c r="BV22" s="17">
        <f>COUNTIFS('Prácticas_Revisiones'!$S$2:$S$282,"T014",'Prácticas_Revisiones'!$T$2:$T$282,"SOFTWARE ENG. MODELS/METH. &gt; Types of Models")+COUNTIFS('Prácticas_Snowballing'!$AB$2:$AB$281,"T014",'Prácticas_Snowballing'!$AC$2:$AC$281,"SOFTWARE ENG. MODELS/METH. &gt; Types of Models")</f>
        <v>0</v>
      </c>
      <c r="BW22" s="17">
        <f>COUNTIFS('Prácticas_Revisiones'!$S$2:$S$282,"T014",'Prácticas_Revisiones'!$T$2:$T$282,"SOFTWARE ENG. MODELS/METH. &gt; Analysis of Models")+COUNTIFS('Prácticas_Snowballing'!$AB$2:$AB$281,"T014",'Prácticas_Snowballing'!$AC$2:$AC$281,"SOFTWARE ENG. MODELS/METH. &gt; Analysis of Models")</f>
        <v>0</v>
      </c>
      <c r="BX22" s="17">
        <f>COUNTIFS('Prácticas_Revisiones'!$S$2:$S$282,"T014",'Prácticas_Revisiones'!$T$2:$T$282,"SOFTWARE ENG. MODELS/METH. &gt; Software Engineering Methods")+COUNTIFS('Prácticas_Snowballing'!$AB$2:$AB$281,"T014",'Prácticas_Snowballing'!$AC$2:$AC$281,"SOFTWARE ENG. MODELS/METH. &gt; Software Engineering Methods")</f>
        <v>0</v>
      </c>
      <c r="BY22" s="17">
        <f>COUNTIFS('Prácticas_Revisiones'!$S$2:$S$282,"T014",'Prácticas_Revisiones'!$T$2:$T$282,"SOFTWARE ENG. MODELS/METH. &gt; Subárea no determinable")+COUNTIFS('Prácticas_Snowballing'!$AB$2:$AB$281,"T014",'Prácticas_Snowballing'!$AC$2:$AC$281,"SOFTWARE ENG. MODELS/METH. &gt; Subárea no determinable")</f>
        <v>0</v>
      </c>
      <c r="BZ22" s="29">
        <f t="shared" si="27"/>
        <v>0</v>
      </c>
      <c r="CA22" s="17">
        <f>COUNTIFS('Prácticas_Revisiones'!$S$2:$S$282,"T014",'Prácticas_Revisiones'!$T$2:$T$282,"SOFTWARE QUALITY &gt; Software Quality Fundamentals")+COUNTIFS('Prácticas_Snowballing'!$AB$2:$AB$281,"T014",'Prácticas_Snowballing'!$AC$2:$AC$281,"SOFTWARE QUALITY &gt; Software Quality Fundamentals")</f>
        <v>0</v>
      </c>
      <c r="CB22" s="17">
        <f>COUNTIFS('Prácticas_Revisiones'!$S$2:$S$282,"T014",'Prácticas_Revisiones'!$T$2:$T$282,"SOFTWARE QUALITY &gt; Software Quality Management Process")+COUNTIFS('Prácticas_Snowballing'!$AB$2:$AB$281,"T014",'Prácticas_Snowballing'!$AC$2:$AC$281,"SOFTWARE QUALITY &gt; Software Quality Management Process")</f>
        <v>0</v>
      </c>
      <c r="CC22" s="17">
        <f>COUNTIFS('Prácticas_Revisiones'!$S$2:$S$282,"T014",'Prácticas_Revisiones'!$T$2:$T$282,"SOFTWARE QUALITY &gt; Software Quality Assurance Process")+COUNTIFS('Prácticas_Snowballing'!$AB$2:$AB$281,"T014",'Prácticas_Snowballing'!$AC$2:$AC$281,"SOFTWARE QUALITY &gt; Software Quality Assurance Process")</f>
        <v>0</v>
      </c>
      <c r="CD22" s="17">
        <f>COUNTIFS('Prácticas_Revisiones'!$S$2:$S$282,"T014",'Prácticas_Revisiones'!$T$2:$T$282,"SOFTWARE QUALITY &gt; Software Quality Tools")+COUNTIFS('Prácticas_Snowballing'!$AB$2:$AB$281,"T014",'Prácticas_Snowballing'!$AC$2:$AC$281,"SOFTWARE QUALITY &gt; Software Quality Tools")</f>
        <v>0</v>
      </c>
      <c r="CE22" s="17">
        <f>COUNTIFS('Prácticas_Revisiones'!$S$2:$S$282,"T014",'Prácticas_Revisiones'!$T$2:$T$282,"SOFTWARE QUALITY &gt; Subárea no determinable")+COUNTIFS('Prácticas_Snowballing'!$AB$2:$AB$281,"T014",'Prácticas_Snowballing'!$AC$2:$AC$281,"SOFTWARE QUALITY &gt; Subárea no determinable")</f>
        <v>0</v>
      </c>
      <c r="CF22" s="29">
        <f t="shared" si="28"/>
        <v>0</v>
      </c>
      <c r="CG22" s="17">
        <f>COUNTIFS('Prácticas_Revisiones'!$S$2:$S$282,"T014",'Prácticas_Revisiones'!$T$2:$T$282,"SOFTWARE SECURITY &gt; Software Security Fundamentals")+COUNTIFS('Prácticas_Snowballing'!$AB$2:$AB$281,"T014",'Prácticas_Snowballing'!$AC$2:$AC$281,"SOFTWARE SECURITY &gt; Software Security Fundamentals")</f>
        <v>0</v>
      </c>
      <c r="CH22" s="17">
        <f>COUNTIFS('Prácticas_Revisiones'!$S$2:$S$282,"T014",'Prácticas_Revisiones'!$T$2:$T$282,"SOFTWARE SECURITY &gt; Security Management and Organization")+COUNTIFS('Prácticas_Snowballing'!$AB$2:$AB$281,"T014",'Prácticas_Snowballing'!$AC$2:$AC$281,"SOFTWARE SECURITY &gt; Security Management and Organization")</f>
        <v>0</v>
      </c>
      <c r="CI22" s="17">
        <f>COUNTIFS('Prácticas_Revisiones'!$S$2:$S$282,"T014",'Prácticas_Revisiones'!$T$2:$T$282,"SOFTWARE SECURITY &gt; Software Security Engineering and Process")+COUNTIFS('Prácticas_Snowballing'!$AB$2:$AB$281,"T014",'Prácticas_Snowballing'!$AC$2:$AC$281,"SOFTWARE SECURITY &gt; Software Security Engineering and Process")</f>
        <v>0</v>
      </c>
      <c r="CJ22" s="17">
        <f>COUNTIFS('Prácticas_Revisiones'!$S$2:$S$282,"T014",'Prácticas_Revisiones'!$T$2:$T$282,"SOFTWARE SECURITY &gt; Security Engineering for Software Systems")+COUNTIFS('Prácticas_Snowballing'!$AB$2:$AB$281,"T014",'Prácticas_Snowballing'!$AC$2:$AC$281,"SOFTWARE SECURITY &gt; Security Engineering for Software Systems")</f>
        <v>0</v>
      </c>
      <c r="CK22" s="17">
        <f>COUNTIFS('Prácticas_Revisiones'!$S$2:$S$282,"T014",'Prácticas_Revisiones'!$T$2:$T$282,"SOFTWARE SECURITY &gt; Software Security Tools")+COUNTIFS('Prácticas_Snowballing'!$AB$2:$AB$281,"T014",'Prácticas_Snowballing'!$AC$2:$AC$281,"SOFTWARE SECURITY &gt; Software Security Tools")</f>
        <v>0</v>
      </c>
      <c r="CL22" s="17">
        <f>COUNTIFS('Prácticas_Revisiones'!$S$2:$S$282,"T014",'Prácticas_Revisiones'!$T$2:$T$282,"SOFTWARE SECURITY &gt; Domain Specific Software Security")+COUNTIFS('Prácticas_Snowballing'!$AB$2:$AB$281,"T014",'Prácticas_Snowballing'!$AC$2:$AC$281,"SOFTWARE SECURITY &gt; Domain Specific Software Security")</f>
        <v>0</v>
      </c>
      <c r="CM22" s="17">
        <f>COUNTIFS('Prácticas_Revisiones'!$S$2:$S$282,"T014",'Prácticas_Revisiones'!$T$2:$T$282,"SOFTWARE SECURITY &gt; Subárea no determinable")+COUNTIFS('Prácticas_Snowballing'!$AB$2:$AB$281,"T014",'Prácticas_Snowballing'!$AC$2:$AC$281,"SOFTWARE SECURITY &gt; Subárea no determinable")</f>
        <v>0</v>
      </c>
      <c r="CN22" s="29">
        <f t="shared" si="29"/>
        <v>0</v>
      </c>
      <c r="CO22" s="17">
        <f>COUNTIFS('Prácticas_Revisiones'!$S$2:$S$282,"T014",'Prácticas_Revisiones'!$T$2:$T$282,"PROFESSIONAL PRACTICE &gt; Professionalism")+COUNTIFS('Prácticas_Snowballing'!$AB$2:$AB$281,"T014",'Prácticas_Snowballing'!$AC$2:$AC$281,"PROFESSIONAL PRACTICE &gt; Professionalism")</f>
        <v>0</v>
      </c>
      <c r="CP22" s="17">
        <f>COUNTIFS('Prácticas_Revisiones'!$S$2:$S$282,"T014",'Prácticas_Revisiones'!$T$2:$T$282,"PROFESSIONAL PRACTICE &gt; Group Dynamics and Psychology")+COUNTIFS('Prácticas_Snowballing'!$AB$2:$AB$281,"T014",'Prácticas_Snowballing'!$AC$2:$AC$281,"PROFESSIONAL PRACTICE &gt; Group Dynamics and Psychology")</f>
        <v>0</v>
      </c>
      <c r="CQ22" s="17">
        <f>COUNTIFS('Prácticas_Revisiones'!$S$2:$S$282,"T014",'Prácticas_Revisiones'!$T$2:$T$282,"PROFESSIONAL PRACTICE &gt; Communication Skills")+COUNTIFS('Prácticas_Snowballing'!$AB$2:$AB$281,"T014",'Prácticas_Snowballing'!$AC$2:$AC$281,"PROFESSIONAL PRACTICE &gt; Communication Skills")</f>
        <v>0</v>
      </c>
      <c r="CR22" s="17">
        <f>COUNTIFS('Prácticas_Revisiones'!$S$2:$S$282,"T014",'Prácticas_Revisiones'!$T$2:$T$282,"PROFESSIONAL PRACTICE &gt; Subárea no determinable")+COUNTIFS('Prácticas_Snowballing'!$AB$2:$AB$281,"T014",'Prácticas_Snowballing'!$AC$2:$AC$281,"PROFESSIONAL PRACTICE &gt; Subárea no determinable")</f>
        <v>0</v>
      </c>
      <c r="CS22" s="29">
        <f t="shared" si="30"/>
        <v>0</v>
      </c>
      <c r="CT22" s="17">
        <f>COUNTIFS('Prácticas_Revisiones'!$S$2:$S$282,"T014",'Prácticas_Revisiones'!$T$2:$T$282,"SOFTWARE ENG. ECONOMICS &gt; Software Engineering Economics Fundamentals")+COUNTIFS('Prácticas_Snowballing'!$AB$2:$AB$281,"T014",'Prácticas_Snowballing'!$AC$2:$AC$281,"SOFTWARE ENG. ECONOMICS &gt; Software Engineering Economics Fundamentals")</f>
        <v>0</v>
      </c>
      <c r="CU22" s="17">
        <f>COUNTIFS('Prácticas_Revisiones'!$S$2:$S$282,"T014",'Prácticas_Revisiones'!$T$2:$T$282,"SOFTWARE ENG. ECONOMICS &gt; The Engineering Decision-Making Process")+COUNTIFS('Prácticas_Snowballing'!$AB$2:$AB$281,"T014",'Prácticas_Snowballing'!$AC$2:$AC$281,"SOFTWARE ENG. ECONOMICS &gt; The Engineering Decision-Making Process")</f>
        <v>0</v>
      </c>
      <c r="CV22" s="17">
        <f>COUNTIFS('Prácticas_Revisiones'!$S$2:$S$282,"T014",'Prácticas_Revisiones'!$T$2:$T$282,"SOFTWARE ENG. ECONOMICS &gt; For-Profit Decision-Making")+COUNTIFS('Prácticas_Snowballing'!$AB$2:$AB$281,"T014",'Prácticas_Snowballing'!$AC$2:$AC$281,"SOFTWARE ENG. ECONOMICS &gt; For-Profit Decision-Making")</f>
        <v>0</v>
      </c>
      <c r="CW22" s="17">
        <f>COUNTIFS('Prácticas_Revisiones'!$S$2:$S$282,"T014",'Prácticas_Revisiones'!$T$2:$T$282,"SOFTWARE ENG. ECONOMICS &gt; Nonprofit Decision-Making")+COUNTIFS('Prácticas_Snowballing'!$AB$2:$AB$281,"T014",'Prácticas_Snowballing'!$AC$2:$AC$281,"SOFTWARE ENG. ECONOMICS &gt; Nonprofit Decision-Making")</f>
        <v>0</v>
      </c>
      <c r="CX22" s="17">
        <f>COUNTIFS('Prácticas_Revisiones'!$S$2:$S$282,"T014",'Prácticas_Revisiones'!$T$2:$T$282,"SOFTWARE ENG. ECONOMICS &gt; Present Economy Decision-Making")+COUNTIFS('Prácticas_Snowballing'!$AB$2:$AB$281,"T014",'Prácticas_Snowballing'!$AC$2:$AC$281,"SOFTWARE ENG. ECONOMICS &gt; Present Economy Decision-Making")</f>
        <v>0</v>
      </c>
      <c r="CY22" s="17">
        <f>COUNTIFS('Prácticas_Revisiones'!$S$2:$S$282,"T014",'Prácticas_Revisiones'!$T$2:$T$282,"SOFTWARE ENG. ECONOMICS &gt; Multiple-Attribute Decision-Making")+COUNTIFS('Prácticas_Snowballing'!$AB$2:$AB$281,"T014",'Prácticas_Snowballing'!$AC$2:$AC$281,"SOFTWARE ENG. ECONOMICS &gt; Multiple-Attribute Decision-Making")</f>
        <v>0</v>
      </c>
      <c r="CZ22" s="17">
        <f>COUNTIFS('Prácticas_Revisiones'!$S$2:$S$282,"T014",'Prácticas_Revisiones'!$T$2:$T$282,"SOFTWARE ENG. ECONOMICS &gt; Identifying and Characterizing Intangible Assets")+COUNTIFS('Prácticas_Snowballing'!$AB$2:$AB$281,"T014",'Prácticas_Snowballing'!$AC$2:$AC$281,"SOFTWARE ENG. ECONOMICS &gt; Identifying and Characterizing Intangible Assets")</f>
        <v>0</v>
      </c>
      <c r="DA22" s="17">
        <f>COUNTIFS('Prácticas_Revisiones'!$S$2:$S$282,"T014",'Prácticas_Revisiones'!$T$2:$T$282,"SOFTWARE ENG. ECONOMICS &gt; Estimation")+COUNTIFS('Prácticas_Snowballing'!$AB$2:$AB$281,"T014",'Prácticas_Snowballing'!$AC$2:$AC$281,"SOFTWARE ENG. ECONOMICS &gt; Estimation")</f>
        <v>0</v>
      </c>
      <c r="DB22" s="17">
        <f>COUNTIFS('Prácticas_Revisiones'!$S$2:$S$282,"T014",'Prácticas_Revisiones'!$T$2:$T$282,"SOFTWARE ENG. ECONOMICS &gt; Practical Considerations")+COUNTIFS('Prácticas_Snowballing'!$AB$2:$AB$281,"T014",'Prácticas_Snowballing'!$AC$2:$AC$281,"SOFTWARE ENG. ECONOMICS &gt; Practical Considerations")</f>
        <v>0</v>
      </c>
      <c r="DC22" s="17">
        <f>COUNTIFS('Prácticas_Revisiones'!$S$2:$S$282,"T014",'Prácticas_Revisiones'!$T$2:$T$282,"SOFTWARE ENG. ECONOMICS &gt; Related Concepts")+COUNTIFS('Prácticas_Snowballing'!$AB$2:$AB$281,"T014",'Prácticas_Snowballing'!$AC$2:$AC$281,"SOFTWARE ENG. ECONOMICS &gt; Related Concepts")</f>
        <v>0</v>
      </c>
      <c r="DD22" s="17">
        <f>COUNTIFS('Prácticas_Revisiones'!$S$2:$S$282,"T014",'Prácticas_Revisiones'!$T$2:$T$282,"SOFTWARE ENG. ECONOMICS &gt; Subárea no determinable")+COUNTIFS('Prácticas_Snowballing'!$AB$2:$AB$281,"T014",'Prácticas_Snowballing'!$AC$2:$AC$281,"SOFTWARE ENG. ECONOMICS &gt; Subárea no determinable")</f>
        <v>0</v>
      </c>
      <c r="DE22" s="29">
        <f t="shared" si="31"/>
        <v>0</v>
      </c>
      <c r="DF22" s="17">
        <f>COUNTIFS('Prácticas_Revisiones'!$S$2:$S$282,"T014",'Prácticas_Revisiones'!$T$2:$T$282,"SOFTWARE ENG. MANAGEMENT &gt; Software Engineering Management Fundamentals")+COUNTIFS('Prácticas_Snowballing'!$AB$2:$AB$281,"T014",'Prácticas_Snowballing'!$AC$2:$AC$281,"SOFTWARE ENG. MANAGEMENT &gt; Software Engineering Management Fundamentals")</f>
        <v>0</v>
      </c>
      <c r="DG22" s="17">
        <f>COUNTIFS('Prácticas_Revisiones'!$S$2:$S$282,"T014",'Prácticas_Revisiones'!$T$2:$T$282,"SOFTWARE ENG. MANAGEMENT &gt; Initiation and Scope Definition")+COUNTIFS('Prácticas_Snowballing'!$AB$2:$AB$281,"T014",'Prácticas_Snowballing'!$AC$2:$AC$281,"SOFTWARE ENG. MANAGEMENT &gt; Initiation and Scope Definition")</f>
        <v>0</v>
      </c>
      <c r="DH22" s="17">
        <f>COUNTIFS('Prácticas_Revisiones'!$S$2:$S$282,"T014",'Prácticas_Revisiones'!$T$2:$T$282,"SOFTWARE ENG. MANAGEMENT &gt; Software Project Planning")+COUNTIFS('Prácticas_Snowballing'!$AB$2:$AB$281,"T014",'Prácticas_Snowballing'!$AC$2:$AC$281,"SOFTWARE ENG. MANAGEMENT &gt; Software Project Planning")</f>
        <v>0</v>
      </c>
      <c r="DI22" s="17">
        <f>COUNTIFS('Prácticas_Revisiones'!$S$2:$S$282,"T014",'Prácticas_Revisiones'!$T$2:$T$282,"SOFTWARE ENG. MANAGEMENT &gt; Software Project Enactment")+COUNTIFS('Prácticas_Snowballing'!$AB$2:$AB$281,"T014",'Prácticas_Snowballing'!$AC$2:$AC$281,"SOFTWARE ENG. MANAGEMENT &gt; Software Project Enactment")</f>
        <v>0</v>
      </c>
      <c r="DJ22" s="17">
        <f>COUNTIFS('Prácticas_Revisiones'!$S$2:$S$282,"T014",'Prácticas_Revisiones'!$T$2:$T$282,"SOFTWARE ENG. MANAGEMENT &gt; Review and Evaluation")+COUNTIFS('Prácticas_Snowballing'!$AB$2:$AB$281,"T014",'Prácticas_Snowballing'!$AC$2:$AC$281,"SOFTWARE ENG. MANAGEMENT &gt; Review and Evaluation")</f>
        <v>0</v>
      </c>
      <c r="DK22" s="17">
        <f>COUNTIFS('Prácticas_Revisiones'!$S$2:$S$282,"T014",'Prácticas_Revisiones'!$T$2:$T$282,"SOFTWARE ENG. MANAGEMENT &gt; Closure")+COUNTIFS('Prácticas_Snowballing'!$AB$2:$AB$281,"T014",'Prácticas_Snowballing'!$AC$2:$AC$281,"SOFTWARE ENG. MANAGEMENT &gt; Closure")</f>
        <v>0</v>
      </c>
      <c r="DL22" s="17">
        <f>COUNTIFS('Prácticas_Revisiones'!$S$2:$S$282,"T014",'Prácticas_Revisiones'!$T$2:$T$282,"SOFTWARE ENG. MANAGEMENT &gt; Software Engineering Management Tools")+COUNTIFS('Prácticas_Snowballing'!$AB$2:$AB$281,"T014",'Prácticas_Snowballing'!$AC$2:$AC$281,"SOFTWARE ENG. MANAGEMENT &gt; Software Engineering Management Tools")</f>
        <v>0</v>
      </c>
      <c r="DM22" s="17">
        <f>COUNTIFS('Prácticas_Revisiones'!$S$2:$S$282,"T014",'Prácticas_Revisiones'!$T$2:$T$282,"SOFTWARE ENG. MANAGEMENT &gt; Subárea no determinable")+COUNTIFS('Prácticas_Snowballing'!$AB$2:$AB$281,"T014",'Prácticas_Snowballing'!$AC$2:$AC$281,"SOFTWARE ENG. MANAGEMENT &gt; Subárea no determinable")</f>
        <v>0</v>
      </c>
      <c r="DN22" s="29">
        <f t="shared" si="32"/>
        <v>0</v>
      </c>
      <c r="DO22" s="17">
        <f>COUNTIFS('Prácticas_Revisiones'!$S$2:$S$282,"T014",'Prácticas_Revisiones'!$T$2:$T$282,"Sin área SWEBOK")+COUNTIFS('Prácticas_Snowballing'!$AB$2:$AB$281,"T014",'Prácticas_Snowballing'!$AC$2:$AC$281,"Sin área SWEBOK")</f>
        <v>0</v>
      </c>
      <c r="DP22" s="27">
        <f t="shared" si="33"/>
        <v>0</v>
      </c>
    </row>
    <row r="23" ht="15.75" customHeight="1">
      <c r="A23" s="28"/>
      <c r="B23" s="16" t="s">
        <v>2636</v>
      </c>
      <c r="C23" s="17">
        <f>COUNTIFS('Prácticas_Revisiones'!$S$2:$S$282,"T015",'Prácticas_Revisiones'!$T$2:$T$282,"REQUIREMENTS &gt; Software Requirements Fundamentals")+COUNTIFS('Prácticas_Snowballing'!$AB$2:$AB$281,"T015",'Prácticas_Snowballing'!$AC$2:$AC$281,"REQUIREMENTS &gt; Software Requirements Fundamentals")</f>
        <v>0</v>
      </c>
      <c r="D23" s="17">
        <f>COUNTIFS('Prácticas_Revisiones'!$S$2:$S$282,"T015",'Prácticas_Revisiones'!$T$2:$T$282,"REQUIREMENTS &gt; Requirements Elicitation")+COUNTIFS('Prácticas_Snowballing'!$AB$2:$AB$281,"T015",'Prácticas_Snowballing'!$AC$2:$AC$281,"REQUIREMENTS &gt; Requirements Elicitation")</f>
        <v>0</v>
      </c>
      <c r="E23" s="17">
        <f>COUNTIFS('Prácticas_Revisiones'!$S$2:$S$282,"T015",'Prácticas_Revisiones'!$T$2:$T$282,"REQUIREMENTS &gt; Requirements Analysis")+COUNTIFS('Prácticas_Snowballing'!$AB$2:$AB$281,"T015",'Prácticas_Snowballing'!$AC$2:$AC$281,"REQUIREMENTS &gt; Requirements Analysis")</f>
        <v>0</v>
      </c>
      <c r="F23" s="17">
        <f>COUNTIFS('Prácticas_Revisiones'!$S$2:$S$282,"T015",'Prácticas_Revisiones'!$T$2:$T$282,"REQUIREMENTS &gt; Requirements Specification")+COUNTIFS('Prácticas_Snowballing'!$AB$2:$AB$281,"T015",'Prácticas_Snowballing'!$AC$2:$AC$281,"REQUIREMENTS &gt; Requirements Specification")</f>
        <v>0</v>
      </c>
      <c r="G23" s="17">
        <f>COUNTIFS('Prácticas_Revisiones'!$S$2:$S$282,"T015",'Prácticas_Revisiones'!$T$2:$T$282,"REQUIREMENTS &gt; Requirements Validation")+COUNTIFS('Prácticas_Snowballing'!$AB$2:$AB$281,"T015",'Prácticas_Snowballing'!$AC$2:$AC$281,"REQUIREMENTS &gt; Requirements Validation")</f>
        <v>0</v>
      </c>
      <c r="H23" s="17">
        <f>COUNTIFS('Prácticas_Revisiones'!$S$2:$S$282,"T015",'Prácticas_Revisiones'!$T$2:$T$282,"REQUIREMENTS &gt; Requirements Management Activities")+COUNTIFS('Prácticas_Snowballing'!$AB$2:$AB$281,"T015",'Prácticas_Snowballing'!$AC$2:$AC$281,"REQUIREMENTS &gt; Requirements Management Activities")</f>
        <v>0</v>
      </c>
      <c r="I23" s="17">
        <f>COUNTIFS('Prácticas_Revisiones'!$S$2:$S$282,"T015",'Prácticas_Revisiones'!$T$2:$T$282,"REQUIREMENTS &gt; Practical Considerations")+COUNTIFS('Prácticas_Snowballing'!$AB$2:$AB$281,"T015",'Prácticas_Snowballing'!$AC$2:$AC$281,"REQUIREMENTS &gt; Practical Considerations")</f>
        <v>0</v>
      </c>
      <c r="J23" s="17">
        <f>COUNTIFS('Prácticas_Revisiones'!$S$2:$S$282,"T015",'Prácticas_Revisiones'!$T$2:$T$282,"REQUIREMENTS &gt; Software Requirements Tools")+COUNTIFS('Prácticas_Snowballing'!$AB$2:$AB$281,"T015",'Prácticas_Snowballing'!$AC$2:$AC$281,"REQUIREMENTS &gt; Software Requirements Tools")</f>
        <v>0</v>
      </c>
      <c r="K23" s="17">
        <f>COUNTIFS('Prácticas_Revisiones'!$S$2:$S$282,"T015",'Prácticas_Revisiones'!$T$2:$T$282,"REQUIREMENTS &gt; Subárea no determinable")+COUNTIFS('Prácticas_Snowballing'!$AB$2:$AB$281,"T015",'Prácticas_Snowballing'!$AC$2:$AC$281,"REQUIREMENTS &gt; Subárea no determinable")</f>
        <v>0</v>
      </c>
      <c r="L23" s="29">
        <f t="shared" si="18"/>
        <v>0</v>
      </c>
      <c r="M23" s="17">
        <f>COUNTIFS('Prácticas_Revisiones'!$S$2:$S$282,"T015",'Prácticas_Revisiones'!$T$2:$T$282,"ARCHITECTURE &gt; Software Architecture Fundamentals")+COUNTIFS('Prácticas_Snowballing'!$AB$2:$AB$281,"T015",'Prácticas_Snowballing'!$AC$2:$AC$281,"ARCHITECTURE &gt; Software Architecture Fundamentals")</f>
        <v>0</v>
      </c>
      <c r="N23" s="17">
        <f>COUNTIFS('Prácticas_Revisiones'!$S$2:$S$282,"T015",'Prácticas_Revisiones'!$T$2:$T$282,"ARCHITECTURE &gt; Software Architecture Description")+COUNTIFS('Prácticas_Snowballing'!$AB$2:$AB$281,"T015",'Prácticas_Snowballing'!$AC$2:$AC$281,"ARCHITECTURE &gt; Software Architecture Description")</f>
        <v>0</v>
      </c>
      <c r="O23" s="17">
        <f>COUNTIFS('Prácticas_Revisiones'!$S$2:$S$282,"T015",'Prácticas_Revisiones'!$T$2:$T$282,"ARCHITECTURE &gt; Software Architecture Process")+COUNTIFS('Prácticas_Snowballing'!$AB$2:$AB$281,"T015",'Prácticas_Snowballing'!$AC$2:$AC$281,"ARCHITECTURE &gt; Software Architecture Process")</f>
        <v>0</v>
      </c>
      <c r="P23" s="17">
        <f>COUNTIFS('Prácticas_Revisiones'!$S$2:$S$282,"T015",'Prácticas_Revisiones'!$T$2:$T$282,"ARCHITECTURE &gt; Software Architecture Evaluation")+COUNTIFS('Prácticas_Snowballing'!$AB$2:$AB$281,"T015",'Prácticas_Snowballing'!$AC$2:$AC$281,"ARCHITECTURE &gt; Software Architecture Evaluation")</f>
        <v>0</v>
      </c>
      <c r="Q23" s="17">
        <f>COUNTIFS('Prácticas_Revisiones'!$S$2:$S$282,"T015",'Prácticas_Revisiones'!$T$2:$T$282,"ARCHITECTURE &gt; Subárea no determinable")+COUNTIFS('Prácticas_Snowballing'!$AB$2:$AB$281,"T015",'Prácticas_Snowballing'!$AC$2:$AC$281,"ARCHITECTURE &gt; Subárea no determinable")</f>
        <v>0</v>
      </c>
      <c r="R23" s="29">
        <f t="shared" si="19"/>
        <v>0</v>
      </c>
      <c r="S23" s="17">
        <f>COUNTIFS('Prácticas_Revisiones'!$S$2:$S$282,"T015",'Prácticas_Revisiones'!$T$2:$T$282,"DESIGN &gt; Software Design Fundamentals")+COUNTIFS('Prácticas_Snowballing'!$AB$2:$AB$281,"T015",'Prácticas_Snowballing'!$AC$2:$AC$281,"DESIGN &gt; Software Design Fundamentals")</f>
        <v>0</v>
      </c>
      <c r="T23" s="17">
        <f>COUNTIFS('Prácticas_Revisiones'!$S$2:$S$282,"T015",'Prácticas_Revisiones'!$T$2:$T$282,"DESIGN &gt; Software Design Processes")+COUNTIFS('Prácticas_Snowballing'!$AB$2:$AB$281,"T015",'Prácticas_Snowballing'!$AC$2:$AC$281,"DESIGN &gt; Software Design Processes")</f>
        <v>0</v>
      </c>
      <c r="U23" s="17">
        <f>COUNTIFS('Prácticas_Revisiones'!$S$2:$S$282,"T015",'Prácticas_Revisiones'!$T$2:$T$282,"DESIGN &gt; Software Design Qualities")+COUNTIFS('Prácticas_Snowballing'!$AB$2:$AB$281,"T015",'Prácticas_Snowballing'!$AC$2:$AC$281,"DESIGN &gt; Software Design Qualities")</f>
        <v>0</v>
      </c>
      <c r="V23" s="17">
        <f>COUNTIFS('Prácticas_Revisiones'!$S$2:$S$282,"T015",'Prácticas_Revisiones'!$T$2:$T$282,"DESIGN &gt; Recording Software Design")+COUNTIFS('Prácticas_Snowballing'!$AB$2:$AB$281,"T015",'Prácticas_Snowballing'!$AC$2:$AC$281,"DESIGN &gt; Recording Software Design")</f>
        <v>0</v>
      </c>
      <c r="W23" s="17">
        <f>COUNTIFS('Prácticas_Revisiones'!$S$2:$S$282,"T015",'Prácticas_Revisiones'!$T$2:$T$282,"DESIGN &gt; Software Design Strategies and Methods")+COUNTIFS('Prácticas_Snowballing'!$AB$2:$AB$281,"T015",'Prácticas_Snowballing'!$AC$2:$AC$281,"DESIGN &gt; Software Design Strategies and Methods")</f>
        <v>0</v>
      </c>
      <c r="X23" s="17">
        <f>COUNTIFS('Prácticas_Revisiones'!$S$2:$S$282,"T015",'Prácticas_Revisiones'!$T$2:$T$282,"DESIGN &gt; Software Design Analysis and Evaluations")+COUNTIFS('Prácticas_Snowballing'!$AB$2:$AB$281,"T015",'Prácticas_Snowballing'!$AC$2:$AC$281,"DESIGN &gt; Software Design Analysis and Evaluations")</f>
        <v>0</v>
      </c>
      <c r="Y23" s="17">
        <f>COUNTIFS('Prácticas_Revisiones'!$S$2:$S$282,"T015",'Prácticas_Revisiones'!$T$2:$T$282,"DESIGN &gt; Subárea no determinable")+COUNTIFS('Prácticas_Snowballing'!$AB$2:$AB$281,"T015",'Prácticas_Snowballing'!$AC$2:$AC$281,"DESIGN &gt; Subárea no determinable")</f>
        <v>0</v>
      </c>
      <c r="Z23" s="29">
        <f t="shared" si="20"/>
        <v>0</v>
      </c>
      <c r="AA23" s="17">
        <f>COUNTIFS('Prácticas_Revisiones'!$S$2:$S$282,"T015",'Prácticas_Revisiones'!$T$2:$T$282,"CONSTRUCTION &gt; Software Construction Fundamentals")+COUNTIFS('Prácticas_Snowballing'!$AB$2:$AB$281,"T015",'Prácticas_Snowballing'!$AC$2:$AC$281,"CONSTRUCTION &gt; Software Construction Fundamentals")</f>
        <v>0</v>
      </c>
      <c r="AB23" s="17">
        <f>COUNTIFS('Prácticas_Revisiones'!$S$2:$S$282,"T015",'Prácticas_Revisiones'!$T$2:$T$282,"CONSTRUCTION &gt; Managing Construction")+COUNTIFS('Prácticas_Snowballing'!$AB$2:$AB$281,"T015",'Prácticas_Snowballing'!$AC$2:$AC$281,"CONSTRUCTION &gt; Managing Construction")</f>
        <v>0</v>
      </c>
      <c r="AC23" s="17">
        <f>COUNTIFS('Prácticas_Revisiones'!$S$2:$S$282,"T015",'Prácticas_Revisiones'!$T$2:$T$282,"CONSTRUCTION &gt; Practical Considerations")+COUNTIFS('Prácticas_Snowballing'!$AB$2:$AB$281,"T015",'Prácticas_Snowballing'!$AC$2:$AC$281,"CONSTRUCTION &gt; Practical Considerations")</f>
        <v>0</v>
      </c>
      <c r="AD23" s="17">
        <f>COUNTIFS('Prácticas_Revisiones'!$S$2:$S$282,"T015",'Prácticas_Revisiones'!$T$2:$T$282,"CONSTRUCTION &gt; Construction Technologies")+COUNTIFS('Prácticas_Snowballing'!$AB$2:$AB$281,"T015",'Prácticas_Snowballing'!$AC$2:$AC$281,"CONSTRUCTION &gt; Construction Technologies")</f>
        <v>0</v>
      </c>
      <c r="AE23" s="17">
        <f>COUNTIFS('Prácticas_Revisiones'!$S$2:$S$282,"T015",'Prácticas_Revisiones'!$T$2:$T$282,"CONSTRUCTION &gt; Software Construction Tools")+COUNTIFS('Prácticas_Snowballing'!$AB$2:$AB$281,"T015",'Prácticas_Snowballing'!$AC$2:$AC$281,"CONSTRUCTION &gt; Software Construction Tools")</f>
        <v>0</v>
      </c>
      <c r="AF23" s="17">
        <f>COUNTIFS('Prácticas_Revisiones'!$S$2:$S$282,"T015",'Prácticas_Revisiones'!$T$2:$T$282,"CONSTRUCTION &gt; Subárea no determinable")+COUNTIFS('Prácticas_Snowballing'!$AB$2:$AB$281,"T015",'Prácticas_Snowballing'!$AC$2:$AC$281,"CONSTRUCTION &gt; Subárea no determinable")</f>
        <v>0</v>
      </c>
      <c r="AG23" s="29">
        <f t="shared" si="21"/>
        <v>0</v>
      </c>
      <c r="AH23" s="17">
        <f>COUNTIFS('Prácticas_Revisiones'!$S$2:$S$282,"T015",'Prácticas_Revisiones'!$T$2:$T$282,"SOFTWARE TESTING &gt; Software Testing Fundamentals")+COUNTIFS('Prácticas_Snowballing'!$AB$2:$AB$281,"T015",'Prácticas_Snowballing'!$AC$2:$AC$281,"SOFTWARE TESTING &gt; Software Testing Fundamentals")</f>
        <v>0</v>
      </c>
      <c r="AI23" s="17">
        <f>COUNTIFS('Prácticas_Revisiones'!$S$2:$S$282,"T015",'Prácticas_Revisiones'!$T$2:$T$282,"SOFTWARE TESTING &gt; Test Levels")+COUNTIFS('Prácticas_Snowballing'!$AB$2:$AB$281,"T015",'Prácticas_Snowballing'!$AC$2:$AC$281,"SOFTWARE TESTING &gt; Test Levels")</f>
        <v>0</v>
      </c>
      <c r="AJ23" s="17">
        <f>COUNTIFS('Prácticas_Revisiones'!$S$2:$S$282,"T015",'Prácticas_Revisiones'!$T$2:$T$282,"SOFTWARE TESTING &gt; Test Techniques")+COUNTIFS('Prácticas_Snowballing'!$AB$2:$AB$281,"T015",'Prácticas_Snowballing'!$AC$2:$AC$281,"SOFTWARE TESTING &gt; Test Techniques")</f>
        <v>0</v>
      </c>
      <c r="AK23" s="17">
        <f>COUNTIFS('Prácticas_Revisiones'!$S$2:$S$282,"T015",'Prácticas_Revisiones'!$T$2:$T$282,"SOFTWARE TESTING &gt; Test-Related Measures")+COUNTIFS('Prácticas_Snowballing'!$AB$2:$AB$281,"T015",'Prácticas_Snowballing'!$AC$2:$AC$281,"SOFTWARE TESTING &gt; Test-Related Measures")</f>
        <v>0</v>
      </c>
      <c r="AL23" s="17">
        <f>COUNTIFS('Prácticas_Revisiones'!$S$2:$S$282,"T015",'Prácticas_Revisiones'!$T$2:$T$282,"SOFTWARE TESTING &gt; Test Process")+COUNTIFS('Prácticas_Snowballing'!$AB$2:$AB$281,"T015",'Prácticas_Snowballing'!$AC$2:$AC$281,"SOFTWARE TESTING &gt; Test Process")</f>
        <v>0</v>
      </c>
      <c r="AM23" s="17">
        <f>COUNTIFS('Prácticas_Revisiones'!$S$2:$S$282,"T015",'Prácticas_Revisiones'!$T$2:$T$282,"SOFTWARE TESTING &gt; Software Testing in the Development Processes...")+COUNTIFS('Prácticas_Snowballing'!$AB$2:$AB$281,"T015",'Prácticas_Snowballing'!$AC$2:$AC$281,"SOFTWARE TESTING &gt; Software Testing in the Development Processes...")</f>
        <v>0</v>
      </c>
      <c r="AN23" s="17">
        <f>COUNTIFS('Prácticas_Revisiones'!$S$2:$S$282,"T015",'Prácticas_Revisiones'!$T$2:$T$282,"SOFTWARE TESTING &gt; Testing of and Testing Through Emerging Tech...")+COUNTIFS('Prácticas_Snowballing'!$AB$2:$AB$281,"T015",'Prácticas_Snowballing'!$AC$2:$AC$281,"SOFTWARE TESTING &gt; Testing of and Testing Through Emerging Tech...")</f>
        <v>0</v>
      </c>
      <c r="AO23" s="17">
        <f>COUNTIFS('Prácticas_Revisiones'!$S$2:$S$282,"T015",'Prácticas_Revisiones'!$T$2:$T$282,"SOFTWARE TESTING &gt; Software Testing Tools")+COUNTIFS('Prácticas_Snowballing'!$AB$2:$AB$281,"T015",'Prácticas_Snowballing'!$AC$2:$AC$281,"SOFTWARE TESTING &gt; Software Testing Tools")</f>
        <v>0</v>
      </c>
      <c r="AP23" s="17">
        <f>COUNTIFS('Prácticas_Revisiones'!$S$2:$S$282,"T015",'Prácticas_Revisiones'!$T$2:$T$282,"SOFTWARE TESTING &gt; Subárea no determinable")+COUNTIFS('Prácticas_Snowballing'!$AB$2:$AB$281,"T015",'Prácticas_Snowballing'!$AC$2:$AC$281,"SOFTWARE TESTING &gt; Subárea no determinable")</f>
        <v>0</v>
      </c>
      <c r="AQ23" s="29">
        <f t="shared" si="22"/>
        <v>0</v>
      </c>
      <c r="AR23" s="17">
        <f>COUNTIFS('Prácticas_Revisiones'!$S$2:$S$282,"T015",'Prácticas_Revisiones'!$T$2:$T$282,"SOFTWARE ENG. OPERATIONS &gt; Software Engineering Operations Fundamentals")+COUNTIFS('Prácticas_Snowballing'!$AB$2:$AB$281,"T015",'Prácticas_Snowballing'!$AC$2:$AC$281,"SOFTWARE ENG. OPERATIONS &gt; Software Engineering Operations Fundamentals")</f>
        <v>0</v>
      </c>
      <c r="AS23" s="17">
        <f>COUNTIFS('Prácticas_Revisiones'!$S$2:$S$282,"T015",'Prácticas_Revisiones'!$T$2:$T$282,"SOFTWARE ENG. OPERATIONS &gt; Software Engineering Operations Planning")+COUNTIFS('Prácticas_Snowballing'!$AB$2:$AB$281,"T015",'Prácticas_Snowballing'!$AC$2:$AC$281,"SOFTWARE ENG. OPERATIONS &gt; Software Engineering Operations Planning")</f>
        <v>0</v>
      </c>
      <c r="AT23" s="17">
        <f>COUNTIFS('Prácticas_Revisiones'!$S$2:$S$282,"T015",'Prácticas_Revisiones'!$T$2:$T$282,"SOFTWARE ENG. OPERATIONS &gt; Software Engineering Operations Delivery")+COUNTIFS('Prácticas_Snowballing'!$AB$2:$AB$281,"T015",'Prácticas_Snowballing'!$AC$2:$AC$281,"SOFTWARE ENG. OPERATIONS &gt; Software Engineering Operations Delivery")</f>
        <v>0</v>
      </c>
      <c r="AU23" s="17">
        <f>COUNTIFS('Prácticas_Revisiones'!$S$2:$S$282,"T015",'Prácticas_Revisiones'!$T$2:$T$282,"SOFTWARE ENG. OPERATIONS &gt; Software Engineering Operations Control")+COUNTIFS('Prácticas_Snowballing'!$AB$2:$AB$281,"T015",'Prácticas_Snowballing'!$AC$2:$AC$281,"SOFTWARE ENG. OPERATIONS &gt; Software Engineering Operations Control")</f>
        <v>0</v>
      </c>
      <c r="AV23" s="17">
        <f>COUNTIFS('Prácticas_Revisiones'!$S$2:$S$282,"T015",'Prácticas_Revisiones'!$T$2:$T$282,"SOFTWARE ENG. OPERATIONS &gt; Practical Considerations")+COUNTIFS('Prácticas_Snowballing'!$AB$2:$AB$281,"T015",'Prácticas_Snowballing'!$AC$2:$AC$281,"SOFTWARE ENG. OPERATIONS &gt; Practical Considerations")</f>
        <v>0</v>
      </c>
      <c r="AW23" s="17">
        <f>COUNTIFS('Prácticas_Revisiones'!$S$2:$S$282,"T015",'Prácticas_Revisiones'!$T$2:$T$282,"SOFTWARE ENG. OPERATIONS &gt; Software Engineering Operations Tools")+COUNTIFS('Prácticas_Snowballing'!$AB$2:$AB$281,"T015",'Prácticas_Snowballing'!$AC$2:$AC$281,"SOFTWARE ENG. OPERATIONS &gt; Software Engineering Operations Tools")</f>
        <v>0</v>
      </c>
      <c r="AX23" s="17">
        <f>COUNTIFS('Prácticas_Revisiones'!$S$2:$S$282,"T015",'Prácticas_Revisiones'!$T$2:$T$282,"SOFTWARE ENG. OPERATIONS &gt; Subárea no determinable")+COUNTIFS('Prácticas_Snowballing'!$AB$2:$AB$281,"T015",'Prácticas_Snowballing'!$AC$2:$AC$281,"SOFTWARE ENG. OPERATIONS &gt; Subárea no determinable")</f>
        <v>0</v>
      </c>
      <c r="AY23" s="29">
        <f t="shared" si="23"/>
        <v>0</v>
      </c>
      <c r="AZ23" s="17">
        <f>COUNTIFS('Prácticas_Revisiones'!$S$2:$S$282,"T015",'Prácticas_Revisiones'!$T$2:$T$282,"MAINTENANCE &gt; Software Maintenance Fundamentals")+COUNTIFS('Prácticas_Snowballing'!$AB$2:$AB$281,"T015",'Prácticas_Snowballing'!$AC$2:$AC$281,"MAINTENANCE &gt; Software Maintenance Fundamentals")</f>
        <v>0</v>
      </c>
      <c r="BA23" s="17">
        <f>COUNTIFS('Prácticas_Revisiones'!$S$2:$S$282,"T015",'Prácticas_Revisiones'!$T$2:$T$282,"MAINTENANCE &gt; Key Issues in Software Maintenance")+COUNTIFS('Prácticas_Snowballing'!$AB$2:$AB$281,"T015",'Prácticas_Snowballing'!$AC$2:$AC$281,"MAINTENANCE &gt; Key Issues in Software Maintenance")</f>
        <v>0</v>
      </c>
      <c r="BB23" s="17">
        <f>COUNTIFS('Prácticas_Revisiones'!$S$2:$S$282,"T015",'Prácticas_Revisiones'!$T$2:$T$282,"MAINTENANCE &gt; Software Maintenance Processes")+COUNTIFS('Prácticas_Snowballing'!$AB$2:$AB$281,"T015",'Prácticas_Snowballing'!$AC$2:$AC$281,"MAINTENANCE &gt; Software Maintenance Processes")</f>
        <v>0</v>
      </c>
      <c r="BC23" s="17">
        <f>COUNTIFS('Prácticas_Revisiones'!$S$2:$S$282,"T015",'Prácticas_Revisiones'!$T$2:$T$282,"MAINTENANCE &gt; Software Maintenance Techniques")+COUNTIFS('Prácticas_Snowballing'!$AB$2:$AB$281,"T015",'Prácticas_Snowballing'!$AC$2:$AC$281,"MAINTENANCE &gt; Software Maintenance Techniques")</f>
        <v>0</v>
      </c>
      <c r="BD23" s="17">
        <f>COUNTIFS('Prácticas_Revisiones'!$S$2:$S$282,"T015",'Prácticas_Revisiones'!$T$2:$T$282,"MAINTENANCE &gt; Software Maintenance Tools")+COUNTIFS('Prácticas_Snowballing'!$AB$2:$AB$281,"T015",'Prácticas_Snowballing'!$AC$2:$AC$281,"MAINTENANCE &gt; Software Maintenance Tools")</f>
        <v>0</v>
      </c>
      <c r="BE23" s="17">
        <f>COUNTIFS('Prácticas_Revisiones'!$S$2:$S$282,"T015",'Prácticas_Revisiones'!$T$2:$T$282,"MAINTENANCE &gt; Subárea no determinable")+COUNTIFS('Prácticas_Snowballing'!$AB$2:$AB$281,"T015",'Prácticas_Snowballing'!$AC$2:$AC$281,"MAINTENANCE &gt; Subárea no determinable")</f>
        <v>0</v>
      </c>
      <c r="BF23" s="29">
        <f t="shared" si="24"/>
        <v>0</v>
      </c>
      <c r="BG23" s="17">
        <f>COUNTIFS('Prácticas_Revisiones'!$S$2:$S$282,"T015",'Prácticas_Revisiones'!$T$2:$T$282,"SOFTWARE CONFIG. MGMT. &gt; Management of the SCM Process")+COUNTIFS('Prácticas_Snowballing'!$AB$2:$AB$281,"T015",'Prácticas_Snowballing'!$AC$2:$AC$281,"SOFTWARE CONFIG. MGMT. &gt; Management of the SCM Process")</f>
        <v>0</v>
      </c>
      <c r="BH23" s="17">
        <f>COUNTIFS('Prácticas_Revisiones'!$S$2:$S$282,"T015",'Prácticas_Revisiones'!$T$2:$T$282,"SOFTWARE CONFIG. MGMT. &gt; Software Configuration Identification")+COUNTIFS('Prácticas_Snowballing'!$AB$2:$AB$281,"T015",'Prácticas_Snowballing'!$AC$2:$AC$281,"SOFTWARE CONFIG. MGMT. &gt; Software Configuration Identification")</f>
        <v>0</v>
      </c>
      <c r="BI23" s="17">
        <f>COUNTIFS('Prácticas_Revisiones'!$S$2:$S$282,"T015",'Prácticas_Revisiones'!$T$2:$T$282,"SOFTWARE CONFIG. MGMT. &gt; Software Configuration Change Control")+COUNTIFS('Prácticas_Snowballing'!$AB$2:$AB$281,"T015",'Prácticas_Snowballing'!$AC$2:$AC$281,"SOFTWARE CONFIG. MGMT. &gt; Software Configuration Change Control")</f>
        <v>0</v>
      </c>
      <c r="BJ23" s="17">
        <f>COUNTIFS('Prácticas_Revisiones'!$S$2:$S$282,"T015",'Prácticas_Revisiones'!$T$2:$T$282,"SOFTWARE CONFIG. MGMT. &gt; Software Configuration Status Accounting")+COUNTIFS('Prácticas_Snowballing'!$AB$2:$AB$281,"T015",'Prácticas_Snowballing'!$AC$2:$AC$281,"SOFTWARE CONFIG. MGMT. &gt; Software Configuration Status Accounting")</f>
        <v>0</v>
      </c>
      <c r="BK23" s="17">
        <f>COUNTIFS('Prácticas_Revisiones'!$S$2:$S$282,"T015",'Prácticas_Revisiones'!$T$2:$T$282,"SOFTWARE CONFIG. MGMT. &gt; Software Configuration Auditing")+COUNTIFS('Prácticas_Snowballing'!$AB$2:$AB$281,"T015",'Prácticas_Snowballing'!$AC$2:$AC$281,"SOFTWARE CONFIG. MGMT. &gt; Software Configuration Auditing")</f>
        <v>0</v>
      </c>
      <c r="BL23" s="17">
        <f>COUNTIFS('Prácticas_Revisiones'!$S$2:$S$282,"T015",'Prácticas_Revisiones'!$T$2:$T$282,"SOFTWARE CONFIG. MGMT. &gt; Software Release Management and Delivery")+COUNTIFS('Prácticas_Snowballing'!$AB$2:$AB$281,"T015",'Prácticas_Snowballing'!$AC$2:$AC$281,"SOFTWARE CONFIG. MGMT. &gt; Software Release Management and Delivery")</f>
        <v>0</v>
      </c>
      <c r="BM23" s="17">
        <f>COUNTIFS('Prácticas_Revisiones'!$S$2:$S$282,"T015",'Prácticas_Revisiones'!$T$2:$T$282,"SOFTWARE CONFIG. MGMT. &gt; Software Configuration Management Tools")+COUNTIFS('Prácticas_Snowballing'!$AB$2:$AB$281,"T015",'Prácticas_Snowballing'!$AC$2:$AC$281,"SOFTWARE CONFIG. MGMT. &gt; Software Configuration Management Tools")</f>
        <v>0</v>
      </c>
      <c r="BN23" s="17">
        <f>COUNTIFS('Prácticas_Revisiones'!$S$2:$S$282,"T015",'Prácticas_Revisiones'!$T$2:$T$282,"SOFTWARE CONFIG. MGMT. &gt; Subárea no determinable")+COUNTIFS('Prácticas_Snowballing'!$AB$2:$AB$281,"T015",'Prácticas_Snowballing'!$AC$2:$AC$281,"SOFTWARE CONFIG. MGMT. &gt; Subárea no determinable")</f>
        <v>0</v>
      </c>
      <c r="BO23" s="29">
        <f t="shared" si="25"/>
        <v>0</v>
      </c>
      <c r="BP23" s="17">
        <f>COUNTIFS('Prácticas_Revisiones'!$S$2:$S$282,"T015",'Prácticas_Revisiones'!$T$2:$T$282,"SOFTWARE ENG. PROCESS &gt; Software Engineering Process Fundamentals")+COUNTIFS('Prácticas_Snowballing'!$AB$2:$AB$281,"T015",'Prácticas_Snowballing'!$AC$2:$AC$281,"SOFTWARE ENG. PROCESS &gt; Software Engineering Process Fundamentals")</f>
        <v>0</v>
      </c>
      <c r="BQ23" s="17">
        <f>COUNTIFS('Prácticas_Revisiones'!$S$2:$S$282,"T015",'Prácticas_Revisiones'!$T$2:$T$282,"SOFTWARE ENG. PROCESS &gt; Life Cycles")+COUNTIFS('Prácticas_Snowballing'!$AB$2:$AB$281,"T015",'Prácticas_Snowballing'!$AC$2:$AC$281,"SOFTWARE ENG. PROCESS &gt; Life Cycles")</f>
        <v>0</v>
      </c>
      <c r="BR23" s="17">
        <f>COUNTIFS('Prácticas_Revisiones'!$S$2:$S$282,"T015",'Prácticas_Revisiones'!$T$2:$T$282,"SOFTWARE ENG. PROCESS &gt; Software Process Assessment and Improvement")+COUNTIFS('Prácticas_Snowballing'!$AB$2:$AB$281,"T015",'Prácticas_Snowballing'!$AC$2:$AC$281,"SOFTWARE ENG. PROCESS &gt; Software Process Assessment and Improvement")</f>
        <v>0</v>
      </c>
      <c r="BS23" s="17">
        <f>COUNTIFS('Prácticas_Revisiones'!$S$2:$S$282,"T015",'Prácticas_Revisiones'!$T$2:$T$282,"SOFTWARE ENG. PROCESS &gt; Subárea no determinable")+COUNTIFS('Prácticas_Snowballing'!$AB$2:$AB$281,"T015",'Prácticas_Snowballing'!$AC$2:$AC$281,"SOFTWARE ENG. PROCESS &gt; Subárea no determinable")</f>
        <v>0</v>
      </c>
      <c r="BT23" s="29">
        <f t="shared" si="26"/>
        <v>0</v>
      </c>
      <c r="BU23" s="17">
        <f>COUNTIFS('Prácticas_Revisiones'!$S$2:$S$282,"T015",'Prácticas_Revisiones'!$T$2:$T$282,"SOFTWARE ENG. MODELS/METH. &gt; Modeling")+COUNTIFS('Prácticas_Snowballing'!$AB$2:$AB$281,"T015",'Prácticas_Snowballing'!$AC$2:$AC$281,"SOFTWARE ENG. MODELS/METH. &gt; Modeling")</f>
        <v>0</v>
      </c>
      <c r="BV23" s="17">
        <f>COUNTIFS('Prácticas_Revisiones'!$S$2:$S$282,"T015",'Prácticas_Revisiones'!$T$2:$T$282,"SOFTWARE ENG. MODELS/METH. &gt; Types of Models")+COUNTIFS('Prácticas_Snowballing'!$AB$2:$AB$281,"T015",'Prácticas_Snowballing'!$AC$2:$AC$281,"SOFTWARE ENG. MODELS/METH. &gt; Types of Models")</f>
        <v>0</v>
      </c>
      <c r="BW23" s="17">
        <f>COUNTIFS('Prácticas_Revisiones'!$S$2:$S$282,"T015",'Prácticas_Revisiones'!$T$2:$T$282,"SOFTWARE ENG. MODELS/METH. &gt; Analysis of Models")+COUNTIFS('Prácticas_Snowballing'!$AB$2:$AB$281,"T015",'Prácticas_Snowballing'!$AC$2:$AC$281,"SOFTWARE ENG. MODELS/METH. &gt; Analysis of Models")</f>
        <v>0</v>
      </c>
      <c r="BX23" s="17">
        <f>COUNTIFS('Prácticas_Revisiones'!$S$2:$S$282,"T015",'Prácticas_Revisiones'!$T$2:$T$282,"SOFTWARE ENG. MODELS/METH. &gt; Software Engineering Methods")+COUNTIFS('Prácticas_Snowballing'!$AB$2:$AB$281,"T015",'Prácticas_Snowballing'!$AC$2:$AC$281,"SOFTWARE ENG. MODELS/METH. &gt; Software Engineering Methods")</f>
        <v>0</v>
      </c>
      <c r="BY23" s="17">
        <f>COUNTIFS('Prácticas_Revisiones'!$S$2:$S$282,"T015",'Prácticas_Revisiones'!$T$2:$T$282,"SOFTWARE ENG. MODELS/METH. &gt; Subárea no determinable")+COUNTIFS('Prácticas_Snowballing'!$AB$2:$AB$281,"T015",'Prácticas_Snowballing'!$AC$2:$AC$281,"SOFTWARE ENG. MODELS/METH. &gt; Subárea no determinable")</f>
        <v>0</v>
      </c>
      <c r="BZ23" s="29">
        <f t="shared" si="27"/>
        <v>0</v>
      </c>
      <c r="CA23" s="17">
        <f>COUNTIFS('Prácticas_Revisiones'!$S$2:$S$282,"T015",'Prácticas_Revisiones'!$T$2:$T$282,"SOFTWARE QUALITY &gt; Software Quality Fundamentals")+COUNTIFS('Prácticas_Snowballing'!$AB$2:$AB$281,"T015",'Prácticas_Snowballing'!$AC$2:$AC$281,"SOFTWARE QUALITY &gt; Software Quality Fundamentals")</f>
        <v>0</v>
      </c>
      <c r="CB23" s="17">
        <f>COUNTIFS('Prácticas_Revisiones'!$S$2:$S$282,"T015",'Prácticas_Revisiones'!$T$2:$T$282,"SOFTWARE QUALITY &gt; Software Quality Management Process")+COUNTIFS('Prácticas_Snowballing'!$AB$2:$AB$281,"T015",'Prácticas_Snowballing'!$AC$2:$AC$281,"SOFTWARE QUALITY &gt; Software Quality Management Process")</f>
        <v>0</v>
      </c>
      <c r="CC23" s="17">
        <f>COUNTIFS('Prácticas_Revisiones'!$S$2:$S$282,"T015",'Prácticas_Revisiones'!$T$2:$T$282,"SOFTWARE QUALITY &gt; Software Quality Assurance Process")+COUNTIFS('Prácticas_Snowballing'!$AB$2:$AB$281,"T015",'Prácticas_Snowballing'!$AC$2:$AC$281,"SOFTWARE QUALITY &gt; Software Quality Assurance Process")</f>
        <v>0</v>
      </c>
      <c r="CD23" s="17">
        <f>COUNTIFS('Prácticas_Revisiones'!$S$2:$S$282,"T015",'Prácticas_Revisiones'!$T$2:$T$282,"SOFTWARE QUALITY &gt; Software Quality Tools")+COUNTIFS('Prácticas_Snowballing'!$AB$2:$AB$281,"T015",'Prácticas_Snowballing'!$AC$2:$AC$281,"SOFTWARE QUALITY &gt; Software Quality Tools")</f>
        <v>0</v>
      </c>
      <c r="CE23" s="17">
        <f>COUNTIFS('Prácticas_Revisiones'!$S$2:$S$282,"T015",'Prácticas_Revisiones'!$T$2:$T$282,"SOFTWARE QUALITY &gt; Subárea no determinable")+COUNTIFS('Prácticas_Snowballing'!$AB$2:$AB$281,"T015",'Prácticas_Snowballing'!$AC$2:$AC$281,"SOFTWARE QUALITY &gt; Subárea no determinable")</f>
        <v>0</v>
      </c>
      <c r="CF23" s="29">
        <f t="shared" si="28"/>
        <v>0</v>
      </c>
      <c r="CG23" s="17">
        <f>COUNTIFS('Prácticas_Revisiones'!$S$2:$S$282,"T015",'Prácticas_Revisiones'!$T$2:$T$282,"SOFTWARE SECURITY &gt; Software Security Fundamentals")+COUNTIFS('Prácticas_Snowballing'!$AB$2:$AB$281,"T015",'Prácticas_Snowballing'!$AC$2:$AC$281,"SOFTWARE SECURITY &gt; Software Security Fundamentals")</f>
        <v>0</v>
      </c>
      <c r="CH23" s="17">
        <f>COUNTIFS('Prácticas_Revisiones'!$S$2:$S$282,"T015",'Prácticas_Revisiones'!$T$2:$T$282,"SOFTWARE SECURITY &gt; Security Management and Organization")+COUNTIFS('Prácticas_Snowballing'!$AB$2:$AB$281,"T015",'Prácticas_Snowballing'!$AC$2:$AC$281,"SOFTWARE SECURITY &gt; Security Management and Organization")</f>
        <v>0</v>
      </c>
      <c r="CI23" s="17">
        <f>COUNTIFS('Prácticas_Revisiones'!$S$2:$S$282,"T015",'Prácticas_Revisiones'!$T$2:$T$282,"SOFTWARE SECURITY &gt; Software Security Engineering and Process")+COUNTIFS('Prácticas_Snowballing'!$AB$2:$AB$281,"T015",'Prácticas_Snowballing'!$AC$2:$AC$281,"SOFTWARE SECURITY &gt; Software Security Engineering and Process")</f>
        <v>0</v>
      </c>
      <c r="CJ23" s="17">
        <f>COUNTIFS('Prácticas_Revisiones'!$S$2:$S$282,"T015",'Prácticas_Revisiones'!$T$2:$T$282,"SOFTWARE SECURITY &gt; Security Engineering for Software Systems")+COUNTIFS('Prácticas_Snowballing'!$AB$2:$AB$281,"T015",'Prácticas_Snowballing'!$AC$2:$AC$281,"SOFTWARE SECURITY &gt; Security Engineering for Software Systems")</f>
        <v>0</v>
      </c>
      <c r="CK23" s="17">
        <f>COUNTIFS('Prácticas_Revisiones'!$S$2:$S$282,"T015",'Prácticas_Revisiones'!$T$2:$T$282,"SOFTWARE SECURITY &gt; Software Security Tools")+COUNTIFS('Prácticas_Snowballing'!$AB$2:$AB$281,"T015",'Prácticas_Snowballing'!$AC$2:$AC$281,"SOFTWARE SECURITY &gt; Software Security Tools")</f>
        <v>0</v>
      </c>
      <c r="CL23" s="17">
        <f>COUNTIFS('Prácticas_Revisiones'!$S$2:$S$282,"T015",'Prácticas_Revisiones'!$T$2:$T$282,"SOFTWARE SECURITY &gt; Domain Specific Software Security")+COUNTIFS('Prácticas_Snowballing'!$AB$2:$AB$281,"T015",'Prácticas_Snowballing'!$AC$2:$AC$281,"SOFTWARE SECURITY &gt; Domain Specific Software Security")</f>
        <v>0</v>
      </c>
      <c r="CM23" s="17">
        <f>COUNTIFS('Prácticas_Revisiones'!$S$2:$S$282,"T015",'Prácticas_Revisiones'!$T$2:$T$282,"SOFTWARE SECURITY &gt; Subárea no determinable")+COUNTIFS('Prácticas_Snowballing'!$AB$2:$AB$281,"T015",'Prácticas_Snowballing'!$AC$2:$AC$281,"SOFTWARE SECURITY &gt; Subárea no determinable")</f>
        <v>0</v>
      </c>
      <c r="CN23" s="29">
        <f t="shared" si="29"/>
        <v>0</v>
      </c>
      <c r="CO23" s="17">
        <f>COUNTIFS('Prácticas_Revisiones'!$S$2:$S$282,"T015",'Prácticas_Revisiones'!$T$2:$T$282,"PROFESSIONAL PRACTICE &gt; Professionalism")+COUNTIFS('Prácticas_Snowballing'!$AB$2:$AB$281,"T015",'Prácticas_Snowballing'!$AC$2:$AC$281,"PROFESSIONAL PRACTICE &gt; Professionalism")</f>
        <v>0</v>
      </c>
      <c r="CP23" s="17">
        <f>COUNTIFS('Prácticas_Revisiones'!$S$2:$S$282,"T015",'Prácticas_Revisiones'!$T$2:$T$282,"PROFESSIONAL PRACTICE &gt; Group Dynamics and Psychology")+COUNTIFS('Prácticas_Snowballing'!$AB$2:$AB$281,"T015",'Prácticas_Snowballing'!$AC$2:$AC$281,"PROFESSIONAL PRACTICE &gt; Group Dynamics and Psychology")</f>
        <v>0</v>
      </c>
      <c r="CQ23" s="17">
        <f>COUNTIFS('Prácticas_Revisiones'!$S$2:$S$282,"T015",'Prácticas_Revisiones'!$T$2:$T$282,"PROFESSIONAL PRACTICE &gt; Communication Skills")+COUNTIFS('Prácticas_Snowballing'!$AB$2:$AB$281,"T015",'Prácticas_Snowballing'!$AC$2:$AC$281,"PROFESSIONAL PRACTICE &gt; Communication Skills")</f>
        <v>0</v>
      </c>
      <c r="CR23" s="17">
        <f>COUNTIFS('Prácticas_Revisiones'!$S$2:$S$282,"T015",'Prácticas_Revisiones'!$T$2:$T$282,"PROFESSIONAL PRACTICE &gt; Subárea no determinable")+COUNTIFS('Prácticas_Snowballing'!$AB$2:$AB$281,"T015",'Prácticas_Snowballing'!$AC$2:$AC$281,"PROFESSIONAL PRACTICE &gt; Subárea no determinable")</f>
        <v>0</v>
      </c>
      <c r="CS23" s="29">
        <f t="shared" si="30"/>
        <v>0</v>
      </c>
      <c r="CT23" s="17">
        <f>COUNTIFS('Prácticas_Revisiones'!$S$2:$S$282,"T015",'Prácticas_Revisiones'!$T$2:$T$282,"SOFTWARE ENG. ECONOMICS &gt; Software Engineering Economics Fundamentals")+COUNTIFS('Prácticas_Snowballing'!$AB$2:$AB$281,"T015",'Prácticas_Snowballing'!$AC$2:$AC$281,"SOFTWARE ENG. ECONOMICS &gt; Software Engineering Economics Fundamentals")</f>
        <v>0</v>
      </c>
      <c r="CU23" s="17">
        <f>COUNTIFS('Prácticas_Revisiones'!$S$2:$S$282,"T015",'Prácticas_Revisiones'!$T$2:$T$282,"SOFTWARE ENG. ECONOMICS &gt; The Engineering Decision-Making Process")+COUNTIFS('Prácticas_Snowballing'!$AB$2:$AB$281,"T015",'Prácticas_Snowballing'!$AC$2:$AC$281,"SOFTWARE ENG. ECONOMICS &gt; The Engineering Decision-Making Process")</f>
        <v>0</v>
      </c>
      <c r="CV23" s="17">
        <f>COUNTIFS('Prácticas_Revisiones'!$S$2:$S$282,"T015",'Prácticas_Revisiones'!$T$2:$T$282,"SOFTWARE ENG. ECONOMICS &gt; For-Profit Decision-Making")+COUNTIFS('Prácticas_Snowballing'!$AB$2:$AB$281,"T015",'Prácticas_Snowballing'!$AC$2:$AC$281,"SOFTWARE ENG. ECONOMICS &gt; For-Profit Decision-Making")</f>
        <v>0</v>
      </c>
      <c r="CW23" s="17">
        <f>COUNTIFS('Prácticas_Revisiones'!$S$2:$S$282,"T015",'Prácticas_Revisiones'!$T$2:$T$282,"SOFTWARE ENG. ECONOMICS &gt; Nonprofit Decision-Making")+COUNTIFS('Prácticas_Snowballing'!$AB$2:$AB$281,"T015",'Prácticas_Snowballing'!$AC$2:$AC$281,"SOFTWARE ENG. ECONOMICS &gt; Nonprofit Decision-Making")</f>
        <v>0</v>
      </c>
      <c r="CX23" s="17">
        <f>COUNTIFS('Prácticas_Revisiones'!$S$2:$S$282,"T015",'Prácticas_Revisiones'!$T$2:$T$282,"SOFTWARE ENG. ECONOMICS &gt; Present Economy Decision-Making")+COUNTIFS('Prácticas_Snowballing'!$AB$2:$AB$281,"T015",'Prácticas_Snowballing'!$AC$2:$AC$281,"SOFTWARE ENG. ECONOMICS &gt; Present Economy Decision-Making")</f>
        <v>0</v>
      </c>
      <c r="CY23" s="17">
        <f>COUNTIFS('Prácticas_Revisiones'!$S$2:$S$282,"T015",'Prácticas_Revisiones'!$T$2:$T$282,"SOFTWARE ENG. ECONOMICS &gt; Multiple-Attribute Decision-Making")+COUNTIFS('Prácticas_Snowballing'!$AB$2:$AB$281,"T015",'Prácticas_Snowballing'!$AC$2:$AC$281,"SOFTWARE ENG. ECONOMICS &gt; Multiple-Attribute Decision-Making")</f>
        <v>0</v>
      </c>
      <c r="CZ23" s="17">
        <f>COUNTIFS('Prácticas_Revisiones'!$S$2:$S$282,"T015",'Prácticas_Revisiones'!$T$2:$T$282,"SOFTWARE ENG. ECONOMICS &gt; Identifying and Characterizing Intangible Assets")+COUNTIFS('Prácticas_Snowballing'!$AB$2:$AB$281,"T015",'Prácticas_Snowballing'!$AC$2:$AC$281,"SOFTWARE ENG. ECONOMICS &gt; Identifying and Characterizing Intangible Assets")</f>
        <v>0</v>
      </c>
      <c r="DA23" s="17">
        <f>COUNTIFS('Prácticas_Revisiones'!$S$2:$S$282,"T015",'Prácticas_Revisiones'!$T$2:$T$282,"SOFTWARE ENG. ECONOMICS &gt; Estimation")+COUNTIFS('Prácticas_Snowballing'!$AB$2:$AB$281,"T015",'Prácticas_Snowballing'!$AC$2:$AC$281,"SOFTWARE ENG. ECONOMICS &gt; Estimation")</f>
        <v>0</v>
      </c>
      <c r="DB23" s="17">
        <f>COUNTIFS('Prácticas_Revisiones'!$S$2:$S$282,"T015",'Prácticas_Revisiones'!$T$2:$T$282,"SOFTWARE ENG. ECONOMICS &gt; Practical Considerations")+COUNTIFS('Prácticas_Snowballing'!$AB$2:$AB$281,"T015",'Prácticas_Snowballing'!$AC$2:$AC$281,"SOFTWARE ENG. ECONOMICS &gt; Practical Considerations")</f>
        <v>0</v>
      </c>
      <c r="DC23" s="17">
        <f>COUNTIFS('Prácticas_Revisiones'!$S$2:$S$282,"T015",'Prácticas_Revisiones'!$T$2:$T$282,"SOFTWARE ENG. ECONOMICS &gt; Related Concepts")+COUNTIFS('Prácticas_Snowballing'!$AB$2:$AB$281,"T015",'Prácticas_Snowballing'!$AC$2:$AC$281,"SOFTWARE ENG. ECONOMICS &gt; Related Concepts")</f>
        <v>0</v>
      </c>
      <c r="DD23" s="17">
        <f>COUNTIFS('Prácticas_Revisiones'!$S$2:$S$282,"T015",'Prácticas_Revisiones'!$T$2:$T$282,"SOFTWARE ENG. ECONOMICS &gt; Subárea no determinable")+COUNTIFS('Prácticas_Snowballing'!$AB$2:$AB$281,"T015",'Prácticas_Snowballing'!$AC$2:$AC$281,"SOFTWARE ENG. ECONOMICS &gt; Subárea no determinable")</f>
        <v>0</v>
      </c>
      <c r="DE23" s="29">
        <f t="shared" si="31"/>
        <v>0</v>
      </c>
      <c r="DF23" s="17">
        <f>COUNTIFS('Prácticas_Revisiones'!$S$2:$S$282,"T015",'Prácticas_Revisiones'!$T$2:$T$282,"SOFTWARE ENG. MANAGEMENT &gt; Software Engineering Management Fundamentals")+COUNTIFS('Prácticas_Snowballing'!$AB$2:$AB$281,"T015",'Prácticas_Snowballing'!$AC$2:$AC$281,"SOFTWARE ENG. MANAGEMENT &gt; Software Engineering Management Fundamentals")</f>
        <v>0</v>
      </c>
      <c r="DG23" s="17">
        <f>COUNTIFS('Prácticas_Revisiones'!$S$2:$S$282,"T015",'Prácticas_Revisiones'!$T$2:$T$282,"SOFTWARE ENG. MANAGEMENT &gt; Initiation and Scope Definition")+COUNTIFS('Prácticas_Snowballing'!$AB$2:$AB$281,"T015",'Prácticas_Snowballing'!$AC$2:$AC$281,"SOFTWARE ENG. MANAGEMENT &gt; Initiation and Scope Definition")</f>
        <v>0</v>
      </c>
      <c r="DH23" s="17">
        <f>COUNTIFS('Prácticas_Revisiones'!$S$2:$S$282,"T015",'Prácticas_Revisiones'!$T$2:$T$282,"SOFTWARE ENG. MANAGEMENT &gt; Software Project Planning")+COUNTIFS('Prácticas_Snowballing'!$AB$2:$AB$281,"T015",'Prácticas_Snowballing'!$AC$2:$AC$281,"SOFTWARE ENG. MANAGEMENT &gt; Software Project Planning")</f>
        <v>0</v>
      </c>
      <c r="DI23" s="17">
        <f>COUNTIFS('Prácticas_Revisiones'!$S$2:$S$282,"T015",'Prácticas_Revisiones'!$T$2:$T$282,"SOFTWARE ENG. MANAGEMENT &gt; Software Project Enactment")+COUNTIFS('Prácticas_Snowballing'!$AB$2:$AB$281,"T015",'Prácticas_Snowballing'!$AC$2:$AC$281,"SOFTWARE ENG. MANAGEMENT &gt; Software Project Enactment")</f>
        <v>0</v>
      </c>
      <c r="DJ23" s="17">
        <f>COUNTIFS('Prácticas_Revisiones'!$S$2:$S$282,"T015",'Prácticas_Revisiones'!$T$2:$T$282,"SOFTWARE ENG. MANAGEMENT &gt; Review and Evaluation")+COUNTIFS('Prácticas_Snowballing'!$AB$2:$AB$281,"T015",'Prácticas_Snowballing'!$AC$2:$AC$281,"SOFTWARE ENG. MANAGEMENT &gt; Review and Evaluation")</f>
        <v>0</v>
      </c>
      <c r="DK23" s="17">
        <f>COUNTIFS('Prácticas_Revisiones'!$S$2:$S$282,"T015",'Prácticas_Revisiones'!$T$2:$T$282,"SOFTWARE ENG. MANAGEMENT &gt; Closure")+COUNTIFS('Prácticas_Snowballing'!$AB$2:$AB$281,"T015",'Prácticas_Snowballing'!$AC$2:$AC$281,"SOFTWARE ENG. MANAGEMENT &gt; Closure")</f>
        <v>0</v>
      </c>
      <c r="DL23" s="17">
        <f>COUNTIFS('Prácticas_Revisiones'!$S$2:$S$282,"T015",'Prácticas_Revisiones'!$T$2:$T$282,"SOFTWARE ENG. MANAGEMENT &gt; Software Engineering Management Tools")+COUNTIFS('Prácticas_Snowballing'!$AB$2:$AB$281,"T015",'Prácticas_Snowballing'!$AC$2:$AC$281,"SOFTWARE ENG. MANAGEMENT &gt; Software Engineering Management Tools")</f>
        <v>0</v>
      </c>
      <c r="DM23" s="17">
        <f>COUNTIFS('Prácticas_Revisiones'!$S$2:$S$282,"T015",'Prácticas_Revisiones'!$T$2:$T$282,"SOFTWARE ENG. MANAGEMENT &gt; Subárea no determinable")+COUNTIFS('Prácticas_Snowballing'!$AB$2:$AB$281,"T015",'Prácticas_Snowballing'!$AC$2:$AC$281,"SOFTWARE ENG. MANAGEMENT &gt; Subárea no determinable")</f>
        <v>0</v>
      </c>
      <c r="DN23" s="29">
        <f t="shared" si="32"/>
        <v>0</v>
      </c>
      <c r="DO23" s="17">
        <f>COUNTIFS('Prácticas_Revisiones'!$S$2:$S$282,"T015",'Prácticas_Revisiones'!$T$2:$T$282,"Sin área SWEBOK")+COUNTIFS('Prácticas_Snowballing'!$AB$2:$AB$281,"T015",'Prácticas_Snowballing'!$AC$2:$AC$281,"Sin área SWEBOK")</f>
        <v>0</v>
      </c>
      <c r="DP23" s="27">
        <f t="shared" si="33"/>
        <v>0</v>
      </c>
    </row>
    <row r="24" ht="15.75" customHeight="1">
      <c r="A24" s="28"/>
      <c r="B24" s="16" t="s">
        <v>2729</v>
      </c>
      <c r="C24" s="17">
        <f>COUNTIFS('Prácticas_Revisiones'!$S$2:$S$282,"T016",'Prácticas_Revisiones'!$T$2:$T$282,"REQUIREMENTS &gt; Software Requirements Fundamentals")+COUNTIFS('Prácticas_Snowballing'!$AB$2:$AB$281,"T016",'Prácticas_Snowballing'!$AC$2:$AC$281,"REQUIREMENTS &gt; Software Requirements Fundamentals")</f>
        <v>0</v>
      </c>
      <c r="D24" s="17">
        <f>COUNTIFS('Prácticas_Revisiones'!$S$2:$S$282,"T016",'Prácticas_Revisiones'!$T$2:$T$282,"REQUIREMENTS &gt; Requirements Elicitation")+COUNTIFS('Prácticas_Snowballing'!$AB$2:$AB$281,"T016",'Prácticas_Snowballing'!$AC$2:$AC$281,"REQUIREMENTS &gt; Requirements Elicitation")</f>
        <v>0</v>
      </c>
      <c r="E24" s="17">
        <f>COUNTIFS('Prácticas_Revisiones'!$S$2:$S$282,"T016",'Prácticas_Revisiones'!$T$2:$T$282,"REQUIREMENTS &gt; Requirements Analysis")+COUNTIFS('Prácticas_Snowballing'!$AB$2:$AB$281,"T016",'Prácticas_Snowballing'!$AC$2:$AC$281,"REQUIREMENTS &gt; Requirements Analysis")</f>
        <v>0</v>
      </c>
      <c r="F24" s="17">
        <f>COUNTIFS('Prácticas_Revisiones'!$S$2:$S$282,"T016",'Prácticas_Revisiones'!$T$2:$T$282,"REQUIREMENTS &gt; Requirements Specification")+COUNTIFS('Prácticas_Snowballing'!$AB$2:$AB$281,"T016",'Prácticas_Snowballing'!$AC$2:$AC$281,"REQUIREMENTS &gt; Requirements Specification")</f>
        <v>0</v>
      </c>
      <c r="G24" s="17">
        <f>COUNTIFS('Prácticas_Revisiones'!$S$2:$S$282,"T016",'Prácticas_Revisiones'!$T$2:$T$282,"REQUIREMENTS &gt; Requirements Validation")+COUNTIFS('Prácticas_Snowballing'!$AB$2:$AB$281,"T016",'Prácticas_Snowballing'!$AC$2:$AC$281,"REQUIREMENTS &gt; Requirements Validation")</f>
        <v>0</v>
      </c>
      <c r="H24" s="17">
        <f>COUNTIFS('Prácticas_Revisiones'!$S$2:$S$282,"T016",'Prácticas_Revisiones'!$T$2:$T$282,"REQUIREMENTS &gt; Requirements Management Activities")+COUNTIFS('Prácticas_Snowballing'!$AB$2:$AB$281,"T016",'Prácticas_Snowballing'!$AC$2:$AC$281,"REQUIREMENTS &gt; Requirements Management Activities")</f>
        <v>0</v>
      </c>
      <c r="I24" s="17">
        <f>COUNTIFS('Prácticas_Revisiones'!$S$2:$S$282,"T016",'Prácticas_Revisiones'!$T$2:$T$282,"REQUIREMENTS &gt; Practical Considerations")+COUNTIFS('Prácticas_Snowballing'!$AB$2:$AB$281,"T016",'Prácticas_Snowballing'!$AC$2:$AC$281,"REQUIREMENTS &gt; Practical Considerations")</f>
        <v>0</v>
      </c>
      <c r="J24" s="17">
        <f>COUNTIFS('Prácticas_Revisiones'!$S$2:$S$282,"T016",'Prácticas_Revisiones'!$T$2:$T$282,"REQUIREMENTS &gt; Software Requirements Tools")+COUNTIFS('Prácticas_Snowballing'!$AB$2:$AB$281,"T016",'Prácticas_Snowballing'!$AC$2:$AC$281,"REQUIREMENTS &gt; Software Requirements Tools")</f>
        <v>0</v>
      </c>
      <c r="K24" s="17">
        <f>COUNTIFS('Prácticas_Revisiones'!$S$2:$S$282,"T016",'Prácticas_Revisiones'!$T$2:$T$282,"REQUIREMENTS &gt; Subárea no determinable")+COUNTIFS('Prácticas_Snowballing'!$AB$2:$AB$281,"T016",'Prácticas_Snowballing'!$AC$2:$AC$281,"REQUIREMENTS &gt; Subárea no determinable")</f>
        <v>0</v>
      </c>
      <c r="L24" s="29">
        <f t="shared" si="18"/>
        <v>0</v>
      </c>
      <c r="M24" s="17">
        <f>COUNTIFS('Prácticas_Revisiones'!$S$2:$S$282,"T016",'Prácticas_Revisiones'!$T$2:$T$282,"ARCHITECTURE &gt; Software Architecture Fundamentals")+COUNTIFS('Prácticas_Snowballing'!$AB$2:$AB$281,"T016",'Prácticas_Snowballing'!$AC$2:$AC$281,"ARCHITECTURE &gt; Software Architecture Fundamentals")</f>
        <v>0</v>
      </c>
      <c r="N24" s="17">
        <f>COUNTIFS('Prácticas_Revisiones'!$S$2:$S$282,"T016",'Prácticas_Revisiones'!$T$2:$T$282,"ARCHITECTURE &gt; Software Architecture Description")+COUNTIFS('Prácticas_Snowballing'!$AB$2:$AB$281,"T016",'Prácticas_Snowballing'!$AC$2:$AC$281,"ARCHITECTURE &gt; Software Architecture Description")</f>
        <v>0</v>
      </c>
      <c r="O24" s="17">
        <f>COUNTIFS('Prácticas_Revisiones'!$S$2:$S$282,"T016",'Prácticas_Revisiones'!$T$2:$T$282,"ARCHITECTURE &gt; Software Architecture Process")+COUNTIFS('Prácticas_Snowballing'!$AB$2:$AB$281,"T016",'Prácticas_Snowballing'!$AC$2:$AC$281,"ARCHITECTURE &gt; Software Architecture Process")</f>
        <v>0</v>
      </c>
      <c r="P24" s="17">
        <f>COUNTIFS('Prácticas_Revisiones'!$S$2:$S$282,"T016",'Prácticas_Revisiones'!$T$2:$T$282,"ARCHITECTURE &gt; Software Architecture Evaluation")+COUNTIFS('Prácticas_Snowballing'!$AB$2:$AB$281,"T016",'Prácticas_Snowballing'!$AC$2:$AC$281,"ARCHITECTURE &gt; Software Architecture Evaluation")</f>
        <v>0</v>
      </c>
      <c r="Q24" s="17">
        <f>COUNTIFS('Prácticas_Revisiones'!$S$2:$S$282,"T016",'Prácticas_Revisiones'!$T$2:$T$282,"ARCHITECTURE &gt; Subárea no determinable")+COUNTIFS('Prácticas_Snowballing'!$AB$2:$AB$281,"T016",'Prácticas_Snowballing'!$AC$2:$AC$281,"ARCHITECTURE &gt; Subárea no determinable")</f>
        <v>0</v>
      </c>
      <c r="R24" s="29">
        <f t="shared" si="19"/>
        <v>0</v>
      </c>
      <c r="S24" s="17">
        <f>COUNTIFS('Prácticas_Revisiones'!$S$2:$S$282,"T016",'Prácticas_Revisiones'!$T$2:$T$282,"DESIGN &gt; Software Design Fundamentals")+COUNTIFS('Prácticas_Snowballing'!$AB$2:$AB$281,"T016",'Prácticas_Snowballing'!$AC$2:$AC$281,"DESIGN &gt; Software Design Fundamentals")</f>
        <v>0</v>
      </c>
      <c r="T24" s="17">
        <f>COUNTIFS('Prácticas_Revisiones'!$S$2:$S$282,"T016",'Prácticas_Revisiones'!$T$2:$T$282,"DESIGN &gt; Software Design Processes")+COUNTIFS('Prácticas_Snowballing'!$AB$2:$AB$281,"T016",'Prácticas_Snowballing'!$AC$2:$AC$281,"DESIGN &gt; Software Design Processes")</f>
        <v>0</v>
      </c>
      <c r="U24" s="17">
        <f>COUNTIFS('Prácticas_Revisiones'!$S$2:$S$282,"T016",'Prácticas_Revisiones'!$T$2:$T$282,"DESIGN &gt; Software Design Qualities")+COUNTIFS('Prácticas_Snowballing'!$AB$2:$AB$281,"T016",'Prácticas_Snowballing'!$AC$2:$AC$281,"DESIGN &gt; Software Design Qualities")</f>
        <v>0</v>
      </c>
      <c r="V24" s="17">
        <f>COUNTIFS('Prácticas_Revisiones'!$S$2:$S$282,"T016",'Prácticas_Revisiones'!$T$2:$T$282,"DESIGN &gt; Recording Software Design")+COUNTIFS('Prácticas_Snowballing'!$AB$2:$AB$281,"T016",'Prácticas_Snowballing'!$AC$2:$AC$281,"DESIGN &gt; Recording Software Design")</f>
        <v>0</v>
      </c>
      <c r="W24" s="17">
        <f>COUNTIFS('Prácticas_Revisiones'!$S$2:$S$282,"T016",'Prácticas_Revisiones'!$T$2:$T$282,"DESIGN &gt; Software Design Strategies and Methods")+COUNTIFS('Prácticas_Snowballing'!$AB$2:$AB$281,"T016",'Prácticas_Snowballing'!$AC$2:$AC$281,"DESIGN &gt; Software Design Strategies and Methods")</f>
        <v>0</v>
      </c>
      <c r="X24" s="17">
        <f>COUNTIFS('Prácticas_Revisiones'!$S$2:$S$282,"T016",'Prácticas_Revisiones'!$T$2:$T$282,"DESIGN &gt; Software Design Analysis and Evaluations")+COUNTIFS('Prácticas_Snowballing'!$AB$2:$AB$281,"T016",'Prácticas_Snowballing'!$AC$2:$AC$281,"DESIGN &gt; Software Design Analysis and Evaluations")</f>
        <v>0</v>
      </c>
      <c r="Y24" s="17">
        <f>COUNTIFS('Prácticas_Revisiones'!$S$2:$S$282,"T016",'Prácticas_Revisiones'!$T$2:$T$282,"DESIGN &gt; Subárea no determinable")+COUNTIFS('Prácticas_Snowballing'!$AB$2:$AB$281,"T016",'Prácticas_Snowballing'!$AC$2:$AC$281,"DESIGN &gt; Subárea no determinable")</f>
        <v>0</v>
      </c>
      <c r="Z24" s="29">
        <f t="shared" si="20"/>
        <v>0</v>
      </c>
      <c r="AA24" s="17">
        <f>COUNTIFS('Prácticas_Revisiones'!$S$2:$S$282,"T016",'Prácticas_Revisiones'!$T$2:$T$282,"CONSTRUCTION &gt; Software Construction Fundamentals")+COUNTIFS('Prácticas_Snowballing'!$AB$2:$AB$281,"T016",'Prácticas_Snowballing'!$AC$2:$AC$281,"CONSTRUCTION &gt; Software Construction Fundamentals")</f>
        <v>6</v>
      </c>
      <c r="AB24" s="17">
        <f>COUNTIFS('Prácticas_Revisiones'!$S$2:$S$282,"T016",'Prácticas_Revisiones'!$T$2:$T$282,"CONSTRUCTION &gt; Managing Construction")+COUNTIFS('Prácticas_Snowballing'!$AB$2:$AB$281,"T016",'Prácticas_Snowballing'!$AC$2:$AC$281,"CONSTRUCTION &gt; Managing Construction")</f>
        <v>0</v>
      </c>
      <c r="AC24" s="17">
        <f>COUNTIFS('Prácticas_Revisiones'!$S$2:$S$282,"T016",'Prácticas_Revisiones'!$T$2:$T$282,"CONSTRUCTION &gt; Practical Considerations")+COUNTIFS('Prácticas_Snowballing'!$AB$2:$AB$281,"T016",'Prácticas_Snowballing'!$AC$2:$AC$281,"CONSTRUCTION &gt; Practical Considerations")</f>
        <v>3</v>
      </c>
      <c r="AD24" s="17">
        <f>COUNTIFS('Prácticas_Revisiones'!$S$2:$S$282,"T016",'Prácticas_Revisiones'!$T$2:$T$282,"CONSTRUCTION &gt; Construction Technologies")+COUNTIFS('Prácticas_Snowballing'!$AB$2:$AB$281,"T016",'Prácticas_Snowballing'!$AC$2:$AC$281,"CONSTRUCTION &gt; Construction Technologies")</f>
        <v>0</v>
      </c>
      <c r="AE24" s="17">
        <f>COUNTIFS('Prácticas_Revisiones'!$S$2:$S$282,"T016",'Prácticas_Revisiones'!$T$2:$T$282,"CONSTRUCTION &gt; Software Construction Tools")+COUNTIFS('Prácticas_Snowballing'!$AB$2:$AB$281,"T016",'Prácticas_Snowballing'!$AC$2:$AC$281,"CONSTRUCTION &gt; Software Construction Tools")</f>
        <v>0</v>
      </c>
      <c r="AF24" s="17">
        <f>COUNTIFS('Prácticas_Revisiones'!$S$2:$S$282,"T016",'Prácticas_Revisiones'!$T$2:$T$282,"CONSTRUCTION &gt; Subárea no determinable")+COUNTIFS('Prácticas_Snowballing'!$AB$2:$AB$281,"T016",'Prácticas_Snowballing'!$AC$2:$AC$281,"CONSTRUCTION &gt; Subárea no determinable")</f>
        <v>0</v>
      </c>
      <c r="AG24" s="29">
        <f t="shared" si="21"/>
        <v>9</v>
      </c>
      <c r="AH24" s="17">
        <f>COUNTIFS('Prácticas_Revisiones'!$S$2:$S$282,"T016",'Prácticas_Revisiones'!$T$2:$T$282,"SOFTWARE TESTING &gt; Software Testing Fundamentals")+COUNTIFS('Prácticas_Snowballing'!$AB$2:$AB$281,"T016",'Prácticas_Snowballing'!$AC$2:$AC$281,"SOFTWARE TESTING &gt; Software Testing Fundamentals")</f>
        <v>0</v>
      </c>
      <c r="AI24" s="17">
        <f>COUNTIFS('Prácticas_Revisiones'!$S$2:$S$282,"T016",'Prácticas_Revisiones'!$T$2:$T$282,"SOFTWARE TESTING &gt; Test Levels")+COUNTIFS('Prácticas_Snowballing'!$AB$2:$AB$281,"T016",'Prácticas_Snowballing'!$AC$2:$AC$281,"SOFTWARE TESTING &gt; Test Levels")</f>
        <v>0</v>
      </c>
      <c r="AJ24" s="17">
        <f>COUNTIFS('Prácticas_Revisiones'!$S$2:$S$282,"T016",'Prácticas_Revisiones'!$T$2:$T$282,"SOFTWARE TESTING &gt; Test Techniques")+COUNTIFS('Prácticas_Snowballing'!$AB$2:$AB$281,"T016",'Prácticas_Snowballing'!$AC$2:$AC$281,"SOFTWARE TESTING &gt; Test Techniques")</f>
        <v>0</v>
      </c>
      <c r="AK24" s="17">
        <f>COUNTIFS('Prácticas_Revisiones'!$S$2:$S$282,"T016",'Prácticas_Revisiones'!$T$2:$T$282,"SOFTWARE TESTING &gt; Test-Related Measures")+COUNTIFS('Prácticas_Snowballing'!$AB$2:$AB$281,"T016",'Prácticas_Snowballing'!$AC$2:$AC$281,"SOFTWARE TESTING &gt; Test-Related Measures")</f>
        <v>0</v>
      </c>
      <c r="AL24" s="17">
        <f>COUNTIFS('Prácticas_Revisiones'!$S$2:$S$282,"T016",'Prácticas_Revisiones'!$T$2:$T$282,"SOFTWARE TESTING &gt; Test Process")+COUNTIFS('Prácticas_Snowballing'!$AB$2:$AB$281,"T016",'Prácticas_Snowballing'!$AC$2:$AC$281,"SOFTWARE TESTING &gt; Test Process")</f>
        <v>0</v>
      </c>
      <c r="AM24" s="17">
        <f>COUNTIFS('Prácticas_Revisiones'!$S$2:$S$282,"T016",'Prácticas_Revisiones'!$T$2:$T$282,"SOFTWARE TESTING &gt; Software Testing in the Development Processes...")+COUNTIFS('Prácticas_Snowballing'!$AB$2:$AB$281,"T016",'Prácticas_Snowballing'!$AC$2:$AC$281,"SOFTWARE TESTING &gt; Software Testing in the Development Processes...")</f>
        <v>0</v>
      </c>
      <c r="AN24" s="17">
        <f>COUNTIFS('Prácticas_Revisiones'!$S$2:$S$282,"T016",'Prácticas_Revisiones'!$T$2:$T$282,"SOFTWARE TESTING &gt; Testing of and Testing Through Emerging Tech...")+COUNTIFS('Prácticas_Snowballing'!$AB$2:$AB$281,"T016",'Prácticas_Snowballing'!$AC$2:$AC$281,"SOFTWARE TESTING &gt; Testing of and Testing Through Emerging Tech...")</f>
        <v>0</v>
      </c>
      <c r="AO24" s="17">
        <f>COUNTIFS('Prácticas_Revisiones'!$S$2:$S$282,"T016",'Prácticas_Revisiones'!$T$2:$T$282,"SOFTWARE TESTING &gt; Software Testing Tools")+COUNTIFS('Prácticas_Snowballing'!$AB$2:$AB$281,"T016",'Prácticas_Snowballing'!$AC$2:$AC$281,"SOFTWARE TESTING &gt; Software Testing Tools")</f>
        <v>0</v>
      </c>
      <c r="AP24" s="17">
        <f>COUNTIFS('Prácticas_Revisiones'!$S$2:$S$282,"T016",'Prácticas_Revisiones'!$T$2:$T$282,"SOFTWARE TESTING &gt; Subárea no determinable")+COUNTIFS('Prácticas_Snowballing'!$AB$2:$AB$281,"T016",'Prácticas_Snowballing'!$AC$2:$AC$281,"SOFTWARE TESTING &gt; Subárea no determinable")</f>
        <v>0</v>
      </c>
      <c r="AQ24" s="29">
        <f t="shared" si="22"/>
        <v>0</v>
      </c>
      <c r="AR24" s="17">
        <f>COUNTIFS('Prácticas_Revisiones'!$S$2:$S$282,"T016",'Prácticas_Revisiones'!$T$2:$T$282,"SOFTWARE ENG. OPERATIONS &gt; Software Engineering Operations Fundamentals")+COUNTIFS('Prácticas_Snowballing'!$AB$2:$AB$281,"T016",'Prácticas_Snowballing'!$AC$2:$AC$281,"SOFTWARE ENG. OPERATIONS &gt; Software Engineering Operations Fundamentals")</f>
        <v>0</v>
      </c>
      <c r="AS24" s="17">
        <f>COUNTIFS('Prácticas_Revisiones'!$S$2:$S$282,"T016",'Prácticas_Revisiones'!$T$2:$T$282,"SOFTWARE ENG. OPERATIONS &gt; Software Engineering Operations Planning")+COUNTIFS('Prácticas_Snowballing'!$AB$2:$AB$281,"T016",'Prácticas_Snowballing'!$AC$2:$AC$281,"SOFTWARE ENG. OPERATIONS &gt; Software Engineering Operations Planning")</f>
        <v>0</v>
      </c>
      <c r="AT24" s="17">
        <f>COUNTIFS('Prácticas_Revisiones'!$S$2:$S$282,"T016",'Prácticas_Revisiones'!$T$2:$T$282,"SOFTWARE ENG. OPERATIONS &gt; Software Engineering Operations Delivery")+COUNTIFS('Prácticas_Snowballing'!$AB$2:$AB$281,"T016",'Prácticas_Snowballing'!$AC$2:$AC$281,"SOFTWARE ENG. OPERATIONS &gt; Software Engineering Operations Delivery")</f>
        <v>0</v>
      </c>
      <c r="AU24" s="17">
        <f>COUNTIFS('Prácticas_Revisiones'!$S$2:$S$282,"T016",'Prácticas_Revisiones'!$T$2:$T$282,"SOFTWARE ENG. OPERATIONS &gt; Software Engineering Operations Control")+COUNTIFS('Prácticas_Snowballing'!$AB$2:$AB$281,"T016",'Prácticas_Snowballing'!$AC$2:$AC$281,"SOFTWARE ENG. OPERATIONS &gt; Software Engineering Operations Control")</f>
        <v>0</v>
      </c>
      <c r="AV24" s="17">
        <f>COUNTIFS('Prácticas_Revisiones'!$S$2:$S$282,"T016",'Prácticas_Revisiones'!$T$2:$T$282,"SOFTWARE ENG. OPERATIONS &gt; Practical Considerations")+COUNTIFS('Prácticas_Snowballing'!$AB$2:$AB$281,"T016",'Prácticas_Snowballing'!$AC$2:$AC$281,"SOFTWARE ENG. OPERATIONS &gt; Practical Considerations")</f>
        <v>0</v>
      </c>
      <c r="AW24" s="17">
        <f>COUNTIFS('Prácticas_Revisiones'!$S$2:$S$282,"T016",'Prácticas_Revisiones'!$T$2:$T$282,"SOFTWARE ENG. OPERATIONS &gt; Software Engineering Operations Tools")+COUNTIFS('Prácticas_Snowballing'!$AB$2:$AB$281,"T016",'Prácticas_Snowballing'!$AC$2:$AC$281,"SOFTWARE ENG. OPERATIONS &gt; Software Engineering Operations Tools")</f>
        <v>0</v>
      </c>
      <c r="AX24" s="17">
        <f>COUNTIFS('Prácticas_Revisiones'!$S$2:$S$282,"T016",'Prácticas_Revisiones'!$T$2:$T$282,"SOFTWARE ENG. OPERATIONS &gt; Subárea no determinable")+COUNTIFS('Prácticas_Snowballing'!$AB$2:$AB$281,"T016",'Prácticas_Snowballing'!$AC$2:$AC$281,"SOFTWARE ENG. OPERATIONS &gt; Subárea no determinable")</f>
        <v>0</v>
      </c>
      <c r="AY24" s="29">
        <f t="shared" si="23"/>
        <v>0</v>
      </c>
      <c r="AZ24" s="17">
        <f>COUNTIFS('Prácticas_Revisiones'!$S$2:$S$282,"T016",'Prácticas_Revisiones'!$T$2:$T$282,"MAINTENANCE &gt; Software Maintenance Fundamentals")+COUNTIFS('Prácticas_Snowballing'!$AB$2:$AB$281,"T016",'Prácticas_Snowballing'!$AC$2:$AC$281,"MAINTENANCE &gt; Software Maintenance Fundamentals")</f>
        <v>0</v>
      </c>
      <c r="BA24" s="17">
        <f>COUNTIFS('Prácticas_Revisiones'!$S$2:$S$282,"T016",'Prácticas_Revisiones'!$T$2:$T$282,"MAINTENANCE &gt; Key Issues in Software Maintenance")+COUNTIFS('Prácticas_Snowballing'!$AB$2:$AB$281,"T016",'Prácticas_Snowballing'!$AC$2:$AC$281,"MAINTENANCE &gt; Key Issues in Software Maintenance")</f>
        <v>1</v>
      </c>
      <c r="BB24" s="17">
        <f>COUNTIFS('Prácticas_Revisiones'!$S$2:$S$282,"T016",'Prácticas_Revisiones'!$T$2:$T$282,"MAINTENANCE &gt; Software Maintenance Processes")+COUNTIFS('Prácticas_Snowballing'!$AB$2:$AB$281,"T016",'Prácticas_Snowballing'!$AC$2:$AC$281,"MAINTENANCE &gt; Software Maintenance Processes")</f>
        <v>0</v>
      </c>
      <c r="BC24" s="17">
        <f>COUNTIFS('Prácticas_Revisiones'!$S$2:$S$282,"T016",'Prácticas_Revisiones'!$T$2:$T$282,"MAINTENANCE &gt; Software Maintenance Techniques")+COUNTIFS('Prácticas_Snowballing'!$AB$2:$AB$281,"T016",'Prácticas_Snowballing'!$AC$2:$AC$281,"MAINTENANCE &gt; Software Maintenance Techniques")</f>
        <v>0</v>
      </c>
      <c r="BD24" s="17">
        <f>COUNTIFS('Prácticas_Revisiones'!$S$2:$S$282,"T016",'Prácticas_Revisiones'!$T$2:$T$282,"MAINTENANCE &gt; Software Maintenance Tools")+COUNTIFS('Prácticas_Snowballing'!$AB$2:$AB$281,"T016",'Prácticas_Snowballing'!$AC$2:$AC$281,"MAINTENANCE &gt; Software Maintenance Tools")</f>
        <v>0</v>
      </c>
      <c r="BE24" s="17">
        <f>COUNTIFS('Prácticas_Revisiones'!$S$2:$S$282,"T016",'Prácticas_Revisiones'!$T$2:$T$282,"MAINTENANCE &gt; Subárea no determinable")+COUNTIFS('Prácticas_Snowballing'!$AB$2:$AB$281,"T016",'Prácticas_Snowballing'!$AC$2:$AC$281,"MAINTENANCE &gt; Subárea no determinable")</f>
        <v>0</v>
      </c>
      <c r="BF24" s="29">
        <f t="shared" si="24"/>
        <v>1</v>
      </c>
      <c r="BG24" s="17">
        <f>COUNTIFS('Prácticas_Revisiones'!$S$2:$S$282,"T016",'Prácticas_Revisiones'!$T$2:$T$282,"SOFTWARE CONFIG. MGMT. &gt; Management of the SCM Process")+COUNTIFS('Prácticas_Snowballing'!$AB$2:$AB$281,"T016",'Prácticas_Snowballing'!$AC$2:$AC$281,"SOFTWARE CONFIG. MGMT. &gt; Management of the SCM Process")</f>
        <v>0</v>
      </c>
      <c r="BH24" s="17">
        <f>COUNTIFS('Prácticas_Revisiones'!$S$2:$S$282,"T016",'Prácticas_Revisiones'!$T$2:$T$282,"SOFTWARE CONFIG. MGMT. &gt; Software Configuration Identification")+COUNTIFS('Prácticas_Snowballing'!$AB$2:$AB$281,"T016",'Prácticas_Snowballing'!$AC$2:$AC$281,"SOFTWARE CONFIG. MGMT. &gt; Software Configuration Identification")</f>
        <v>0</v>
      </c>
      <c r="BI24" s="17">
        <f>COUNTIFS('Prácticas_Revisiones'!$S$2:$S$282,"T016",'Prácticas_Revisiones'!$T$2:$T$282,"SOFTWARE CONFIG. MGMT. &gt; Software Configuration Change Control")+COUNTIFS('Prácticas_Snowballing'!$AB$2:$AB$281,"T016",'Prácticas_Snowballing'!$AC$2:$AC$281,"SOFTWARE CONFIG. MGMT. &gt; Software Configuration Change Control")</f>
        <v>0</v>
      </c>
      <c r="BJ24" s="17">
        <f>COUNTIFS('Prácticas_Revisiones'!$S$2:$S$282,"T016",'Prácticas_Revisiones'!$T$2:$T$282,"SOFTWARE CONFIG. MGMT. &gt; Software Configuration Status Accounting")+COUNTIFS('Prácticas_Snowballing'!$AB$2:$AB$281,"T016",'Prácticas_Snowballing'!$AC$2:$AC$281,"SOFTWARE CONFIG. MGMT. &gt; Software Configuration Status Accounting")</f>
        <v>0</v>
      </c>
      <c r="BK24" s="17">
        <f>COUNTIFS('Prácticas_Revisiones'!$S$2:$S$282,"T016",'Prácticas_Revisiones'!$T$2:$T$282,"SOFTWARE CONFIG. MGMT. &gt; Software Configuration Auditing")+COUNTIFS('Prácticas_Snowballing'!$AB$2:$AB$281,"T016",'Prácticas_Snowballing'!$AC$2:$AC$281,"SOFTWARE CONFIG. MGMT. &gt; Software Configuration Auditing")</f>
        <v>0</v>
      </c>
      <c r="BL24" s="17">
        <f>COUNTIFS('Prácticas_Revisiones'!$S$2:$S$282,"T016",'Prácticas_Revisiones'!$T$2:$T$282,"SOFTWARE CONFIG. MGMT. &gt; Software Release Management and Delivery")+COUNTIFS('Prácticas_Snowballing'!$AB$2:$AB$281,"T016",'Prácticas_Snowballing'!$AC$2:$AC$281,"SOFTWARE CONFIG. MGMT. &gt; Software Release Management and Delivery")</f>
        <v>0</v>
      </c>
      <c r="BM24" s="17">
        <f>COUNTIFS('Prácticas_Revisiones'!$S$2:$S$282,"T016",'Prácticas_Revisiones'!$T$2:$T$282,"SOFTWARE CONFIG. MGMT. &gt; Software Configuration Management Tools")+COUNTIFS('Prácticas_Snowballing'!$AB$2:$AB$281,"T016",'Prácticas_Snowballing'!$AC$2:$AC$281,"SOFTWARE CONFIG. MGMT. &gt; Software Configuration Management Tools")</f>
        <v>0</v>
      </c>
      <c r="BN24" s="17">
        <f>COUNTIFS('Prácticas_Revisiones'!$S$2:$S$282,"T016",'Prácticas_Revisiones'!$T$2:$T$282,"SOFTWARE CONFIG. MGMT. &gt; Subárea no determinable")+COUNTIFS('Prácticas_Snowballing'!$AB$2:$AB$281,"T016",'Prácticas_Snowballing'!$AC$2:$AC$281,"SOFTWARE CONFIG. MGMT. &gt; Subárea no determinable")</f>
        <v>0</v>
      </c>
      <c r="BO24" s="29">
        <f t="shared" si="25"/>
        <v>0</v>
      </c>
      <c r="BP24" s="17">
        <f>COUNTIFS('Prácticas_Revisiones'!$S$2:$S$282,"T016",'Prácticas_Revisiones'!$T$2:$T$282,"SOFTWARE ENG. PROCESS &gt; Software Engineering Process Fundamentals")+COUNTIFS('Prácticas_Snowballing'!$AB$2:$AB$281,"T016",'Prácticas_Snowballing'!$AC$2:$AC$281,"SOFTWARE ENG. PROCESS &gt; Software Engineering Process Fundamentals")</f>
        <v>0</v>
      </c>
      <c r="BQ24" s="17">
        <f>COUNTIFS('Prácticas_Revisiones'!$S$2:$S$282,"T016",'Prácticas_Revisiones'!$T$2:$T$282,"SOFTWARE ENG. PROCESS &gt; Life Cycles")+COUNTIFS('Prácticas_Snowballing'!$AB$2:$AB$281,"T016",'Prácticas_Snowballing'!$AC$2:$AC$281,"SOFTWARE ENG. PROCESS &gt; Life Cycles")</f>
        <v>0</v>
      </c>
      <c r="BR24" s="17">
        <f>COUNTIFS('Prácticas_Revisiones'!$S$2:$S$282,"T016",'Prácticas_Revisiones'!$T$2:$T$282,"SOFTWARE ENG. PROCESS &gt; Software Process Assessment and Improvement")+COUNTIFS('Prácticas_Snowballing'!$AB$2:$AB$281,"T016",'Prácticas_Snowballing'!$AC$2:$AC$281,"SOFTWARE ENG. PROCESS &gt; Software Process Assessment and Improvement")</f>
        <v>0</v>
      </c>
      <c r="BS24" s="17">
        <f>COUNTIFS('Prácticas_Revisiones'!$S$2:$S$282,"T016",'Prácticas_Revisiones'!$T$2:$T$282,"SOFTWARE ENG. PROCESS &gt; Subárea no determinable")+COUNTIFS('Prácticas_Snowballing'!$AB$2:$AB$281,"T016",'Prácticas_Snowballing'!$AC$2:$AC$281,"SOFTWARE ENG. PROCESS &gt; Subárea no determinable")</f>
        <v>0</v>
      </c>
      <c r="BT24" s="29">
        <f t="shared" si="26"/>
        <v>0</v>
      </c>
      <c r="BU24" s="17">
        <f>COUNTIFS('Prácticas_Revisiones'!$S$2:$S$282,"T016",'Prácticas_Revisiones'!$T$2:$T$282,"SOFTWARE ENG. MODELS/METH. &gt; Modeling")+COUNTIFS('Prácticas_Snowballing'!$AB$2:$AB$281,"T016",'Prácticas_Snowballing'!$AC$2:$AC$281,"SOFTWARE ENG. MODELS/METH. &gt; Modeling")</f>
        <v>0</v>
      </c>
      <c r="BV24" s="17">
        <f>COUNTIFS('Prácticas_Revisiones'!$S$2:$S$282,"T016",'Prácticas_Revisiones'!$T$2:$T$282,"SOFTWARE ENG. MODELS/METH. &gt; Types of Models")+COUNTIFS('Prácticas_Snowballing'!$AB$2:$AB$281,"T016",'Prácticas_Snowballing'!$AC$2:$AC$281,"SOFTWARE ENG. MODELS/METH. &gt; Types of Models")</f>
        <v>0</v>
      </c>
      <c r="BW24" s="17">
        <f>COUNTIFS('Prácticas_Revisiones'!$S$2:$S$282,"T016",'Prácticas_Revisiones'!$T$2:$T$282,"SOFTWARE ENG. MODELS/METH. &gt; Analysis of Models")+COUNTIFS('Prácticas_Snowballing'!$AB$2:$AB$281,"T016",'Prácticas_Snowballing'!$AC$2:$AC$281,"SOFTWARE ENG. MODELS/METH. &gt; Analysis of Models")</f>
        <v>0</v>
      </c>
      <c r="BX24" s="17">
        <f>COUNTIFS('Prácticas_Revisiones'!$S$2:$S$282,"T016",'Prácticas_Revisiones'!$T$2:$T$282,"SOFTWARE ENG. MODELS/METH. &gt; Software Engineering Methods")+COUNTIFS('Prácticas_Snowballing'!$AB$2:$AB$281,"T016",'Prácticas_Snowballing'!$AC$2:$AC$281,"SOFTWARE ENG. MODELS/METH. &gt; Software Engineering Methods")</f>
        <v>0</v>
      </c>
      <c r="BY24" s="17">
        <f>COUNTIFS('Prácticas_Revisiones'!$S$2:$S$282,"T016",'Prácticas_Revisiones'!$T$2:$T$282,"SOFTWARE ENG. MODELS/METH. &gt; Subárea no determinable")+COUNTIFS('Prácticas_Snowballing'!$AB$2:$AB$281,"T016",'Prácticas_Snowballing'!$AC$2:$AC$281,"SOFTWARE ENG. MODELS/METH. &gt; Subárea no determinable")</f>
        <v>0</v>
      </c>
      <c r="BZ24" s="29">
        <f t="shared" si="27"/>
        <v>0</v>
      </c>
      <c r="CA24" s="17">
        <f>COUNTIFS('Prácticas_Revisiones'!$S$2:$S$282,"T016",'Prácticas_Revisiones'!$T$2:$T$282,"SOFTWARE QUALITY &gt; Software Quality Fundamentals")+COUNTIFS('Prácticas_Snowballing'!$AB$2:$AB$281,"T016",'Prácticas_Snowballing'!$AC$2:$AC$281,"SOFTWARE QUALITY &gt; Software Quality Fundamentals")</f>
        <v>0</v>
      </c>
      <c r="CB24" s="17">
        <f>COUNTIFS('Prácticas_Revisiones'!$S$2:$S$282,"T016",'Prácticas_Revisiones'!$T$2:$T$282,"SOFTWARE QUALITY &gt; Software Quality Management Process")+COUNTIFS('Prácticas_Snowballing'!$AB$2:$AB$281,"T016",'Prácticas_Snowballing'!$AC$2:$AC$281,"SOFTWARE QUALITY &gt; Software Quality Management Process")</f>
        <v>0</v>
      </c>
      <c r="CC24" s="17">
        <f>COUNTIFS('Prácticas_Revisiones'!$S$2:$S$282,"T016",'Prácticas_Revisiones'!$T$2:$T$282,"SOFTWARE QUALITY &gt; Software Quality Assurance Process")+COUNTIFS('Prácticas_Snowballing'!$AB$2:$AB$281,"T016",'Prácticas_Snowballing'!$AC$2:$AC$281,"SOFTWARE QUALITY &gt; Software Quality Assurance Process")</f>
        <v>0</v>
      </c>
      <c r="CD24" s="17">
        <f>COUNTIFS('Prácticas_Revisiones'!$S$2:$S$282,"T016",'Prácticas_Revisiones'!$T$2:$T$282,"SOFTWARE QUALITY &gt; Software Quality Tools")+COUNTIFS('Prácticas_Snowballing'!$AB$2:$AB$281,"T016",'Prácticas_Snowballing'!$AC$2:$AC$281,"SOFTWARE QUALITY &gt; Software Quality Tools")</f>
        <v>0</v>
      </c>
      <c r="CE24" s="17">
        <f>COUNTIFS('Prácticas_Revisiones'!$S$2:$S$282,"T016",'Prácticas_Revisiones'!$T$2:$T$282,"SOFTWARE QUALITY &gt; Subárea no determinable")+COUNTIFS('Prácticas_Snowballing'!$AB$2:$AB$281,"T016",'Prácticas_Snowballing'!$AC$2:$AC$281,"SOFTWARE QUALITY &gt; Subárea no determinable")</f>
        <v>0</v>
      </c>
      <c r="CF24" s="29">
        <f t="shared" si="28"/>
        <v>0</v>
      </c>
      <c r="CG24" s="17">
        <f>COUNTIFS('Prácticas_Revisiones'!$S$2:$S$282,"T016",'Prácticas_Revisiones'!$T$2:$T$282,"SOFTWARE SECURITY &gt; Software Security Fundamentals")+COUNTIFS('Prácticas_Snowballing'!$AB$2:$AB$281,"T016",'Prácticas_Snowballing'!$AC$2:$AC$281,"SOFTWARE SECURITY &gt; Software Security Fundamentals")</f>
        <v>0</v>
      </c>
      <c r="CH24" s="17">
        <f>COUNTIFS('Prácticas_Revisiones'!$S$2:$S$282,"T016",'Prácticas_Revisiones'!$T$2:$T$282,"SOFTWARE SECURITY &gt; Security Management and Organization")+COUNTIFS('Prácticas_Snowballing'!$AB$2:$AB$281,"T016",'Prácticas_Snowballing'!$AC$2:$AC$281,"SOFTWARE SECURITY &gt; Security Management and Organization")</f>
        <v>0</v>
      </c>
      <c r="CI24" s="17">
        <f>COUNTIFS('Prácticas_Revisiones'!$S$2:$S$282,"T016",'Prácticas_Revisiones'!$T$2:$T$282,"SOFTWARE SECURITY &gt; Software Security Engineering and Process")+COUNTIFS('Prácticas_Snowballing'!$AB$2:$AB$281,"T016",'Prácticas_Snowballing'!$AC$2:$AC$281,"SOFTWARE SECURITY &gt; Software Security Engineering and Process")</f>
        <v>0</v>
      </c>
      <c r="CJ24" s="17">
        <f>COUNTIFS('Prácticas_Revisiones'!$S$2:$S$282,"T016",'Prácticas_Revisiones'!$T$2:$T$282,"SOFTWARE SECURITY &gt; Security Engineering for Software Systems")+COUNTIFS('Prácticas_Snowballing'!$AB$2:$AB$281,"T016",'Prácticas_Snowballing'!$AC$2:$AC$281,"SOFTWARE SECURITY &gt; Security Engineering for Software Systems")</f>
        <v>0</v>
      </c>
      <c r="CK24" s="17">
        <f>COUNTIFS('Prácticas_Revisiones'!$S$2:$S$282,"T016",'Prácticas_Revisiones'!$T$2:$T$282,"SOFTWARE SECURITY &gt; Software Security Tools")+COUNTIFS('Prácticas_Snowballing'!$AB$2:$AB$281,"T016",'Prácticas_Snowballing'!$AC$2:$AC$281,"SOFTWARE SECURITY &gt; Software Security Tools")</f>
        <v>0</v>
      </c>
      <c r="CL24" s="17">
        <f>COUNTIFS('Prácticas_Revisiones'!$S$2:$S$282,"T016",'Prácticas_Revisiones'!$T$2:$T$282,"SOFTWARE SECURITY &gt; Domain Specific Software Security")+COUNTIFS('Prácticas_Snowballing'!$AB$2:$AB$281,"T016",'Prácticas_Snowballing'!$AC$2:$AC$281,"SOFTWARE SECURITY &gt; Domain Specific Software Security")</f>
        <v>0</v>
      </c>
      <c r="CM24" s="17">
        <f>COUNTIFS('Prácticas_Revisiones'!$S$2:$S$282,"T016",'Prácticas_Revisiones'!$T$2:$T$282,"SOFTWARE SECURITY &gt; Subárea no determinable")+COUNTIFS('Prácticas_Snowballing'!$AB$2:$AB$281,"T016",'Prácticas_Snowballing'!$AC$2:$AC$281,"SOFTWARE SECURITY &gt; Subárea no determinable")</f>
        <v>0</v>
      </c>
      <c r="CN24" s="29">
        <f t="shared" si="29"/>
        <v>0</v>
      </c>
      <c r="CO24" s="17">
        <f>COUNTIFS('Prácticas_Revisiones'!$S$2:$S$282,"T016",'Prácticas_Revisiones'!$T$2:$T$282,"PROFESSIONAL PRACTICE &gt; Professionalism")+COUNTIFS('Prácticas_Snowballing'!$AB$2:$AB$281,"T016",'Prácticas_Snowballing'!$AC$2:$AC$281,"PROFESSIONAL PRACTICE &gt; Professionalism")</f>
        <v>0</v>
      </c>
      <c r="CP24" s="17">
        <f>COUNTIFS('Prácticas_Revisiones'!$S$2:$S$282,"T016",'Prácticas_Revisiones'!$T$2:$T$282,"PROFESSIONAL PRACTICE &gt; Group Dynamics and Psychology")+COUNTIFS('Prácticas_Snowballing'!$AB$2:$AB$281,"T016",'Prácticas_Snowballing'!$AC$2:$AC$281,"PROFESSIONAL PRACTICE &gt; Group Dynamics and Psychology")</f>
        <v>0</v>
      </c>
      <c r="CQ24" s="17">
        <f>COUNTIFS('Prácticas_Revisiones'!$S$2:$S$282,"T016",'Prácticas_Revisiones'!$T$2:$T$282,"PROFESSIONAL PRACTICE &gt; Communication Skills")+COUNTIFS('Prácticas_Snowballing'!$AB$2:$AB$281,"T016",'Prácticas_Snowballing'!$AC$2:$AC$281,"PROFESSIONAL PRACTICE &gt; Communication Skills")</f>
        <v>0</v>
      </c>
      <c r="CR24" s="17">
        <f>COUNTIFS('Prácticas_Revisiones'!$S$2:$S$282,"T016",'Prácticas_Revisiones'!$T$2:$T$282,"PROFESSIONAL PRACTICE &gt; Subárea no determinable")+COUNTIFS('Prácticas_Snowballing'!$AB$2:$AB$281,"T016",'Prácticas_Snowballing'!$AC$2:$AC$281,"PROFESSIONAL PRACTICE &gt; Subárea no determinable")</f>
        <v>0</v>
      </c>
      <c r="CS24" s="29">
        <f t="shared" si="30"/>
        <v>0</v>
      </c>
      <c r="CT24" s="17">
        <f>COUNTIFS('Prácticas_Revisiones'!$S$2:$S$282,"T016",'Prácticas_Revisiones'!$T$2:$T$282,"SOFTWARE ENG. ECONOMICS &gt; Software Engineering Economics Fundamentals")+COUNTIFS('Prácticas_Snowballing'!$AB$2:$AB$281,"T016",'Prácticas_Snowballing'!$AC$2:$AC$281,"SOFTWARE ENG. ECONOMICS &gt; Software Engineering Economics Fundamentals")</f>
        <v>0</v>
      </c>
      <c r="CU24" s="17">
        <f>COUNTIFS('Prácticas_Revisiones'!$S$2:$S$282,"T016",'Prácticas_Revisiones'!$T$2:$T$282,"SOFTWARE ENG. ECONOMICS &gt; The Engineering Decision-Making Process")+COUNTIFS('Prácticas_Snowballing'!$AB$2:$AB$281,"T016",'Prácticas_Snowballing'!$AC$2:$AC$281,"SOFTWARE ENG. ECONOMICS &gt; The Engineering Decision-Making Process")</f>
        <v>0</v>
      </c>
      <c r="CV24" s="17">
        <f>COUNTIFS('Prácticas_Revisiones'!$S$2:$S$282,"T016",'Prácticas_Revisiones'!$T$2:$T$282,"SOFTWARE ENG. ECONOMICS &gt; For-Profit Decision-Making")+COUNTIFS('Prácticas_Snowballing'!$AB$2:$AB$281,"T016",'Prácticas_Snowballing'!$AC$2:$AC$281,"SOFTWARE ENG. ECONOMICS &gt; For-Profit Decision-Making")</f>
        <v>0</v>
      </c>
      <c r="CW24" s="17">
        <f>COUNTIFS('Prácticas_Revisiones'!$S$2:$S$282,"T016",'Prácticas_Revisiones'!$T$2:$T$282,"SOFTWARE ENG. ECONOMICS &gt; Nonprofit Decision-Making")+COUNTIFS('Prácticas_Snowballing'!$AB$2:$AB$281,"T016",'Prácticas_Snowballing'!$AC$2:$AC$281,"SOFTWARE ENG. ECONOMICS &gt; Nonprofit Decision-Making")</f>
        <v>0</v>
      </c>
      <c r="CX24" s="17">
        <f>COUNTIFS('Prácticas_Revisiones'!$S$2:$S$282,"T016",'Prácticas_Revisiones'!$T$2:$T$282,"SOFTWARE ENG. ECONOMICS &gt; Present Economy Decision-Making")+COUNTIFS('Prácticas_Snowballing'!$AB$2:$AB$281,"T016",'Prácticas_Snowballing'!$AC$2:$AC$281,"SOFTWARE ENG. ECONOMICS &gt; Present Economy Decision-Making")</f>
        <v>0</v>
      </c>
      <c r="CY24" s="17">
        <f>COUNTIFS('Prácticas_Revisiones'!$S$2:$S$282,"T016",'Prácticas_Revisiones'!$T$2:$T$282,"SOFTWARE ENG. ECONOMICS &gt; Multiple-Attribute Decision-Making")+COUNTIFS('Prácticas_Snowballing'!$AB$2:$AB$281,"T016",'Prácticas_Snowballing'!$AC$2:$AC$281,"SOFTWARE ENG. ECONOMICS &gt; Multiple-Attribute Decision-Making")</f>
        <v>0</v>
      </c>
      <c r="CZ24" s="17">
        <f>COUNTIFS('Prácticas_Revisiones'!$S$2:$S$282,"T016",'Prácticas_Revisiones'!$T$2:$T$282,"SOFTWARE ENG. ECONOMICS &gt; Identifying and Characterizing Intangible Assets")+COUNTIFS('Prácticas_Snowballing'!$AB$2:$AB$281,"T016",'Prácticas_Snowballing'!$AC$2:$AC$281,"SOFTWARE ENG. ECONOMICS &gt; Identifying and Characterizing Intangible Assets")</f>
        <v>0</v>
      </c>
      <c r="DA24" s="17">
        <f>COUNTIFS('Prácticas_Revisiones'!$S$2:$S$282,"T016",'Prácticas_Revisiones'!$T$2:$T$282,"SOFTWARE ENG. ECONOMICS &gt; Estimation")+COUNTIFS('Prácticas_Snowballing'!$AB$2:$AB$281,"T016",'Prácticas_Snowballing'!$AC$2:$AC$281,"SOFTWARE ENG. ECONOMICS &gt; Estimation")</f>
        <v>0</v>
      </c>
      <c r="DB24" s="17">
        <f>COUNTIFS('Prácticas_Revisiones'!$S$2:$S$282,"T016",'Prácticas_Revisiones'!$T$2:$T$282,"SOFTWARE ENG. ECONOMICS &gt; Practical Considerations")+COUNTIFS('Prácticas_Snowballing'!$AB$2:$AB$281,"T016",'Prácticas_Snowballing'!$AC$2:$AC$281,"SOFTWARE ENG. ECONOMICS &gt; Practical Considerations")</f>
        <v>0</v>
      </c>
      <c r="DC24" s="17">
        <f>COUNTIFS('Prácticas_Revisiones'!$S$2:$S$282,"T016",'Prácticas_Revisiones'!$T$2:$T$282,"SOFTWARE ENG. ECONOMICS &gt; Related Concepts")+COUNTIFS('Prácticas_Snowballing'!$AB$2:$AB$281,"T016",'Prácticas_Snowballing'!$AC$2:$AC$281,"SOFTWARE ENG. ECONOMICS &gt; Related Concepts")</f>
        <v>0</v>
      </c>
      <c r="DD24" s="17">
        <f>COUNTIFS('Prácticas_Revisiones'!$S$2:$S$282,"T016",'Prácticas_Revisiones'!$T$2:$T$282,"SOFTWARE ENG. ECONOMICS &gt; Subárea no determinable")+COUNTIFS('Prácticas_Snowballing'!$AB$2:$AB$281,"T016",'Prácticas_Snowballing'!$AC$2:$AC$281,"SOFTWARE ENG. ECONOMICS &gt; Subárea no determinable")</f>
        <v>0</v>
      </c>
      <c r="DE24" s="29">
        <f t="shared" si="31"/>
        <v>0</v>
      </c>
      <c r="DF24" s="17">
        <f>COUNTIFS('Prácticas_Revisiones'!$S$2:$S$282,"T016",'Prácticas_Revisiones'!$T$2:$T$282,"SOFTWARE ENG. MANAGEMENT &gt; Software Engineering Management Fundamentals")+COUNTIFS('Prácticas_Snowballing'!$AB$2:$AB$281,"T016",'Prácticas_Snowballing'!$AC$2:$AC$281,"SOFTWARE ENG. MANAGEMENT &gt; Software Engineering Management Fundamentals")</f>
        <v>0</v>
      </c>
      <c r="DG24" s="17">
        <f>COUNTIFS('Prácticas_Revisiones'!$S$2:$S$282,"T016",'Prácticas_Revisiones'!$T$2:$T$282,"SOFTWARE ENG. MANAGEMENT &gt; Initiation and Scope Definition")+COUNTIFS('Prácticas_Snowballing'!$AB$2:$AB$281,"T016",'Prácticas_Snowballing'!$AC$2:$AC$281,"SOFTWARE ENG. MANAGEMENT &gt; Initiation and Scope Definition")</f>
        <v>0</v>
      </c>
      <c r="DH24" s="17">
        <f>COUNTIFS('Prácticas_Revisiones'!$S$2:$S$282,"T016",'Prácticas_Revisiones'!$T$2:$T$282,"SOFTWARE ENG. MANAGEMENT &gt; Software Project Planning")+COUNTIFS('Prácticas_Snowballing'!$AB$2:$AB$281,"T016",'Prácticas_Snowballing'!$AC$2:$AC$281,"SOFTWARE ENG. MANAGEMENT &gt; Software Project Planning")</f>
        <v>0</v>
      </c>
      <c r="DI24" s="17">
        <f>COUNTIFS('Prácticas_Revisiones'!$S$2:$S$282,"T016",'Prácticas_Revisiones'!$T$2:$T$282,"SOFTWARE ENG. MANAGEMENT &gt; Software Project Enactment")+COUNTIFS('Prácticas_Snowballing'!$AB$2:$AB$281,"T016",'Prácticas_Snowballing'!$AC$2:$AC$281,"SOFTWARE ENG. MANAGEMENT &gt; Software Project Enactment")</f>
        <v>0</v>
      </c>
      <c r="DJ24" s="17">
        <f>COUNTIFS('Prácticas_Revisiones'!$S$2:$S$282,"T016",'Prácticas_Revisiones'!$T$2:$T$282,"SOFTWARE ENG. MANAGEMENT &gt; Review and Evaluation")+COUNTIFS('Prácticas_Snowballing'!$AB$2:$AB$281,"T016",'Prácticas_Snowballing'!$AC$2:$AC$281,"SOFTWARE ENG. MANAGEMENT &gt; Review and Evaluation")</f>
        <v>0</v>
      </c>
      <c r="DK24" s="17">
        <f>COUNTIFS('Prácticas_Revisiones'!$S$2:$S$282,"T016",'Prácticas_Revisiones'!$T$2:$T$282,"SOFTWARE ENG. MANAGEMENT &gt; Closure")+COUNTIFS('Prácticas_Snowballing'!$AB$2:$AB$281,"T016",'Prácticas_Snowballing'!$AC$2:$AC$281,"SOFTWARE ENG. MANAGEMENT &gt; Closure")</f>
        <v>0</v>
      </c>
      <c r="DL24" s="17">
        <f>COUNTIFS('Prácticas_Revisiones'!$S$2:$S$282,"T016",'Prácticas_Revisiones'!$T$2:$T$282,"SOFTWARE ENG. MANAGEMENT &gt; Software Engineering Management Tools")+COUNTIFS('Prácticas_Snowballing'!$AB$2:$AB$281,"T016",'Prácticas_Snowballing'!$AC$2:$AC$281,"SOFTWARE ENG. MANAGEMENT &gt; Software Engineering Management Tools")</f>
        <v>0</v>
      </c>
      <c r="DM24" s="17">
        <f>COUNTIFS('Prácticas_Revisiones'!$S$2:$S$282,"T016",'Prácticas_Revisiones'!$T$2:$T$282,"SOFTWARE ENG. MANAGEMENT &gt; Subárea no determinable")+COUNTIFS('Prácticas_Snowballing'!$AB$2:$AB$281,"T016",'Prácticas_Snowballing'!$AC$2:$AC$281,"SOFTWARE ENG. MANAGEMENT &gt; Subárea no determinable")</f>
        <v>0</v>
      </c>
      <c r="DN24" s="29">
        <f t="shared" si="32"/>
        <v>0</v>
      </c>
      <c r="DO24" s="17">
        <f>COUNTIFS('Prácticas_Revisiones'!$S$2:$S$282,"T016",'Prácticas_Revisiones'!$T$2:$T$282,"Sin área SWEBOK")+COUNTIFS('Prácticas_Snowballing'!$AB$2:$AB$281,"T016",'Prácticas_Snowballing'!$AC$2:$AC$281,"Sin área SWEBOK")</f>
        <v>0</v>
      </c>
      <c r="DP24" s="27">
        <f t="shared" si="33"/>
        <v>10</v>
      </c>
    </row>
    <row r="25" ht="15.75" customHeight="1">
      <c r="A25" s="28"/>
      <c r="B25" s="16" t="s">
        <v>2750</v>
      </c>
      <c r="C25" s="17">
        <f>COUNTIFS('Prácticas_Revisiones'!$S$2:$S$282,"T017",'Prácticas_Revisiones'!$T$2:$T$282,"REQUIREMENTS &gt; Software Requirements Fundamentals")+COUNTIFS('Prácticas_Snowballing'!$AB$2:$AB$281,"T017",'Prácticas_Snowballing'!$AC$2:$AC$281,"REQUIREMENTS &gt; Software Requirements Fundamentals")</f>
        <v>0</v>
      </c>
      <c r="D25" s="17">
        <f>COUNTIFS('Prácticas_Revisiones'!$S$2:$S$282,"T017",'Prácticas_Revisiones'!$T$2:$T$282,"REQUIREMENTS &gt; Requirements Elicitation")+COUNTIFS('Prácticas_Snowballing'!$AB$2:$AB$281,"T017",'Prácticas_Snowballing'!$AC$2:$AC$281,"REQUIREMENTS &gt; Requirements Elicitation")</f>
        <v>0</v>
      </c>
      <c r="E25" s="17">
        <f>COUNTIFS('Prácticas_Revisiones'!$S$2:$S$282,"T017",'Prácticas_Revisiones'!$T$2:$T$282,"REQUIREMENTS &gt; Requirements Analysis")+COUNTIFS('Prácticas_Snowballing'!$AB$2:$AB$281,"T017",'Prácticas_Snowballing'!$AC$2:$AC$281,"REQUIREMENTS &gt; Requirements Analysis")</f>
        <v>0</v>
      </c>
      <c r="F25" s="17">
        <f>COUNTIFS('Prácticas_Revisiones'!$S$2:$S$282,"T017",'Prácticas_Revisiones'!$T$2:$T$282,"REQUIREMENTS &gt; Requirements Specification")+COUNTIFS('Prácticas_Snowballing'!$AB$2:$AB$281,"T017",'Prácticas_Snowballing'!$AC$2:$AC$281,"REQUIREMENTS &gt; Requirements Specification")</f>
        <v>0</v>
      </c>
      <c r="G25" s="17">
        <f>COUNTIFS('Prácticas_Revisiones'!$S$2:$S$282,"T017",'Prácticas_Revisiones'!$T$2:$T$282,"REQUIREMENTS &gt; Requirements Validation")+COUNTIFS('Prácticas_Snowballing'!$AB$2:$AB$281,"T017",'Prácticas_Snowballing'!$AC$2:$AC$281,"REQUIREMENTS &gt; Requirements Validation")</f>
        <v>0</v>
      </c>
      <c r="H25" s="17">
        <f>COUNTIFS('Prácticas_Revisiones'!$S$2:$S$282,"T017",'Prácticas_Revisiones'!$T$2:$T$282,"REQUIREMENTS &gt; Requirements Management Activities")+COUNTIFS('Prácticas_Snowballing'!$AB$2:$AB$281,"T017",'Prácticas_Snowballing'!$AC$2:$AC$281,"REQUIREMENTS &gt; Requirements Management Activities")</f>
        <v>0</v>
      </c>
      <c r="I25" s="17">
        <f>COUNTIFS('Prácticas_Revisiones'!$S$2:$S$282,"T017",'Prácticas_Revisiones'!$T$2:$T$282,"REQUIREMENTS &gt; Practical Considerations")+COUNTIFS('Prácticas_Snowballing'!$AB$2:$AB$281,"T017",'Prácticas_Snowballing'!$AC$2:$AC$281,"REQUIREMENTS &gt; Practical Considerations")</f>
        <v>0</v>
      </c>
      <c r="J25" s="17">
        <f>COUNTIFS('Prácticas_Revisiones'!$S$2:$S$282,"T017",'Prácticas_Revisiones'!$T$2:$T$282,"REQUIREMENTS &gt; Software Requirements Tools")+COUNTIFS('Prácticas_Snowballing'!$AB$2:$AB$281,"T017",'Prácticas_Snowballing'!$AC$2:$AC$281,"REQUIREMENTS &gt; Software Requirements Tools")</f>
        <v>0</v>
      </c>
      <c r="K25" s="17">
        <f>COUNTIFS('Prácticas_Revisiones'!$S$2:$S$282,"T017",'Prácticas_Revisiones'!$T$2:$T$282,"REQUIREMENTS &gt; Subárea no determinable")+COUNTIFS('Prácticas_Snowballing'!$AB$2:$AB$281,"T017",'Prácticas_Snowballing'!$AC$2:$AC$281,"REQUIREMENTS &gt; Subárea no determinable")</f>
        <v>0</v>
      </c>
      <c r="L25" s="29">
        <f t="shared" si="18"/>
        <v>0</v>
      </c>
      <c r="M25" s="17">
        <f>COUNTIFS('Prácticas_Revisiones'!$S$2:$S$282,"T017",'Prácticas_Revisiones'!$T$2:$T$282,"ARCHITECTURE &gt; Software Architecture Fundamentals")+COUNTIFS('Prácticas_Snowballing'!$AB$2:$AB$281,"T017",'Prácticas_Snowballing'!$AC$2:$AC$281,"ARCHITECTURE &gt; Software Architecture Fundamentals")</f>
        <v>0</v>
      </c>
      <c r="N25" s="17">
        <f>COUNTIFS('Prácticas_Revisiones'!$S$2:$S$282,"T017",'Prácticas_Revisiones'!$T$2:$T$282,"ARCHITECTURE &gt; Software Architecture Description")+COUNTIFS('Prácticas_Snowballing'!$AB$2:$AB$281,"T017",'Prácticas_Snowballing'!$AC$2:$AC$281,"ARCHITECTURE &gt; Software Architecture Description")</f>
        <v>0</v>
      </c>
      <c r="O25" s="17">
        <f>COUNTIFS('Prácticas_Revisiones'!$S$2:$S$282,"T017",'Prácticas_Revisiones'!$T$2:$T$282,"ARCHITECTURE &gt; Software Architecture Process")+COUNTIFS('Prácticas_Snowballing'!$AB$2:$AB$281,"T017",'Prácticas_Snowballing'!$AC$2:$AC$281,"ARCHITECTURE &gt; Software Architecture Process")</f>
        <v>0</v>
      </c>
      <c r="P25" s="17">
        <f>COUNTIFS('Prácticas_Revisiones'!$S$2:$S$282,"T017",'Prácticas_Revisiones'!$T$2:$T$282,"ARCHITECTURE &gt; Software Architecture Evaluation")+COUNTIFS('Prácticas_Snowballing'!$AB$2:$AB$281,"T017",'Prácticas_Snowballing'!$AC$2:$AC$281,"ARCHITECTURE &gt; Software Architecture Evaluation")</f>
        <v>0</v>
      </c>
      <c r="Q25" s="17">
        <f>COUNTIFS('Prácticas_Revisiones'!$S$2:$S$282,"T017",'Prácticas_Revisiones'!$T$2:$T$282,"ARCHITECTURE &gt; Subárea no determinable")+COUNTIFS('Prácticas_Snowballing'!$AB$2:$AB$281,"T017",'Prácticas_Snowballing'!$AC$2:$AC$281,"ARCHITECTURE &gt; Subárea no determinable")</f>
        <v>0</v>
      </c>
      <c r="R25" s="29">
        <f t="shared" si="19"/>
        <v>0</v>
      </c>
      <c r="S25" s="17">
        <f>COUNTIFS('Prácticas_Revisiones'!$S$2:$S$282,"T017",'Prácticas_Revisiones'!$T$2:$T$282,"DESIGN &gt; Software Design Fundamentals")+COUNTIFS('Prácticas_Snowballing'!$AB$2:$AB$281,"T017",'Prácticas_Snowballing'!$AC$2:$AC$281,"DESIGN &gt; Software Design Fundamentals")</f>
        <v>0</v>
      </c>
      <c r="T25" s="17">
        <f>COUNTIFS('Prácticas_Revisiones'!$S$2:$S$282,"T017",'Prácticas_Revisiones'!$T$2:$T$282,"DESIGN &gt; Software Design Processes")+COUNTIFS('Prácticas_Snowballing'!$AB$2:$AB$281,"T017",'Prácticas_Snowballing'!$AC$2:$AC$281,"DESIGN &gt; Software Design Processes")</f>
        <v>0</v>
      </c>
      <c r="U25" s="17">
        <f>COUNTIFS('Prácticas_Revisiones'!$S$2:$S$282,"T017",'Prácticas_Revisiones'!$T$2:$T$282,"DESIGN &gt; Software Design Qualities")+COUNTIFS('Prácticas_Snowballing'!$AB$2:$AB$281,"T017",'Prácticas_Snowballing'!$AC$2:$AC$281,"DESIGN &gt; Software Design Qualities")</f>
        <v>0</v>
      </c>
      <c r="V25" s="17">
        <f>COUNTIFS('Prácticas_Revisiones'!$S$2:$S$282,"T017",'Prácticas_Revisiones'!$T$2:$T$282,"DESIGN &gt; Recording Software Design")+COUNTIFS('Prácticas_Snowballing'!$AB$2:$AB$281,"T017",'Prácticas_Snowballing'!$AC$2:$AC$281,"DESIGN &gt; Recording Software Design")</f>
        <v>0</v>
      </c>
      <c r="W25" s="17">
        <f>COUNTIFS('Prácticas_Revisiones'!$S$2:$S$282,"T017",'Prácticas_Revisiones'!$T$2:$T$282,"DESIGN &gt; Software Design Strategies and Methods")+COUNTIFS('Prácticas_Snowballing'!$AB$2:$AB$281,"T017",'Prácticas_Snowballing'!$AC$2:$AC$281,"DESIGN &gt; Software Design Strategies and Methods")</f>
        <v>0</v>
      </c>
      <c r="X25" s="17">
        <f>COUNTIFS('Prácticas_Revisiones'!$S$2:$S$282,"T017",'Prácticas_Revisiones'!$T$2:$T$282,"DESIGN &gt; Software Design Analysis and Evaluations")+COUNTIFS('Prácticas_Snowballing'!$AB$2:$AB$281,"T017",'Prácticas_Snowballing'!$AC$2:$AC$281,"DESIGN &gt; Software Design Analysis and Evaluations")</f>
        <v>0</v>
      </c>
      <c r="Y25" s="17">
        <f>COUNTIFS('Prácticas_Revisiones'!$S$2:$S$282,"T017",'Prácticas_Revisiones'!$T$2:$T$282,"DESIGN &gt; Subárea no determinable")+COUNTIFS('Prácticas_Snowballing'!$AB$2:$AB$281,"T017",'Prácticas_Snowballing'!$AC$2:$AC$281,"DESIGN &gt; Subárea no determinable")</f>
        <v>0</v>
      </c>
      <c r="Z25" s="29">
        <f t="shared" si="20"/>
        <v>0</v>
      </c>
      <c r="AA25" s="17">
        <f>COUNTIFS('Prácticas_Revisiones'!$S$2:$S$282,"T017",'Prácticas_Revisiones'!$T$2:$T$282,"CONSTRUCTION &gt; Software Construction Fundamentals")+COUNTIFS('Prácticas_Snowballing'!$AB$2:$AB$281,"T017",'Prácticas_Snowballing'!$AC$2:$AC$281,"CONSTRUCTION &gt; Software Construction Fundamentals")</f>
        <v>0</v>
      </c>
      <c r="AB25" s="17">
        <f>COUNTIFS('Prácticas_Revisiones'!$S$2:$S$282,"T017",'Prácticas_Revisiones'!$T$2:$T$282,"CONSTRUCTION &gt; Managing Construction")+COUNTIFS('Prácticas_Snowballing'!$AB$2:$AB$281,"T017",'Prácticas_Snowballing'!$AC$2:$AC$281,"CONSTRUCTION &gt; Managing Construction")</f>
        <v>0</v>
      </c>
      <c r="AC25" s="17">
        <f>COUNTIFS('Prácticas_Revisiones'!$S$2:$S$282,"T017",'Prácticas_Revisiones'!$T$2:$T$282,"CONSTRUCTION &gt; Practical Considerations")+COUNTIFS('Prácticas_Snowballing'!$AB$2:$AB$281,"T017",'Prácticas_Snowballing'!$AC$2:$AC$281,"CONSTRUCTION &gt; Practical Considerations")</f>
        <v>0</v>
      </c>
      <c r="AD25" s="17">
        <f>COUNTIFS('Prácticas_Revisiones'!$S$2:$S$282,"T017",'Prácticas_Revisiones'!$T$2:$T$282,"CONSTRUCTION &gt; Construction Technologies")+COUNTIFS('Prácticas_Snowballing'!$AB$2:$AB$281,"T017",'Prácticas_Snowballing'!$AC$2:$AC$281,"CONSTRUCTION &gt; Construction Technologies")</f>
        <v>0</v>
      </c>
      <c r="AE25" s="17">
        <f>COUNTIFS('Prácticas_Revisiones'!$S$2:$S$282,"T017",'Prácticas_Revisiones'!$T$2:$T$282,"CONSTRUCTION &gt; Software Construction Tools")+COUNTIFS('Prácticas_Snowballing'!$AB$2:$AB$281,"T017",'Prácticas_Snowballing'!$AC$2:$AC$281,"CONSTRUCTION &gt; Software Construction Tools")</f>
        <v>0</v>
      </c>
      <c r="AF25" s="17">
        <f>COUNTIFS('Prácticas_Revisiones'!$S$2:$S$282,"T017",'Prácticas_Revisiones'!$T$2:$T$282,"CONSTRUCTION &gt; Subárea no determinable")+COUNTIFS('Prácticas_Snowballing'!$AB$2:$AB$281,"T017",'Prácticas_Snowballing'!$AC$2:$AC$281,"CONSTRUCTION &gt; Subárea no determinable")</f>
        <v>0</v>
      </c>
      <c r="AG25" s="29">
        <f t="shared" si="21"/>
        <v>0</v>
      </c>
      <c r="AH25" s="17">
        <f>COUNTIFS('Prácticas_Revisiones'!$S$2:$S$282,"T017",'Prácticas_Revisiones'!$T$2:$T$282,"SOFTWARE TESTING &gt; Software Testing Fundamentals")+COUNTIFS('Prácticas_Snowballing'!$AB$2:$AB$281,"T017",'Prácticas_Snowballing'!$AC$2:$AC$281,"SOFTWARE TESTING &gt; Software Testing Fundamentals")</f>
        <v>0</v>
      </c>
      <c r="AI25" s="17">
        <f>COUNTIFS('Prácticas_Revisiones'!$S$2:$S$282,"T017",'Prácticas_Revisiones'!$T$2:$T$282,"SOFTWARE TESTING &gt; Test Levels")+COUNTIFS('Prácticas_Snowballing'!$AB$2:$AB$281,"T017",'Prácticas_Snowballing'!$AC$2:$AC$281,"SOFTWARE TESTING &gt; Test Levels")</f>
        <v>0</v>
      </c>
      <c r="AJ25" s="17">
        <f>COUNTIFS('Prácticas_Revisiones'!$S$2:$S$282,"T017",'Prácticas_Revisiones'!$T$2:$T$282,"SOFTWARE TESTING &gt; Test Techniques")+COUNTIFS('Prácticas_Snowballing'!$AB$2:$AB$281,"T017",'Prácticas_Snowballing'!$AC$2:$AC$281,"SOFTWARE TESTING &gt; Test Techniques")</f>
        <v>0</v>
      </c>
      <c r="AK25" s="17">
        <f>COUNTIFS('Prácticas_Revisiones'!$S$2:$S$282,"T017",'Prácticas_Revisiones'!$T$2:$T$282,"SOFTWARE TESTING &gt; Test-Related Measures")+COUNTIFS('Prácticas_Snowballing'!$AB$2:$AB$281,"T017",'Prácticas_Snowballing'!$AC$2:$AC$281,"SOFTWARE TESTING &gt; Test-Related Measures")</f>
        <v>0</v>
      </c>
      <c r="AL25" s="17">
        <f>COUNTIFS('Prácticas_Revisiones'!$S$2:$S$282,"T017",'Prácticas_Revisiones'!$T$2:$T$282,"SOFTWARE TESTING &gt; Test Process")+COUNTIFS('Prácticas_Snowballing'!$AB$2:$AB$281,"T017",'Prácticas_Snowballing'!$AC$2:$AC$281,"SOFTWARE TESTING &gt; Test Process")</f>
        <v>0</v>
      </c>
      <c r="AM25" s="17">
        <f>COUNTIFS('Prácticas_Revisiones'!$S$2:$S$282,"T017",'Prácticas_Revisiones'!$T$2:$T$282,"SOFTWARE TESTING &gt; Software Testing in the Development Processes...")+COUNTIFS('Prácticas_Snowballing'!$AB$2:$AB$281,"T017",'Prácticas_Snowballing'!$AC$2:$AC$281,"SOFTWARE TESTING &gt; Software Testing in the Development Processes...")</f>
        <v>0</v>
      </c>
      <c r="AN25" s="17">
        <f>COUNTIFS('Prácticas_Revisiones'!$S$2:$S$282,"T017",'Prácticas_Revisiones'!$T$2:$T$282,"SOFTWARE TESTING &gt; Testing of and Testing Through Emerging Tech...")+COUNTIFS('Prácticas_Snowballing'!$AB$2:$AB$281,"T017",'Prácticas_Snowballing'!$AC$2:$AC$281,"SOFTWARE TESTING &gt; Testing of and Testing Through Emerging Tech...")</f>
        <v>0</v>
      </c>
      <c r="AO25" s="17">
        <f>COUNTIFS('Prácticas_Revisiones'!$S$2:$S$282,"T017",'Prácticas_Revisiones'!$T$2:$T$282,"SOFTWARE TESTING &gt; Software Testing Tools")+COUNTIFS('Prácticas_Snowballing'!$AB$2:$AB$281,"T017",'Prácticas_Snowballing'!$AC$2:$AC$281,"SOFTWARE TESTING &gt; Software Testing Tools")</f>
        <v>0</v>
      </c>
      <c r="AP25" s="17">
        <f>COUNTIFS('Prácticas_Revisiones'!$S$2:$S$282,"T017",'Prácticas_Revisiones'!$T$2:$T$282,"SOFTWARE TESTING &gt; Subárea no determinable")+COUNTIFS('Prácticas_Snowballing'!$AB$2:$AB$281,"T017",'Prácticas_Snowballing'!$AC$2:$AC$281,"SOFTWARE TESTING &gt; Subárea no determinable")</f>
        <v>0</v>
      </c>
      <c r="AQ25" s="29">
        <f t="shared" si="22"/>
        <v>0</v>
      </c>
      <c r="AR25" s="17">
        <f>COUNTIFS('Prácticas_Revisiones'!$S$2:$S$282,"T017",'Prácticas_Revisiones'!$T$2:$T$282,"SOFTWARE ENG. OPERATIONS &gt; Software Engineering Operations Fundamentals")+COUNTIFS('Prácticas_Snowballing'!$AB$2:$AB$281,"T017",'Prácticas_Snowballing'!$AC$2:$AC$281,"SOFTWARE ENG. OPERATIONS &gt; Software Engineering Operations Fundamentals")</f>
        <v>0</v>
      </c>
      <c r="AS25" s="17">
        <f>COUNTIFS('Prácticas_Revisiones'!$S$2:$S$282,"T017",'Prácticas_Revisiones'!$T$2:$T$282,"SOFTWARE ENG. OPERATIONS &gt; Software Engineering Operations Planning")+COUNTIFS('Prácticas_Snowballing'!$AB$2:$AB$281,"T017",'Prácticas_Snowballing'!$AC$2:$AC$281,"SOFTWARE ENG. OPERATIONS &gt; Software Engineering Operations Planning")</f>
        <v>0</v>
      </c>
      <c r="AT25" s="17">
        <f>COUNTIFS('Prácticas_Revisiones'!$S$2:$S$282,"T017",'Prácticas_Revisiones'!$T$2:$T$282,"SOFTWARE ENG. OPERATIONS &gt; Software Engineering Operations Delivery")+COUNTIFS('Prácticas_Snowballing'!$AB$2:$AB$281,"T017",'Prácticas_Snowballing'!$AC$2:$AC$281,"SOFTWARE ENG. OPERATIONS &gt; Software Engineering Operations Delivery")</f>
        <v>0</v>
      </c>
      <c r="AU25" s="17">
        <f>COUNTIFS('Prácticas_Revisiones'!$S$2:$S$282,"T017",'Prácticas_Revisiones'!$T$2:$T$282,"SOFTWARE ENG. OPERATIONS &gt; Software Engineering Operations Control")+COUNTIFS('Prácticas_Snowballing'!$AB$2:$AB$281,"T017",'Prácticas_Snowballing'!$AC$2:$AC$281,"SOFTWARE ENG. OPERATIONS &gt; Software Engineering Operations Control")</f>
        <v>0</v>
      </c>
      <c r="AV25" s="17">
        <f>COUNTIFS('Prácticas_Revisiones'!$S$2:$S$282,"T017",'Prácticas_Revisiones'!$T$2:$T$282,"SOFTWARE ENG. OPERATIONS &gt; Practical Considerations")+COUNTIFS('Prácticas_Snowballing'!$AB$2:$AB$281,"T017",'Prácticas_Snowballing'!$AC$2:$AC$281,"SOFTWARE ENG. OPERATIONS &gt; Practical Considerations")</f>
        <v>0</v>
      </c>
      <c r="AW25" s="17">
        <f>COUNTIFS('Prácticas_Revisiones'!$S$2:$S$282,"T017",'Prácticas_Revisiones'!$T$2:$T$282,"SOFTWARE ENG. OPERATIONS &gt; Software Engineering Operations Tools")+COUNTIFS('Prácticas_Snowballing'!$AB$2:$AB$281,"T017",'Prácticas_Snowballing'!$AC$2:$AC$281,"SOFTWARE ENG. OPERATIONS &gt; Software Engineering Operations Tools")</f>
        <v>0</v>
      </c>
      <c r="AX25" s="17">
        <f>COUNTIFS('Prácticas_Revisiones'!$S$2:$S$282,"T017",'Prácticas_Revisiones'!$T$2:$T$282,"SOFTWARE ENG. OPERATIONS &gt; Subárea no determinable")+COUNTIFS('Prácticas_Snowballing'!$AB$2:$AB$281,"T017",'Prácticas_Snowballing'!$AC$2:$AC$281,"SOFTWARE ENG. OPERATIONS &gt; Subárea no determinable")</f>
        <v>0</v>
      </c>
      <c r="AY25" s="29">
        <f t="shared" si="23"/>
        <v>0</v>
      </c>
      <c r="AZ25" s="17">
        <f>COUNTIFS('Prácticas_Revisiones'!$S$2:$S$282,"T017",'Prácticas_Revisiones'!$T$2:$T$282,"MAINTENANCE &gt; Software Maintenance Fundamentals")+COUNTIFS('Prácticas_Snowballing'!$AB$2:$AB$281,"T017",'Prácticas_Snowballing'!$AC$2:$AC$281,"MAINTENANCE &gt; Software Maintenance Fundamentals")</f>
        <v>0</v>
      </c>
      <c r="BA25" s="17">
        <f>COUNTIFS('Prácticas_Revisiones'!$S$2:$S$282,"T017",'Prácticas_Revisiones'!$T$2:$T$282,"MAINTENANCE &gt; Key Issues in Software Maintenance")+COUNTIFS('Prácticas_Snowballing'!$AB$2:$AB$281,"T017",'Prácticas_Snowballing'!$AC$2:$AC$281,"MAINTENANCE &gt; Key Issues in Software Maintenance")</f>
        <v>0</v>
      </c>
      <c r="BB25" s="17">
        <f>COUNTIFS('Prácticas_Revisiones'!$S$2:$S$282,"T017",'Prácticas_Revisiones'!$T$2:$T$282,"MAINTENANCE &gt; Software Maintenance Processes")+COUNTIFS('Prácticas_Snowballing'!$AB$2:$AB$281,"T017",'Prácticas_Snowballing'!$AC$2:$AC$281,"MAINTENANCE &gt; Software Maintenance Processes")</f>
        <v>0</v>
      </c>
      <c r="BC25" s="17">
        <f>COUNTIFS('Prácticas_Revisiones'!$S$2:$S$282,"T017",'Prácticas_Revisiones'!$T$2:$T$282,"MAINTENANCE &gt; Software Maintenance Techniques")+COUNTIFS('Prácticas_Snowballing'!$AB$2:$AB$281,"T017",'Prácticas_Snowballing'!$AC$2:$AC$281,"MAINTENANCE &gt; Software Maintenance Techniques")</f>
        <v>0</v>
      </c>
      <c r="BD25" s="17">
        <f>COUNTIFS('Prácticas_Revisiones'!$S$2:$S$282,"T017",'Prácticas_Revisiones'!$T$2:$T$282,"MAINTENANCE &gt; Software Maintenance Tools")+COUNTIFS('Prácticas_Snowballing'!$AB$2:$AB$281,"T017",'Prácticas_Snowballing'!$AC$2:$AC$281,"MAINTENANCE &gt; Software Maintenance Tools")</f>
        <v>0</v>
      </c>
      <c r="BE25" s="17">
        <f>COUNTIFS('Prácticas_Revisiones'!$S$2:$S$282,"T017",'Prácticas_Revisiones'!$T$2:$T$282,"MAINTENANCE &gt; Subárea no determinable")+COUNTIFS('Prácticas_Snowballing'!$AB$2:$AB$281,"T017",'Prácticas_Snowballing'!$AC$2:$AC$281,"MAINTENANCE &gt; Subárea no determinable")</f>
        <v>0</v>
      </c>
      <c r="BF25" s="29">
        <f t="shared" si="24"/>
        <v>0</v>
      </c>
      <c r="BG25" s="17">
        <f>COUNTIFS('Prácticas_Revisiones'!$S$2:$S$282,"T017",'Prácticas_Revisiones'!$T$2:$T$282,"SOFTWARE CONFIG. MGMT. &gt; Management of the SCM Process")+COUNTIFS('Prácticas_Snowballing'!$AB$2:$AB$281,"T017",'Prácticas_Snowballing'!$AC$2:$AC$281,"SOFTWARE CONFIG. MGMT. &gt; Management of the SCM Process")</f>
        <v>0</v>
      </c>
      <c r="BH25" s="17">
        <f>COUNTIFS('Prácticas_Revisiones'!$S$2:$S$282,"T017",'Prácticas_Revisiones'!$T$2:$T$282,"SOFTWARE CONFIG. MGMT. &gt; Software Configuration Identification")+COUNTIFS('Prácticas_Snowballing'!$AB$2:$AB$281,"T017",'Prácticas_Snowballing'!$AC$2:$AC$281,"SOFTWARE CONFIG. MGMT. &gt; Software Configuration Identification")</f>
        <v>0</v>
      </c>
      <c r="BI25" s="17">
        <f>COUNTIFS('Prácticas_Revisiones'!$S$2:$S$282,"T017",'Prácticas_Revisiones'!$T$2:$T$282,"SOFTWARE CONFIG. MGMT. &gt; Software Configuration Change Control")+COUNTIFS('Prácticas_Snowballing'!$AB$2:$AB$281,"T017",'Prácticas_Snowballing'!$AC$2:$AC$281,"SOFTWARE CONFIG. MGMT. &gt; Software Configuration Change Control")</f>
        <v>0</v>
      </c>
      <c r="BJ25" s="17">
        <f>COUNTIFS('Prácticas_Revisiones'!$S$2:$S$282,"T017",'Prácticas_Revisiones'!$T$2:$T$282,"SOFTWARE CONFIG. MGMT. &gt; Software Configuration Status Accounting")+COUNTIFS('Prácticas_Snowballing'!$AB$2:$AB$281,"T017",'Prácticas_Snowballing'!$AC$2:$AC$281,"SOFTWARE CONFIG. MGMT. &gt; Software Configuration Status Accounting")</f>
        <v>0</v>
      </c>
      <c r="BK25" s="17">
        <f>COUNTIFS('Prácticas_Revisiones'!$S$2:$S$282,"T017",'Prácticas_Revisiones'!$T$2:$T$282,"SOFTWARE CONFIG. MGMT. &gt; Software Configuration Auditing")+COUNTIFS('Prácticas_Snowballing'!$AB$2:$AB$281,"T017",'Prácticas_Snowballing'!$AC$2:$AC$281,"SOFTWARE CONFIG. MGMT. &gt; Software Configuration Auditing")</f>
        <v>0</v>
      </c>
      <c r="BL25" s="17">
        <f>COUNTIFS('Prácticas_Revisiones'!$S$2:$S$282,"T017",'Prácticas_Revisiones'!$T$2:$T$282,"SOFTWARE CONFIG. MGMT. &gt; Software Release Management and Delivery")+COUNTIFS('Prácticas_Snowballing'!$AB$2:$AB$281,"T017",'Prácticas_Snowballing'!$AC$2:$AC$281,"SOFTWARE CONFIG. MGMT. &gt; Software Release Management and Delivery")</f>
        <v>0</v>
      </c>
      <c r="BM25" s="17">
        <f>COUNTIFS('Prácticas_Revisiones'!$S$2:$S$282,"T017",'Prácticas_Revisiones'!$T$2:$T$282,"SOFTWARE CONFIG. MGMT. &gt; Software Configuration Management Tools")+COUNTIFS('Prácticas_Snowballing'!$AB$2:$AB$281,"T017",'Prácticas_Snowballing'!$AC$2:$AC$281,"SOFTWARE CONFIG. MGMT. &gt; Software Configuration Management Tools")</f>
        <v>0</v>
      </c>
      <c r="BN25" s="17">
        <f>COUNTIFS('Prácticas_Revisiones'!$S$2:$S$282,"T017",'Prácticas_Revisiones'!$T$2:$T$282,"SOFTWARE CONFIG. MGMT. &gt; Subárea no determinable")+COUNTIFS('Prácticas_Snowballing'!$AB$2:$AB$281,"T017",'Prácticas_Snowballing'!$AC$2:$AC$281,"SOFTWARE CONFIG. MGMT. &gt; Subárea no determinable")</f>
        <v>0</v>
      </c>
      <c r="BO25" s="29">
        <f t="shared" si="25"/>
        <v>0</v>
      </c>
      <c r="BP25" s="17">
        <f>COUNTIFS('Prácticas_Revisiones'!$S$2:$S$282,"T017",'Prácticas_Revisiones'!$T$2:$T$282,"SOFTWARE ENG. PROCESS &gt; Software Engineering Process Fundamentals")+COUNTIFS('Prácticas_Snowballing'!$AB$2:$AB$281,"T017",'Prácticas_Snowballing'!$AC$2:$AC$281,"SOFTWARE ENG. PROCESS &gt; Software Engineering Process Fundamentals")</f>
        <v>0</v>
      </c>
      <c r="BQ25" s="17">
        <f>COUNTIFS('Prácticas_Revisiones'!$S$2:$S$282,"T017",'Prácticas_Revisiones'!$T$2:$T$282,"SOFTWARE ENG. PROCESS &gt; Life Cycles")+COUNTIFS('Prácticas_Snowballing'!$AB$2:$AB$281,"T017",'Prácticas_Snowballing'!$AC$2:$AC$281,"SOFTWARE ENG. PROCESS &gt; Life Cycles")</f>
        <v>0</v>
      </c>
      <c r="BR25" s="17">
        <f>COUNTIFS('Prácticas_Revisiones'!$S$2:$S$282,"T017",'Prácticas_Revisiones'!$T$2:$T$282,"SOFTWARE ENG. PROCESS &gt; Software Process Assessment and Improvement")+COUNTIFS('Prácticas_Snowballing'!$AB$2:$AB$281,"T017",'Prácticas_Snowballing'!$AC$2:$AC$281,"SOFTWARE ENG. PROCESS &gt; Software Process Assessment and Improvement")</f>
        <v>0</v>
      </c>
      <c r="BS25" s="17">
        <f>COUNTIFS('Prácticas_Revisiones'!$S$2:$S$282,"T017",'Prácticas_Revisiones'!$T$2:$T$282,"SOFTWARE ENG. PROCESS &gt; Subárea no determinable")+COUNTIFS('Prácticas_Snowballing'!$AB$2:$AB$281,"T017",'Prácticas_Snowballing'!$AC$2:$AC$281,"SOFTWARE ENG. PROCESS &gt; Subárea no determinable")</f>
        <v>0</v>
      </c>
      <c r="BT25" s="29">
        <f t="shared" si="26"/>
        <v>0</v>
      </c>
      <c r="BU25" s="17">
        <f>COUNTIFS('Prácticas_Revisiones'!$S$2:$S$282,"T017",'Prácticas_Revisiones'!$T$2:$T$282,"SOFTWARE ENG. MODELS/METH. &gt; Modeling")+COUNTIFS('Prácticas_Snowballing'!$AB$2:$AB$281,"T017",'Prácticas_Snowballing'!$AC$2:$AC$281,"SOFTWARE ENG. MODELS/METH. &gt; Modeling")</f>
        <v>0</v>
      </c>
      <c r="BV25" s="17">
        <f>COUNTIFS('Prácticas_Revisiones'!$S$2:$S$282,"T017",'Prácticas_Revisiones'!$T$2:$T$282,"SOFTWARE ENG. MODELS/METH. &gt; Types of Models")+COUNTIFS('Prácticas_Snowballing'!$AB$2:$AB$281,"T017",'Prácticas_Snowballing'!$AC$2:$AC$281,"SOFTWARE ENG. MODELS/METH. &gt; Types of Models")</f>
        <v>0</v>
      </c>
      <c r="BW25" s="17">
        <f>COUNTIFS('Prácticas_Revisiones'!$S$2:$S$282,"T017",'Prácticas_Revisiones'!$T$2:$T$282,"SOFTWARE ENG. MODELS/METH. &gt; Analysis of Models")+COUNTIFS('Prácticas_Snowballing'!$AB$2:$AB$281,"T017",'Prácticas_Snowballing'!$AC$2:$AC$281,"SOFTWARE ENG. MODELS/METH. &gt; Analysis of Models")</f>
        <v>0</v>
      </c>
      <c r="BX25" s="17">
        <f>COUNTIFS('Prácticas_Revisiones'!$S$2:$S$282,"T017",'Prácticas_Revisiones'!$T$2:$T$282,"SOFTWARE ENG. MODELS/METH. &gt; Software Engineering Methods")+COUNTIFS('Prácticas_Snowballing'!$AB$2:$AB$281,"T017",'Prácticas_Snowballing'!$AC$2:$AC$281,"SOFTWARE ENG. MODELS/METH. &gt; Software Engineering Methods")</f>
        <v>0</v>
      </c>
      <c r="BY25" s="17">
        <f>COUNTIFS('Prácticas_Revisiones'!$S$2:$S$282,"T017",'Prácticas_Revisiones'!$T$2:$T$282,"SOFTWARE ENG. MODELS/METH. &gt; Subárea no determinable")+COUNTIFS('Prácticas_Snowballing'!$AB$2:$AB$281,"T017",'Prácticas_Snowballing'!$AC$2:$AC$281,"SOFTWARE ENG. MODELS/METH. &gt; Subárea no determinable")</f>
        <v>0</v>
      </c>
      <c r="BZ25" s="29">
        <f t="shared" si="27"/>
        <v>0</v>
      </c>
      <c r="CA25" s="17">
        <f>COUNTIFS('Prácticas_Revisiones'!$S$2:$S$282,"T017",'Prácticas_Revisiones'!$T$2:$T$282,"SOFTWARE QUALITY &gt; Software Quality Fundamentals")+COUNTIFS('Prácticas_Snowballing'!$AB$2:$AB$281,"T017",'Prácticas_Snowballing'!$AC$2:$AC$281,"SOFTWARE QUALITY &gt; Software Quality Fundamentals")</f>
        <v>0</v>
      </c>
      <c r="CB25" s="17">
        <f>COUNTIFS('Prácticas_Revisiones'!$S$2:$S$282,"T017",'Prácticas_Revisiones'!$T$2:$T$282,"SOFTWARE QUALITY &gt; Software Quality Management Process")+COUNTIFS('Prácticas_Snowballing'!$AB$2:$AB$281,"T017",'Prácticas_Snowballing'!$AC$2:$AC$281,"SOFTWARE QUALITY &gt; Software Quality Management Process")</f>
        <v>0</v>
      </c>
      <c r="CC25" s="17">
        <f>COUNTIFS('Prácticas_Revisiones'!$S$2:$S$282,"T017",'Prácticas_Revisiones'!$T$2:$T$282,"SOFTWARE QUALITY &gt; Software Quality Assurance Process")+COUNTIFS('Prácticas_Snowballing'!$AB$2:$AB$281,"T017",'Prácticas_Snowballing'!$AC$2:$AC$281,"SOFTWARE QUALITY &gt; Software Quality Assurance Process")</f>
        <v>0</v>
      </c>
      <c r="CD25" s="17">
        <f>COUNTIFS('Prácticas_Revisiones'!$S$2:$S$282,"T017",'Prácticas_Revisiones'!$T$2:$T$282,"SOFTWARE QUALITY &gt; Software Quality Tools")+COUNTIFS('Prácticas_Snowballing'!$AB$2:$AB$281,"T017",'Prácticas_Snowballing'!$AC$2:$AC$281,"SOFTWARE QUALITY &gt; Software Quality Tools")</f>
        <v>0</v>
      </c>
      <c r="CE25" s="17">
        <f>COUNTIFS('Prácticas_Revisiones'!$S$2:$S$282,"T017",'Prácticas_Revisiones'!$T$2:$T$282,"SOFTWARE QUALITY &gt; Subárea no determinable")+COUNTIFS('Prácticas_Snowballing'!$AB$2:$AB$281,"T017",'Prácticas_Snowballing'!$AC$2:$AC$281,"SOFTWARE QUALITY &gt; Subárea no determinable")</f>
        <v>0</v>
      </c>
      <c r="CF25" s="29">
        <f t="shared" si="28"/>
        <v>0</v>
      </c>
      <c r="CG25" s="17">
        <f>COUNTIFS('Prácticas_Revisiones'!$S$2:$S$282,"T017",'Prácticas_Revisiones'!$T$2:$T$282,"SOFTWARE SECURITY &gt; Software Security Fundamentals")+COUNTIFS('Prácticas_Snowballing'!$AB$2:$AB$281,"T017",'Prácticas_Snowballing'!$AC$2:$AC$281,"SOFTWARE SECURITY &gt; Software Security Fundamentals")</f>
        <v>0</v>
      </c>
      <c r="CH25" s="17">
        <f>COUNTIFS('Prácticas_Revisiones'!$S$2:$S$282,"T017",'Prácticas_Revisiones'!$T$2:$T$282,"SOFTWARE SECURITY &gt; Security Management and Organization")+COUNTIFS('Prácticas_Snowballing'!$AB$2:$AB$281,"T017",'Prácticas_Snowballing'!$AC$2:$AC$281,"SOFTWARE SECURITY &gt; Security Management and Organization")</f>
        <v>0</v>
      </c>
      <c r="CI25" s="17">
        <f>COUNTIFS('Prácticas_Revisiones'!$S$2:$S$282,"T017",'Prácticas_Revisiones'!$T$2:$T$282,"SOFTWARE SECURITY &gt; Software Security Engineering and Process")+COUNTIFS('Prácticas_Snowballing'!$AB$2:$AB$281,"T017",'Prácticas_Snowballing'!$AC$2:$AC$281,"SOFTWARE SECURITY &gt; Software Security Engineering and Process")</f>
        <v>0</v>
      </c>
      <c r="CJ25" s="17">
        <f>COUNTIFS('Prácticas_Revisiones'!$S$2:$S$282,"T017",'Prácticas_Revisiones'!$T$2:$T$282,"SOFTWARE SECURITY &gt; Security Engineering for Software Systems")+COUNTIFS('Prácticas_Snowballing'!$AB$2:$AB$281,"T017",'Prácticas_Snowballing'!$AC$2:$AC$281,"SOFTWARE SECURITY &gt; Security Engineering for Software Systems")</f>
        <v>0</v>
      </c>
      <c r="CK25" s="17">
        <f>COUNTIFS('Prácticas_Revisiones'!$S$2:$S$282,"T017",'Prácticas_Revisiones'!$T$2:$T$282,"SOFTWARE SECURITY &gt; Software Security Tools")+COUNTIFS('Prácticas_Snowballing'!$AB$2:$AB$281,"T017",'Prácticas_Snowballing'!$AC$2:$AC$281,"SOFTWARE SECURITY &gt; Software Security Tools")</f>
        <v>0</v>
      </c>
      <c r="CL25" s="17">
        <f>COUNTIFS('Prácticas_Revisiones'!$S$2:$S$282,"T017",'Prácticas_Revisiones'!$T$2:$T$282,"SOFTWARE SECURITY &gt; Domain Specific Software Security")+COUNTIFS('Prácticas_Snowballing'!$AB$2:$AB$281,"T017",'Prácticas_Snowballing'!$AC$2:$AC$281,"SOFTWARE SECURITY &gt; Domain Specific Software Security")</f>
        <v>0</v>
      </c>
      <c r="CM25" s="17">
        <f>COUNTIFS('Prácticas_Revisiones'!$S$2:$S$282,"T017",'Prácticas_Revisiones'!$T$2:$T$282,"SOFTWARE SECURITY &gt; Subárea no determinable")+COUNTIFS('Prácticas_Snowballing'!$AB$2:$AB$281,"T017",'Prácticas_Snowballing'!$AC$2:$AC$281,"SOFTWARE SECURITY &gt; Subárea no determinable")</f>
        <v>0</v>
      </c>
      <c r="CN25" s="29">
        <f t="shared" si="29"/>
        <v>0</v>
      </c>
      <c r="CO25" s="17">
        <f>COUNTIFS('Prácticas_Revisiones'!$S$2:$S$282,"T017",'Prácticas_Revisiones'!$T$2:$T$282,"PROFESSIONAL PRACTICE &gt; Professionalism")+COUNTIFS('Prácticas_Snowballing'!$AB$2:$AB$281,"T017",'Prácticas_Snowballing'!$AC$2:$AC$281,"PROFESSIONAL PRACTICE &gt; Professionalism")</f>
        <v>0</v>
      </c>
      <c r="CP25" s="17">
        <f>COUNTIFS('Prácticas_Revisiones'!$S$2:$S$282,"T017",'Prácticas_Revisiones'!$T$2:$T$282,"PROFESSIONAL PRACTICE &gt; Group Dynamics and Psychology")+COUNTIFS('Prácticas_Snowballing'!$AB$2:$AB$281,"T017",'Prácticas_Snowballing'!$AC$2:$AC$281,"PROFESSIONAL PRACTICE &gt; Group Dynamics and Psychology")</f>
        <v>0</v>
      </c>
      <c r="CQ25" s="17">
        <f>COUNTIFS('Prácticas_Revisiones'!$S$2:$S$282,"T017",'Prácticas_Revisiones'!$T$2:$T$282,"PROFESSIONAL PRACTICE &gt; Communication Skills")+COUNTIFS('Prácticas_Snowballing'!$AB$2:$AB$281,"T017",'Prácticas_Snowballing'!$AC$2:$AC$281,"PROFESSIONAL PRACTICE &gt; Communication Skills")</f>
        <v>0</v>
      </c>
      <c r="CR25" s="17">
        <f>COUNTIFS('Prácticas_Revisiones'!$S$2:$S$282,"T017",'Prácticas_Revisiones'!$T$2:$T$282,"PROFESSIONAL PRACTICE &gt; Subárea no determinable")+COUNTIFS('Prácticas_Snowballing'!$AB$2:$AB$281,"T017",'Prácticas_Snowballing'!$AC$2:$AC$281,"PROFESSIONAL PRACTICE &gt; Subárea no determinable")</f>
        <v>0</v>
      </c>
      <c r="CS25" s="29">
        <f t="shared" si="30"/>
        <v>0</v>
      </c>
      <c r="CT25" s="17">
        <f>COUNTIFS('Prácticas_Revisiones'!$S$2:$S$282,"T017",'Prácticas_Revisiones'!$T$2:$T$282,"SOFTWARE ENG. ECONOMICS &gt; Software Engineering Economics Fundamentals")+COUNTIFS('Prácticas_Snowballing'!$AB$2:$AB$281,"T017",'Prácticas_Snowballing'!$AC$2:$AC$281,"SOFTWARE ENG. ECONOMICS &gt; Software Engineering Economics Fundamentals")</f>
        <v>0</v>
      </c>
      <c r="CU25" s="17">
        <f>COUNTIFS('Prácticas_Revisiones'!$S$2:$S$282,"T017",'Prácticas_Revisiones'!$T$2:$T$282,"SOFTWARE ENG. ECONOMICS &gt; The Engineering Decision-Making Process")+COUNTIFS('Prácticas_Snowballing'!$AB$2:$AB$281,"T017",'Prácticas_Snowballing'!$AC$2:$AC$281,"SOFTWARE ENG. ECONOMICS &gt; The Engineering Decision-Making Process")</f>
        <v>0</v>
      </c>
      <c r="CV25" s="17">
        <f>COUNTIFS('Prácticas_Revisiones'!$S$2:$S$282,"T017",'Prácticas_Revisiones'!$T$2:$T$282,"SOFTWARE ENG. ECONOMICS &gt; For-Profit Decision-Making")+COUNTIFS('Prácticas_Snowballing'!$AB$2:$AB$281,"T017",'Prácticas_Snowballing'!$AC$2:$AC$281,"SOFTWARE ENG. ECONOMICS &gt; For-Profit Decision-Making")</f>
        <v>0</v>
      </c>
      <c r="CW25" s="17">
        <f>COUNTIFS('Prácticas_Revisiones'!$S$2:$S$282,"T017",'Prácticas_Revisiones'!$T$2:$T$282,"SOFTWARE ENG. ECONOMICS &gt; Nonprofit Decision-Making")+COUNTIFS('Prácticas_Snowballing'!$AB$2:$AB$281,"T017",'Prácticas_Snowballing'!$AC$2:$AC$281,"SOFTWARE ENG. ECONOMICS &gt; Nonprofit Decision-Making")</f>
        <v>0</v>
      </c>
      <c r="CX25" s="17">
        <f>COUNTIFS('Prácticas_Revisiones'!$S$2:$S$282,"T017",'Prácticas_Revisiones'!$T$2:$T$282,"SOFTWARE ENG. ECONOMICS &gt; Present Economy Decision-Making")+COUNTIFS('Prácticas_Snowballing'!$AB$2:$AB$281,"T017",'Prácticas_Snowballing'!$AC$2:$AC$281,"SOFTWARE ENG. ECONOMICS &gt; Present Economy Decision-Making")</f>
        <v>0</v>
      </c>
      <c r="CY25" s="17">
        <f>COUNTIFS('Prácticas_Revisiones'!$S$2:$S$282,"T017",'Prácticas_Revisiones'!$T$2:$T$282,"SOFTWARE ENG. ECONOMICS &gt; Multiple-Attribute Decision-Making")+COUNTIFS('Prácticas_Snowballing'!$AB$2:$AB$281,"T017",'Prácticas_Snowballing'!$AC$2:$AC$281,"SOFTWARE ENG. ECONOMICS &gt; Multiple-Attribute Decision-Making")</f>
        <v>0</v>
      </c>
      <c r="CZ25" s="17">
        <f>COUNTIFS('Prácticas_Revisiones'!$S$2:$S$282,"T017",'Prácticas_Revisiones'!$T$2:$T$282,"SOFTWARE ENG. ECONOMICS &gt; Identifying and Characterizing Intangible Assets")+COUNTIFS('Prácticas_Snowballing'!$AB$2:$AB$281,"T017",'Prácticas_Snowballing'!$AC$2:$AC$281,"SOFTWARE ENG. ECONOMICS &gt; Identifying and Characterizing Intangible Assets")</f>
        <v>0</v>
      </c>
      <c r="DA25" s="17">
        <f>COUNTIFS('Prácticas_Revisiones'!$S$2:$S$282,"T017",'Prácticas_Revisiones'!$T$2:$T$282,"SOFTWARE ENG. ECONOMICS &gt; Estimation")+COUNTIFS('Prácticas_Snowballing'!$AB$2:$AB$281,"T017",'Prácticas_Snowballing'!$AC$2:$AC$281,"SOFTWARE ENG. ECONOMICS &gt; Estimation")</f>
        <v>0</v>
      </c>
      <c r="DB25" s="17">
        <f>COUNTIFS('Prácticas_Revisiones'!$S$2:$S$282,"T017",'Prácticas_Revisiones'!$T$2:$T$282,"SOFTWARE ENG. ECONOMICS &gt; Practical Considerations")+COUNTIFS('Prácticas_Snowballing'!$AB$2:$AB$281,"T017",'Prácticas_Snowballing'!$AC$2:$AC$281,"SOFTWARE ENG. ECONOMICS &gt; Practical Considerations")</f>
        <v>0</v>
      </c>
      <c r="DC25" s="17">
        <f>COUNTIFS('Prácticas_Revisiones'!$S$2:$S$282,"T017",'Prácticas_Revisiones'!$T$2:$T$282,"SOFTWARE ENG. ECONOMICS &gt; Related Concepts")+COUNTIFS('Prácticas_Snowballing'!$AB$2:$AB$281,"T017",'Prácticas_Snowballing'!$AC$2:$AC$281,"SOFTWARE ENG. ECONOMICS &gt; Related Concepts")</f>
        <v>0</v>
      </c>
      <c r="DD25" s="17">
        <f>COUNTIFS('Prácticas_Revisiones'!$S$2:$S$282,"T017",'Prácticas_Revisiones'!$T$2:$T$282,"SOFTWARE ENG. ECONOMICS &gt; Subárea no determinable")+COUNTIFS('Prácticas_Snowballing'!$AB$2:$AB$281,"T017",'Prácticas_Snowballing'!$AC$2:$AC$281,"SOFTWARE ENG. ECONOMICS &gt; Subárea no determinable")</f>
        <v>0</v>
      </c>
      <c r="DE25" s="29">
        <f t="shared" si="31"/>
        <v>0</v>
      </c>
      <c r="DF25" s="17">
        <f>COUNTIFS('Prácticas_Revisiones'!$S$2:$S$282,"T017",'Prácticas_Revisiones'!$T$2:$T$282,"SOFTWARE ENG. MANAGEMENT &gt; Software Engineering Management Fundamentals")+COUNTIFS('Prácticas_Snowballing'!$AB$2:$AB$281,"T017",'Prácticas_Snowballing'!$AC$2:$AC$281,"SOFTWARE ENG. MANAGEMENT &gt; Software Engineering Management Fundamentals")</f>
        <v>0</v>
      </c>
      <c r="DG25" s="17">
        <f>COUNTIFS('Prácticas_Revisiones'!$S$2:$S$282,"T017",'Prácticas_Revisiones'!$T$2:$T$282,"SOFTWARE ENG. MANAGEMENT &gt; Initiation and Scope Definition")+COUNTIFS('Prácticas_Snowballing'!$AB$2:$AB$281,"T017",'Prácticas_Snowballing'!$AC$2:$AC$281,"SOFTWARE ENG. MANAGEMENT &gt; Initiation and Scope Definition")</f>
        <v>0</v>
      </c>
      <c r="DH25" s="17">
        <f>COUNTIFS('Prácticas_Revisiones'!$S$2:$S$282,"T017",'Prácticas_Revisiones'!$T$2:$T$282,"SOFTWARE ENG. MANAGEMENT &gt; Software Project Planning")+COUNTIFS('Prácticas_Snowballing'!$AB$2:$AB$281,"T017",'Prácticas_Snowballing'!$AC$2:$AC$281,"SOFTWARE ENG. MANAGEMENT &gt; Software Project Planning")</f>
        <v>0</v>
      </c>
      <c r="DI25" s="17">
        <f>COUNTIFS('Prácticas_Revisiones'!$S$2:$S$282,"T017",'Prácticas_Revisiones'!$T$2:$T$282,"SOFTWARE ENG. MANAGEMENT &gt; Software Project Enactment")+COUNTIFS('Prácticas_Snowballing'!$AB$2:$AB$281,"T017",'Prácticas_Snowballing'!$AC$2:$AC$281,"SOFTWARE ENG. MANAGEMENT &gt; Software Project Enactment")</f>
        <v>0</v>
      </c>
      <c r="DJ25" s="17">
        <f>COUNTIFS('Prácticas_Revisiones'!$S$2:$S$282,"T017",'Prácticas_Revisiones'!$T$2:$T$282,"SOFTWARE ENG. MANAGEMENT &gt; Review and Evaluation")+COUNTIFS('Prácticas_Snowballing'!$AB$2:$AB$281,"T017",'Prácticas_Snowballing'!$AC$2:$AC$281,"SOFTWARE ENG. MANAGEMENT &gt; Review and Evaluation")</f>
        <v>0</v>
      </c>
      <c r="DK25" s="17">
        <f>COUNTIFS('Prácticas_Revisiones'!$S$2:$S$282,"T017",'Prácticas_Revisiones'!$T$2:$T$282,"SOFTWARE ENG. MANAGEMENT &gt; Closure")+COUNTIFS('Prácticas_Snowballing'!$AB$2:$AB$281,"T017",'Prácticas_Snowballing'!$AC$2:$AC$281,"SOFTWARE ENG. MANAGEMENT &gt; Closure")</f>
        <v>0</v>
      </c>
      <c r="DL25" s="17">
        <f>COUNTIFS('Prácticas_Revisiones'!$S$2:$S$282,"T017",'Prácticas_Revisiones'!$T$2:$T$282,"SOFTWARE ENG. MANAGEMENT &gt; Software Engineering Management Tools")+COUNTIFS('Prácticas_Snowballing'!$AB$2:$AB$281,"T017",'Prácticas_Snowballing'!$AC$2:$AC$281,"SOFTWARE ENG. MANAGEMENT &gt; Software Engineering Management Tools")</f>
        <v>0</v>
      </c>
      <c r="DM25" s="17">
        <f>COUNTIFS('Prácticas_Revisiones'!$S$2:$S$282,"T017",'Prácticas_Revisiones'!$T$2:$T$282,"SOFTWARE ENG. MANAGEMENT &gt; Subárea no determinable")+COUNTIFS('Prácticas_Snowballing'!$AB$2:$AB$281,"T017",'Prácticas_Snowballing'!$AC$2:$AC$281,"SOFTWARE ENG. MANAGEMENT &gt; Subárea no determinable")</f>
        <v>0</v>
      </c>
      <c r="DN25" s="29">
        <f t="shared" si="32"/>
        <v>0</v>
      </c>
      <c r="DO25" s="17">
        <f>COUNTIFS('Prácticas_Revisiones'!$S$2:$S$282,"T017",'Prácticas_Revisiones'!$T$2:$T$282,"Sin área SWEBOK")+COUNTIFS('Prácticas_Snowballing'!$AB$2:$AB$281,"T017",'Prácticas_Snowballing'!$AC$2:$AC$281,"Sin área SWEBOK")</f>
        <v>0</v>
      </c>
      <c r="DP25" s="27">
        <f t="shared" si="33"/>
        <v>0</v>
      </c>
    </row>
    <row r="26" ht="15.75" customHeight="1">
      <c r="A26" s="28"/>
      <c r="B26" s="16" t="s">
        <v>2752</v>
      </c>
      <c r="C26" s="17">
        <f>COUNTIFS('Prácticas_Revisiones'!$S$2:$S$282,"T018",'Prácticas_Revisiones'!$T$2:$T$282,"REQUIREMENTS &gt; Software Requirements Fundamentals")+COUNTIFS('Prácticas_Snowballing'!$AB$2:$AB$281,"T018",'Prácticas_Snowballing'!$AC$2:$AC$281,"REQUIREMENTS &gt; Software Requirements Fundamentals")</f>
        <v>0</v>
      </c>
      <c r="D26" s="17">
        <f>COUNTIFS('Prácticas_Revisiones'!$S$2:$S$282,"T018",'Prácticas_Revisiones'!$T$2:$T$282,"REQUIREMENTS &gt; Requirements Elicitation")+COUNTIFS('Prácticas_Snowballing'!$AB$2:$AB$281,"T018",'Prácticas_Snowballing'!$AC$2:$AC$281,"REQUIREMENTS &gt; Requirements Elicitation")</f>
        <v>0</v>
      </c>
      <c r="E26" s="17">
        <f>COUNTIFS('Prácticas_Revisiones'!$S$2:$S$282,"T018",'Prácticas_Revisiones'!$T$2:$T$282,"REQUIREMENTS &gt; Requirements Analysis")+COUNTIFS('Prácticas_Snowballing'!$AB$2:$AB$281,"T018",'Prácticas_Snowballing'!$AC$2:$AC$281,"REQUIREMENTS &gt; Requirements Analysis")</f>
        <v>0</v>
      </c>
      <c r="F26" s="17">
        <f>COUNTIFS('Prácticas_Revisiones'!$S$2:$S$282,"T018",'Prácticas_Revisiones'!$T$2:$T$282,"REQUIREMENTS &gt; Requirements Specification")+COUNTIFS('Prácticas_Snowballing'!$AB$2:$AB$281,"T018",'Prácticas_Snowballing'!$AC$2:$AC$281,"REQUIREMENTS &gt; Requirements Specification")</f>
        <v>0</v>
      </c>
      <c r="G26" s="17">
        <f>COUNTIFS('Prácticas_Revisiones'!$S$2:$S$282,"T018",'Prácticas_Revisiones'!$T$2:$T$282,"REQUIREMENTS &gt; Requirements Validation")+COUNTIFS('Prácticas_Snowballing'!$AB$2:$AB$281,"T018",'Prácticas_Snowballing'!$AC$2:$AC$281,"REQUIREMENTS &gt; Requirements Validation")</f>
        <v>0</v>
      </c>
      <c r="H26" s="17">
        <f>COUNTIFS('Prácticas_Revisiones'!$S$2:$S$282,"T018",'Prácticas_Revisiones'!$T$2:$T$282,"REQUIREMENTS &gt; Requirements Management Activities")+COUNTIFS('Prácticas_Snowballing'!$AB$2:$AB$281,"T018",'Prácticas_Snowballing'!$AC$2:$AC$281,"REQUIREMENTS &gt; Requirements Management Activities")</f>
        <v>0</v>
      </c>
      <c r="I26" s="17">
        <f>COUNTIFS('Prácticas_Revisiones'!$S$2:$S$282,"T018",'Prácticas_Revisiones'!$T$2:$T$282,"REQUIREMENTS &gt; Practical Considerations")+COUNTIFS('Prácticas_Snowballing'!$AB$2:$AB$281,"T018",'Prácticas_Snowballing'!$AC$2:$AC$281,"REQUIREMENTS &gt; Practical Considerations")</f>
        <v>0</v>
      </c>
      <c r="J26" s="17">
        <f>COUNTIFS('Prácticas_Revisiones'!$S$2:$S$282,"T018",'Prácticas_Revisiones'!$T$2:$T$282,"REQUIREMENTS &gt; Software Requirements Tools")+COUNTIFS('Prácticas_Snowballing'!$AB$2:$AB$281,"T018",'Prácticas_Snowballing'!$AC$2:$AC$281,"REQUIREMENTS &gt; Software Requirements Tools")</f>
        <v>0</v>
      </c>
      <c r="K26" s="17">
        <f>COUNTIFS('Prácticas_Revisiones'!$S$2:$S$282,"T018",'Prácticas_Revisiones'!$T$2:$T$282,"REQUIREMENTS &gt; Subárea no determinable")+COUNTIFS('Prácticas_Snowballing'!$AB$2:$AB$281,"T018",'Prácticas_Snowballing'!$AC$2:$AC$281,"REQUIREMENTS &gt; Subárea no determinable")</f>
        <v>0</v>
      </c>
      <c r="L26" s="29">
        <f t="shared" si="18"/>
        <v>0</v>
      </c>
      <c r="M26" s="17">
        <f>COUNTIFS('Prácticas_Revisiones'!$S$2:$S$282,"T018",'Prácticas_Revisiones'!$T$2:$T$282,"ARCHITECTURE &gt; Software Architecture Fundamentals")+COUNTIFS('Prácticas_Snowballing'!$AB$2:$AB$281,"T018",'Prácticas_Snowballing'!$AC$2:$AC$281,"ARCHITECTURE &gt; Software Architecture Fundamentals")</f>
        <v>0</v>
      </c>
      <c r="N26" s="17">
        <f>COUNTIFS('Prácticas_Revisiones'!$S$2:$S$282,"T018",'Prácticas_Revisiones'!$T$2:$T$282,"ARCHITECTURE &gt; Software Architecture Description")+COUNTIFS('Prácticas_Snowballing'!$AB$2:$AB$281,"T018",'Prácticas_Snowballing'!$AC$2:$AC$281,"ARCHITECTURE &gt; Software Architecture Description")</f>
        <v>0</v>
      </c>
      <c r="O26" s="17">
        <f>COUNTIFS('Prácticas_Revisiones'!$S$2:$S$282,"T018",'Prácticas_Revisiones'!$T$2:$T$282,"ARCHITECTURE &gt; Software Architecture Process")+COUNTIFS('Prácticas_Snowballing'!$AB$2:$AB$281,"T018",'Prácticas_Snowballing'!$AC$2:$AC$281,"ARCHITECTURE &gt; Software Architecture Process")</f>
        <v>0</v>
      </c>
      <c r="P26" s="17">
        <f>COUNTIFS('Prácticas_Revisiones'!$S$2:$S$282,"T018",'Prácticas_Revisiones'!$T$2:$T$282,"ARCHITECTURE &gt; Software Architecture Evaluation")+COUNTIFS('Prácticas_Snowballing'!$AB$2:$AB$281,"T018",'Prácticas_Snowballing'!$AC$2:$AC$281,"ARCHITECTURE &gt; Software Architecture Evaluation")</f>
        <v>0</v>
      </c>
      <c r="Q26" s="17">
        <f>COUNTIFS('Prácticas_Revisiones'!$S$2:$S$282,"T018",'Prácticas_Revisiones'!$T$2:$T$282,"ARCHITECTURE &gt; Subárea no determinable")+COUNTIFS('Prácticas_Snowballing'!$AB$2:$AB$281,"T018",'Prácticas_Snowballing'!$AC$2:$AC$281,"ARCHITECTURE &gt; Subárea no determinable")</f>
        <v>0</v>
      </c>
      <c r="R26" s="29">
        <f t="shared" si="19"/>
        <v>0</v>
      </c>
      <c r="S26" s="17">
        <f>COUNTIFS('Prácticas_Revisiones'!$S$2:$S$282,"T018",'Prácticas_Revisiones'!$T$2:$T$282,"DESIGN &gt; Software Design Fundamentals")+COUNTIFS('Prácticas_Snowballing'!$AB$2:$AB$281,"T018",'Prácticas_Snowballing'!$AC$2:$AC$281,"DESIGN &gt; Software Design Fundamentals")</f>
        <v>0</v>
      </c>
      <c r="T26" s="17">
        <f>COUNTIFS('Prácticas_Revisiones'!$S$2:$S$282,"T018",'Prácticas_Revisiones'!$T$2:$T$282,"DESIGN &gt; Software Design Processes")+COUNTIFS('Prácticas_Snowballing'!$AB$2:$AB$281,"T018",'Prácticas_Snowballing'!$AC$2:$AC$281,"DESIGN &gt; Software Design Processes")</f>
        <v>0</v>
      </c>
      <c r="U26" s="17">
        <f>COUNTIFS('Prácticas_Revisiones'!$S$2:$S$282,"T018",'Prácticas_Revisiones'!$T$2:$T$282,"DESIGN &gt; Software Design Qualities")+COUNTIFS('Prácticas_Snowballing'!$AB$2:$AB$281,"T018",'Prácticas_Snowballing'!$AC$2:$AC$281,"DESIGN &gt; Software Design Qualities")</f>
        <v>0</v>
      </c>
      <c r="V26" s="17">
        <f>COUNTIFS('Prácticas_Revisiones'!$S$2:$S$282,"T018",'Prácticas_Revisiones'!$T$2:$T$282,"DESIGN &gt; Recording Software Design")+COUNTIFS('Prácticas_Snowballing'!$AB$2:$AB$281,"T018",'Prácticas_Snowballing'!$AC$2:$AC$281,"DESIGN &gt; Recording Software Design")</f>
        <v>0</v>
      </c>
      <c r="W26" s="17">
        <f>COUNTIFS('Prácticas_Revisiones'!$S$2:$S$282,"T018",'Prácticas_Revisiones'!$T$2:$T$282,"DESIGN &gt; Software Design Strategies and Methods")+COUNTIFS('Prácticas_Snowballing'!$AB$2:$AB$281,"T018",'Prácticas_Snowballing'!$AC$2:$AC$281,"DESIGN &gt; Software Design Strategies and Methods")</f>
        <v>0</v>
      </c>
      <c r="X26" s="17">
        <f>COUNTIFS('Prácticas_Revisiones'!$S$2:$S$282,"T018",'Prácticas_Revisiones'!$T$2:$T$282,"DESIGN &gt; Software Design Analysis and Evaluations")+COUNTIFS('Prácticas_Snowballing'!$AB$2:$AB$281,"T018",'Prácticas_Snowballing'!$AC$2:$AC$281,"DESIGN &gt; Software Design Analysis and Evaluations")</f>
        <v>0</v>
      </c>
      <c r="Y26" s="17">
        <f>COUNTIFS('Prácticas_Revisiones'!$S$2:$S$282,"T018",'Prácticas_Revisiones'!$T$2:$T$282,"DESIGN &gt; Subárea no determinable")+COUNTIFS('Prácticas_Snowballing'!$AB$2:$AB$281,"T018",'Prácticas_Snowballing'!$AC$2:$AC$281,"DESIGN &gt; Subárea no determinable")</f>
        <v>0</v>
      </c>
      <c r="Z26" s="29">
        <f t="shared" si="20"/>
        <v>0</v>
      </c>
      <c r="AA26" s="17">
        <f>COUNTIFS('Prácticas_Revisiones'!$S$2:$S$282,"T018",'Prácticas_Revisiones'!$T$2:$T$282,"CONSTRUCTION &gt; Software Construction Fundamentals")+COUNTIFS('Prácticas_Snowballing'!$AB$2:$AB$281,"T018",'Prácticas_Snowballing'!$AC$2:$AC$281,"CONSTRUCTION &gt; Software Construction Fundamentals")</f>
        <v>0</v>
      </c>
      <c r="AB26" s="17">
        <f>COUNTIFS('Prácticas_Revisiones'!$S$2:$S$282,"T018",'Prácticas_Revisiones'!$T$2:$T$282,"CONSTRUCTION &gt; Managing Construction")+COUNTIFS('Prácticas_Snowballing'!$AB$2:$AB$281,"T018",'Prácticas_Snowballing'!$AC$2:$AC$281,"CONSTRUCTION &gt; Managing Construction")</f>
        <v>0</v>
      </c>
      <c r="AC26" s="17">
        <f>COUNTIFS('Prácticas_Revisiones'!$S$2:$S$282,"T018",'Prácticas_Revisiones'!$T$2:$T$282,"CONSTRUCTION &gt; Practical Considerations")+COUNTIFS('Prácticas_Snowballing'!$AB$2:$AB$281,"T018",'Prácticas_Snowballing'!$AC$2:$AC$281,"CONSTRUCTION &gt; Practical Considerations")</f>
        <v>0</v>
      </c>
      <c r="AD26" s="17">
        <f>COUNTIFS('Prácticas_Revisiones'!$S$2:$S$282,"T018",'Prácticas_Revisiones'!$T$2:$T$282,"CONSTRUCTION &gt; Construction Technologies")+COUNTIFS('Prácticas_Snowballing'!$AB$2:$AB$281,"T018",'Prácticas_Snowballing'!$AC$2:$AC$281,"CONSTRUCTION &gt; Construction Technologies")</f>
        <v>0</v>
      </c>
      <c r="AE26" s="17">
        <f>COUNTIFS('Prácticas_Revisiones'!$S$2:$S$282,"T018",'Prácticas_Revisiones'!$T$2:$T$282,"CONSTRUCTION &gt; Software Construction Tools")+COUNTIFS('Prácticas_Snowballing'!$AB$2:$AB$281,"T018",'Prácticas_Snowballing'!$AC$2:$AC$281,"CONSTRUCTION &gt; Software Construction Tools")</f>
        <v>0</v>
      </c>
      <c r="AF26" s="17">
        <f>COUNTIFS('Prácticas_Revisiones'!$S$2:$S$282,"T018",'Prácticas_Revisiones'!$T$2:$T$282,"CONSTRUCTION &gt; Subárea no determinable")+COUNTIFS('Prácticas_Snowballing'!$AB$2:$AB$281,"T018",'Prácticas_Snowballing'!$AC$2:$AC$281,"CONSTRUCTION &gt; Subárea no determinable")</f>
        <v>0</v>
      </c>
      <c r="AG26" s="29">
        <f t="shared" si="21"/>
        <v>0</v>
      </c>
      <c r="AH26" s="17">
        <f>COUNTIFS('Prácticas_Revisiones'!$S$2:$S$282,"T018",'Prácticas_Revisiones'!$T$2:$T$282,"SOFTWARE TESTING &gt; Software Testing Fundamentals")+COUNTIFS('Prácticas_Snowballing'!$AB$2:$AB$281,"T018",'Prácticas_Snowballing'!$AC$2:$AC$281,"SOFTWARE TESTING &gt; Software Testing Fundamentals")</f>
        <v>0</v>
      </c>
      <c r="AI26" s="17">
        <f>COUNTIFS('Prácticas_Revisiones'!$S$2:$S$282,"T018",'Prácticas_Revisiones'!$T$2:$T$282,"SOFTWARE TESTING &gt; Test Levels")+COUNTIFS('Prácticas_Snowballing'!$AB$2:$AB$281,"T018",'Prácticas_Snowballing'!$AC$2:$AC$281,"SOFTWARE TESTING &gt; Test Levels")</f>
        <v>0</v>
      </c>
      <c r="AJ26" s="17">
        <f>COUNTIFS('Prácticas_Revisiones'!$S$2:$S$282,"T018",'Prácticas_Revisiones'!$T$2:$T$282,"SOFTWARE TESTING &gt; Test Techniques")+COUNTIFS('Prácticas_Snowballing'!$AB$2:$AB$281,"T018",'Prácticas_Snowballing'!$AC$2:$AC$281,"SOFTWARE TESTING &gt; Test Techniques")</f>
        <v>0</v>
      </c>
      <c r="AK26" s="17">
        <f>COUNTIFS('Prácticas_Revisiones'!$S$2:$S$282,"T018",'Prácticas_Revisiones'!$T$2:$T$282,"SOFTWARE TESTING &gt; Test-Related Measures")+COUNTIFS('Prácticas_Snowballing'!$AB$2:$AB$281,"T018",'Prácticas_Snowballing'!$AC$2:$AC$281,"SOFTWARE TESTING &gt; Test-Related Measures")</f>
        <v>0</v>
      </c>
      <c r="AL26" s="17">
        <f>COUNTIFS('Prácticas_Revisiones'!$S$2:$S$282,"T018",'Prácticas_Revisiones'!$T$2:$T$282,"SOFTWARE TESTING &gt; Test Process")+COUNTIFS('Prácticas_Snowballing'!$AB$2:$AB$281,"T018",'Prácticas_Snowballing'!$AC$2:$AC$281,"SOFTWARE TESTING &gt; Test Process")</f>
        <v>0</v>
      </c>
      <c r="AM26" s="17">
        <f>COUNTIFS('Prácticas_Revisiones'!$S$2:$S$282,"T018",'Prácticas_Revisiones'!$T$2:$T$282,"SOFTWARE TESTING &gt; Software Testing in the Development Processes...")+COUNTIFS('Prácticas_Snowballing'!$AB$2:$AB$281,"T018",'Prácticas_Snowballing'!$AC$2:$AC$281,"SOFTWARE TESTING &gt; Software Testing in the Development Processes...")</f>
        <v>0</v>
      </c>
      <c r="AN26" s="17">
        <f>COUNTIFS('Prácticas_Revisiones'!$S$2:$S$282,"T018",'Prácticas_Revisiones'!$T$2:$T$282,"SOFTWARE TESTING &gt; Testing of and Testing Through Emerging Tech...")+COUNTIFS('Prácticas_Snowballing'!$AB$2:$AB$281,"T018",'Prácticas_Snowballing'!$AC$2:$AC$281,"SOFTWARE TESTING &gt; Testing of and Testing Through Emerging Tech...")</f>
        <v>0</v>
      </c>
      <c r="AO26" s="17">
        <f>COUNTIFS('Prácticas_Revisiones'!$S$2:$S$282,"T018",'Prácticas_Revisiones'!$T$2:$T$282,"SOFTWARE TESTING &gt; Software Testing Tools")+COUNTIFS('Prácticas_Snowballing'!$AB$2:$AB$281,"T018",'Prácticas_Snowballing'!$AC$2:$AC$281,"SOFTWARE TESTING &gt; Software Testing Tools")</f>
        <v>0</v>
      </c>
      <c r="AP26" s="17">
        <f>COUNTIFS('Prácticas_Revisiones'!$S$2:$S$282,"T018",'Prácticas_Revisiones'!$T$2:$T$282,"SOFTWARE TESTING &gt; Subárea no determinable")+COUNTIFS('Prácticas_Snowballing'!$AB$2:$AB$281,"T018",'Prácticas_Snowballing'!$AC$2:$AC$281,"SOFTWARE TESTING &gt; Subárea no determinable")</f>
        <v>0</v>
      </c>
      <c r="AQ26" s="29">
        <f t="shared" si="22"/>
        <v>0</v>
      </c>
      <c r="AR26" s="17">
        <f>COUNTIFS('Prácticas_Revisiones'!$S$2:$S$282,"T018",'Prácticas_Revisiones'!$T$2:$T$282,"SOFTWARE ENG. OPERATIONS &gt; Software Engineering Operations Fundamentals")+COUNTIFS('Prácticas_Snowballing'!$AB$2:$AB$281,"T018",'Prácticas_Snowballing'!$AC$2:$AC$281,"SOFTWARE ENG. OPERATIONS &gt; Software Engineering Operations Fundamentals")</f>
        <v>0</v>
      </c>
      <c r="AS26" s="17">
        <f>COUNTIFS('Prácticas_Revisiones'!$S$2:$S$282,"T018",'Prácticas_Revisiones'!$T$2:$T$282,"SOFTWARE ENG. OPERATIONS &gt; Software Engineering Operations Planning")+COUNTIFS('Prácticas_Snowballing'!$AB$2:$AB$281,"T018",'Prácticas_Snowballing'!$AC$2:$AC$281,"SOFTWARE ENG. OPERATIONS &gt; Software Engineering Operations Planning")</f>
        <v>0</v>
      </c>
      <c r="AT26" s="17">
        <f>COUNTIFS('Prácticas_Revisiones'!$S$2:$S$282,"T018",'Prácticas_Revisiones'!$T$2:$T$282,"SOFTWARE ENG. OPERATIONS &gt; Software Engineering Operations Delivery")+COUNTIFS('Prácticas_Snowballing'!$AB$2:$AB$281,"T018",'Prácticas_Snowballing'!$AC$2:$AC$281,"SOFTWARE ENG. OPERATIONS &gt; Software Engineering Operations Delivery")</f>
        <v>0</v>
      </c>
      <c r="AU26" s="17">
        <f>COUNTIFS('Prácticas_Revisiones'!$S$2:$S$282,"T018",'Prácticas_Revisiones'!$T$2:$T$282,"SOFTWARE ENG. OPERATIONS &gt; Software Engineering Operations Control")+COUNTIFS('Prácticas_Snowballing'!$AB$2:$AB$281,"T018",'Prácticas_Snowballing'!$AC$2:$AC$281,"SOFTWARE ENG. OPERATIONS &gt; Software Engineering Operations Control")</f>
        <v>0</v>
      </c>
      <c r="AV26" s="17">
        <f>COUNTIFS('Prácticas_Revisiones'!$S$2:$S$282,"T018",'Prácticas_Revisiones'!$T$2:$T$282,"SOFTWARE ENG. OPERATIONS &gt; Practical Considerations")+COUNTIFS('Prácticas_Snowballing'!$AB$2:$AB$281,"T018",'Prácticas_Snowballing'!$AC$2:$AC$281,"SOFTWARE ENG. OPERATIONS &gt; Practical Considerations")</f>
        <v>0</v>
      </c>
      <c r="AW26" s="17">
        <f>COUNTIFS('Prácticas_Revisiones'!$S$2:$S$282,"T018",'Prácticas_Revisiones'!$T$2:$T$282,"SOFTWARE ENG. OPERATIONS &gt; Software Engineering Operations Tools")+COUNTIFS('Prácticas_Snowballing'!$AB$2:$AB$281,"T018",'Prácticas_Snowballing'!$AC$2:$AC$281,"SOFTWARE ENG. OPERATIONS &gt; Software Engineering Operations Tools")</f>
        <v>0</v>
      </c>
      <c r="AX26" s="17">
        <f>COUNTIFS('Prácticas_Revisiones'!$S$2:$S$282,"T018",'Prácticas_Revisiones'!$T$2:$T$282,"SOFTWARE ENG. OPERATIONS &gt; Subárea no determinable")+COUNTIFS('Prácticas_Snowballing'!$AB$2:$AB$281,"T018",'Prácticas_Snowballing'!$AC$2:$AC$281,"SOFTWARE ENG. OPERATIONS &gt; Subárea no determinable")</f>
        <v>0</v>
      </c>
      <c r="AY26" s="29">
        <f t="shared" si="23"/>
        <v>0</v>
      </c>
      <c r="AZ26" s="17">
        <f>COUNTIFS('Prácticas_Revisiones'!$S$2:$S$282,"T018",'Prácticas_Revisiones'!$T$2:$T$282,"MAINTENANCE &gt; Software Maintenance Fundamentals")+COUNTIFS('Prácticas_Snowballing'!$AB$2:$AB$281,"T018",'Prácticas_Snowballing'!$AC$2:$AC$281,"MAINTENANCE &gt; Software Maintenance Fundamentals")</f>
        <v>0</v>
      </c>
      <c r="BA26" s="17">
        <f>COUNTIFS('Prácticas_Revisiones'!$S$2:$S$282,"T018",'Prácticas_Revisiones'!$T$2:$T$282,"MAINTENANCE &gt; Key Issues in Software Maintenance")+COUNTIFS('Prácticas_Snowballing'!$AB$2:$AB$281,"T018",'Prácticas_Snowballing'!$AC$2:$AC$281,"MAINTENANCE &gt; Key Issues in Software Maintenance")</f>
        <v>0</v>
      </c>
      <c r="BB26" s="17">
        <f>COUNTIFS('Prácticas_Revisiones'!$S$2:$S$282,"T018",'Prácticas_Revisiones'!$T$2:$T$282,"MAINTENANCE &gt; Software Maintenance Processes")+COUNTIFS('Prácticas_Snowballing'!$AB$2:$AB$281,"T018",'Prácticas_Snowballing'!$AC$2:$AC$281,"MAINTENANCE &gt; Software Maintenance Processes")</f>
        <v>0</v>
      </c>
      <c r="BC26" s="17">
        <f>COUNTIFS('Prácticas_Revisiones'!$S$2:$S$282,"T018",'Prácticas_Revisiones'!$T$2:$T$282,"MAINTENANCE &gt; Software Maintenance Techniques")+COUNTIFS('Prácticas_Snowballing'!$AB$2:$AB$281,"T018",'Prácticas_Snowballing'!$AC$2:$AC$281,"MAINTENANCE &gt; Software Maintenance Techniques")</f>
        <v>0</v>
      </c>
      <c r="BD26" s="17">
        <f>COUNTIFS('Prácticas_Revisiones'!$S$2:$S$282,"T018",'Prácticas_Revisiones'!$T$2:$T$282,"MAINTENANCE &gt; Software Maintenance Tools")+COUNTIFS('Prácticas_Snowballing'!$AB$2:$AB$281,"T018",'Prácticas_Snowballing'!$AC$2:$AC$281,"MAINTENANCE &gt; Software Maintenance Tools")</f>
        <v>0</v>
      </c>
      <c r="BE26" s="17">
        <f>COUNTIFS('Prácticas_Revisiones'!$S$2:$S$282,"T018",'Prácticas_Revisiones'!$T$2:$T$282,"MAINTENANCE &gt; Subárea no determinable")+COUNTIFS('Prácticas_Snowballing'!$AB$2:$AB$281,"T018",'Prácticas_Snowballing'!$AC$2:$AC$281,"MAINTENANCE &gt; Subárea no determinable")</f>
        <v>0</v>
      </c>
      <c r="BF26" s="29">
        <f t="shared" si="24"/>
        <v>0</v>
      </c>
      <c r="BG26" s="17">
        <f>COUNTIFS('Prácticas_Revisiones'!$S$2:$S$282,"T018",'Prácticas_Revisiones'!$T$2:$T$282,"SOFTWARE CONFIG. MGMT. &gt; Management of the SCM Process")+COUNTIFS('Prácticas_Snowballing'!$AB$2:$AB$281,"T018",'Prácticas_Snowballing'!$AC$2:$AC$281,"SOFTWARE CONFIG. MGMT. &gt; Management of the SCM Process")</f>
        <v>0</v>
      </c>
      <c r="BH26" s="17">
        <f>COUNTIFS('Prácticas_Revisiones'!$S$2:$S$282,"T018",'Prácticas_Revisiones'!$T$2:$T$282,"SOFTWARE CONFIG. MGMT. &gt; Software Configuration Identification")+COUNTIFS('Prácticas_Snowballing'!$AB$2:$AB$281,"T018",'Prácticas_Snowballing'!$AC$2:$AC$281,"SOFTWARE CONFIG. MGMT. &gt; Software Configuration Identification")</f>
        <v>0</v>
      </c>
      <c r="BI26" s="17">
        <f>COUNTIFS('Prácticas_Revisiones'!$S$2:$S$282,"T018",'Prácticas_Revisiones'!$T$2:$T$282,"SOFTWARE CONFIG. MGMT. &gt; Software Configuration Change Control")+COUNTIFS('Prácticas_Snowballing'!$AB$2:$AB$281,"T018",'Prácticas_Snowballing'!$AC$2:$AC$281,"SOFTWARE CONFIG. MGMT. &gt; Software Configuration Change Control")</f>
        <v>0</v>
      </c>
      <c r="BJ26" s="17">
        <f>COUNTIFS('Prácticas_Revisiones'!$S$2:$S$282,"T018",'Prácticas_Revisiones'!$T$2:$T$282,"SOFTWARE CONFIG. MGMT. &gt; Software Configuration Status Accounting")+COUNTIFS('Prácticas_Snowballing'!$AB$2:$AB$281,"T018",'Prácticas_Snowballing'!$AC$2:$AC$281,"SOFTWARE CONFIG. MGMT. &gt; Software Configuration Status Accounting")</f>
        <v>0</v>
      </c>
      <c r="BK26" s="17">
        <f>COUNTIFS('Prácticas_Revisiones'!$S$2:$S$282,"T018",'Prácticas_Revisiones'!$T$2:$T$282,"SOFTWARE CONFIG. MGMT. &gt; Software Configuration Auditing")+COUNTIFS('Prácticas_Snowballing'!$AB$2:$AB$281,"T018",'Prácticas_Snowballing'!$AC$2:$AC$281,"SOFTWARE CONFIG. MGMT. &gt; Software Configuration Auditing")</f>
        <v>0</v>
      </c>
      <c r="BL26" s="17">
        <f>COUNTIFS('Prácticas_Revisiones'!$S$2:$S$282,"T018",'Prácticas_Revisiones'!$T$2:$T$282,"SOFTWARE CONFIG. MGMT. &gt; Software Release Management and Delivery")+COUNTIFS('Prácticas_Snowballing'!$AB$2:$AB$281,"T018",'Prácticas_Snowballing'!$AC$2:$AC$281,"SOFTWARE CONFIG. MGMT. &gt; Software Release Management and Delivery")</f>
        <v>0</v>
      </c>
      <c r="BM26" s="17">
        <f>COUNTIFS('Prácticas_Revisiones'!$S$2:$S$282,"T018",'Prácticas_Revisiones'!$T$2:$T$282,"SOFTWARE CONFIG. MGMT. &gt; Software Configuration Management Tools")+COUNTIFS('Prácticas_Snowballing'!$AB$2:$AB$281,"T018",'Prácticas_Snowballing'!$AC$2:$AC$281,"SOFTWARE CONFIG. MGMT. &gt; Software Configuration Management Tools")</f>
        <v>0</v>
      </c>
      <c r="BN26" s="17">
        <f>COUNTIFS('Prácticas_Revisiones'!$S$2:$S$282,"T018",'Prácticas_Revisiones'!$T$2:$T$282,"SOFTWARE CONFIG. MGMT. &gt; Subárea no determinable")+COUNTIFS('Prácticas_Snowballing'!$AB$2:$AB$281,"T018",'Prácticas_Snowballing'!$AC$2:$AC$281,"SOFTWARE CONFIG. MGMT. &gt; Subárea no determinable")</f>
        <v>0</v>
      </c>
      <c r="BO26" s="29">
        <f t="shared" si="25"/>
        <v>0</v>
      </c>
      <c r="BP26" s="17">
        <f>COUNTIFS('Prácticas_Revisiones'!$S$2:$S$282,"T018",'Prácticas_Revisiones'!$T$2:$T$282,"SOFTWARE ENG. PROCESS &gt; Software Engineering Process Fundamentals")+COUNTIFS('Prácticas_Snowballing'!$AB$2:$AB$281,"T018",'Prácticas_Snowballing'!$AC$2:$AC$281,"SOFTWARE ENG. PROCESS &gt; Software Engineering Process Fundamentals")</f>
        <v>0</v>
      </c>
      <c r="BQ26" s="17">
        <f>COUNTIFS('Prácticas_Revisiones'!$S$2:$S$282,"T018",'Prácticas_Revisiones'!$T$2:$T$282,"SOFTWARE ENG. PROCESS &gt; Life Cycles")+COUNTIFS('Prácticas_Snowballing'!$AB$2:$AB$281,"T018",'Prácticas_Snowballing'!$AC$2:$AC$281,"SOFTWARE ENG. PROCESS &gt; Life Cycles")</f>
        <v>0</v>
      </c>
      <c r="BR26" s="17">
        <f>COUNTIFS('Prácticas_Revisiones'!$S$2:$S$282,"T018",'Prácticas_Revisiones'!$T$2:$T$282,"SOFTWARE ENG. PROCESS &gt; Software Process Assessment and Improvement")+COUNTIFS('Prácticas_Snowballing'!$AB$2:$AB$281,"T018",'Prácticas_Snowballing'!$AC$2:$AC$281,"SOFTWARE ENG. PROCESS &gt; Software Process Assessment and Improvement")</f>
        <v>0</v>
      </c>
      <c r="BS26" s="17">
        <f>COUNTIFS('Prácticas_Revisiones'!$S$2:$S$282,"T018",'Prácticas_Revisiones'!$T$2:$T$282,"SOFTWARE ENG. PROCESS &gt; Subárea no determinable")+COUNTIFS('Prácticas_Snowballing'!$AB$2:$AB$281,"T018",'Prácticas_Snowballing'!$AC$2:$AC$281,"SOFTWARE ENG. PROCESS &gt; Subárea no determinable")</f>
        <v>0</v>
      </c>
      <c r="BT26" s="29">
        <f t="shared" si="26"/>
        <v>0</v>
      </c>
      <c r="BU26" s="17">
        <f>COUNTIFS('Prácticas_Revisiones'!$S$2:$S$282,"T018",'Prácticas_Revisiones'!$T$2:$T$282,"SOFTWARE ENG. MODELS/METH. &gt; Modeling")+COUNTIFS('Prácticas_Snowballing'!$AB$2:$AB$281,"T018",'Prácticas_Snowballing'!$AC$2:$AC$281,"SOFTWARE ENG. MODELS/METH. &gt; Modeling")</f>
        <v>0</v>
      </c>
      <c r="BV26" s="17">
        <f>COUNTIFS('Prácticas_Revisiones'!$S$2:$S$282,"T018",'Prácticas_Revisiones'!$T$2:$T$282,"SOFTWARE ENG. MODELS/METH. &gt; Types of Models")+COUNTIFS('Prácticas_Snowballing'!$AB$2:$AB$281,"T018",'Prácticas_Snowballing'!$AC$2:$AC$281,"SOFTWARE ENG. MODELS/METH. &gt; Types of Models")</f>
        <v>0</v>
      </c>
      <c r="BW26" s="17">
        <f>COUNTIFS('Prácticas_Revisiones'!$S$2:$S$282,"T018",'Prácticas_Revisiones'!$T$2:$T$282,"SOFTWARE ENG. MODELS/METH. &gt; Analysis of Models")+COUNTIFS('Prácticas_Snowballing'!$AB$2:$AB$281,"T018",'Prácticas_Snowballing'!$AC$2:$AC$281,"SOFTWARE ENG. MODELS/METH. &gt; Analysis of Models")</f>
        <v>0</v>
      </c>
      <c r="BX26" s="17">
        <f>COUNTIFS('Prácticas_Revisiones'!$S$2:$S$282,"T018",'Prácticas_Revisiones'!$T$2:$T$282,"SOFTWARE ENG. MODELS/METH. &gt; Software Engineering Methods")+COUNTIFS('Prácticas_Snowballing'!$AB$2:$AB$281,"T018",'Prácticas_Snowballing'!$AC$2:$AC$281,"SOFTWARE ENG. MODELS/METH. &gt; Software Engineering Methods")</f>
        <v>0</v>
      </c>
      <c r="BY26" s="17">
        <f>COUNTIFS('Prácticas_Revisiones'!$S$2:$S$282,"T018",'Prácticas_Revisiones'!$T$2:$T$282,"SOFTWARE ENG. MODELS/METH. &gt; Subárea no determinable")+COUNTIFS('Prácticas_Snowballing'!$AB$2:$AB$281,"T018",'Prácticas_Snowballing'!$AC$2:$AC$281,"SOFTWARE ENG. MODELS/METH. &gt; Subárea no determinable")</f>
        <v>0</v>
      </c>
      <c r="BZ26" s="29">
        <f t="shared" si="27"/>
        <v>0</v>
      </c>
      <c r="CA26" s="17">
        <f>COUNTIFS('Prácticas_Revisiones'!$S$2:$S$282,"T018",'Prácticas_Revisiones'!$T$2:$T$282,"SOFTWARE QUALITY &gt; Software Quality Fundamentals")+COUNTIFS('Prácticas_Snowballing'!$AB$2:$AB$281,"T018",'Prácticas_Snowballing'!$AC$2:$AC$281,"SOFTWARE QUALITY &gt; Software Quality Fundamentals")</f>
        <v>0</v>
      </c>
      <c r="CB26" s="17">
        <f>COUNTIFS('Prácticas_Revisiones'!$S$2:$S$282,"T018",'Prácticas_Revisiones'!$T$2:$T$282,"SOFTWARE QUALITY &gt; Software Quality Management Process")+COUNTIFS('Prácticas_Snowballing'!$AB$2:$AB$281,"T018",'Prácticas_Snowballing'!$AC$2:$AC$281,"SOFTWARE QUALITY &gt; Software Quality Management Process")</f>
        <v>0</v>
      </c>
      <c r="CC26" s="17">
        <f>COUNTIFS('Prácticas_Revisiones'!$S$2:$S$282,"T018",'Prácticas_Revisiones'!$T$2:$T$282,"SOFTWARE QUALITY &gt; Software Quality Assurance Process")+COUNTIFS('Prácticas_Snowballing'!$AB$2:$AB$281,"T018",'Prácticas_Snowballing'!$AC$2:$AC$281,"SOFTWARE QUALITY &gt; Software Quality Assurance Process")</f>
        <v>0</v>
      </c>
      <c r="CD26" s="17">
        <f>COUNTIFS('Prácticas_Revisiones'!$S$2:$S$282,"T018",'Prácticas_Revisiones'!$T$2:$T$282,"SOFTWARE QUALITY &gt; Software Quality Tools")+COUNTIFS('Prácticas_Snowballing'!$AB$2:$AB$281,"T018",'Prácticas_Snowballing'!$AC$2:$AC$281,"SOFTWARE QUALITY &gt; Software Quality Tools")</f>
        <v>0</v>
      </c>
      <c r="CE26" s="17">
        <f>COUNTIFS('Prácticas_Revisiones'!$S$2:$S$282,"T018",'Prácticas_Revisiones'!$T$2:$T$282,"SOFTWARE QUALITY &gt; Subárea no determinable")+COUNTIFS('Prácticas_Snowballing'!$AB$2:$AB$281,"T018",'Prácticas_Snowballing'!$AC$2:$AC$281,"SOFTWARE QUALITY &gt; Subárea no determinable")</f>
        <v>0</v>
      </c>
      <c r="CF26" s="29">
        <f t="shared" si="28"/>
        <v>0</v>
      </c>
      <c r="CG26" s="17">
        <f>COUNTIFS('Prácticas_Revisiones'!$S$2:$S$282,"T018",'Prácticas_Revisiones'!$T$2:$T$282,"SOFTWARE SECURITY &gt; Software Security Fundamentals")+COUNTIFS('Prácticas_Snowballing'!$AB$2:$AB$281,"T018",'Prácticas_Snowballing'!$AC$2:$AC$281,"SOFTWARE SECURITY &gt; Software Security Fundamentals")</f>
        <v>0</v>
      </c>
      <c r="CH26" s="17">
        <f>COUNTIFS('Prácticas_Revisiones'!$S$2:$S$282,"T018",'Prácticas_Revisiones'!$T$2:$T$282,"SOFTWARE SECURITY &gt; Security Management and Organization")+COUNTIFS('Prácticas_Snowballing'!$AB$2:$AB$281,"T018",'Prácticas_Snowballing'!$AC$2:$AC$281,"SOFTWARE SECURITY &gt; Security Management and Organization")</f>
        <v>0</v>
      </c>
      <c r="CI26" s="17">
        <f>COUNTIFS('Prácticas_Revisiones'!$S$2:$S$282,"T018",'Prácticas_Revisiones'!$T$2:$T$282,"SOFTWARE SECURITY &gt; Software Security Engineering and Process")+COUNTIFS('Prácticas_Snowballing'!$AB$2:$AB$281,"T018",'Prácticas_Snowballing'!$AC$2:$AC$281,"SOFTWARE SECURITY &gt; Software Security Engineering and Process")</f>
        <v>0</v>
      </c>
      <c r="CJ26" s="17">
        <f>COUNTIFS('Prácticas_Revisiones'!$S$2:$S$282,"T018",'Prácticas_Revisiones'!$T$2:$T$282,"SOFTWARE SECURITY &gt; Security Engineering for Software Systems")+COUNTIFS('Prácticas_Snowballing'!$AB$2:$AB$281,"T018",'Prácticas_Snowballing'!$AC$2:$AC$281,"SOFTWARE SECURITY &gt; Security Engineering for Software Systems")</f>
        <v>0</v>
      </c>
      <c r="CK26" s="17">
        <f>COUNTIFS('Prácticas_Revisiones'!$S$2:$S$282,"T018",'Prácticas_Revisiones'!$T$2:$T$282,"SOFTWARE SECURITY &gt; Software Security Tools")+COUNTIFS('Prácticas_Snowballing'!$AB$2:$AB$281,"T018",'Prácticas_Snowballing'!$AC$2:$AC$281,"SOFTWARE SECURITY &gt; Software Security Tools")</f>
        <v>0</v>
      </c>
      <c r="CL26" s="17">
        <f>COUNTIFS('Prácticas_Revisiones'!$S$2:$S$282,"T018",'Prácticas_Revisiones'!$T$2:$T$282,"SOFTWARE SECURITY &gt; Domain Specific Software Security")+COUNTIFS('Prácticas_Snowballing'!$AB$2:$AB$281,"T018",'Prácticas_Snowballing'!$AC$2:$AC$281,"SOFTWARE SECURITY &gt; Domain Specific Software Security")</f>
        <v>0</v>
      </c>
      <c r="CM26" s="17">
        <f>COUNTIFS('Prácticas_Revisiones'!$S$2:$S$282,"T018",'Prácticas_Revisiones'!$T$2:$T$282,"SOFTWARE SECURITY &gt; Subárea no determinable")+COUNTIFS('Prácticas_Snowballing'!$AB$2:$AB$281,"T018",'Prácticas_Snowballing'!$AC$2:$AC$281,"SOFTWARE SECURITY &gt; Subárea no determinable")</f>
        <v>0</v>
      </c>
      <c r="CN26" s="29">
        <f t="shared" si="29"/>
        <v>0</v>
      </c>
      <c r="CO26" s="17">
        <f>COUNTIFS('Prácticas_Revisiones'!$S$2:$S$282,"T018",'Prácticas_Revisiones'!$T$2:$T$282,"PROFESSIONAL PRACTICE &gt; Professionalism")+COUNTIFS('Prácticas_Snowballing'!$AB$2:$AB$281,"T018",'Prácticas_Snowballing'!$AC$2:$AC$281,"PROFESSIONAL PRACTICE &gt; Professionalism")</f>
        <v>0</v>
      </c>
      <c r="CP26" s="17">
        <f>COUNTIFS('Prácticas_Revisiones'!$S$2:$S$282,"T018",'Prácticas_Revisiones'!$T$2:$T$282,"PROFESSIONAL PRACTICE &gt; Group Dynamics and Psychology")+COUNTIFS('Prácticas_Snowballing'!$AB$2:$AB$281,"T018",'Prácticas_Snowballing'!$AC$2:$AC$281,"PROFESSIONAL PRACTICE &gt; Group Dynamics and Psychology")</f>
        <v>0</v>
      </c>
      <c r="CQ26" s="17">
        <f>COUNTIFS('Prácticas_Revisiones'!$S$2:$S$282,"T018",'Prácticas_Revisiones'!$T$2:$T$282,"PROFESSIONAL PRACTICE &gt; Communication Skills")+COUNTIFS('Prácticas_Snowballing'!$AB$2:$AB$281,"T018",'Prácticas_Snowballing'!$AC$2:$AC$281,"PROFESSIONAL PRACTICE &gt; Communication Skills")</f>
        <v>0</v>
      </c>
      <c r="CR26" s="17">
        <f>COUNTIFS('Prácticas_Revisiones'!$S$2:$S$282,"T018",'Prácticas_Revisiones'!$T$2:$T$282,"PROFESSIONAL PRACTICE &gt; Subárea no determinable")+COUNTIFS('Prácticas_Snowballing'!$AB$2:$AB$281,"T018",'Prácticas_Snowballing'!$AC$2:$AC$281,"PROFESSIONAL PRACTICE &gt; Subárea no determinable")</f>
        <v>0</v>
      </c>
      <c r="CS26" s="29">
        <f t="shared" si="30"/>
        <v>0</v>
      </c>
      <c r="CT26" s="17">
        <f>COUNTIFS('Prácticas_Revisiones'!$S$2:$S$282,"T018",'Prácticas_Revisiones'!$T$2:$T$282,"SOFTWARE ENG. ECONOMICS &gt; Software Engineering Economics Fundamentals")+COUNTIFS('Prácticas_Snowballing'!$AB$2:$AB$281,"T018",'Prácticas_Snowballing'!$AC$2:$AC$281,"SOFTWARE ENG. ECONOMICS &gt; Software Engineering Economics Fundamentals")</f>
        <v>0</v>
      </c>
      <c r="CU26" s="17">
        <f>COUNTIFS('Prácticas_Revisiones'!$S$2:$S$282,"T018",'Prácticas_Revisiones'!$T$2:$T$282,"SOFTWARE ENG. ECONOMICS &gt; The Engineering Decision-Making Process")+COUNTIFS('Prácticas_Snowballing'!$AB$2:$AB$281,"T018",'Prácticas_Snowballing'!$AC$2:$AC$281,"SOFTWARE ENG. ECONOMICS &gt; The Engineering Decision-Making Process")</f>
        <v>0</v>
      </c>
      <c r="CV26" s="17">
        <f>COUNTIFS('Prácticas_Revisiones'!$S$2:$S$282,"T018",'Prácticas_Revisiones'!$T$2:$T$282,"SOFTWARE ENG. ECONOMICS &gt; For-Profit Decision-Making")+COUNTIFS('Prácticas_Snowballing'!$AB$2:$AB$281,"T018",'Prácticas_Snowballing'!$AC$2:$AC$281,"SOFTWARE ENG. ECONOMICS &gt; For-Profit Decision-Making")</f>
        <v>0</v>
      </c>
      <c r="CW26" s="17">
        <f>COUNTIFS('Prácticas_Revisiones'!$S$2:$S$282,"T018",'Prácticas_Revisiones'!$T$2:$T$282,"SOFTWARE ENG. ECONOMICS &gt; Nonprofit Decision-Making")+COUNTIFS('Prácticas_Snowballing'!$AB$2:$AB$281,"T018",'Prácticas_Snowballing'!$AC$2:$AC$281,"SOFTWARE ENG. ECONOMICS &gt; Nonprofit Decision-Making")</f>
        <v>0</v>
      </c>
      <c r="CX26" s="17">
        <f>COUNTIFS('Prácticas_Revisiones'!$S$2:$S$282,"T018",'Prácticas_Revisiones'!$T$2:$T$282,"SOFTWARE ENG. ECONOMICS &gt; Present Economy Decision-Making")+COUNTIFS('Prácticas_Snowballing'!$AB$2:$AB$281,"T018",'Prácticas_Snowballing'!$AC$2:$AC$281,"SOFTWARE ENG. ECONOMICS &gt; Present Economy Decision-Making")</f>
        <v>0</v>
      </c>
      <c r="CY26" s="17">
        <f>COUNTIFS('Prácticas_Revisiones'!$S$2:$S$282,"T018",'Prácticas_Revisiones'!$T$2:$T$282,"SOFTWARE ENG. ECONOMICS &gt; Multiple-Attribute Decision-Making")+COUNTIFS('Prácticas_Snowballing'!$AB$2:$AB$281,"T018",'Prácticas_Snowballing'!$AC$2:$AC$281,"SOFTWARE ENG. ECONOMICS &gt; Multiple-Attribute Decision-Making")</f>
        <v>0</v>
      </c>
      <c r="CZ26" s="17">
        <f>COUNTIFS('Prácticas_Revisiones'!$S$2:$S$282,"T018",'Prácticas_Revisiones'!$T$2:$T$282,"SOFTWARE ENG. ECONOMICS &gt; Identifying and Characterizing Intangible Assets")+COUNTIFS('Prácticas_Snowballing'!$AB$2:$AB$281,"T018",'Prácticas_Snowballing'!$AC$2:$AC$281,"SOFTWARE ENG. ECONOMICS &gt; Identifying and Characterizing Intangible Assets")</f>
        <v>0</v>
      </c>
      <c r="DA26" s="17">
        <f>COUNTIFS('Prácticas_Revisiones'!$S$2:$S$282,"T018",'Prácticas_Revisiones'!$T$2:$T$282,"SOFTWARE ENG. ECONOMICS &gt; Estimation")+COUNTIFS('Prácticas_Snowballing'!$AB$2:$AB$281,"T018",'Prácticas_Snowballing'!$AC$2:$AC$281,"SOFTWARE ENG. ECONOMICS &gt; Estimation")</f>
        <v>0</v>
      </c>
      <c r="DB26" s="17">
        <f>COUNTIFS('Prácticas_Revisiones'!$S$2:$S$282,"T018",'Prácticas_Revisiones'!$T$2:$T$282,"SOFTWARE ENG. ECONOMICS &gt; Practical Considerations")+COUNTIFS('Prácticas_Snowballing'!$AB$2:$AB$281,"T018",'Prácticas_Snowballing'!$AC$2:$AC$281,"SOFTWARE ENG. ECONOMICS &gt; Practical Considerations")</f>
        <v>0</v>
      </c>
      <c r="DC26" s="17">
        <f>COUNTIFS('Prácticas_Revisiones'!$S$2:$S$282,"T018",'Prácticas_Revisiones'!$T$2:$T$282,"SOFTWARE ENG. ECONOMICS &gt; Related Concepts")+COUNTIFS('Prácticas_Snowballing'!$AB$2:$AB$281,"T018",'Prácticas_Snowballing'!$AC$2:$AC$281,"SOFTWARE ENG. ECONOMICS &gt; Related Concepts")</f>
        <v>0</v>
      </c>
      <c r="DD26" s="17">
        <f>COUNTIFS('Prácticas_Revisiones'!$S$2:$S$282,"T018",'Prácticas_Revisiones'!$T$2:$T$282,"SOFTWARE ENG. ECONOMICS &gt; Subárea no determinable")+COUNTIFS('Prácticas_Snowballing'!$AB$2:$AB$281,"T018",'Prácticas_Snowballing'!$AC$2:$AC$281,"SOFTWARE ENG. ECONOMICS &gt; Subárea no determinable")</f>
        <v>0</v>
      </c>
      <c r="DE26" s="29">
        <f t="shared" si="31"/>
        <v>0</v>
      </c>
      <c r="DF26" s="17">
        <f>COUNTIFS('Prácticas_Revisiones'!$S$2:$S$282,"T018",'Prácticas_Revisiones'!$T$2:$T$282,"SOFTWARE ENG. MANAGEMENT &gt; Software Engineering Management Fundamentals")+COUNTIFS('Prácticas_Snowballing'!$AB$2:$AB$281,"T018",'Prácticas_Snowballing'!$AC$2:$AC$281,"SOFTWARE ENG. MANAGEMENT &gt; Software Engineering Management Fundamentals")</f>
        <v>0</v>
      </c>
      <c r="DG26" s="17">
        <f>COUNTIFS('Prácticas_Revisiones'!$S$2:$S$282,"T018",'Prácticas_Revisiones'!$T$2:$T$282,"SOFTWARE ENG. MANAGEMENT &gt; Initiation and Scope Definition")+COUNTIFS('Prácticas_Snowballing'!$AB$2:$AB$281,"T018",'Prácticas_Snowballing'!$AC$2:$AC$281,"SOFTWARE ENG. MANAGEMENT &gt; Initiation and Scope Definition")</f>
        <v>0</v>
      </c>
      <c r="DH26" s="17">
        <f>COUNTIFS('Prácticas_Revisiones'!$S$2:$S$282,"T018",'Prácticas_Revisiones'!$T$2:$T$282,"SOFTWARE ENG. MANAGEMENT &gt; Software Project Planning")+COUNTIFS('Prácticas_Snowballing'!$AB$2:$AB$281,"T018",'Prácticas_Snowballing'!$AC$2:$AC$281,"SOFTWARE ENG. MANAGEMENT &gt; Software Project Planning")</f>
        <v>0</v>
      </c>
      <c r="DI26" s="17">
        <f>COUNTIFS('Prácticas_Revisiones'!$S$2:$S$282,"T018",'Prácticas_Revisiones'!$T$2:$T$282,"SOFTWARE ENG. MANAGEMENT &gt; Software Project Enactment")+COUNTIFS('Prácticas_Snowballing'!$AB$2:$AB$281,"T018",'Prácticas_Snowballing'!$AC$2:$AC$281,"SOFTWARE ENG. MANAGEMENT &gt; Software Project Enactment")</f>
        <v>0</v>
      </c>
      <c r="DJ26" s="17">
        <f>COUNTIFS('Prácticas_Revisiones'!$S$2:$S$282,"T018",'Prácticas_Revisiones'!$T$2:$T$282,"SOFTWARE ENG. MANAGEMENT &gt; Review and Evaluation")+COUNTIFS('Prácticas_Snowballing'!$AB$2:$AB$281,"T018",'Prácticas_Snowballing'!$AC$2:$AC$281,"SOFTWARE ENG. MANAGEMENT &gt; Review and Evaluation")</f>
        <v>0</v>
      </c>
      <c r="DK26" s="17">
        <f>COUNTIFS('Prácticas_Revisiones'!$S$2:$S$282,"T018",'Prácticas_Revisiones'!$T$2:$T$282,"SOFTWARE ENG. MANAGEMENT &gt; Closure")+COUNTIFS('Prácticas_Snowballing'!$AB$2:$AB$281,"T018",'Prácticas_Snowballing'!$AC$2:$AC$281,"SOFTWARE ENG. MANAGEMENT &gt; Closure")</f>
        <v>0</v>
      </c>
      <c r="DL26" s="17">
        <f>COUNTIFS('Prácticas_Revisiones'!$S$2:$S$282,"T018",'Prácticas_Revisiones'!$T$2:$T$282,"SOFTWARE ENG. MANAGEMENT &gt; Software Engineering Management Tools")+COUNTIFS('Prácticas_Snowballing'!$AB$2:$AB$281,"T018",'Prácticas_Snowballing'!$AC$2:$AC$281,"SOFTWARE ENG. MANAGEMENT &gt; Software Engineering Management Tools")</f>
        <v>0</v>
      </c>
      <c r="DM26" s="17">
        <f>COUNTIFS('Prácticas_Revisiones'!$S$2:$S$282,"T018",'Prácticas_Revisiones'!$T$2:$T$282,"SOFTWARE ENG. MANAGEMENT &gt; Subárea no determinable")+COUNTIFS('Prácticas_Snowballing'!$AB$2:$AB$281,"T018",'Prácticas_Snowballing'!$AC$2:$AC$281,"SOFTWARE ENG. MANAGEMENT &gt; Subárea no determinable")</f>
        <v>0</v>
      </c>
      <c r="DN26" s="29">
        <f t="shared" si="32"/>
        <v>0</v>
      </c>
      <c r="DO26" s="17">
        <f>COUNTIFS('Prácticas_Revisiones'!$S$2:$S$282,"T018",'Prácticas_Revisiones'!$T$2:$T$282,"Sin área SWEBOK")+COUNTIFS('Prácticas_Snowballing'!$AB$2:$AB$281,"T018",'Prácticas_Snowballing'!$AC$2:$AC$281,"Sin área SWEBOK")</f>
        <v>0</v>
      </c>
      <c r="DP26" s="27">
        <f t="shared" si="33"/>
        <v>0</v>
      </c>
    </row>
    <row r="27" ht="15.75" customHeight="1">
      <c r="A27" s="28"/>
      <c r="B27" s="16" t="s">
        <v>2735</v>
      </c>
      <c r="C27" s="17">
        <f>COUNTIFS('Prácticas_Revisiones'!$S$2:$S$282,"T019",'Prácticas_Revisiones'!$T$2:$T$282,"REQUIREMENTS &gt; Software Requirements Fundamentals")+COUNTIFS('Prácticas_Snowballing'!$AB$2:$AB$281,"T019",'Prácticas_Snowballing'!$AC$2:$AC$281,"REQUIREMENTS &gt; Software Requirements Fundamentals")</f>
        <v>0</v>
      </c>
      <c r="D27" s="17">
        <f>COUNTIFS('Prácticas_Revisiones'!$S$2:$S$282,"T019",'Prácticas_Revisiones'!$T$2:$T$282,"REQUIREMENTS &gt; Requirements Elicitation")+COUNTIFS('Prácticas_Snowballing'!$AB$2:$AB$281,"T019",'Prácticas_Snowballing'!$AC$2:$AC$281,"REQUIREMENTS &gt; Requirements Elicitation")</f>
        <v>0</v>
      </c>
      <c r="E27" s="17">
        <f>COUNTIFS('Prácticas_Revisiones'!$S$2:$S$282,"T019",'Prácticas_Revisiones'!$T$2:$T$282,"REQUIREMENTS &gt; Requirements Analysis")+COUNTIFS('Prácticas_Snowballing'!$AB$2:$AB$281,"T019",'Prácticas_Snowballing'!$AC$2:$AC$281,"REQUIREMENTS &gt; Requirements Analysis")</f>
        <v>0</v>
      </c>
      <c r="F27" s="17">
        <f>COUNTIFS('Prácticas_Revisiones'!$S$2:$S$282,"T019",'Prácticas_Revisiones'!$T$2:$T$282,"REQUIREMENTS &gt; Requirements Specification")+COUNTIFS('Prácticas_Snowballing'!$AB$2:$AB$281,"T019",'Prácticas_Snowballing'!$AC$2:$AC$281,"REQUIREMENTS &gt; Requirements Specification")</f>
        <v>0</v>
      </c>
      <c r="G27" s="17">
        <f>COUNTIFS('Prácticas_Revisiones'!$S$2:$S$282,"T019",'Prácticas_Revisiones'!$T$2:$T$282,"REQUIREMENTS &gt; Requirements Validation")+COUNTIFS('Prácticas_Snowballing'!$AB$2:$AB$281,"T019",'Prácticas_Snowballing'!$AC$2:$AC$281,"REQUIREMENTS &gt; Requirements Validation")</f>
        <v>0</v>
      </c>
      <c r="H27" s="17">
        <f>COUNTIFS('Prácticas_Revisiones'!$S$2:$S$282,"T019",'Prácticas_Revisiones'!$T$2:$T$282,"REQUIREMENTS &gt; Requirements Management Activities")+COUNTIFS('Prácticas_Snowballing'!$AB$2:$AB$281,"T019",'Prácticas_Snowballing'!$AC$2:$AC$281,"REQUIREMENTS &gt; Requirements Management Activities")</f>
        <v>0</v>
      </c>
      <c r="I27" s="17">
        <f>COUNTIFS('Prácticas_Revisiones'!$S$2:$S$282,"T019",'Prácticas_Revisiones'!$T$2:$T$282,"REQUIREMENTS &gt; Practical Considerations")+COUNTIFS('Prácticas_Snowballing'!$AB$2:$AB$281,"T019",'Prácticas_Snowballing'!$AC$2:$AC$281,"REQUIREMENTS &gt; Practical Considerations")</f>
        <v>0</v>
      </c>
      <c r="J27" s="17">
        <f>COUNTIFS('Prácticas_Revisiones'!$S$2:$S$282,"T019",'Prácticas_Revisiones'!$T$2:$T$282,"REQUIREMENTS &gt; Software Requirements Tools")+COUNTIFS('Prácticas_Snowballing'!$AB$2:$AB$281,"T019",'Prácticas_Snowballing'!$AC$2:$AC$281,"REQUIREMENTS &gt; Software Requirements Tools")</f>
        <v>0</v>
      </c>
      <c r="K27" s="17">
        <f>COUNTIFS('Prácticas_Revisiones'!$S$2:$S$282,"T019",'Prácticas_Revisiones'!$T$2:$T$282,"REQUIREMENTS &gt; Subárea no determinable")+COUNTIFS('Prácticas_Snowballing'!$AB$2:$AB$281,"T019",'Prácticas_Snowballing'!$AC$2:$AC$281,"REQUIREMENTS &gt; Subárea no determinable")</f>
        <v>0</v>
      </c>
      <c r="L27" s="29">
        <f t="shared" si="18"/>
        <v>0</v>
      </c>
      <c r="M27" s="17">
        <f>COUNTIFS('Prácticas_Revisiones'!$S$2:$S$282,"T019",'Prácticas_Revisiones'!$T$2:$T$282,"ARCHITECTURE &gt; Software Architecture Fundamentals")+COUNTIFS('Prácticas_Snowballing'!$AB$2:$AB$281,"T019",'Prácticas_Snowballing'!$AC$2:$AC$281,"ARCHITECTURE &gt; Software Architecture Fundamentals")</f>
        <v>0</v>
      </c>
      <c r="N27" s="17">
        <f>COUNTIFS('Prácticas_Revisiones'!$S$2:$S$282,"T019",'Prácticas_Revisiones'!$T$2:$T$282,"ARCHITECTURE &gt; Software Architecture Description")+COUNTIFS('Prácticas_Snowballing'!$AB$2:$AB$281,"T019",'Prácticas_Snowballing'!$AC$2:$AC$281,"ARCHITECTURE &gt; Software Architecture Description")</f>
        <v>0</v>
      </c>
      <c r="O27" s="17">
        <f>COUNTIFS('Prácticas_Revisiones'!$S$2:$S$282,"T019",'Prácticas_Revisiones'!$T$2:$T$282,"ARCHITECTURE &gt; Software Architecture Process")+COUNTIFS('Prácticas_Snowballing'!$AB$2:$AB$281,"T019",'Prácticas_Snowballing'!$AC$2:$AC$281,"ARCHITECTURE &gt; Software Architecture Process")</f>
        <v>0</v>
      </c>
      <c r="P27" s="17">
        <f>COUNTIFS('Prácticas_Revisiones'!$S$2:$S$282,"T019",'Prácticas_Revisiones'!$T$2:$T$282,"ARCHITECTURE &gt; Software Architecture Evaluation")+COUNTIFS('Prácticas_Snowballing'!$AB$2:$AB$281,"T019",'Prácticas_Snowballing'!$AC$2:$AC$281,"ARCHITECTURE &gt; Software Architecture Evaluation")</f>
        <v>0</v>
      </c>
      <c r="Q27" s="17">
        <f>COUNTIFS('Prácticas_Revisiones'!$S$2:$S$282,"T019",'Prácticas_Revisiones'!$T$2:$T$282,"ARCHITECTURE &gt; Subárea no determinable")+COUNTIFS('Prácticas_Snowballing'!$AB$2:$AB$281,"T019",'Prácticas_Snowballing'!$AC$2:$AC$281,"ARCHITECTURE &gt; Subárea no determinable")</f>
        <v>0</v>
      </c>
      <c r="R27" s="29">
        <f t="shared" si="19"/>
        <v>0</v>
      </c>
      <c r="S27" s="17">
        <f>COUNTIFS('Prácticas_Revisiones'!$S$2:$S$282,"T019",'Prácticas_Revisiones'!$T$2:$T$282,"DESIGN &gt; Software Design Fundamentals")+COUNTIFS('Prácticas_Snowballing'!$AB$2:$AB$281,"T019",'Prácticas_Snowballing'!$AC$2:$AC$281,"DESIGN &gt; Software Design Fundamentals")</f>
        <v>0</v>
      </c>
      <c r="T27" s="17">
        <f>COUNTIFS('Prácticas_Revisiones'!$S$2:$S$282,"T019",'Prácticas_Revisiones'!$T$2:$T$282,"DESIGN &gt; Software Design Processes")+COUNTIFS('Prácticas_Snowballing'!$AB$2:$AB$281,"T019",'Prácticas_Snowballing'!$AC$2:$AC$281,"DESIGN &gt; Software Design Processes")</f>
        <v>0</v>
      </c>
      <c r="U27" s="17">
        <f>COUNTIFS('Prácticas_Revisiones'!$S$2:$S$282,"T019",'Prácticas_Revisiones'!$T$2:$T$282,"DESIGN &gt; Software Design Qualities")+COUNTIFS('Prácticas_Snowballing'!$AB$2:$AB$281,"T019",'Prácticas_Snowballing'!$AC$2:$AC$281,"DESIGN &gt; Software Design Qualities")</f>
        <v>0</v>
      </c>
      <c r="V27" s="17">
        <f>COUNTIFS('Prácticas_Revisiones'!$S$2:$S$282,"T019",'Prácticas_Revisiones'!$T$2:$T$282,"DESIGN &gt; Recording Software Design")+COUNTIFS('Prácticas_Snowballing'!$AB$2:$AB$281,"T019",'Prácticas_Snowballing'!$AC$2:$AC$281,"DESIGN &gt; Recording Software Design")</f>
        <v>0</v>
      </c>
      <c r="W27" s="17">
        <f>COUNTIFS('Prácticas_Revisiones'!$S$2:$S$282,"T019",'Prácticas_Revisiones'!$T$2:$T$282,"DESIGN &gt; Software Design Strategies and Methods")+COUNTIFS('Prácticas_Snowballing'!$AB$2:$AB$281,"T019",'Prácticas_Snowballing'!$AC$2:$AC$281,"DESIGN &gt; Software Design Strategies and Methods")</f>
        <v>0</v>
      </c>
      <c r="X27" s="17">
        <f>COUNTIFS('Prácticas_Revisiones'!$S$2:$S$282,"T019",'Prácticas_Revisiones'!$T$2:$T$282,"DESIGN &gt; Software Design Analysis and Evaluations")+COUNTIFS('Prácticas_Snowballing'!$AB$2:$AB$281,"T019",'Prácticas_Snowballing'!$AC$2:$AC$281,"DESIGN &gt; Software Design Analysis and Evaluations")</f>
        <v>0</v>
      </c>
      <c r="Y27" s="17">
        <f>COUNTIFS('Prácticas_Revisiones'!$S$2:$S$282,"T019",'Prácticas_Revisiones'!$T$2:$T$282,"DESIGN &gt; Subárea no determinable")+COUNTIFS('Prácticas_Snowballing'!$AB$2:$AB$281,"T019",'Prácticas_Snowballing'!$AC$2:$AC$281,"DESIGN &gt; Subárea no determinable")</f>
        <v>0</v>
      </c>
      <c r="Z27" s="29">
        <f t="shared" si="20"/>
        <v>0</v>
      </c>
      <c r="AA27" s="17">
        <f>COUNTIFS('Prácticas_Revisiones'!$S$2:$S$282,"T019",'Prácticas_Revisiones'!$T$2:$T$282,"CONSTRUCTION &gt; Software Construction Fundamentals")+COUNTIFS('Prácticas_Snowballing'!$AB$2:$AB$281,"T019",'Prácticas_Snowballing'!$AC$2:$AC$281,"CONSTRUCTION &gt; Software Construction Fundamentals")</f>
        <v>9</v>
      </c>
      <c r="AB27" s="17">
        <f>COUNTIFS('Prácticas_Revisiones'!$S$2:$S$282,"T019",'Prácticas_Revisiones'!$T$2:$T$282,"CONSTRUCTION &gt; Managing Construction")+COUNTIFS('Prácticas_Snowballing'!$AB$2:$AB$281,"T019",'Prácticas_Snowballing'!$AC$2:$AC$281,"CONSTRUCTION &gt; Managing Construction")</f>
        <v>0</v>
      </c>
      <c r="AC27" s="17">
        <f>COUNTIFS('Prácticas_Revisiones'!$S$2:$S$282,"T019",'Prácticas_Revisiones'!$T$2:$T$282,"CONSTRUCTION &gt; Practical Considerations")+COUNTIFS('Prácticas_Snowballing'!$AB$2:$AB$281,"T019",'Prácticas_Snowballing'!$AC$2:$AC$281,"CONSTRUCTION &gt; Practical Considerations")</f>
        <v>6</v>
      </c>
      <c r="AD27" s="17">
        <f>COUNTIFS('Prácticas_Revisiones'!$S$2:$S$282,"T019",'Prácticas_Revisiones'!$T$2:$T$282,"CONSTRUCTION &gt; Construction Technologies")+COUNTIFS('Prácticas_Snowballing'!$AB$2:$AB$281,"T019",'Prácticas_Snowballing'!$AC$2:$AC$281,"CONSTRUCTION &gt; Construction Technologies")</f>
        <v>6</v>
      </c>
      <c r="AE27" s="17">
        <f>COUNTIFS('Prácticas_Revisiones'!$S$2:$S$282,"T019",'Prácticas_Revisiones'!$T$2:$T$282,"CONSTRUCTION &gt; Software Construction Tools")+COUNTIFS('Prácticas_Snowballing'!$AB$2:$AB$281,"T019",'Prácticas_Snowballing'!$AC$2:$AC$281,"CONSTRUCTION &gt; Software Construction Tools")</f>
        <v>1</v>
      </c>
      <c r="AF27" s="17">
        <f>COUNTIFS('Prácticas_Revisiones'!$S$2:$S$282,"T019",'Prácticas_Revisiones'!$T$2:$T$282,"CONSTRUCTION &gt; Subárea no determinable")+COUNTIFS('Prácticas_Snowballing'!$AB$2:$AB$281,"T019",'Prácticas_Snowballing'!$AC$2:$AC$281,"CONSTRUCTION &gt; Subárea no determinable")</f>
        <v>0</v>
      </c>
      <c r="AG27" s="29">
        <f t="shared" si="21"/>
        <v>22</v>
      </c>
      <c r="AH27" s="17">
        <f>COUNTIFS('Prácticas_Revisiones'!$S$2:$S$282,"T019",'Prácticas_Revisiones'!$T$2:$T$282,"SOFTWARE TESTING &gt; Software Testing Fundamentals")+COUNTIFS('Prácticas_Snowballing'!$AB$2:$AB$281,"T019",'Prácticas_Snowballing'!$AC$2:$AC$281,"SOFTWARE TESTING &gt; Software Testing Fundamentals")</f>
        <v>0</v>
      </c>
      <c r="AI27" s="17">
        <f>COUNTIFS('Prácticas_Revisiones'!$S$2:$S$282,"T019",'Prácticas_Revisiones'!$T$2:$T$282,"SOFTWARE TESTING &gt; Test Levels")+COUNTIFS('Prácticas_Snowballing'!$AB$2:$AB$281,"T019",'Prácticas_Snowballing'!$AC$2:$AC$281,"SOFTWARE TESTING &gt; Test Levels")</f>
        <v>0</v>
      </c>
      <c r="AJ27" s="17">
        <f>COUNTIFS('Prácticas_Revisiones'!$S$2:$S$282,"T019",'Prácticas_Revisiones'!$T$2:$T$282,"SOFTWARE TESTING &gt; Test Techniques")+COUNTIFS('Prácticas_Snowballing'!$AB$2:$AB$281,"T019",'Prácticas_Snowballing'!$AC$2:$AC$281,"SOFTWARE TESTING &gt; Test Techniques")</f>
        <v>0</v>
      </c>
      <c r="AK27" s="17">
        <f>COUNTIFS('Prácticas_Revisiones'!$S$2:$S$282,"T019",'Prácticas_Revisiones'!$T$2:$T$282,"SOFTWARE TESTING &gt; Test-Related Measures")+COUNTIFS('Prácticas_Snowballing'!$AB$2:$AB$281,"T019",'Prácticas_Snowballing'!$AC$2:$AC$281,"SOFTWARE TESTING &gt; Test-Related Measures")</f>
        <v>0</v>
      </c>
      <c r="AL27" s="17">
        <f>COUNTIFS('Prácticas_Revisiones'!$S$2:$S$282,"T019",'Prácticas_Revisiones'!$T$2:$T$282,"SOFTWARE TESTING &gt; Test Process")+COUNTIFS('Prácticas_Snowballing'!$AB$2:$AB$281,"T019",'Prácticas_Snowballing'!$AC$2:$AC$281,"SOFTWARE TESTING &gt; Test Process")</f>
        <v>0</v>
      </c>
      <c r="AM27" s="17">
        <f>COUNTIFS('Prácticas_Revisiones'!$S$2:$S$282,"T019",'Prácticas_Revisiones'!$T$2:$T$282,"SOFTWARE TESTING &gt; Software Testing in the Development Processes...")+COUNTIFS('Prácticas_Snowballing'!$AB$2:$AB$281,"T019",'Prácticas_Snowballing'!$AC$2:$AC$281,"SOFTWARE TESTING &gt; Software Testing in the Development Processes...")</f>
        <v>0</v>
      </c>
      <c r="AN27" s="17">
        <f>COUNTIFS('Prácticas_Revisiones'!$S$2:$S$282,"T019",'Prácticas_Revisiones'!$T$2:$T$282,"SOFTWARE TESTING &gt; Testing of and Testing Through Emerging Tech...")+COUNTIFS('Prácticas_Snowballing'!$AB$2:$AB$281,"T019",'Prácticas_Snowballing'!$AC$2:$AC$281,"SOFTWARE TESTING &gt; Testing of and Testing Through Emerging Tech...")</f>
        <v>0</v>
      </c>
      <c r="AO27" s="17">
        <f>COUNTIFS('Prácticas_Revisiones'!$S$2:$S$282,"T019",'Prácticas_Revisiones'!$T$2:$T$282,"SOFTWARE TESTING &gt; Software Testing Tools")+COUNTIFS('Prácticas_Snowballing'!$AB$2:$AB$281,"T019",'Prácticas_Snowballing'!$AC$2:$AC$281,"SOFTWARE TESTING &gt; Software Testing Tools")</f>
        <v>0</v>
      </c>
      <c r="AP27" s="17">
        <f>COUNTIFS('Prácticas_Revisiones'!$S$2:$S$282,"T019",'Prácticas_Revisiones'!$T$2:$T$282,"SOFTWARE TESTING &gt; Subárea no determinable")+COUNTIFS('Prácticas_Snowballing'!$AB$2:$AB$281,"T019",'Prácticas_Snowballing'!$AC$2:$AC$281,"SOFTWARE TESTING &gt; Subárea no determinable")</f>
        <v>0</v>
      </c>
      <c r="AQ27" s="29">
        <f t="shared" si="22"/>
        <v>0</v>
      </c>
      <c r="AR27" s="17">
        <f>COUNTIFS('Prácticas_Revisiones'!$S$2:$S$282,"T019",'Prácticas_Revisiones'!$T$2:$T$282,"SOFTWARE ENG. OPERATIONS &gt; Software Engineering Operations Fundamentals")+COUNTIFS('Prácticas_Snowballing'!$AB$2:$AB$281,"T019",'Prácticas_Snowballing'!$AC$2:$AC$281,"SOFTWARE ENG. OPERATIONS &gt; Software Engineering Operations Fundamentals")</f>
        <v>0</v>
      </c>
      <c r="AS27" s="17">
        <f>COUNTIFS('Prácticas_Revisiones'!$S$2:$S$282,"T019",'Prácticas_Revisiones'!$T$2:$T$282,"SOFTWARE ENG. OPERATIONS &gt; Software Engineering Operations Planning")+COUNTIFS('Prácticas_Snowballing'!$AB$2:$AB$281,"T019",'Prácticas_Snowballing'!$AC$2:$AC$281,"SOFTWARE ENG. OPERATIONS &gt; Software Engineering Operations Planning")</f>
        <v>0</v>
      </c>
      <c r="AT27" s="17">
        <f>COUNTIFS('Prácticas_Revisiones'!$S$2:$S$282,"T019",'Prácticas_Revisiones'!$T$2:$T$282,"SOFTWARE ENG. OPERATIONS &gt; Software Engineering Operations Delivery")+COUNTIFS('Prácticas_Snowballing'!$AB$2:$AB$281,"T019",'Prácticas_Snowballing'!$AC$2:$AC$281,"SOFTWARE ENG. OPERATIONS &gt; Software Engineering Operations Delivery")</f>
        <v>0</v>
      </c>
      <c r="AU27" s="17">
        <f>COUNTIFS('Prácticas_Revisiones'!$S$2:$S$282,"T019",'Prácticas_Revisiones'!$T$2:$T$282,"SOFTWARE ENG. OPERATIONS &gt; Software Engineering Operations Control")+COUNTIFS('Prácticas_Snowballing'!$AB$2:$AB$281,"T019",'Prácticas_Snowballing'!$AC$2:$AC$281,"SOFTWARE ENG. OPERATIONS &gt; Software Engineering Operations Control")</f>
        <v>0</v>
      </c>
      <c r="AV27" s="17">
        <f>COUNTIFS('Prácticas_Revisiones'!$S$2:$S$282,"T019",'Prácticas_Revisiones'!$T$2:$T$282,"SOFTWARE ENG. OPERATIONS &gt; Practical Considerations")+COUNTIFS('Prácticas_Snowballing'!$AB$2:$AB$281,"T019",'Prácticas_Snowballing'!$AC$2:$AC$281,"SOFTWARE ENG. OPERATIONS &gt; Practical Considerations")</f>
        <v>0</v>
      </c>
      <c r="AW27" s="17">
        <f>COUNTIFS('Prácticas_Revisiones'!$S$2:$S$282,"T019",'Prácticas_Revisiones'!$T$2:$T$282,"SOFTWARE ENG. OPERATIONS &gt; Software Engineering Operations Tools")+COUNTIFS('Prácticas_Snowballing'!$AB$2:$AB$281,"T019",'Prácticas_Snowballing'!$AC$2:$AC$281,"SOFTWARE ENG. OPERATIONS &gt; Software Engineering Operations Tools")</f>
        <v>0</v>
      </c>
      <c r="AX27" s="17">
        <f>COUNTIFS('Prácticas_Revisiones'!$S$2:$S$282,"T019",'Prácticas_Revisiones'!$T$2:$T$282,"SOFTWARE ENG. OPERATIONS &gt; Subárea no determinable")+COUNTIFS('Prácticas_Snowballing'!$AB$2:$AB$281,"T019",'Prácticas_Snowballing'!$AC$2:$AC$281,"SOFTWARE ENG. OPERATIONS &gt; Subárea no determinable")</f>
        <v>0</v>
      </c>
      <c r="AY27" s="29">
        <f t="shared" si="23"/>
        <v>0</v>
      </c>
      <c r="AZ27" s="17">
        <f>COUNTIFS('Prácticas_Revisiones'!$S$2:$S$282,"T019",'Prácticas_Revisiones'!$T$2:$T$282,"MAINTENANCE &gt; Software Maintenance Fundamentals")+COUNTIFS('Prácticas_Snowballing'!$AB$2:$AB$281,"T019",'Prácticas_Snowballing'!$AC$2:$AC$281,"MAINTENANCE &gt; Software Maintenance Fundamentals")</f>
        <v>0</v>
      </c>
      <c r="BA27" s="17">
        <f>COUNTIFS('Prácticas_Revisiones'!$S$2:$S$282,"T019",'Prácticas_Revisiones'!$T$2:$T$282,"MAINTENANCE &gt; Key Issues in Software Maintenance")+COUNTIFS('Prácticas_Snowballing'!$AB$2:$AB$281,"T019",'Prácticas_Snowballing'!$AC$2:$AC$281,"MAINTENANCE &gt; Key Issues in Software Maintenance")</f>
        <v>0</v>
      </c>
      <c r="BB27" s="17">
        <f>COUNTIFS('Prácticas_Revisiones'!$S$2:$S$282,"T019",'Prácticas_Revisiones'!$T$2:$T$282,"MAINTENANCE &gt; Software Maintenance Processes")+COUNTIFS('Prácticas_Snowballing'!$AB$2:$AB$281,"T019",'Prácticas_Snowballing'!$AC$2:$AC$281,"MAINTENANCE &gt; Software Maintenance Processes")</f>
        <v>0</v>
      </c>
      <c r="BC27" s="17">
        <f>COUNTIFS('Prácticas_Revisiones'!$S$2:$S$282,"T019",'Prácticas_Revisiones'!$T$2:$T$282,"MAINTENANCE &gt; Software Maintenance Techniques")+COUNTIFS('Prácticas_Snowballing'!$AB$2:$AB$281,"T019",'Prácticas_Snowballing'!$AC$2:$AC$281,"MAINTENANCE &gt; Software Maintenance Techniques")</f>
        <v>0</v>
      </c>
      <c r="BD27" s="17">
        <f>COUNTIFS('Prácticas_Revisiones'!$S$2:$S$282,"T019",'Prácticas_Revisiones'!$T$2:$T$282,"MAINTENANCE &gt; Software Maintenance Tools")+COUNTIFS('Prácticas_Snowballing'!$AB$2:$AB$281,"T019",'Prácticas_Snowballing'!$AC$2:$AC$281,"MAINTENANCE &gt; Software Maintenance Tools")</f>
        <v>0</v>
      </c>
      <c r="BE27" s="17">
        <f>COUNTIFS('Prácticas_Revisiones'!$S$2:$S$282,"T019",'Prácticas_Revisiones'!$T$2:$T$282,"MAINTENANCE &gt; Subárea no determinable")+COUNTIFS('Prácticas_Snowballing'!$AB$2:$AB$281,"T019",'Prácticas_Snowballing'!$AC$2:$AC$281,"MAINTENANCE &gt; Subárea no determinable")</f>
        <v>0</v>
      </c>
      <c r="BF27" s="29">
        <f t="shared" si="24"/>
        <v>0</v>
      </c>
      <c r="BG27" s="17">
        <f>COUNTIFS('Prácticas_Revisiones'!$S$2:$S$282,"T019",'Prácticas_Revisiones'!$T$2:$T$282,"SOFTWARE CONFIG. MGMT. &gt; Management of the SCM Process")+COUNTIFS('Prácticas_Snowballing'!$AB$2:$AB$281,"T019",'Prácticas_Snowballing'!$AC$2:$AC$281,"SOFTWARE CONFIG. MGMT. &gt; Management of the SCM Process")</f>
        <v>0</v>
      </c>
      <c r="BH27" s="17">
        <f>COUNTIFS('Prácticas_Revisiones'!$S$2:$S$282,"T019",'Prácticas_Revisiones'!$T$2:$T$282,"SOFTWARE CONFIG. MGMT. &gt; Software Configuration Identification")+COUNTIFS('Prácticas_Snowballing'!$AB$2:$AB$281,"T019",'Prácticas_Snowballing'!$AC$2:$AC$281,"SOFTWARE CONFIG. MGMT. &gt; Software Configuration Identification")</f>
        <v>0</v>
      </c>
      <c r="BI27" s="17">
        <f>COUNTIFS('Prácticas_Revisiones'!$S$2:$S$282,"T019",'Prácticas_Revisiones'!$T$2:$T$282,"SOFTWARE CONFIG. MGMT. &gt; Software Configuration Change Control")+COUNTIFS('Prácticas_Snowballing'!$AB$2:$AB$281,"T019",'Prácticas_Snowballing'!$AC$2:$AC$281,"SOFTWARE CONFIG. MGMT. &gt; Software Configuration Change Control")</f>
        <v>0</v>
      </c>
      <c r="BJ27" s="17">
        <f>COUNTIFS('Prácticas_Revisiones'!$S$2:$S$282,"T019",'Prácticas_Revisiones'!$T$2:$T$282,"SOFTWARE CONFIG. MGMT. &gt; Software Configuration Status Accounting")+COUNTIFS('Prácticas_Snowballing'!$AB$2:$AB$281,"T019",'Prácticas_Snowballing'!$AC$2:$AC$281,"SOFTWARE CONFIG. MGMT. &gt; Software Configuration Status Accounting")</f>
        <v>0</v>
      </c>
      <c r="BK27" s="17">
        <f>COUNTIFS('Prácticas_Revisiones'!$S$2:$S$282,"T019",'Prácticas_Revisiones'!$T$2:$T$282,"SOFTWARE CONFIG. MGMT. &gt; Software Configuration Auditing")+COUNTIFS('Prácticas_Snowballing'!$AB$2:$AB$281,"T019",'Prácticas_Snowballing'!$AC$2:$AC$281,"SOFTWARE CONFIG. MGMT. &gt; Software Configuration Auditing")</f>
        <v>0</v>
      </c>
      <c r="BL27" s="17">
        <f>COUNTIFS('Prácticas_Revisiones'!$S$2:$S$282,"T019",'Prácticas_Revisiones'!$T$2:$T$282,"SOFTWARE CONFIG. MGMT. &gt; Software Release Management and Delivery")+COUNTIFS('Prácticas_Snowballing'!$AB$2:$AB$281,"T019",'Prácticas_Snowballing'!$AC$2:$AC$281,"SOFTWARE CONFIG. MGMT. &gt; Software Release Management and Delivery")</f>
        <v>0</v>
      </c>
      <c r="BM27" s="17">
        <f>COUNTIFS('Prácticas_Revisiones'!$S$2:$S$282,"T019",'Prácticas_Revisiones'!$T$2:$T$282,"SOFTWARE CONFIG. MGMT. &gt; Software Configuration Management Tools")+COUNTIFS('Prácticas_Snowballing'!$AB$2:$AB$281,"T019",'Prácticas_Snowballing'!$AC$2:$AC$281,"SOFTWARE CONFIG. MGMT. &gt; Software Configuration Management Tools")</f>
        <v>0</v>
      </c>
      <c r="BN27" s="17">
        <f>COUNTIFS('Prácticas_Revisiones'!$S$2:$S$282,"T019",'Prácticas_Revisiones'!$T$2:$T$282,"SOFTWARE CONFIG. MGMT. &gt; Subárea no determinable")+COUNTIFS('Prácticas_Snowballing'!$AB$2:$AB$281,"T019",'Prácticas_Snowballing'!$AC$2:$AC$281,"SOFTWARE CONFIG. MGMT. &gt; Subárea no determinable")</f>
        <v>0</v>
      </c>
      <c r="BO27" s="29">
        <f t="shared" si="25"/>
        <v>0</v>
      </c>
      <c r="BP27" s="17">
        <f>COUNTIFS('Prácticas_Revisiones'!$S$2:$S$282,"T019",'Prácticas_Revisiones'!$T$2:$T$282,"SOFTWARE ENG. PROCESS &gt; Software Engineering Process Fundamentals")+COUNTIFS('Prácticas_Snowballing'!$AB$2:$AB$281,"T019",'Prácticas_Snowballing'!$AC$2:$AC$281,"SOFTWARE ENG. PROCESS &gt; Software Engineering Process Fundamentals")</f>
        <v>0</v>
      </c>
      <c r="BQ27" s="17">
        <f>COUNTIFS('Prácticas_Revisiones'!$S$2:$S$282,"T019",'Prácticas_Revisiones'!$T$2:$T$282,"SOFTWARE ENG. PROCESS &gt; Life Cycles")+COUNTIFS('Prácticas_Snowballing'!$AB$2:$AB$281,"T019",'Prácticas_Snowballing'!$AC$2:$AC$281,"SOFTWARE ENG. PROCESS &gt; Life Cycles")</f>
        <v>0</v>
      </c>
      <c r="BR27" s="17">
        <f>COUNTIFS('Prácticas_Revisiones'!$S$2:$S$282,"T019",'Prácticas_Revisiones'!$T$2:$T$282,"SOFTWARE ENG. PROCESS &gt; Software Process Assessment and Improvement")+COUNTIFS('Prácticas_Snowballing'!$AB$2:$AB$281,"T019",'Prácticas_Snowballing'!$AC$2:$AC$281,"SOFTWARE ENG. PROCESS &gt; Software Process Assessment and Improvement")</f>
        <v>0</v>
      </c>
      <c r="BS27" s="17">
        <f>COUNTIFS('Prácticas_Revisiones'!$S$2:$S$282,"T019",'Prácticas_Revisiones'!$T$2:$T$282,"SOFTWARE ENG. PROCESS &gt; Subárea no determinable")+COUNTIFS('Prácticas_Snowballing'!$AB$2:$AB$281,"T019",'Prácticas_Snowballing'!$AC$2:$AC$281,"SOFTWARE ENG. PROCESS &gt; Subárea no determinable")</f>
        <v>0</v>
      </c>
      <c r="BT27" s="29">
        <f t="shared" si="26"/>
        <v>0</v>
      </c>
      <c r="BU27" s="17">
        <f>COUNTIFS('Prácticas_Revisiones'!$S$2:$S$282,"T019",'Prácticas_Revisiones'!$T$2:$T$282,"SOFTWARE ENG. MODELS/METH. &gt; Modeling")+COUNTIFS('Prácticas_Snowballing'!$AB$2:$AB$281,"T019",'Prácticas_Snowballing'!$AC$2:$AC$281,"SOFTWARE ENG. MODELS/METH. &gt; Modeling")</f>
        <v>0</v>
      </c>
      <c r="BV27" s="17">
        <f>COUNTIFS('Prácticas_Revisiones'!$S$2:$S$282,"T019",'Prácticas_Revisiones'!$T$2:$T$282,"SOFTWARE ENG. MODELS/METH. &gt; Types of Models")+COUNTIFS('Prácticas_Snowballing'!$AB$2:$AB$281,"T019",'Prácticas_Snowballing'!$AC$2:$AC$281,"SOFTWARE ENG. MODELS/METH. &gt; Types of Models")</f>
        <v>0</v>
      </c>
      <c r="BW27" s="17">
        <f>COUNTIFS('Prácticas_Revisiones'!$S$2:$S$282,"T019",'Prácticas_Revisiones'!$T$2:$T$282,"SOFTWARE ENG. MODELS/METH. &gt; Analysis of Models")+COUNTIFS('Prácticas_Snowballing'!$AB$2:$AB$281,"T019",'Prácticas_Snowballing'!$AC$2:$AC$281,"SOFTWARE ENG. MODELS/METH. &gt; Analysis of Models")</f>
        <v>0</v>
      </c>
      <c r="BX27" s="17">
        <f>COUNTIFS('Prácticas_Revisiones'!$S$2:$S$282,"T019",'Prácticas_Revisiones'!$T$2:$T$282,"SOFTWARE ENG. MODELS/METH. &gt; Software Engineering Methods")+COUNTIFS('Prácticas_Snowballing'!$AB$2:$AB$281,"T019",'Prácticas_Snowballing'!$AC$2:$AC$281,"SOFTWARE ENG. MODELS/METH. &gt; Software Engineering Methods")</f>
        <v>0</v>
      </c>
      <c r="BY27" s="17">
        <f>COUNTIFS('Prácticas_Revisiones'!$S$2:$S$282,"T019",'Prácticas_Revisiones'!$T$2:$T$282,"SOFTWARE ENG. MODELS/METH. &gt; Subárea no determinable")+COUNTIFS('Prácticas_Snowballing'!$AB$2:$AB$281,"T019",'Prácticas_Snowballing'!$AC$2:$AC$281,"SOFTWARE ENG. MODELS/METH. &gt; Subárea no determinable")</f>
        <v>0</v>
      </c>
      <c r="BZ27" s="29">
        <f t="shared" si="27"/>
        <v>0</v>
      </c>
      <c r="CA27" s="17">
        <f>COUNTIFS('Prácticas_Revisiones'!$S$2:$S$282,"T019",'Prácticas_Revisiones'!$T$2:$T$282,"SOFTWARE QUALITY &gt; Software Quality Fundamentals")+COUNTIFS('Prácticas_Snowballing'!$AB$2:$AB$281,"T019",'Prácticas_Snowballing'!$AC$2:$AC$281,"SOFTWARE QUALITY &gt; Software Quality Fundamentals")</f>
        <v>1</v>
      </c>
      <c r="CB27" s="17">
        <f>COUNTIFS('Prácticas_Revisiones'!$S$2:$S$282,"T019",'Prácticas_Revisiones'!$T$2:$T$282,"SOFTWARE QUALITY &gt; Software Quality Management Process")+COUNTIFS('Prácticas_Snowballing'!$AB$2:$AB$281,"T019",'Prácticas_Snowballing'!$AC$2:$AC$281,"SOFTWARE QUALITY &gt; Software Quality Management Process")</f>
        <v>0</v>
      </c>
      <c r="CC27" s="17">
        <f>COUNTIFS('Prácticas_Revisiones'!$S$2:$S$282,"T019",'Prácticas_Revisiones'!$T$2:$T$282,"SOFTWARE QUALITY &gt; Software Quality Assurance Process")+COUNTIFS('Prácticas_Snowballing'!$AB$2:$AB$281,"T019",'Prácticas_Snowballing'!$AC$2:$AC$281,"SOFTWARE QUALITY &gt; Software Quality Assurance Process")</f>
        <v>0</v>
      </c>
      <c r="CD27" s="17">
        <f>COUNTIFS('Prácticas_Revisiones'!$S$2:$S$282,"T019",'Prácticas_Revisiones'!$T$2:$T$282,"SOFTWARE QUALITY &gt; Software Quality Tools")+COUNTIFS('Prácticas_Snowballing'!$AB$2:$AB$281,"T019",'Prácticas_Snowballing'!$AC$2:$AC$281,"SOFTWARE QUALITY &gt; Software Quality Tools")</f>
        <v>0</v>
      </c>
      <c r="CE27" s="17">
        <f>COUNTIFS('Prácticas_Revisiones'!$S$2:$S$282,"T019",'Prácticas_Revisiones'!$T$2:$T$282,"SOFTWARE QUALITY &gt; Subárea no determinable")+COUNTIFS('Prácticas_Snowballing'!$AB$2:$AB$281,"T019",'Prácticas_Snowballing'!$AC$2:$AC$281,"SOFTWARE QUALITY &gt; Subárea no determinable")</f>
        <v>0</v>
      </c>
      <c r="CF27" s="29">
        <f t="shared" si="28"/>
        <v>1</v>
      </c>
      <c r="CG27" s="17">
        <f>COUNTIFS('Prácticas_Revisiones'!$S$2:$S$282,"T019",'Prácticas_Revisiones'!$T$2:$T$282,"SOFTWARE SECURITY &gt; Software Security Fundamentals")+COUNTIFS('Prácticas_Snowballing'!$AB$2:$AB$281,"T019",'Prácticas_Snowballing'!$AC$2:$AC$281,"SOFTWARE SECURITY &gt; Software Security Fundamentals")</f>
        <v>0</v>
      </c>
      <c r="CH27" s="17">
        <f>COUNTIFS('Prácticas_Revisiones'!$S$2:$S$282,"T019",'Prácticas_Revisiones'!$T$2:$T$282,"SOFTWARE SECURITY &gt; Security Management and Organization")+COUNTIFS('Prácticas_Snowballing'!$AB$2:$AB$281,"T019",'Prácticas_Snowballing'!$AC$2:$AC$281,"SOFTWARE SECURITY &gt; Security Management and Organization")</f>
        <v>0</v>
      </c>
      <c r="CI27" s="17">
        <f>COUNTIFS('Prácticas_Revisiones'!$S$2:$S$282,"T019",'Prácticas_Revisiones'!$T$2:$T$282,"SOFTWARE SECURITY &gt; Software Security Engineering and Process")+COUNTIFS('Prácticas_Snowballing'!$AB$2:$AB$281,"T019",'Prácticas_Snowballing'!$AC$2:$AC$281,"SOFTWARE SECURITY &gt; Software Security Engineering and Process")</f>
        <v>0</v>
      </c>
      <c r="CJ27" s="17">
        <f>COUNTIFS('Prácticas_Revisiones'!$S$2:$S$282,"T019",'Prácticas_Revisiones'!$T$2:$T$282,"SOFTWARE SECURITY &gt; Security Engineering for Software Systems")+COUNTIFS('Prácticas_Snowballing'!$AB$2:$AB$281,"T019",'Prácticas_Snowballing'!$AC$2:$AC$281,"SOFTWARE SECURITY &gt; Security Engineering for Software Systems")</f>
        <v>0</v>
      </c>
      <c r="CK27" s="17">
        <f>COUNTIFS('Prácticas_Revisiones'!$S$2:$S$282,"T019",'Prácticas_Revisiones'!$T$2:$T$282,"SOFTWARE SECURITY &gt; Software Security Tools")+COUNTIFS('Prácticas_Snowballing'!$AB$2:$AB$281,"T019",'Prácticas_Snowballing'!$AC$2:$AC$281,"SOFTWARE SECURITY &gt; Software Security Tools")</f>
        <v>0</v>
      </c>
      <c r="CL27" s="17">
        <f>COUNTIFS('Prácticas_Revisiones'!$S$2:$S$282,"T019",'Prácticas_Revisiones'!$T$2:$T$282,"SOFTWARE SECURITY &gt; Domain Specific Software Security")+COUNTIFS('Prácticas_Snowballing'!$AB$2:$AB$281,"T019",'Prácticas_Snowballing'!$AC$2:$AC$281,"SOFTWARE SECURITY &gt; Domain Specific Software Security")</f>
        <v>0</v>
      </c>
      <c r="CM27" s="17">
        <f>COUNTIFS('Prácticas_Revisiones'!$S$2:$S$282,"T019",'Prácticas_Revisiones'!$T$2:$T$282,"SOFTWARE SECURITY &gt; Subárea no determinable")+COUNTIFS('Prácticas_Snowballing'!$AB$2:$AB$281,"T019",'Prácticas_Snowballing'!$AC$2:$AC$281,"SOFTWARE SECURITY &gt; Subárea no determinable")</f>
        <v>0</v>
      </c>
      <c r="CN27" s="29">
        <f t="shared" si="29"/>
        <v>0</v>
      </c>
      <c r="CO27" s="17">
        <f>COUNTIFS('Prácticas_Revisiones'!$S$2:$S$282,"T019",'Prácticas_Revisiones'!$T$2:$T$282,"PROFESSIONAL PRACTICE &gt; Professionalism")+COUNTIFS('Prácticas_Snowballing'!$AB$2:$AB$281,"T019",'Prácticas_Snowballing'!$AC$2:$AC$281,"PROFESSIONAL PRACTICE &gt; Professionalism")</f>
        <v>0</v>
      </c>
      <c r="CP27" s="17">
        <f>COUNTIFS('Prácticas_Revisiones'!$S$2:$S$282,"T019",'Prácticas_Revisiones'!$T$2:$T$282,"PROFESSIONAL PRACTICE &gt; Group Dynamics and Psychology")+COUNTIFS('Prácticas_Snowballing'!$AB$2:$AB$281,"T019",'Prácticas_Snowballing'!$AC$2:$AC$281,"PROFESSIONAL PRACTICE &gt; Group Dynamics and Psychology")</f>
        <v>0</v>
      </c>
      <c r="CQ27" s="17">
        <f>COUNTIFS('Prácticas_Revisiones'!$S$2:$S$282,"T019",'Prácticas_Revisiones'!$T$2:$T$282,"PROFESSIONAL PRACTICE &gt; Communication Skills")+COUNTIFS('Prácticas_Snowballing'!$AB$2:$AB$281,"T019",'Prácticas_Snowballing'!$AC$2:$AC$281,"PROFESSIONAL PRACTICE &gt; Communication Skills")</f>
        <v>0</v>
      </c>
      <c r="CR27" s="17">
        <f>COUNTIFS('Prácticas_Revisiones'!$S$2:$S$282,"T019",'Prácticas_Revisiones'!$T$2:$T$282,"PROFESSIONAL PRACTICE &gt; Subárea no determinable")+COUNTIFS('Prácticas_Snowballing'!$AB$2:$AB$281,"T019",'Prácticas_Snowballing'!$AC$2:$AC$281,"PROFESSIONAL PRACTICE &gt; Subárea no determinable")</f>
        <v>0</v>
      </c>
      <c r="CS27" s="29">
        <f t="shared" si="30"/>
        <v>0</v>
      </c>
      <c r="CT27" s="17">
        <f>COUNTIFS('Prácticas_Revisiones'!$S$2:$S$282,"T019",'Prácticas_Revisiones'!$T$2:$T$282,"SOFTWARE ENG. ECONOMICS &gt; Software Engineering Economics Fundamentals")+COUNTIFS('Prácticas_Snowballing'!$AB$2:$AB$281,"T019",'Prácticas_Snowballing'!$AC$2:$AC$281,"SOFTWARE ENG. ECONOMICS &gt; Software Engineering Economics Fundamentals")</f>
        <v>0</v>
      </c>
      <c r="CU27" s="17">
        <f>COUNTIFS('Prácticas_Revisiones'!$S$2:$S$282,"T019",'Prácticas_Revisiones'!$T$2:$T$282,"SOFTWARE ENG. ECONOMICS &gt; The Engineering Decision-Making Process")+COUNTIFS('Prácticas_Snowballing'!$AB$2:$AB$281,"T019",'Prácticas_Snowballing'!$AC$2:$AC$281,"SOFTWARE ENG. ECONOMICS &gt; The Engineering Decision-Making Process")</f>
        <v>0</v>
      </c>
      <c r="CV27" s="17">
        <f>COUNTIFS('Prácticas_Revisiones'!$S$2:$S$282,"T019",'Prácticas_Revisiones'!$T$2:$T$282,"SOFTWARE ENG. ECONOMICS &gt; For-Profit Decision-Making")+COUNTIFS('Prácticas_Snowballing'!$AB$2:$AB$281,"T019",'Prácticas_Snowballing'!$AC$2:$AC$281,"SOFTWARE ENG. ECONOMICS &gt; For-Profit Decision-Making")</f>
        <v>0</v>
      </c>
      <c r="CW27" s="17">
        <f>COUNTIFS('Prácticas_Revisiones'!$S$2:$S$282,"T019",'Prácticas_Revisiones'!$T$2:$T$282,"SOFTWARE ENG. ECONOMICS &gt; Nonprofit Decision-Making")+COUNTIFS('Prácticas_Snowballing'!$AB$2:$AB$281,"T019",'Prácticas_Snowballing'!$AC$2:$AC$281,"SOFTWARE ENG. ECONOMICS &gt; Nonprofit Decision-Making")</f>
        <v>0</v>
      </c>
      <c r="CX27" s="17">
        <f>COUNTIFS('Prácticas_Revisiones'!$S$2:$S$282,"T019",'Prácticas_Revisiones'!$T$2:$T$282,"SOFTWARE ENG. ECONOMICS &gt; Present Economy Decision-Making")+COUNTIFS('Prácticas_Snowballing'!$AB$2:$AB$281,"T019",'Prácticas_Snowballing'!$AC$2:$AC$281,"SOFTWARE ENG. ECONOMICS &gt; Present Economy Decision-Making")</f>
        <v>0</v>
      </c>
      <c r="CY27" s="17">
        <f>COUNTIFS('Prácticas_Revisiones'!$S$2:$S$282,"T019",'Prácticas_Revisiones'!$T$2:$T$282,"SOFTWARE ENG. ECONOMICS &gt; Multiple-Attribute Decision-Making")+COUNTIFS('Prácticas_Snowballing'!$AB$2:$AB$281,"T019",'Prácticas_Snowballing'!$AC$2:$AC$281,"SOFTWARE ENG. ECONOMICS &gt; Multiple-Attribute Decision-Making")</f>
        <v>0</v>
      </c>
      <c r="CZ27" s="17">
        <f>COUNTIFS('Prácticas_Revisiones'!$S$2:$S$282,"T019",'Prácticas_Revisiones'!$T$2:$T$282,"SOFTWARE ENG. ECONOMICS &gt; Identifying and Characterizing Intangible Assets")+COUNTIFS('Prácticas_Snowballing'!$AB$2:$AB$281,"T019",'Prácticas_Snowballing'!$AC$2:$AC$281,"SOFTWARE ENG. ECONOMICS &gt; Identifying and Characterizing Intangible Assets")</f>
        <v>0</v>
      </c>
      <c r="DA27" s="17">
        <f>COUNTIFS('Prácticas_Revisiones'!$S$2:$S$282,"T019",'Prácticas_Revisiones'!$T$2:$T$282,"SOFTWARE ENG. ECONOMICS &gt; Estimation")+COUNTIFS('Prácticas_Snowballing'!$AB$2:$AB$281,"T019",'Prácticas_Snowballing'!$AC$2:$AC$281,"SOFTWARE ENG. ECONOMICS &gt; Estimation")</f>
        <v>0</v>
      </c>
      <c r="DB27" s="17">
        <f>COUNTIFS('Prácticas_Revisiones'!$S$2:$S$282,"T019",'Prácticas_Revisiones'!$T$2:$T$282,"SOFTWARE ENG. ECONOMICS &gt; Practical Considerations")+COUNTIFS('Prácticas_Snowballing'!$AB$2:$AB$281,"T019",'Prácticas_Snowballing'!$AC$2:$AC$281,"SOFTWARE ENG. ECONOMICS &gt; Practical Considerations")</f>
        <v>0</v>
      </c>
      <c r="DC27" s="17">
        <f>COUNTIFS('Prácticas_Revisiones'!$S$2:$S$282,"T019",'Prácticas_Revisiones'!$T$2:$T$282,"SOFTWARE ENG. ECONOMICS &gt; Related Concepts")+COUNTIFS('Prácticas_Snowballing'!$AB$2:$AB$281,"T019",'Prácticas_Snowballing'!$AC$2:$AC$281,"SOFTWARE ENG. ECONOMICS &gt; Related Concepts")</f>
        <v>0</v>
      </c>
      <c r="DD27" s="17">
        <f>COUNTIFS('Prácticas_Revisiones'!$S$2:$S$282,"T019",'Prácticas_Revisiones'!$T$2:$T$282,"SOFTWARE ENG. ECONOMICS &gt; Subárea no determinable")+COUNTIFS('Prácticas_Snowballing'!$AB$2:$AB$281,"T019",'Prácticas_Snowballing'!$AC$2:$AC$281,"SOFTWARE ENG. ECONOMICS &gt; Subárea no determinable")</f>
        <v>0</v>
      </c>
      <c r="DE27" s="29">
        <f t="shared" si="31"/>
        <v>0</v>
      </c>
      <c r="DF27" s="17">
        <f>COUNTIFS('Prácticas_Revisiones'!$S$2:$S$282,"T019",'Prácticas_Revisiones'!$T$2:$T$282,"SOFTWARE ENG. MANAGEMENT &gt; Software Engineering Management Fundamentals")+COUNTIFS('Prácticas_Snowballing'!$AB$2:$AB$281,"T019",'Prácticas_Snowballing'!$AC$2:$AC$281,"SOFTWARE ENG. MANAGEMENT &gt; Software Engineering Management Fundamentals")</f>
        <v>0</v>
      </c>
      <c r="DG27" s="17">
        <f>COUNTIFS('Prácticas_Revisiones'!$S$2:$S$282,"T019",'Prácticas_Revisiones'!$T$2:$T$282,"SOFTWARE ENG. MANAGEMENT &gt; Initiation and Scope Definition")+COUNTIFS('Prácticas_Snowballing'!$AB$2:$AB$281,"T019",'Prácticas_Snowballing'!$AC$2:$AC$281,"SOFTWARE ENG. MANAGEMENT &gt; Initiation and Scope Definition")</f>
        <v>0</v>
      </c>
      <c r="DH27" s="17">
        <f>COUNTIFS('Prácticas_Revisiones'!$S$2:$S$282,"T019",'Prácticas_Revisiones'!$T$2:$T$282,"SOFTWARE ENG. MANAGEMENT &gt; Software Project Planning")+COUNTIFS('Prácticas_Snowballing'!$AB$2:$AB$281,"T019",'Prácticas_Snowballing'!$AC$2:$AC$281,"SOFTWARE ENG. MANAGEMENT &gt; Software Project Planning")</f>
        <v>0</v>
      </c>
      <c r="DI27" s="17">
        <f>COUNTIFS('Prácticas_Revisiones'!$S$2:$S$282,"T019",'Prácticas_Revisiones'!$T$2:$T$282,"SOFTWARE ENG. MANAGEMENT &gt; Software Project Enactment")+COUNTIFS('Prácticas_Snowballing'!$AB$2:$AB$281,"T019",'Prácticas_Snowballing'!$AC$2:$AC$281,"SOFTWARE ENG. MANAGEMENT &gt; Software Project Enactment")</f>
        <v>0</v>
      </c>
      <c r="DJ27" s="17">
        <f>COUNTIFS('Prácticas_Revisiones'!$S$2:$S$282,"T019",'Prácticas_Revisiones'!$T$2:$T$282,"SOFTWARE ENG. MANAGEMENT &gt; Review and Evaluation")+COUNTIFS('Prácticas_Snowballing'!$AB$2:$AB$281,"T019",'Prácticas_Snowballing'!$AC$2:$AC$281,"SOFTWARE ENG. MANAGEMENT &gt; Review and Evaluation")</f>
        <v>0</v>
      </c>
      <c r="DK27" s="17">
        <f>COUNTIFS('Prácticas_Revisiones'!$S$2:$S$282,"T019",'Prácticas_Revisiones'!$T$2:$T$282,"SOFTWARE ENG. MANAGEMENT &gt; Closure")+COUNTIFS('Prácticas_Snowballing'!$AB$2:$AB$281,"T019",'Prácticas_Snowballing'!$AC$2:$AC$281,"SOFTWARE ENG. MANAGEMENT &gt; Closure")</f>
        <v>0</v>
      </c>
      <c r="DL27" s="17">
        <f>COUNTIFS('Prácticas_Revisiones'!$S$2:$S$282,"T019",'Prácticas_Revisiones'!$T$2:$T$282,"SOFTWARE ENG. MANAGEMENT &gt; Software Engineering Management Tools")+COUNTIFS('Prácticas_Snowballing'!$AB$2:$AB$281,"T019",'Prácticas_Snowballing'!$AC$2:$AC$281,"SOFTWARE ENG. MANAGEMENT &gt; Software Engineering Management Tools")</f>
        <v>0</v>
      </c>
      <c r="DM27" s="17">
        <f>COUNTIFS('Prácticas_Revisiones'!$S$2:$S$282,"T019",'Prácticas_Revisiones'!$T$2:$T$282,"SOFTWARE ENG. MANAGEMENT &gt; Subárea no determinable")+COUNTIFS('Prácticas_Snowballing'!$AB$2:$AB$281,"T019",'Prácticas_Snowballing'!$AC$2:$AC$281,"SOFTWARE ENG. MANAGEMENT &gt; Subárea no determinable")</f>
        <v>0</v>
      </c>
      <c r="DN27" s="29">
        <f t="shared" si="32"/>
        <v>0</v>
      </c>
      <c r="DO27" s="17">
        <f>COUNTIFS('Prácticas_Revisiones'!$S$2:$S$282,"T019",'Prácticas_Revisiones'!$T$2:$T$282,"Sin área SWEBOK")+COUNTIFS('Prácticas_Snowballing'!$AB$2:$AB$281,"T019",'Prácticas_Snowballing'!$AC$2:$AC$281,"Sin área SWEBOK")</f>
        <v>0</v>
      </c>
      <c r="DP27" s="27">
        <f t="shared" si="33"/>
        <v>23</v>
      </c>
    </row>
    <row r="28" ht="15.75" customHeight="1">
      <c r="A28" s="28"/>
      <c r="B28" s="16" t="s">
        <v>2749</v>
      </c>
      <c r="C28" s="17">
        <f>COUNTIFS('Prácticas_Revisiones'!$S$2:$S$282,"T020",'Prácticas_Revisiones'!$T$2:$T$282,"REQUIREMENTS &gt; Software Requirements Fundamentals")+COUNTIFS('Prácticas_Snowballing'!$AB$2:$AB$281,"T020",'Prácticas_Snowballing'!$AC$2:$AC$281,"REQUIREMENTS &gt; Software Requirements Fundamentals")</f>
        <v>0</v>
      </c>
      <c r="D28" s="17">
        <f>COUNTIFS('Prácticas_Revisiones'!$S$2:$S$282,"T020",'Prácticas_Revisiones'!$T$2:$T$282,"REQUIREMENTS &gt; Requirements Elicitation")+COUNTIFS('Prácticas_Snowballing'!$AB$2:$AB$281,"T020",'Prácticas_Snowballing'!$AC$2:$AC$281,"REQUIREMENTS &gt; Requirements Elicitation")</f>
        <v>0</v>
      </c>
      <c r="E28" s="17">
        <f>COUNTIFS('Prácticas_Revisiones'!$S$2:$S$282,"T020",'Prácticas_Revisiones'!$T$2:$T$282,"REQUIREMENTS &gt; Requirements Analysis")+COUNTIFS('Prácticas_Snowballing'!$AB$2:$AB$281,"T020",'Prácticas_Snowballing'!$AC$2:$AC$281,"REQUIREMENTS &gt; Requirements Analysis")</f>
        <v>0</v>
      </c>
      <c r="F28" s="17">
        <f>COUNTIFS('Prácticas_Revisiones'!$S$2:$S$282,"T020",'Prácticas_Revisiones'!$T$2:$T$282,"REQUIREMENTS &gt; Requirements Specification")+COUNTIFS('Prácticas_Snowballing'!$AB$2:$AB$281,"T020",'Prácticas_Snowballing'!$AC$2:$AC$281,"REQUIREMENTS &gt; Requirements Specification")</f>
        <v>0</v>
      </c>
      <c r="G28" s="17">
        <f>COUNTIFS('Prácticas_Revisiones'!$S$2:$S$282,"T020",'Prácticas_Revisiones'!$T$2:$T$282,"REQUIREMENTS &gt; Requirements Validation")+COUNTIFS('Prácticas_Snowballing'!$AB$2:$AB$281,"T020",'Prácticas_Snowballing'!$AC$2:$AC$281,"REQUIREMENTS &gt; Requirements Validation")</f>
        <v>0</v>
      </c>
      <c r="H28" s="17">
        <f>COUNTIFS('Prácticas_Revisiones'!$S$2:$S$282,"T020",'Prácticas_Revisiones'!$T$2:$T$282,"REQUIREMENTS &gt; Requirements Management Activities")+COUNTIFS('Prácticas_Snowballing'!$AB$2:$AB$281,"T020",'Prácticas_Snowballing'!$AC$2:$AC$281,"REQUIREMENTS &gt; Requirements Management Activities")</f>
        <v>0</v>
      </c>
      <c r="I28" s="17">
        <f>COUNTIFS('Prácticas_Revisiones'!$S$2:$S$282,"T020",'Prácticas_Revisiones'!$T$2:$T$282,"REQUIREMENTS &gt; Practical Considerations")+COUNTIFS('Prácticas_Snowballing'!$AB$2:$AB$281,"T020",'Prácticas_Snowballing'!$AC$2:$AC$281,"REQUIREMENTS &gt; Practical Considerations")</f>
        <v>0</v>
      </c>
      <c r="J28" s="17">
        <f>COUNTIFS('Prácticas_Revisiones'!$S$2:$S$282,"T020",'Prácticas_Revisiones'!$T$2:$T$282,"REQUIREMENTS &gt; Software Requirements Tools")+COUNTIFS('Prácticas_Snowballing'!$AB$2:$AB$281,"T020",'Prácticas_Snowballing'!$AC$2:$AC$281,"REQUIREMENTS &gt; Software Requirements Tools")</f>
        <v>0</v>
      </c>
      <c r="K28" s="17">
        <f>COUNTIFS('Prácticas_Revisiones'!$S$2:$S$282,"T020",'Prácticas_Revisiones'!$T$2:$T$282,"REQUIREMENTS &gt; Subárea no determinable")+COUNTIFS('Prácticas_Snowballing'!$AB$2:$AB$281,"T020",'Prácticas_Snowballing'!$AC$2:$AC$281,"REQUIREMENTS &gt; Subárea no determinable")</f>
        <v>0</v>
      </c>
      <c r="L28" s="29">
        <f t="shared" si="18"/>
        <v>0</v>
      </c>
      <c r="M28" s="17">
        <f>COUNTIFS('Prácticas_Revisiones'!$S$2:$S$282,"T020",'Prácticas_Revisiones'!$T$2:$T$282,"ARCHITECTURE &gt; Software Architecture Fundamentals")+COUNTIFS('Prácticas_Snowballing'!$AB$2:$AB$281,"T020",'Prácticas_Snowballing'!$AC$2:$AC$281,"ARCHITECTURE &gt; Software Architecture Fundamentals")</f>
        <v>0</v>
      </c>
      <c r="N28" s="17">
        <f>COUNTIFS('Prácticas_Revisiones'!$S$2:$S$282,"T020",'Prácticas_Revisiones'!$T$2:$T$282,"ARCHITECTURE &gt; Software Architecture Description")+COUNTIFS('Prácticas_Snowballing'!$AB$2:$AB$281,"T020",'Prácticas_Snowballing'!$AC$2:$AC$281,"ARCHITECTURE &gt; Software Architecture Description")</f>
        <v>0</v>
      </c>
      <c r="O28" s="17">
        <f>COUNTIFS('Prácticas_Revisiones'!$S$2:$S$282,"T020",'Prácticas_Revisiones'!$T$2:$T$282,"ARCHITECTURE &gt; Software Architecture Process")+COUNTIFS('Prácticas_Snowballing'!$AB$2:$AB$281,"T020",'Prácticas_Snowballing'!$AC$2:$AC$281,"ARCHITECTURE &gt; Software Architecture Process")</f>
        <v>0</v>
      </c>
      <c r="P28" s="17">
        <f>COUNTIFS('Prácticas_Revisiones'!$S$2:$S$282,"T020",'Prácticas_Revisiones'!$T$2:$T$282,"ARCHITECTURE &gt; Software Architecture Evaluation")+COUNTIFS('Prácticas_Snowballing'!$AB$2:$AB$281,"T020",'Prácticas_Snowballing'!$AC$2:$AC$281,"ARCHITECTURE &gt; Software Architecture Evaluation")</f>
        <v>0</v>
      </c>
      <c r="Q28" s="17">
        <f>COUNTIFS('Prácticas_Revisiones'!$S$2:$S$282,"T020",'Prácticas_Revisiones'!$T$2:$T$282,"ARCHITECTURE &gt; Subárea no determinable")+COUNTIFS('Prácticas_Snowballing'!$AB$2:$AB$281,"T020",'Prácticas_Snowballing'!$AC$2:$AC$281,"ARCHITECTURE &gt; Subárea no determinable")</f>
        <v>0</v>
      </c>
      <c r="R28" s="29">
        <f t="shared" si="19"/>
        <v>0</v>
      </c>
      <c r="S28" s="17">
        <f>COUNTIFS('Prácticas_Revisiones'!$S$2:$S$282,"T020",'Prácticas_Revisiones'!$T$2:$T$282,"DESIGN &gt; Software Design Fundamentals")+COUNTIFS('Prácticas_Snowballing'!$AB$2:$AB$281,"T020",'Prácticas_Snowballing'!$AC$2:$AC$281,"DESIGN &gt; Software Design Fundamentals")</f>
        <v>0</v>
      </c>
      <c r="T28" s="17">
        <f>COUNTIFS('Prácticas_Revisiones'!$S$2:$S$282,"T020",'Prácticas_Revisiones'!$T$2:$T$282,"DESIGN &gt; Software Design Processes")+COUNTIFS('Prácticas_Snowballing'!$AB$2:$AB$281,"T020",'Prácticas_Snowballing'!$AC$2:$AC$281,"DESIGN &gt; Software Design Processes")</f>
        <v>0</v>
      </c>
      <c r="U28" s="17">
        <f>COUNTIFS('Prácticas_Revisiones'!$S$2:$S$282,"T020",'Prácticas_Revisiones'!$T$2:$T$282,"DESIGN &gt; Software Design Qualities")+COUNTIFS('Prácticas_Snowballing'!$AB$2:$AB$281,"T020",'Prácticas_Snowballing'!$AC$2:$AC$281,"DESIGN &gt; Software Design Qualities")</f>
        <v>0</v>
      </c>
      <c r="V28" s="17">
        <f>COUNTIFS('Prácticas_Revisiones'!$S$2:$S$282,"T020",'Prácticas_Revisiones'!$T$2:$T$282,"DESIGN &gt; Recording Software Design")+COUNTIFS('Prácticas_Snowballing'!$AB$2:$AB$281,"T020",'Prácticas_Snowballing'!$AC$2:$AC$281,"DESIGN &gt; Recording Software Design")</f>
        <v>0</v>
      </c>
      <c r="W28" s="17">
        <f>COUNTIFS('Prácticas_Revisiones'!$S$2:$S$282,"T020",'Prácticas_Revisiones'!$T$2:$T$282,"DESIGN &gt; Software Design Strategies and Methods")+COUNTIFS('Prácticas_Snowballing'!$AB$2:$AB$281,"T020",'Prácticas_Snowballing'!$AC$2:$AC$281,"DESIGN &gt; Software Design Strategies and Methods")</f>
        <v>0</v>
      </c>
      <c r="X28" s="17">
        <f>COUNTIFS('Prácticas_Revisiones'!$S$2:$S$282,"T020",'Prácticas_Revisiones'!$T$2:$T$282,"DESIGN &gt; Software Design Analysis and Evaluations")+COUNTIFS('Prácticas_Snowballing'!$AB$2:$AB$281,"T020",'Prácticas_Snowballing'!$AC$2:$AC$281,"DESIGN &gt; Software Design Analysis and Evaluations")</f>
        <v>0</v>
      </c>
      <c r="Y28" s="17">
        <f>COUNTIFS('Prácticas_Revisiones'!$S$2:$S$282,"T020",'Prácticas_Revisiones'!$T$2:$T$282,"DESIGN &gt; Subárea no determinable")+COUNTIFS('Prácticas_Snowballing'!$AB$2:$AB$281,"T020",'Prácticas_Snowballing'!$AC$2:$AC$281,"DESIGN &gt; Subárea no determinable")</f>
        <v>0</v>
      </c>
      <c r="Z28" s="29">
        <f t="shared" si="20"/>
        <v>0</v>
      </c>
      <c r="AA28" s="17">
        <f>COUNTIFS('Prácticas_Revisiones'!$S$2:$S$282,"T020",'Prácticas_Revisiones'!$T$2:$T$282,"CONSTRUCTION &gt; Software Construction Fundamentals")+COUNTIFS('Prácticas_Snowballing'!$AB$2:$AB$281,"T020",'Prácticas_Snowballing'!$AC$2:$AC$281,"CONSTRUCTION &gt; Software Construction Fundamentals")</f>
        <v>1</v>
      </c>
      <c r="AB28" s="17">
        <f>COUNTIFS('Prácticas_Revisiones'!$S$2:$S$282,"T020",'Prácticas_Revisiones'!$T$2:$T$282,"CONSTRUCTION &gt; Managing Construction")+COUNTIFS('Prácticas_Snowballing'!$AB$2:$AB$281,"T020",'Prácticas_Snowballing'!$AC$2:$AC$281,"CONSTRUCTION &gt; Managing Construction")</f>
        <v>0</v>
      </c>
      <c r="AC28" s="17">
        <f>COUNTIFS('Prácticas_Revisiones'!$S$2:$S$282,"T020",'Prácticas_Revisiones'!$T$2:$T$282,"CONSTRUCTION &gt; Practical Considerations")+COUNTIFS('Prácticas_Snowballing'!$AB$2:$AB$281,"T020",'Prácticas_Snowballing'!$AC$2:$AC$281,"CONSTRUCTION &gt; Practical Considerations")</f>
        <v>0</v>
      </c>
      <c r="AD28" s="17">
        <f>COUNTIFS('Prácticas_Revisiones'!$S$2:$S$282,"T020",'Prácticas_Revisiones'!$T$2:$T$282,"CONSTRUCTION &gt; Construction Technologies")+COUNTIFS('Prácticas_Snowballing'!$AB$2:$AB$281,"T020",'Prácticas_Snowballing'!$AC$2:$AC$281,"CONSTRUCTION &gt; Construction Technologies")</f>
        <v>0</v>
      </c>
      <c r="AE28" s="17">
        <f>COUNTIFS('Prácticas_Revisiones'!$S$2:$S$282,"T020",'Prácticas_Revisiones'!$T$2:$T$282,"CONSTRUCTION &gt; Software Construction Tools")+COUNTIFS('Prácticas_Snowballing'!$AB$2:$AB$281,"T020",'Prácticas_Snowballing'!$AC$2:$AC$281,"CONSTRUCTION &gt; Software Construction Tools")</f>
        <v>0</v>
      </c>
      <c r="AF28" s="17">
        <f>COUNTIFS('Prácticas_Revisiones'!$S$2:$S$282,"T020",'Prácticas_Revisiones'!$T$2:$T$282,"CONSTRUCTION &gt; Subárea no determinable")+COUNTIFS('Prácticas_Snowballing'!$AB$2:$AB$281,"T020",'Prácticas_Snowballing'!$AC$2:$AC$281,"CONSTRUCTION &gt; Subárea no determinable")</f>
        <v>0</v>
      </c>
      <c r="AG28" s="29">
        <f t="shared" si="21"/>
        <v>1</v>
      </c>
      <c r="AH28" s="17">
        <f>COUNTIFS('Prácticas_Revisiones'!$S$2:$S$282,"T020",'Prácticas_Revisiones'!$T$2:$T$282,"SOFTWARE TESTING &gt; Software Testing Fundamentals")+COUNTIFS('Prácticas_Snowballing'!$AB$2:$AB$281,"T020",'Prácticas_Snowballing'!$AC$2:$AC$281,"SOFTWARE TESTING &gt; Software Testing Fundamentals")</f>
        <v>0</v>
      </c>
      <c r="AI28" s="17">
        <f>COUNTIFS('Prácticas_Revisiones'!$S$2:$S$282,"T020",'Prácticas_Revisiones'!$T$2:$T$282,"SOFTWARE TESTING &gt; Test Levels")+COUNTIFS('Prácticas_Snowballing'!$AB$2:$AB$281,"T020",'Prácticas_Snowballing'!$AC$2:$AC$281,"SOFTWARE TESTING &gt; Test Levels")</f>
        <v>0</v>
      </c>
      <c r="AJ28" s="17">
        <f>COUNTIFS('Prácticas_Revisiones'!$S$2:$S$282,"T020",'Prácticas_Revisiones'!$T$2:$T$282,"SOFTWARE TESTING &gt; Test Techniques")+COUNTIFS('Prácticas_Snowballing'!$AB$2:$AB$281,"T020",'Prácticas_Snowballing'!$AC$2:$AC$281,"SOFTWARE TESTING &gt; Test Techniques")</f>
        <v>0</v>
      </c>
      <c r="AK28" s="17">
        <f>COUNTIFS('Prácticas_Revisiones'!$S$2:$S$282,"T020",'Prácticas_Revisiones'!$T$2:$T$282,"SOFTWARE TESTING &gt; Test-Related Measures")+COUNTIFS('Prácticas_Snowballing'!$AB$2:$AB$281,"T020",'Prácticas_Snowballing'!$AC$2:$AC$281,"SOFTWARE TESTING &gt; Test-Related Measures")</f>
        <v>0</v>
      </c>
      <c r="AL28" s="17">
        <f>COUNTIFS('Prácticas_Revisiones'!$S$2:$S$282,"T020",'Prácticas_Revisiones'!$T$2:$T$282,"SOFTWARE TESTING &gt; Test Process")+COUNTIFS('Prácticas_Snowballing'!$AB$2:$AB$281,"T020",'Prácticas_Snowballing'!$AC$2:$AC$281,"SOFTWARE TESTING &gt; Test Process")</f>
        <v>0</v>
      </c>
      <c r="AM28" s="17">
        <f>COUNTIFS('Prácticas_Revisiones'!$S$2:$S$282,"T020",'Prácticas_Revisiones'!$T$2:$T$282,"SOFTWARE TESTING &gt; Software Testing in the Development Processes...")+COUNTIFS('Prácticas_Snowballing'!$AB$2:$AB$281,"T020",'Prácticas_Snowballing'!$AC$2:$AC$281,"SOFTWARE TESTING &gt; Software Testing in the Development Processes...")</f>
        <v>0</v>
      </c>
      <c r="AN28" s="17">
        <f>COUNTIFS('Prácticas_Revisiones'!$S$2:$S$282,"T020",'Prácticas_Revisiones'!$T$2:$T$282,"SOFTWARE TESTING &gt; Testing of and Testing Through Emerging Tech...")+COUNTIFS('Prácticas_Snowballing'!$AB$2:$AB$281,"T020",'Prácticas_Snowballing'!$AC$2:$AC$281,"SOFTWARE TESTING &gt; Testing of and Testing Through Emerging Tech...")</f>
        <v>0</v>
      </c>
      <c r="AO28" s="17">
        <f>COUNTIFS('Prácticas_Revisiones'!$S$2:$S$282,"T020",'Prácticas_Revisiones'!$T$2:$T$282,"SOFTWARE TESTING &gt; Software Testing Tools")+COUNTIFS('Prácticas_Snowballing'!$AB$2:$AB$281,"T020",'Prácticas_Snowballing'!$AC$2:$AC$281,"SOFTWARE TESTING &gt; Software Testing Tools")</f>
        <v>0</v>
      </c>
      <c r="AP28" s="17">
        <f>COUNTIFS('Prácticas_Revisiones'!$S$2:$S$282,"T020",'Prácticas_Revisiones'!$T$2:$T$282,"SOFTWARE TESTING &gt; Subárea no determinable")+COUNTIFS('Prácticas_Snowballing'!$AB$2:$AB$281,"T020",'Prácticas_Snowballing'!$AC$2:$AC$281,"SOFTWARE TESTING &gt; Subárea no determinable")</f>
        <v>0</v>
      </c>
      <c r="AQ28" s="29">
        <f t="shared" si="22"/>
        <v>0</v>
      </c>
      <c r="AR28" s="17">
        <f>COUNTIFS('Prácticas_Revisiones'!$S$2:$S$282,"T020",'Prácticas_Revisiones'!$T$2:$T$282,"SOFTWARE ENG. OPERATIONS &gt; Software Engineering Operations Fundamentals")+COUNTIFS('Prácticas_Snowballing'!$AB$2:$AB$281,"T020",'Prácticas_Snowballing'!$AC$2:$AC$281,"SOFTWARE ENG. OPERATIONS &gt; Software Engineering Operations Fundamentals")</f>
        <v>0</v>
      </c>
      <c r="AS28" s="17">
        <f>COUNTIFS('Prácticas_Revisiones'!$S$2:$S$282,"T020",'Prácticas_Revisiones'!$T$2:$T$282,"SOFTWARE ENG. OPERATIONS &gt; Software Engineering Operations Planning")+COUNTIFS('Prácticas_Snowballing'!$AB$2:$AB$281,"T020",'Prácticas_Snowballing'!$AC$2:$AC$281,"SOFTWARE ENG. OPERATIONS &gt; Software Engineering Operations Planning")</f>
        <v>0</v>
      </c>
      <c r="AT28" s="17">
        <f>COUNTIFS('Prácticas_Revisiones'!$S$2:$S$282,"T020",'Prácticas_Revisiones'!$T$2:$T$282,"SOFTWARE ENG. OPERATIONS &gt; Software Engineering Operations Delivery")+COUNTIFS('Prácticas_Snowballing'!$AB$2:$AB$281,"T020",'Prácticas_Snowballing'!$AC$2:$AC$281,"SOFTWARE ENG. OPERATIONS &gt; Software Engineering Operations Delivery")</f>
        <v>0</v>
      </c>
      <c r="AU28" s="17">
        <f>COUNTIFS('Prácticas_Revisiones'!$S$2:$S$282,"T020",'Prácticas_Revisiones'!$T$2:$T$282,"SOFTWARE ENG. OPERATIONS &gt; Software Engineering Operations Control")+COUNTIFS('Prácticas_Snowballing'!$AB$2:$AB$281,"T020",'Prácticas_Snowballing'!$AC$2:$AC$281,"SOFTWARE ENG. OPERATIONS &gt; Software Engineering Operations Control")</f>
        <v>0</v>
      </c>
      <c r="AV28" s="17">
        <f>COUNTIFS('Prácticas_Revisiones'!$S$2:$S$282,"T020",'Prácticas_Revisiones'!$T$2:$T$282,"SOFTWARE ENG. OPERATIONS &gt; Practical Considerations")+COUNTIFS('Prácticas_Snowballing'!$AB$2:$AB$281,"T020",'Prácticas_Snowballing'!$AC$2:$AC$281,"SOFTWARE ENG. OPERATIONS &gt; Practical Considerations")</f>
        <v>0</v>
      </c>
      <c r="AW28" s="17">
        <f>COUNTIFS('Prácticas_Revisiones'!$S$2:$S$282,"T020",'Prácticas_Revisiones'!$T$2:$T$282,"SOFTWARE ENG. OPERATIONS &gt; Software Engineering Operations Tools")+COUNTIFS('Prácticas_Snowballing'!$AB$2:$AB$281,"T020",'Prácticas_Snowballing'!$AC$2:$AC$281,"SOFTWARE ENG. OPERATIONS &gt; Software Engineering Operations Tools")</f>
        <v>0</v>
      </c>
      <c r="AX28" s="17">
        <f>COUNTIFS('Prácticas_Revisiones'!$S$2:$S$282,"T020",'Prácticas_Revisiones'!$T$2:$T$282,"SOFTWARE ENG. OPERATIONS &gt; Subárea no determinable")+COUNTIFS('Prácticas_Snowballing'!$AB$2:$AB$281,"T020",'Prácticas_Snowballing'!$AC$2:$AC$281,"SOFTWARE ENG. OPERATIONS &gt; Subárea no determinable")</f>
        <v>0</v>
      </c>
      <c r="AY28" s="29">
        <f t="shared" si="23"/>
        <v>0</v>
      </c>
      <c r="AZ28" s="17">
        <f>COUNTIFS('Prácticas_Revisiones'!$S$2:$S$282,"T020",'Prácticas_Revisiones'!$T$2:$T$282,"MAINTENANCE &gt; Software Maintenance Fundamentals")+COUNTIFS('Prácticas_Snowballing'!$AB$2:$AB$281,"T020",'Prácticas_Snowballing'!$AC$2:$AC$281,"MAINTENANCE &gt; Software Maintenance Fundamentals")</f>
        <v>0</v>
      </c>
      <c r="BA28" s="17">
        <f>COUNTIFS('Prácticas_Revisiones'!$S$2:$S$282,"T020",'Prácticas_Revisiones'!$T$2:$T$282,"MAINTENANCE &gt; Key Issues in Software Maintenance")+COUNTIFS('Prácticas_Snowballing'!$AB$2:$AB$281,"T020",'Prácticas_Snowballing'!$AC$2:$AC$281,"MAINTENANCE &gt; Key Issues in Software Maintenance")</f>
        <v>0</v>
      </c>
      <c r="BB28" s="17">
        <f>COUNTIFS('Prácticas_Revisiones'!$S$2:$S$282,"T020",'Prácticas_Revisiones'!$T$2:$T$282,"MAINTENANCE &gt; Software Maintenance Processes")+COUNTIFS('Prácticas_Snowballing'!$AB$2:$AB$281,"T020",'Prácticas_Snowballing'!$AC$2:$AC$281,"MAINTENANCE &gt; Software Maintenance Processes")</f>
        <v>0</v>
      </c>
      <c r="BC28" s="17">
        <f>COUNTIFS('Prácticas_Revisiones'!$S$2:$S$282,"T020",'Prácticas_Revisiones'!$T$2:$T$282,"MAINTENANCE &gt; Software Maintenance Techniques")+COUNTIFS('Prácticas_Snowballing'!$AB$2:$AB$281,"T020",'Prácticas_Snowballing'!$AC$2:$AC$281,"MAINTENANCE &gt; Software Maintenance Techniques")</f>
        <v>0</v>
      </c>
      <c r="BD28" s="17">
        <f>COUNTIFS('Prácticas_Revisiones'!$S$2:$S$282,"T020",'Prácticas_Revisiones'!$T$2:$T$282,"MAINTENANCE &gt; Software Maintenance Tools")+COUNTIFS('Prácticas_Snowballing'!$AB$2:$AB$281,"T020",'Prácticas_Snowballing'!$AC$2:$AC$281,"MAINTENANCE &gt; Software Maintenance Tools")</f>
        <v>0</v>
      </c>
      <c r="BE28" s="17">
        <f>COUNTIFS('Prácticas_Revisiones'!$S$2:$S$282,"T020",'Prácticas_Revisiones'!$T$2:$T$282,"MAINTENANCE &gt; Subárea no determinable")+COUNTIFS('Prácticas_Snowballing'!$AB$2:$AB$281,"T020",'Prácticas_Snowballing'!$AC$2:$AC$281,"MAINTENANCE &gt; Subárea no determinable")</f>
        <v>0</v>
      </c>
      <c r="BF28" s="29">
        <f t="shared" si="24"/>
        <v>0</v>
      </c>
      <c r="BG28" s="17">
        <f>COUNTIFS('Prácticas_Revisiones'!$S$2:$S$282,"T020",'Prácticas_Revisiones'!$T$2:$T$282,"SOFTWARE CONFIG. MGMT. &gt; Management of the SCM Process")+COUNTIFS('Prácticas_Snowballing'!$AB$2:$AB$281,"T020",'Prácticas_Snowballing'!$AC$2:$AC$281,"SOFTWARE CONFIG. MGMT. &gt; Management of the SCM Process")</f>
        <v>0</v>
      </c>
      <c r="BH28" s="17">
        <f>COUNTIFS('Prácticas_Revisiones'!$S$2:$S$282,"T020",'Prácticas_Revisiones'!$T$2:$T$282,"SOFTWARE CONFIG. MGMT. &gt; Software Configuration Identification")+COUNTIFS('Prácticas_Snowballing'!$AB$2:$AB$281,"T020",'Prácticas_Snowballing'!$AC$2:$AC$281,"SOFTWARE CONFIG. MGMT. &gt; Software Configuration Identification")</f>
        <v>0</v>
      </c>
      <c r="BI28" s="17">
        <f>COUNTIFS('Prácticas_Revisiones'!$S$2:$S$282,"T020",'Prácticas_Revisiones'!$T$2:$T$282,"SOFTWARE CONFIG. MGMT. &gt; Software Configuration Change Control")+COUNTIFS('Prácticas_Snowballing'!$AB$2:$AB$281,"T020",'Prácticas_Snowballing'!$AC$2:$AC$281,"SOFTWARE CONFIG. MGMT. &gt; Software Configuration Change Control")</f>
        <v>0</v>
      </c>
      <c r="BJ28" s="17">
        <f>COUNTIFS('Prácticas_Revisiones'!$S$2:$S$282,"T020",'Prácticas_Revisiones'!$T$2:$T$282,"SOFTWARE CONFIG. MGMT. &gt; Software Configuration Status Accounting")+COUNTIFS('Prácticas_Snowballing'!$AB$2:$AB$281,"T020",'Prácticas_Snowballing'!$AC$2:$AC$281,"SOFTWARE CONFIG. MGMT. &gt; Software Configuration Status Accounting")</f>
        <v>0</v>
      </c>
      <c r="BK28" s="17">
        <f>COUNTIFS('Prácticas_Revisiones'!$S$2:$S$282,"T020",'Prácticas_Revisiones'!$T$2:$T$282,"SOFTWARE CONFIG. MGMT. &gt; Software Configuration Auditing")+COUNTIFS('Prácticas_Snowballing'!$AB$2:$AB$281,"T020",'Prácticas_Snowballing'!$AC$2:$AC$281,"SOFTWARE CONFIG. MGMT. &gt; Software Configuration Auditing")</f>
        <v>0</v>
      </c>
      <c r="BL28" s="17">
        <f>COUNTIFS('Prácticas_Revisiones'!$S$2:$S$282,"T020",'Prácticas_Revisiones'!$T$2:$T$282,"SOFTWARE CONFIG. MGMT. &gt; Software Release Management and Delivery")+COUNTIFS('Prácticas_Snowballing'!$AB$2:$AB$281,"T020",'Prácticas_Snowballing'!$AC$2:$AC$281,"SOFTWARE CONFIG. MGMT. &gt; Software Release Management and Delivery")</f>
        <v>0</v>
      </c>
      <c r="BM28" s="17">
        <f>COUNTIFS('Prácticas_Revisiones'!$S$2:$S$282,"T020",'Prácticas_Revisiones'!$T$2:$T$282,"SOFTWARE CONFIG. MGMT. &gt; Software Configuration Management Tools")+COUNTIFS('Prácticas_Snowballing'!$AB$2:$AB$281,"T020",'Prácticas_Snowballing'!$AC$2:$AC$281,"SOFTWARE CONFIG. MGMT. &gt; Software Configuration Management Tools")</f>
        <v>0</v>
      </c>
      <c r="BN28" s="17">
        <f>COUNTIFS('Prácticas_Revisiones'!$S$2:$S$282,"T020",'Prácticas_Revisiones'!$T$2:$T$282,"SOFTWARE CONFIG. MGMT. &gt; Subárea no determinable")+COUNTIFS('Prácticas_Snowballing'!$AB$2:$AB$281,"T020",'Prácticas_Snowballing'!$AC$2:$AC$281,"SOFTWARE CONFIG. MGMT. &gt; Subárea no determinable")</f>
        <v>0</v>
      </c>
      <c r="BO28" s="29">
        <f t="shared" si="25"/>
        <v>0</v>
      </c>
      <c r="BP28" s="17">
        <f>COUNTIFS('Prácticas_Revisiones'!$S$2:$S$282,"T020",'Prácticas_Revisiones'!$T$2:$T$282,"SOFTWARE ENG. PROCESS &gt; Software Engineering Process Fundamentals")+COUNTIFS('Prácticas_Snowballing'!$AB$2:$AB$281,"T020",'Prácticas_Snowballing'!$AC$2:$AC$281,"SOFTWARE ENG. PROCESS &gt; Software Engineering Process Fundamentals")</f>
        <v>0</v>
      </c>
      <c r="BQ28" s="17">
        <f>COUNTIFS('Prácticas_Revisiones'!$S$2:$S$282,"T020",'Prácticas_Revisiones'!$T$2:$T$282,"SOFTWARE ENG. PROCESS &gt; Life Cycles")+COUNTIFS('Prácticas_Snowballing'!$AB$2:$AB$281,"T020",'Prácticas_Snowballing'!$AC$2:$AC$281,"SOFTWARE ENG. PROCESS &gt; Life Cycles")</f>
        <v>0</v>
      </c>
      <c r="BR28" s="17">
        <f>COUNTIFS('Prácticas_Revisiones'!$S$2:$S$282,"T020",'Prácticas_Revisiones'!$T$2:$T$282,"SOFTWARE ENG. PROCESS &gt; Software Process Assessment and Improvement")+COUNTIFS('Prácticas_Snowballing'!$AB$2:$AB$281,"T020",'Prácticas_Snowballing'!$AC$2:$AC$281,"SOFTWARE ENG. PROCESS &gt; Software Process Assessment and Improvement")</f>
        <v>0</v>
      </c>
      <c r="BS28" s="17">
        <f>COUNTIFS('Prácticas_Revisiones'!$S$2:$S$282,"T020",'Prácticas_Revisiones'!$T$2:$T$282,"SOFTWARE ENG. PROCESS &gt; Subárea no determinable")+COUNTIFS('Prácticas_Snowballing'!$AB$2:$AB$281,"T020",'Prácticas_Snowballing'!$AC$2:$AC$281,"SOFTWARE ENG. PROCESS &gt; Subárea no determinable")</f>
        <v>0</v>
      </c>
      <c r="BT28" s="29">
        <f t="shared" si="26"/>
        <v>0</v>
      </c>
      <c r="BU28" s="17">
        <f>COUNTIFS('Prácticas_Revisiones'!$S$2:$S$282,"T020",'Prácticas_Revisiones'!$T$2:$T$282,"SOFTWARE ENG. MODELS/METH. &gt; Modeling")+COUNTIFS('Prácticas_Snowballing'!$AB$2:$AB$281,"T020",'Prácticas_Snowballing'!$AC$2:$AC$281,"SOFTWARE ENG. MODELS/METH. &gt; Modeling")</f>
        <v>0</v>
      </c>
      <c r="BV28" s="17">
        <f>COUNTIFS('Prácticas_Revisiones'!$S$2:$S$282,"T020",'Prácticas_Revisiones'!$T$2:$T$282,"SOFTWARE ENG. MODELS/METH. &gt; Types of Models")+COUNTIFS('Prácticas_Snowballing'!$AB$2:$AB$281,"T020",'Prácticas_Snowballing'!$AC$2:$AC$281,"SOFTWARE ENG. MODELS/METH. &gt; Types of Models")</f>
        <v>0</v>
      </c>
      <c r="BW28" s="17">
        <f>COUNTIFS('Prácticas_Revisiones'!$S$2:$S$282,"T020",'Prácticas_Revisiones'!$T$2:$T$282,"SOFTWARE ENG. MODELS/METH. &gt; Analysis of Models")+COUNTIFS('Prácticas_Snowballing'!$AB$2:$AB$281,"T020",'Prácticas_Snowballing'!$AC$2:$AC$281,"SOFTWARE ENG. MODELS/METH. &gt; Analysis of Models")</f>
        <v>0</v>
      </c>
      <c r="BX28" s="17">
        <f>COUNTIFS('Prácticas_Revisiones'!$S$2:$S$282,"T020",'Prácticas_Revisiones'!$T$2:$T$282,"SOFTWARE ENG. MODELS/METH. &gt; Software Engineering Methods")+COUNTIFS('Prácticas_Snowballing'!$AB$2:$AB$281,"T020",'Prácticas_Snowballing'!$AC$2:$AC$281,"SOFTWARE ENG. MODELS/METH. &gt; Software Engineering Methods")</f>
        <v>0</v>
      </c>
      <c r="BY28" s="17">
        <f>COUNTIFS('Prácticas_Revisiones'!$S$2:$S$282,"T020",'Prácticas_Revisiones'!$T$2:$T$282,"SOFTWARE ENG. MODELS/METH. &gt; Subárea no determinable")+COUNTIFS('Prácticas_Snowballing'!$AB$2:$AB$281,"T020",'Prácticas_Snowballing'!$AC$2:$AC$281,"SOFTWARE ENG. MODELS/METH. &gt; Subárea no determinable")</f>
        <v>0</v>
      </c>
      <c r="BZ28" s="29">
        <f t="shared" si="27"/>
        <v>0</v>
      </c>
      <c r="CA28" s="17">
        <f>COUNTIFS('Prácticas_Revisiones'!$S$2:$S$282,"T020",'Prácticas_Revisiones'!$T$2:$T$282,"SOFTWARE QUALITY &gt; Software Quality Fundamentals")+COUNTIFS('Prácticas_Snowballing'!$AB$2:$AB$281,"T020",'Prácticas_Snowballing'!$AC$2:$AC$281,"SOFTWARE QUALITY &gt; Software Quality Fundamentals")</f>
        <v>0</v>
      </c>
      <c r="CB28" s="17">
        <f>COUNTIFS('Prácticas_Revisiones'!$S$2:$S$282,"T020",'Prácticas_Revisiones'!$T$2:$T$282,"SOFTWARE QUALITY &gt; Software Quality Management Process")+COUNTIFS('Prácticas_Snowballing'!$AB$2:$AB$281,"T020",'Prácticas_Snowballing'!$AC$2:$AC$281,"SOFTWARE QUALITY &gt; Software Quality Management Process")</f>
        <v>0</v>
      </c>
      <c r="CC28" s="17">
        <f>COUNTIFS('Prácticas_Revisiones'!$S$2:$S$282,"T020",'Prácticas_Revisiones'!$T$2:$T$282,"SOFTWARE QUALITY &gt; Software Quality Assurance Process")+COUNTIFS('Prácticas_Snowballing'!$AB$2:$AB$281,"T020",'Prácticas_Snowballing'!$AC$2:$AC$281,"SOFTWARE QUALITY &gt; Software Quality Assurance Process")</f>
        <v>0</v>
      </c>
      <c r="CD28" s="17">
        <f>COUNTIFS('Prácticas_Revisiones'!$S$2:$S$282,"T020",'Prácticas_Revisiones'!$T$2:$T$282,"SOFTWARE QUALITY &gt; Software Quality Tools")+COUNTIFS('Prácticas_Snowballing'!$AB$2:$AB$281,"T020",'Prácticas_Snowballing'!$AC$2:$AC$281,"SOFTWARE QUALITY &gt; Software Quality Tools")</f>
        <v>0</v>
      </c>
      <c r="CE28" s="17">
        <f>COUNTIFS('Prácticas_Revisiones'!$S$2:$S$282,"T020",'Prácticas_Revisiones'!$T$2:$T$282,"SOFTWARE QUALITY &gt; Subárea no determinable")+COUNTIFS('Prácticas_Snowballing'!$AB$2:$AB$281,"T020",'Prácticas_Snowballing'!$AC$2:$AC$281,"SOFTWARE QUALITY &gt; Subárea no determinable")</f>
        <v>0</v>
      </c>
      <c r="CF28" s="29">
        <f t="shared" si="28"/>
        <v>0</v>
      </c>
      <c r="CG28" s="17">
        <f>COUNTIFS('Prácticas_Revisiones'!$S$2:$S$282,"T020",'Prácticas_Revisiones'!$T$2:$T$282,"SOFTWARE SECURITY &gt; Software Security Fundamentals")+COUNTIFS('Prácticas_Snowballing'!$AB$2:$AB$281,"T020",'Prácticas_Snowballing'!$AC$2:$AC$281,"SOFTWARE SECURITY &gt; Software Security Fundamentals")</f>
        <v>0</v>
      </c>
      <c r="CH28" s="17">
        <f>COUNTIFS('Prácticas_Revisiones'!$S$2:$S$282,"T020",'Prácticas_Revisiones'!$T$2:$T$282,"SOFTWARE SECURITY &gt; Security Management and Organization")+COUNTIFS('Prácticas_Snowballing'!$AB$2:$AB$281,"T020",'Prácticas_Snowballing'!$AC$2:$AC$281,"SOFTWARE SECURITY &gt; Security Management and Organization")</f>
        <v>0</v>
      </c>
      <c r="CI28" s="17">
        <f>COUNTIFS('Prácticas_Revisiones'!$S$2:$S$282,"T020",'Prácticas_Revisiones'!$T$2:$T$282,"SOFTWARE SECURITY &gt; Software Security Engineering and Process")+COUNTIFS('Prácticas_Snowballing'!$AB$2:$AB$281,"T020",'Prácticas_Snowballing'!$AC$2:$AC$281,"SOFTWARE SECURITY &gt; Software Security Engineering and Process")</f>
        <v>0</v>
      </c>
      <c r="CJ28" s="17">
        <f>COUNTIFS('Prácticas_Revisiones'!$S$2:$S$282,"T020",'Prácticas_Revisiones'!$T$2:$T$282,"SOFTWARE SECURITY &gt; Security Engineering for Software Systems")+COUNTIFS('Prácticas_Snowballing'!$AB$2:$AB$281,"T020",'Prácticas_Snowballing'!$AC$2:$AC$281,"SOFTWARE SECURITY &gt; Security Engineering for Software Systems")</f>
        <v>0</v>
      </c>
      <c r="CK28" s="17">
        <f>COUNTIFS('Prácticas_Revisiones'!$S$2:$S$282,"T020",'Prácticas_Revisiones'!$T$2:$T$282,"SOFTWARE SECURITY &gt; Software Security Tools")+COUNTIFS('Prácticas_Snowballing'!$AB$2:$AB$281,"T020",'Prácticas_Snowballing'!$AC$2:$AC$281,"SOFTWARE SECURITY &gt; Software Security Tools")</f>
        <v>0</v>
      </c>
      <c r="CL28" s="17">
        <f>COUNTIFS('Prácticas_Revisiones'!$S$2:$S$282,"T020",'Prácticas_Revisiones'!$T$2:$T$282,"SOFTWARE SECURITY &gt; Domain Specific Software Security")+COUNTIFS('Prácticas_Snowballing'!$AB$2:$AB$281,"T020",'Prácticas_Snowballing'!$AC$2:$AC$281,"SOFTWARE SECURITY &gt; Domain Specific Software Security")</f>
        <v>0</v>
      </c>
      <c r="CM28" s="17">
        <f>COUNTIFS('Prácticas_Revisiones'!$S$2:$S$282,"T020",'Prácticas_Revisiones'!$T$2:$T$282,"SOFTWARE SECURITY &gt; Subárea no determinable")+COUNTIFS('Prácticas_Snowballing'!$AB$2:$AB$281,"T020",'Prácticas_Snowballing'!$AC$2:$AC$281,"SOFTWARE SECURITY &gt; Subárea no determinable")</f>
        <v>0</v>
      </c>
      <c r="CN28" s="29">
        <f t="shared" si="29"/>
        <v>0</v>
      </c>
      <c r="CO28" s="17">
        <f>COUNTIFS('Prácticas_Revisiones'!$S$2:$S$282,"T020",'Prácticas_Revisiones'!$T$2:$T$282,"PROFESSIONAL PRACTICE &gt; Professionalism")+COUNTIFS('Prácticas_Snowballing'!$AB$2:$AB$281,"T020",'Prácticas_Snowballing'!$AC$2:$AC$281,"PROFESSIONAL PRACTICE &gt; Professionalism")</f>
        <v>0</v>
      </c>
      <c r="CP28" s="17">
        <f>COUNTIFS('Prácticas_Revisiones'!$S$2:$S$282,"T020",'Prácticas_Revisiones'!$T$2:$T$282,"PROFESSIONAL PRACTICE &gt; Group Dynamics and Psychology")+COUNTIFS('Prácticas_Snowballing'!$AB$2:$AB$281,"T020",'Prácticas_Snowballing'!$AC$2:$AC$281,"PROFESSIONAL PRACTICE &gt; Group Dynamics and Psychology")</f>
        <v>0</v>
      </c>
      <c r="CQ28" s="17">
        <f>COUNTIFS('Prácticas_Revisiones'!$S$2:$S$282,"T020",'Prácticas_Revisiones'!$T$2:$T$282,"PROFESSIONAL PRACTICE &gt; Communication Skills")+COUNTIFS('Prácticas_Snowballing'!$AB$2:$AB$281,"T020",'Prácticas_Snowballing'!$AC$2:$AC$281,"PROFESSIONAL PRACTICE &gt; Communication Skills")</f>
        <v>0</v>
      </c>
      <c r="CR28" s="17">
        <f>COUNTIFS('Prácticas_Revisiones'!$S$2:$S$282,"T020",'Prácticas_Revisiones'!$T$2:$T$282,"PROFESSIONAL PRACTICE &gt; Subárea no determinable")+COUNTIFS('Prácticas_Snowballing'!$AB$2:$AB$281,"T020",'Prácticas_Snowballing'!$AC$2:$AC$281,"PROFESSIONAL PRACTICE &gt; Subárea no determinable")</f>
        <v>0</v>
      </c>
      <c r="CS28" s="29">
        <f t="shared" si="30"/>
        <v>0</v>
      </c>
      <c r="CT28" s="17">
        <f>COUNTIFS('Prácticas_Revisiones'!$S$2:$S$282,"T020",'Prácticas_Revisiones'!$T$2:$T$282,"SOFTWARE ENG. ECONOMICS &gt; Software Engineering Economics Fundamentals")+COUNTIFS('Prácticas_Snowballing'!$AB$2:$AB$281,"T020",'Prácticas_Snowballing'!$AC$2:$AC$281,"SOFTWARE ENG. ECONOMICS &gt; Software Engineering Economics Fundamentals")</f>
        <v>0</v>
      </c>
      <c r="CU28" s="17">
        <f>COUNTIFS('Prácticas_Revisiones'!$S$2:$S$282,"T020",'Prácticas_Revisiones'!$T$2:$T$282,"SOFTWARE ENG. ECONOMICS &gt; The Engineering Decision-Making Process")+COUNTIFS('Prácticas_Snowballing'!$AB$2:$AB$281,"T020",'Prácticas_Snowballing'!$AC$2:$AC$281,"SOFTWARE ENG. ECONOMICS &gt; The Engineering Decision-Making Process")</f>
        <v>0</v>
      </c>
      <c r="CV28" s="17">
        <f>COUNTIFS('Prácticas_Revisiones'!$S$2:$S$282,"T020",'Prácticas_Revisiones'!$T$2:$T$282,"SOFTWARE ENG. ECONOMICS &gt; For-Profit Decision-Making")+COUNTIFS('Prácticas_Snowballing'!$AB$2:$AB$281,"T020",'Prácticas_Snowballing'!$AC$2:$AC$281,"SOFTWARE ENG. ECONOMICS &gt; For-Profit Decision-Making")</f>
        <v>0</v>
      </c>
      <c r="CW28" s="17">
        <f>COUNTIFS('Prácticas_Revisiones'!$S$2:$S$282,"T020",'Prácticas_Revisiones'!$T$2:$T$282,"SOFTWARE ENG. ECONOMICS &gt; Nonprofit Decision-Making")+COUNTIFS('Prácticas_Snowballing'!$AB$2:$AB$281,"T020",'Prácticas_Snowballing'!$AC$2:$AC$281,"SOFTWARE ENG. ECONOMICS &gt; Nonprofit Decision-Making")</f>
        <v>0</v>
      </c>
      <c r="CX28" s="17">
        <f>COUNTIFS('Prácticas_Revisiones'!$S$2:$S$282,"T020",'Prácticas_Revisiones'!$T$2:$T$282,"SOFTWARE ENG. ECONOMICS &gt; Present Economy Decision-Making")+COUNTIFS('Prácticas_Snowballing'!$AB$2:$AB$281,"T020",'Prácticas_Snowballing'!$AC$2:$AC$281,"SOFTWARE ENG. ECONOMICS &gt; Present Economy Decision-Making")</f>
        <v>0</v>
      </c>
      <c r="CY28" s="17">
        <f>COUNTIFS('Prácticas_Revisiones'!$S$2:$S$282,"T020",'Prácticas_Revisiones'!$T$2:$T$282,"SOFTWARE ENG. ECONOMICS &gt; Multiple-Attribute Decision-Making")+COUNTIFS('Prácticas_Snowballing'!$AB$2:$AB$281,"T020",'Prácticas_Snowballing'!$AC$2:$AC$281,"SOFTWARE ENG. ECONOMICS &gt; Multiple-Attribute Decision-Making")</f>
        <v>0</v>
      </c>
      <c r="CZ28" s="17">
        <f>COUNTIFS('Prácticas_Revisiones'!$S$2:$S$282,"T020",'Prácticas_Revisiones'!$T$2:$T$282,"SOFTWARE ENG. ECONOMICS &gt; Identifying and Characterizing Intangible Assets")+COUNTIFS('Prácticas_Snowballing'!$AB$2:$AB$281,"T020",'Prácticas_Snowballing'!$AC$2:$AC$281,"SOFTWARE ENG. ECONOMICS &gt; Identifying and Characterizing Intangible Assets")</f>
        <v>0</v>
      </c>
      <c r="DA28" s="17">
        <f>COUNTIFS('Prácticas_Revisiones'!$S$2:$S$282,"T020",'Prácticas_Revisiones'!$T$2:$T$282,"SOFTWARE ENG. ECONOMICS &gt; Estimation")+COUNTIFS('Prácticas_Snowballing'!$AB$2:$AB$281,"T020",'Prácticas_Snowballing'!$AC$2:$AC$281,"SOFTWARE ENG. ECONOMICS &gt; Estimation")</f>
        <v>0</v>
      </c>
      <c r="DB28" s="17">
        <f>COUNTIFS('Prácticas_Revisiones'!$S$2:$S$282,"T020",'Prácticas_Revisiones'!$T$2:$T$282,"SOFTWARE ENG. ECONOMICS &gt; Practical Considerations")+COUNTIFS('Prácticas_Snowballing'!$AB$2:$AB$281,"T020",'Prácticas_Snowballing'!$AC$2:$AC$281,"SOFTWARE ENG. ECONOMICS &gt; Practical Considerations")</f>
        <v>0</v>
      </c>
      <c r="DC28" s="17">
        <f>COUNTIFS('Prácticas_Revisiones'!$S$2:$S$282,"T020",'Prácticas_Revisiones'!$T$2:$T$282,"SOFTWARE ENG. ECONOMICS &gt; Related Concepts")+COUNTIFS('Prácticas_Snowballing'!$AB$2:$AB$281,"T020",'Prácticas_Snowballing'!$AC$2:$AC$281,"SOFTWARE ENG. ECONOMICS &gt; Related Concepts")</f>
        <v>0</v>
      </c>
      <c r="DD28" s="17">
        <f>COUNTIFS('Prácticas_Revisiones'!$S$2:$S$282,"T020",'Prácticas_Revisiones'!$T$2:$T$282,"SOFTWARE ENG. ECONOMICS &gt; Subárea no determinable")+COUNTIFS('Prácticas_Snowballing'!$AB$2:$AB$281,"T020",'Prácticas_Snowballing'!$AC$2:$AC$281,"SOFTWARE ENG. ECONOMICS &gt; Subárea no determinable")</f>
        <v>0</v>
      </c>
      <c r="DE28" s="29">
        <f t="shared" si="31"/>
        <v>0</v>
      </c>
      <c r="DF28" s="17">
        <f>COUNTIFS('Prácticas_Revisiones'!$S$2:$S$282,"T020",'Prácticas_Revisiones'!$T$2:$T$282,"SOFTWARE ENG. MANAGEMENT &gt; Software Engineering Management Fundamentals")+COUNTIFS('Prácticas_Snowballing'!$AB$2:$AB$281,"T020",'Prácticas_Snowballing'!$AC$2:$AC$281,"SOFTWARE ENG. MANAGEMENT &gt; Software Engineering Management Fundamentals")</f>
        <v>0</v>
      </c>
      <c r="DG28" s="17">
        <f>COUNTIFS('Prácticas_Revisiones'!$S$2:$S$282,"T020",'Prácticas_Revisiones'!$T$2:$T$282,"SOFTWARE ENG. MANAGEMENT &gt; Initiation and Scope Definition")+COUNTIFS('Prácticas_Snowballing'!$AB$2:$AB$281,"T020",'Prácticas_Snowballing'!$AC$2:$AC$281,"SOFTWARE ENG. MANAGEMENT &gt; Initiation and Scope Definition")</f>
        <v>0</v>
      </c>
      <c r="DH28" s="17">
        <f>COUNTIFS('Prácticas_Revisiones'!$S$2:$S$282,"T020",'Prácticas_Revisiones'!$T$2:$T$282,"SOFTWARE ENG. MANAGEMENT &gt; Software Project Planning")+COUNTIFS('Prácticas_Snowballing'!$AB$2:$AB$281,"T020",'Prácticas_Snowballing'!$AC$2:$AC$281,"SOFTWARE ENG. MANAGEMENT &gt; Software Project Planning")</f>
        <v>0</v>
      </c>
      <c r="DI28" s="17">
        <f>COUNTIFS('Prácticas_Revisiones'!$S$2:$S$282,"T020",'Prácticas_Revisiones'!$T$2:$T$282,"SOFTWARE ENG. MANAGEMENT &gt; Software Project Enactment")+COUNTIFS('Prácticas_Snowballing'!$AB$2:$AB$281,"T020",'Prácticas_Snowballing'!$AC$2:$AC$281,"SOFTWARE ENG. MANAGEMENT &gt; Software Project Enactment")</f>
        <v>0</v>
      </c>
      <c r="DJ28" s="17">
        <f>COUNTIFS('Prácticas_Revisiones'!$S$2:$S$282,"T020",'Prácticas_Revisiones'!$T$2:$T$282,"SOFTWARE ENG. MANAGEMENT &gt; Review and Evaluation")+COUNTIFS('Prácticas_Snowballing'!$AB$2:$AB$281,"T020",'Prácticas_Snowballing'!$AC$2:$AC$281,"SOFTWARE ENG. MANAGEMENT &gt; Review and Evaluation")</f>
        <v>0</v>
      </c>
      <c r="DK28" s="17">
        <f>COUNTIFS('Prácticas_Revisiones'!$S$2:$S$282,"T020",'Prácticas_Revisiones'!$T$2:$T$282,"SOFTWARE ENG. MANAGEMENT &gt; Closure")+COUNTIFS('Prácticas_Snowballing'!$AB$2:$AB$281,"T020",'Prácticas_Snowballing'!$AC$2:$AC$281,"SOFTWARE ENG. MANAGEMENT &gt; Closure")</f>
        <v>0</v>
      </c>
      <c r="DL28" s="17">
        <f>COUNTIFS('Prácticas_Revisiones'!$S$2:$S$282,"T020",'Prácticas_Revisiones'!$T$2:$T$282,"SOFTWARE ENG. MANAGEMENT &gt; Software Engineering Management Tools")+COUNTIFS('Prácticas_Snowballing'!$AB$2:$AB$281,"T020",'Prácticas_Snowballing'!$AC$2:$AC$281,"SOFTWARE ENG. MANAGEMENT &gt; Software Engineering Management Tools")</f>
        <v>0</v>
      </c>
      <c r="DM28" s="17">
        <f>COUNTIFS('Prácticas_Revisiones'!$S$2:$S$282,"T020",'Prácticas_Revisiones'!$T$2:$T$282,"SOFTWARE ENG. MANAGEMENT &gt; Subárea no determinable")+COUNTIFS('Prácticas_Snowballing'!$AB$2:$AB$281,"T020",'Prácticas_Snowballing'!$AC$2:$AC$281,"SOFTWARE ENG. MANAGEMENT &gt; Subárea no determinable")</f>
        <v>0</v>
      </c>
      <c r="DN28" s="29">
        <f t="shared" si="32"/>
        <v>0</v>
      </c>
      <c r="DO28" s="17">
        <f>COUNTIFS('Prácticas_Revisiones'!$S$2:$S$282,"T020",'Prácticas_Revisiones'!$T$2:$T$282,"Sin área SWEBOK")+COUNTIFS('Prácticas_Snowballing'!$AB$2:$AB$281,"T020",'Prácticas_Snowballing'!$AC$2:$AC$281,"Sin área SWEBOK")</f>
        <v>0</v>
      </c>
      <c r="DP28" s="27">
        <f t="shared" si="33"/>
        <v>1</v>
      </c>
    </row>
    <row r="29" ht="15.75" customHeight="1">
      <c r="A29" s="28"/>
      <c r="B29" s="16" t="s">
        <v>2738</v>
      </c>
      <c r="C29" s="17">
        <f>COUNTIFS('Prácticas_Revisiones'!$S$2:$S$282,"T021",'Prácticas_Revisiones'!$T$2:$T$282,"REQUIREMENTS &gt; Software Requirements Fundamentals")+COUNTIFS('Prácticas_Snowballing'!$AB$2:$AB$281,"T021",'Prácticas_Snowballing'!$AC$2:$AC$281,"REQUIREMENTS &gt; Software Requirements Fundamentals")</f>
        <v>0</v>
      </c>
      <c r="D29" s="17">
        <f>COUNTIFS('Prácticas_Revisiones'!$S$2:$S$282,"T021",'Prácticas_Revisiones'!$T$2:$T$282,"REQUIREMENTS &gt; Requirements Elicitation")+COUNTIFS('Prácticas_Snowballing'!$AB$2:$AB$281,"T021",'Prácticas_Snowballing'!$AC$2:$AC$281,"REQUIREMENTS &gt; Requirements Elicitation")</f>
        <v>0</v>
      </c>
      <c r="E29" s="17">
        <f>COUNTIFS('Prácticas_Revisiones'!$S$2:$S$282,"T021",'Prácticas_Revisiones'!$T$2:$T$282,"REQUIREMENTS &gt; Requirements Analysis")+COUNTIFS('Prácticas_Snowballing'!$AB$2:$AB$281,"T021",'Prácticas_Snowballing'!$AC$2:$AC$281,"REQUIREMENTS &gt; Requirements Analysis")</f>
        <v>0</v>
      </c>
      <c r="F29" s="17">
        <f>COUNTIFS('Prácticas_Revisiones'!$S$2:$S$282,"T021",'Prácticas_Revisiones'!$T$2:$T$282,"REQUIREMENTS &gt; Requirements Specification")+COUNTIFS('Prácticas_Snowballing'!$AB$2:$AB$281,"T021",'Prácticas_Snowballing'!$AC$2:$AC$281,"REQUIREMENTS &gt; Requirements Specification")</f>
        <v>0</v>
      </c>
      <c r="G29" s="17">
        <f>COUNTIFS('Prácticas_Revisiones'!$S$2:$S$282,"T021",'Prácticas_Revisiones'!$T$2:$T$282,"REQUIREMENTS &gt; Requirements Validation")+COUNTIFS('Prácticas_Snowballing'!$AB$2:$AB$281,"T021",'Prácticas_Snowballing'!$AC$2:$AC$281,"REQUIREMENTS &gt; Requirements Validation")</f>
        <v>0</v>
      </c>
      <c r="H29" s="17">
        <f>COUNTIFS('Prácticas_Revisiones'!$S$2:$S$282,"T021",'Prácticas_Revisiones'!$T$2:$T$282,"REQUIREMENTS &gt; Requirements Management Activities")+COUNTIFS('Prácticas_Snowballing'!$AB$2:$AB$281,"T021",'Prácticas_Snowballing'!$AC$2:$AC$281,"REQUIREMENTS &gt; Requirements Management Activities")</f>
        <v>0</v>
      </c>
      <c r="I29" s="17">
        <f>COUNTIFS('Prácticas_Revisiones'!$S$2:$S$282,"T021",'Prácticas_Revisiones'!$T$2:$T$282,"REQUIREMENTS &gt; Practical Considerations")+COUNTIFS('Prácticas_Snowballing'!$AB$2:$AB$281,"T021",'Prácticas_Snowballing'!$AC$2:$AC$281,"REQUIREMENTS &gt; Practical Considerations")</f>
        <v>0</v>
      </c>
      <c r="J29" s="17">
        <f>COUNTIFS('Prácticas_Revisiones'!$S$2:$S$282,"T021",'Prácticas_Revisiones'!$T$2:$T$282,"REQUIREMENTS &gt; Software Requirements Tools")+COUNTIFS('Prácticas_Snowballing'!$AB$2:$AB$281,"T021",'Prácticas_Snowballing'!$AC$2:$AC$281,"REQUIREMENTS &gt; Software Requirements Tools")</f>
        <v>0</v>
      </c>
      <c r="K29" s="17">
        <f>COUNTIFS('Prácticas_Revisiones'!$S$2:$S$282,"T021",'Prácticas_Revisiones'!$T$2:$T$282,"REQUIREMENTS &gt; Subárea no determinable")+COUNTIFS('Prácticas_Snowballing'!$AB$2:$AB$281,"T021",'Prácticas_Snowballing'!$AC$2:$AC$281,"REQUIREMENTS &gt; Subárea no determinable")</f>
        <v>0</v>
      </c>
      <c r="L29" s="29">
        <f t="shared" si="18"/>
        <v>0</v>
      </c>
      <c r="M29" s="17">
        <f>COUNTIFS('Prácticas_Revisiones'!$S$2:$S$282,"T021",'Prácticas_Revisiones'!$T$2:$T$282,"ARCHITECTURE &gt; Software Architecture Fundamentals")+COUNTIFS('Prácticas_Snowballing'!$AB$2:$AB$281,"T021",'Prácticas_Snowballing'!$AC$2:$AC$281,"ARCHITECTURE &gt; Software Architecture Fundamentals")</f>
        <v>0</v>
      </c>
      <c r="N29" s="17">
        <f>COUNTIFS('Prácticas_Revisiones'!$S$2:$S$282,"T021",'Prácticas_Revisiones'!$T$2:$T$282,"ARCHITECTURE &gt; Software Architecture Description")+COUNTIFS('Prácticas_Snowballing'!$AB$2:$AB$281,"T021",'Prácticas_Snowballing'!$AC$2:$AC$281,"ARCHITECTURE &gt; Software Architecture Description")</f>
        <v>0</v>
      </c>
      <c r="O29" s="17">
        <f>COUNTIFS('Prácticas_Revisiones'!$S$2:$S$282,"T021",'Prácticas_Revisiones'!$T$2:$T$282,"ARCHITECTURE &gt; Software Architecture Process")+COUNTIFS('Prácticas_Snowballing'!$AB$2:$AB$281,"T021",'Prácticas_Snowballing'!$AC$2:$AC$281,"ARCHITECTURE &gt; Software Architecture Process")</f>
        <v>0</v>
      </c>
      <c r="P29" s="17">
        <f>COUNTIFS('Prácticas_Revisiones'!$S$2:$S$282,"T021",'Prácticas_Revisiones'!$T$2:$T$282,"ARCHITECTURE &gt; Software Architecture Evaluation")+COUNTIFS('Prácticas_Snowballing'!$AB$2:$AB$281,"T021",'Prácticas_Snowballing'!$AC$2:$AC$281,"ARCHITECTURE &gt; Software Architecture Evaluation")</f>
        <v>0</v>
      </c>
      <c r="Q29" s="17">
        <f>COUNTIFS('Prácticas_Revisiones'!$S$2:$S$282,"T021",'Prácticas_Revisiones'!$T$2:$T$282,"ARCHITECTURE &gt; Subárea no determinable")+COUNTIFS('Prácticas_Snowballing'!$AB$2:$AB$281,"T021",'Prácticas_Snowballing'!$AC$2:$AC$281,"ARCHITECTURE &gt; Subárea no determinable")</f>
        <v>0</v>
      </c>
      <c r="R29" s="29">
        <f t="shared" si="19"/>
        <v>0</v>
      </c>
      <c r="S29" s="17">
        <f>COUNTIFS('Prácticas_Revisiones'!$S$2:$S$282,"T021",'Prácticas_Revisiones'!$T$2:$T$282,"DESIGN &gt; Software Design Fundamentals")+COUNTIFS('Prácticas_Snowballing'!$AB$2:$AB$281,"T021",'Prácticas_Snowballing'!$AC$2:$AC$281,"DESIGN &gt; Software Design Fundamentals")</f>
        <v>0</v>
      </c>
      <c r="T29" s="17">
        <f>COUNTIFS('Prácticas_Revisiones'!$S$2:$S$282,"T021",'Prácticas_Revisiones'!$T$2:$T$282,"DESIGN &gt; Software Design Processes")+COUNTIFS('Prácticas_Snowballing'!$AB$2:$AB$281,"T021",'Prácticas_Snowballing'!$AC$2:$AC$281,"DESIGN &gt; Software Design Processes")</f>
        <v>0</v>
      </c>
      <c r="U29" s="17">
        <f>COUNTIFS('Prácticas_Revisiones'!$S$2:$S$282,"T021",'Prácticas_Revisiones'!$T$2:$T$282,"DESIGN &gt; Software Design Qualities")+COUNTIFS('Prácticas_Snowballing'!$AB$2:$AB$281,"T021",'Prácticas_Snowballing'!$AC$2:$AC$281,"DESIGN &gt; Software Design Qualities")</f>
        <v>0</v>
      </c>
      <c r="V29" s="17">
        <f>COUNTIFS('Prácticas_Revisiones'!$S$2:$S$282,"T021",'Prácticas_Revisiones'!$T$2:$T$282,"DESIGN &gt; Recording Software Design")+COUNTIFS('Prácticas_Snowballing'!$AB$2:$AB$281,"T021",'Prácticas_Snowballing'!$AC$2:$AC$281,"DESIGN &gt; Recording Software Design")</f>
        <v>0</v>
      </c>
      <c r="W29" s="17">
        <f>COUNTIFS('Prácticas_Revisiones'!$S$2:$S$282,"T021",'Prácticas_Revisiones'!$T$2:$T$282,"DESIGN &gt; Software Design Strategies and Methods")+COUNTIFS('Prácticas_Snowballing'!$AB$2:$AB$281,"T021",'Prácticas_Snowballing'!$AC$2:$AC$281,"DESIGN &gt; Software Design Strategies and Methods")</f>
        <v>1</v>
      </c>
      <c r="X29" s="17">
        <f>COUNTIFS('Prácticas_Revisiones'!$S$2:$S$282,"T021",'Prácticas_Revisiones'!$T$2:$T$282,"DESIGN &gt; Software Design Analysis and Evaluations")+COUNTIFS('Prácticas_Snowballing'!$AB$2:$AB$281,"T021",'Prácticas_Snowballing'!$AC$2:$AC$281,"DESIGN &gt; Software Design Analysis and Evaluations")</f>
        <v>0</v>
      </c>
      <c r="Y29" s="17">
        <f>COUNTIFS('Prácticas_Revisiones'!$S$2:$S$282,"T021",'Prácticas_Revisiones'!$T$2:$T$282,"DESIGN &gt; Subárea no determinable")+COUNTIFS('Prácticas_Snowballing'!$AB$2:$AB$281,"T021",'Prácticas_Snowballing'!$AC$2:$AC$281,"DESIGN &gt; Subárea no determinable")</f>
        <v>0</v>
      </c>
      <c r="Z29" s="29">
        <f t="shared" si="20"/>
        <v>1</v>
      </c>
      <c r="AA29" s="17">
        <f>COUNTIFS('Prácticas_Revisiones'!$S$2:$S$282,"T021",'Prácticas_Revisiones'!$T$2:$T$282,"CONSTRUCTION &gt; Software Construction Fundamentals")+COUNTIFS('Prácticas_Snowballing'!$AB$2:$AB$281,"T021",'Prácticas_Snowballing'!$AC$2:$AC$281,"CONSTRUCTION &gt; Software Construction Fundamentals")</f>
        <v>4</v>
      </c>
      <c r="AB29" s="17">
        <f>COUNTIFS('Prácticas_Revisiones'!$S$2:$S$282,"T021",'Prácticas_Revisiones'!$T$2:$T$282,"CONSTRUCTION &gt; Managing Construction")+COUNTIFS('Prácticas_Snowballing'!$AB$2:$AB$281,"T021",'Prácticas_Snowballing'!$AC$2:$AC$281,"CONSTRUCTION &gt; Managing Construction")</f>
        <v>0</v>
      </c>
      <c r="AC29" s="17">
        <f>COUNTIFS('Prácticas_Revisiones'!$S$2:$S$282,"T021",'Prácticas_Revisiones'!$T$2:$T$282,"CONSTRUCTION &gt; Practical Considerations")+COUNTIFS('Prácticas_Snowballing'!$AB$2:$AB$281,"T021",'Prácticas_Snowballing'!$AC$2:$AC$281,"CONSTRUCTION &gt; Practical Considerations")</f>
        <v>1</v>
      </c>
      <c r="AD29" s="17">
        <f>COUNTIFS('Prácticas_Revisiones'!$S$2:$S$282,"T021",'Prácticas_Revisiones'!$T$2:$T$282,"CONSTRUCTION &gt; Construction Technologies")+COUNTIFS('Prácticas_Snowballing'!$AB$2:$AB$281,"T021",'Prácticas_Snowballing'!$AC$2:$AC$281,"CONSTRUCTION &gt; Construction Technologies")</f>
        <v>0</v>
      </c>
      <c r="AE29" s="17">
        <f>COUNTIFS('Prácticas_Revisiones'!$S$2:$S$282,"T021",'Prácticas_Revisiones'!$T$2:$T$282,"CONSTRUCTION &gt; Software Construction Tools")+COUNTIFS('Prácticas_Snowballing'!$AB$2:$AB$281,"T021",'Prácticas_Snowballing'!$AC$2:$AC$281,"CONSTRUCTION &gt; Software Construction Tools")</f>
        <v>0</v>
      </c>
      <c r="AF29" s="17">
        <f>COUNTIFS('Prácticas_Revisiones'!$S$2:$S$282,"T021",'Prácticas_Revisiones'!$T$2:$T$282,"CONSTRUCTION &gt; Subárea no determinable")+COUNTIFS('Prácticas_Snowballing'!$AB$2:$AB$281,"T021",'Prácticas_Snowballing'!$AC$2:$AC$281,"CONSTRUCTION &gt; Subárea no determinable")</f>
        <v>0</v>
      </c>
      <c r="AG29" s="29">
        <f t="shared" si="21"/>
        <v>5</v>
      </c>
      <c r="AH29" s="17">
        <f>COUNTIFS('Prácticas_Revisiones'!$S$2:$S$282,"T021",'Prácticas_Revisiones'!$T$2:$T$282,"SOFTWARE TESTING &gt; Software Testing Fundamentals")+COUNTIFS('Prácticas_Snowballing'!$AB$2:$AB$281,"T021",'Prácticas_Snowballing'!$AC$2:$AC$281,"SOFTWARE TESTING &gt; Software Testing Fundamentals")</f>
        <v>0</v>
      </c>
      <c r="AI29" s="17">
        <f>COUNTIFS('Prácticas_Revisiones'!$S$2:$S$282,"T021",'Prácticas_Revisiones'!$T$2:$T$282,"SOFTWARE TESTING &gt; Test Levels")+COUNTIFS('Prácticas_Snowballing'!$AB$2:$AB$281,"T021",'Prácticas_Snowballing'!$AC$2:$AC$281,"SOFTWARE TESTING &gt; Test Levels")</f>
        <v>0</v>
      </c>
      <c r="AJ29" s="17">
        <f>COUNTIFS('Prácticas_Revisiones'!$S$2:$S$282,"T021",'Prácticas_Revisiones'!$T$2:$T$282,"SOFTWARE TESTING &gt; Test Techniques")+COUNTIFS('Prácticas_Snowballing'!$AB$2:$AB$281,"T021",'Prácticas_Snowballing'!$AC$2:$AC$281,"SOFTWARE TESTING &gt; Test Techniques")</f>
        <v>0</v>
      </c>
      <c r="AK29" s="17">
        <f>COUNTIFS('Prácticas_Revisiones'!$S$2:$S$282,"T021",'Prácticas_Revisiones'!$T$2:$T$282,"SOFTWARE TESTING &gt; Test-Related Measures")+COUNTIFS('Prácticas_Snowballing'!$AB$2:$AB$281,"T021",'Prácticas_Snowballing'!$AC$2:$AC$281,"SOFTWARE TESTING &gt; Test-Related Measures")</f>
        <v>0</v>
      </c>
      <c r="AL29" s="17">
        <f>COUNTIFS('Prácticas_Revisiones'!$S$2:$S$282,"T021",'Prácticas_Revisiones'!$T$2:$T$282,"SOFTWARE TESTING &gt; Test Process")+COUNTIFS('Prácticas_Snowballing'!$AB$2:$AB$281,"T021",'Prácticas_Snowballing'!$AC$2:$AC$281,"SOFTWARE TESTING &gt; Test Process")</f>
        <v>0</v>
      </c>
      <c r="AM29" s="17">
        <f>COUNTIFS('Prácticas_Revisiones'!$S$2:$S$282,"T021",'Prácticas_Revisiones'!$T$2:$T$282,"SOFTWARE TESTING &gt; Software Testing in the Development Processes...")+COUNTIFS('Prácticas_Snowballing'!$AB$2:$AB$281,"T021",'Prácticas_Snowballing'!$AC$2:$AC$281,"SOFTWARE TESTING &gt; Software Testing in the Development Processes...")</f>
        <v>0</v>
      </c>
      <c r="AN29" s="17">
        <f>COUNTIFS('Prácticas_Revisiones'!$S$2:$S$282,"T021",'Prácticas_Revisiones'!$T$2:$T$282,"SOFTWARE TESTING &gt; Testing of and Testing Through Emerging Tech...")+COUNTIFS('Prácticas_Snowballing'!$AB$2:$AB$281,"T021",'Prácticas_Snowballing'!$AC$2:$AC$281,"SOFTWARE TESTING &gt; Testing of and Testing Through Emerging Tech...")</f>
        <v>0</v>
      </c>
      <c r="AO29" s="17">
        <f>COUNTIFS('Prácticas_Revisiones'!$S$2:$S$282,"T021",'Prácticas_Revisiones'!$T$2:$T$282,"SOFTWARE TESTING &gt; Software Testing Tools")+COUNTIFS('Prácticas_Snowballing'!$AB$2:$AB$281,"T021",'Prácticas_Snowballing'!$AC$2:$AC$281,"SOFTWARE TESTING &gt; Software Testing Tools")</f>
        <v>0</v>
      </c>
      <c r="AP29" s="17">
        <f>COUNTIFS('Prácticas_Revisiones'!$S$2:$S$282,"T021",'Prácticas_Revisiones'!$T$2:$T$282,"SOFTWARE TESTING &gt; Subárea no determinable")+COUNTIFS('Prácticas_Snowballing'!$AB$2:$AB$281,"T021",'Prácticas_Snowballing'!$AC$2:$AC$281,"SOFTWARE TESTING &gt; Subárea no determinable")</f>
        <v>0</v>
      </c>
      <c r="AQ29" s="29">
        <f t="shared" si="22"/>
        <v>0</v>
      </c>
      <c r="AR29" s="17">
        <f>COUNTIFS('Prácticas_Revisiones'!$S$2:$S$282,"T021",'Prácticas_Revisiones'!$T$2:$T$282,"SOFTWARE ENG. OPERATIONS &gt; Software Engineering Operations Fundamentals")+COUNTIFS('Prácticas_Snowballing'!$AB$2:$AB$281,"T021",'Prácticas_Snowballing'!$AC$2:$AC$281,"SOFTWARE ENG. OPERATIONS &gt; Software Engineering Operations Fundamentals")</f>
        <v>0</v>
      </c>
      <c r="AS29" s="17">
        <f>COUNTIFS('Prácticas_Revisiones'!$S$2:$S$282,"T021",'Prácticas_Revisiones'!$T$2:$T$282,"SOFTWARE ENG. OPERATIONS &gt; Software Engineering Operations Planning")+COUNTIFS('Prácticas_Snowballing'!$AB$2:$AB$281,"T021",'Prácticas_Snowballing'!$AC$2:$AC$281,"SOFTWARE ENG. OPERATIONS &gt; Software Engineering Operations Planning")</f>
        <v>0</v>
      </c>
      <c r="AT29" s="17">
        <f>COUNTIFS('Prácticas_Revisiones'!$S$2:$S$282,"T021",'Prácticas_Revisiones'!$T$2:$T$282,"SOFTWARE ENG. OPERATIONS &gt; Software Engineering Operations Delivery")+COUNTIFS('Prácticas_Snowballing'!$AB$2:$AB$281,"T021",'Prácticas_Snowballing'!$AC$2:$AC$281,"SOFTWARE ENG. OPERATIONS &gt; Software Engineering Operations Delivery")</f>
        <v>0</v>
      </c>
      <c r="AU29" s="17">
        <f>COUNTIFS('Prácticas_Revisiones'!$S$2:$S$282,"T021",'Prácticas_Revisiones'!$T$2:$T$282,"SOFTWARE ENG. OPERATIONS &gt; Software Engineering Operations Control")+COUNTIFS('Prácticas_Snowballing'!$AB$2:$AB$281,"T021",'Prácticas_Snowballing'!$AC$2:$AC$281,"SOFTWARE ENG. OPERATIONS &gt; Software Engineering Operations Control")</f>
        <v>0</v>
      </c>
      <c r="AV29" s="17">
        <f>COUNTIFS('Prácticas_Revisiones'!$S$2:$S$282,"T021",'Prácticas_Revisiones'!$T$2:$T$282,"SOFTWARE ENG. OPERATIONS &gt; Practical Considerations")+COUNTIFS('Prácticas_Snowballing'!$AB$2:$AB$281,"T021",'Prácticas_Snowballing'!$AC$2:$AC$281,"SOFTWARE ENG. OPERATIONS &gt; Practical Considerations")</f>
        <v>0</v>
      </c>
      <c r="AW29" s="17">
        <f>COUNTIFS('Prácticas_Revisiones'!$S$2:$S$282,"T021",'Prácticas_Revisiones'!$T$2:$T$282,"SOFTWARE ENG. OPERATIONS &gt; Software Engineering Operations Tools")+COUNTIFS('Prácticas_Snowballing'!$AB$2:$AB$281,"T021",'Prácticas_Snowballing'!$AC$2:$AC$281,"SOFTWARE ENG. OPERATIONS &gt; Software Engineering Operations Tools")</f>
        <v>0</v>
      </c>
      <c r="AX29" s="17">
        <f>COUNTIFS('Prácticas_Revisiones'!$S$2:$S$282,"T021",'Prácticas_Revisiones'!$T$2:$T$282,"SOFTWARE ENG. OPERATIONS &gt; Subárea no determinable")+COUNTIFS('Prácticas_Snowballing'!$AB$2:$AB$281,"T021",'Prácticas_Snowballing'!$AC$2:$AC$281,"SOFTWARE ENG. OPERATIONS &gt; Subárea no determinable")</f>
        <v>0</v>
      </c>
      <c r="AY29" s="29">
        <f t="shared" si="23"/>
        <v>0</v>
      </c>
      <c r="AZ29" s="17">
        <f>COUNTIFS('Prácticas_Revisiones'!$S$2:$S$282,"T021",'Prácticas_Revisiones'!$T$2:$T$282,"MAINTENANCE &gt; Software Maintenance Fundamentals")+COUNTIFS('Prácticas_Snowballing'!$AB$2:$AB$281,"T021",'Prácticas_Snowballing'!$AC$2:$AC$281,"MAINTENANCE &gt; Software Maintenance Fundamentals")</f>
        <v>0</v>
      </c>
      <c r="BA29" s="17">
        <f>COUNTIFS('Prácticas_Revisiones'!$S$2:$S$282,"T021",'Prácticas_Revisiones'!$T$2:$T$282,"MAINTENANCE &gt; Key Issues in Software Maintenance")+COUNTIFS('Prácticas_Snowballing'!$AB$2:$AB$281,"T021",'Prácticas_Snowballing'!$AC$2:$AC$281,"MAINTENANCE &gt; Key Issues in Software Maintenance")</f>
        <v>0</v>
      </c>
      <c r="BB29" s="17">
        <f>COUNTIFS('Prácticas_Revisiones'!$S$2:$S$282,"T021",'Prácticas_Revisiones'!$T$2:$T$282,"MAINTENANCE &gt; Software Maintenance Processes")+COUNTIFS('Prácticas_Snowballing'!$AB$2:$AB$281,"T021",'Prácticas_Snowballing'!$AC$2:$AC$281,"MAINTENANCE &gt; Software Maintenance Processes")</f>
        <v>0</v>
      </c>
      <c r="BC29" s="17">
        <f>COUNTIFS('Prácticas_Revisiones'!$S$2:$S$282,"T021",'Prácticas_Revisiones'!$T$2:$T$282,"MAINTENANCE &gt; Software Maintenance Techniques")+COUNTIFS('Prácticas_Snowballing'!$AB$2:$AB$281,"T021",'Prácticas_Snowballing'!$AC$2:$AC$281,"MAINTENANCE &gt; Software Maintenance Techniques")</f>
        <v>0</v>
      </c>
      <c r="BD29" s="17">
        <f>COUNTIFS('Prácticas_Revisiones'!$S$2:$S$282,"T021",'Prácticas_Revisiones'!$T$2:$T$282,"MAINTENANCE &gt; Software Maintenance Tools")+COUNTIFS('Prácticas_Snowballing'!$AB$2:$AB$281,"T021",'Prácticas_Snowballing'!$AC$2:$AC$281,"MAINTENANCE &gt; Software Maintenance Tools")</f>
        <v>0</v>
      </c>
      <c r="BE29" s="17">
        <f>COUNTIFS('Prácticas_Revisiones'!$S$2:$S$282,"T021",'Prácticas_Revisiones'!$T$2:$T$282,"MAINTENANCE &gt; Subárea no determinable")+COUNTIFS('Prácticas_Snowballing'!$AB$2:$AB$281,"T021",'Prácticas_Snowballing'!$AC$2:$AC$281,"MAINTENANCE &gt; Subárea no determinable")</f>
        <v>0</v>
      </c>
      <c r="BF29" s="29">
        <f t="shared" si="24"/>
        <v>0</v>
      </c>
      <c r="BG29" s="17">
        <f>COUNTIFS('Prácticas_Revisiones'!$S$2:$S$282,"T021",'Prácticas_Revisiones'!$T$2:$T$282,"SOFTWARE CONFIG. MGMT. &gt; Management of the SCM Process")+COUNTIFS('Prácticas_Snowballing'!$AB$2:$AB$281,"T021",'Prácticas_Snowballing'!$AC$2:$AC$281,"SOFTWARE CONFIG. MGMT. &gt; Management of the SCM Process")</f>
        <v>0</v>
      </c>
      <c r="BH29" s="17">
        <f>COUNTIFS('Prácticas_Revisiones'!$S$2:$S$282,"T021",'Prácticas_Revisiones'!$T$2:$T$282,"SOFTWARE CONFIG. MGMT. &gt; Software Configuration Identification")+COUNTIFS('Prácticas_Snowballing'!$AB$2:$AB$281,"T021",'Prácticas_Snowballing'!$AC$2:$AC$281,"SOFTWARE CONFIG. MGMT. &gt; Software Configuration Identification")</f>
        <v>0</v>
      </c>
      <c r="BI29" s="17">
        <f>COUNTIFS('Prácticas_Revisiones'!$S$2:$S$282,"T021",'Prácticas_Revisiones'!$T$2:$T$282,"SOFTWARE CONFIG. MGMT. &gt; Software Configuration Change Control")+COUNTIFS('Prácticas_Snowballing'!$AB$2:$AB$281,"T021",'Prácticas_Snowballing'!$AC$2:$AC$281,"SOFTWARE CONFIG. MGMT. &gt; Software Configuration Change Control")</f>
        <v>0</v>
      </c>
      <c r="BJ29" s="17">
        <f>COUNTIFS('Prácticas_Revisiones'!$S$2:$S$282,"T021",'Prácticas_Revisiones'!$T$2:$T$282,"SOFTWARE CONFIG. MGMT. &gt; Software Configuration Status Accounting")+COUNTIFS('Prácticas_Snowballing'!$AB$2:$AB$281,"T021",'Prácticas_Snowballing'!$AC$2:$AC$281,"SOFTWARE CONFIG. MGMT. &gt; Software Configuration Status Accounting")</f>
        <v>0</v>
      </c>
      <c r="BK29" s="17">
        <f>COUNTIFS('Prácticas_Revisiones'!$S$2:$S$282,"T021",'Prácticas_Revisiones'!$T$2:$T$282,"SOFTWARE CONFIG. MGMT. &gt; Software Configuration Auditing")+COUNTIFS('Prácticas_Snowballing'!$AB$2:$AB$281,"T021",'Prácticas_Snowballing'!$AC$2:$AC$281,"SOFTWARE CONFIG. MGMT. &gt; Software Configuration Auditing")</f>
        <v>0</v>
      </c>
      <c r="BL29" s="17">
        <f>COUNTIFS('Prácticas_Revisiones'!$S$2:$S$282,"T021",'Prácticas_Revisiones'!$T$2:$T$282,"SOFTWARE CONFIG. MGMT. &gt; Software Release Management and Delivery")+COUNTIFS('Prácticas_Snowballing'!$AB$2:$AB$281,"T021",'Prácticas_Snowballing'!$AC$2:$AC$281,"SOFTWARE CONFIG. MGMT. &gt; Software Release Management and Delivery")</f>
        <v>0</v>
      </c>
      <c r="BM29" s="17">
        <f>COUNTIFS('Prácticas_Revisiones'!$S$2:$S$282,"T021",'Prácticas_Revisiones'!$T$2:$T$282,"SOFTWARE CONFIG. MGMT. &gt; Software Configuration Management Tools")+COUNTIFS('Prácticas_Snowballing'!$AB$2:$AB$281,"T021",'Prácticas_Snowballing'!$AC$2:$AC$281,"SOFTWARE CONFIG. MGMT. &gt; Software Configuration Management Tools")</f>
        <v>0</v>
      </c>
      <c r="BN29" s="17">
        <f>COUNTIFS('Prácticas_Revisiones'!$S$2:$S$282,"T021",'Prácticas_Revisiones'!$T$2:$T$282,"SOFTWARE CONFIG. MGMT. &gt; Subárea no determinable")+COUNTIFS('Prácticas_Snowballing'!$AB$2:$AB$281,"T021",'Prácticas_Snowballing'!$AC$2:$AC$281,"SOFTWARE CONFIG. MGMT. &gt; Subárea no determinable")</f>
        <v>0</v>
      </c>
      <c r="BO29" s="29">
        <f t="shared" si="25"/>
        <v>0</v>
      </c>
      <c r="BP29" s="17">
        <f>COUNTIFS('Prácticas_Revisiones'!$S$2:$S$282,"T021",'Prácticas_Revisiones'!$T$2:$T$282,"SOFTWARE ENG. PROCESS &gt; Software Engineering Process Fundamentals")+COUNTIFS('Prácticas_Snowballing'!$AB$2:$AB$281,"T021",'Prácticas_Snowballing'!$AC$2:$AC$281,"SOFTWARE ENG. PROCESS &gt; Software Engineering Process Fundamentals")</f>
        <v>0</v>
      </c>
      <c r="BQ29" s="17">
        <f>COUNTIFS('Prácticas_Revisiones'!$S$2:$S$282,"T021",'Prácticas_Revisiones'!$T$2:$T$282,"SOFTWARE ENG. PROCESS &gt; Life Cycles")+COUNTIFS('Prácticas_Snowballing'!$AB$2:$AB$281,"T021",'Prácticas_Snowballing'!$AC$2:$AC$281,"SOFTWARE ENG. PROCESS &gt; Life Cycles")</f>
        <v>0</v>
      </c>
      <c r="BR29" s="17">
        <f>COUNTIFS('Prácticas_Revisiones'!$S$2:$S$282,"T021",'Prácticas_Revisiones'!$T$2:$T$282,"SOFTWARE ENG. PROCESS &gt; Software Process Assessment and Improvement")+COUNTIFS('Prácticas_Snowballing'!$AB$2:$AB$281,"T021",'Prácticas_Snowballing'!$AC$2:$AC$281,"SOFTWARE ENG. PROCESS &gt; Software Process Assessment and Improvement")</f>
        <v>0</v>
      </c>
      <c r="BS29" s="17">
        <f>COUNTIFS('Prácticas_Revisiones'!$S$2:$S$282,"T021",'Prácticas_Revisiones'!$T$2:$T$282,"SOFTWARE ENG. PROCESS &gt; Subárea no determinable")+COUNTIFS('Prácticas_Snowballing'!$AB$2:$AB$281,"T021",'Prácticas_Snowballing'!$AC$2:$AC$281,"SOFTWARE ENG. PROCESS &gt; Subárea no determinable")</f>
        <v>0</v>
      </c>
      <c r="BT29" s="29">
        <f t="shared" si="26"/>
        <v>0</v>
      </c>
      <c r="BU29" s="17">
        <f>COUNTIFS('Prácticas_Revisiones'!$S$2:$S$282,"T021",'Prácticas_Revisiones'!$T$2:$T$282,"SOFTWARE ENG. MODELS/METH. &gt; Modeling")+COUNTIFS('Prácticas_Snowballing'!$AB$2:$AB$281,"T021",'Prácticas_Snowballing'!$AC$2:$AC$281,"SOFTWARE ENG. MODELS/METH. &gt; Modeling")</f>
        <v>0</v>
      </c>
      <c r="BV29" s="17">
        <f>COUNTIFS('Prácticas_Revisiones'!$S$2:$S$282,"T021",'Prácticas_Revisiones'!$T$2:$T$282,"SOFTWARE ENG. MODELS/METH. &gt; Types of Models")+COUNTIFS('Prácticas_Snowballing'!$AB$2:$AB$281,"T021",'Prácticas_Snowballing'!$AC$2:$AC$281,"SOFTWARE ENG. MODELS/METH. &gt; Types of Models")</f>
        <v>0</v>
      </c>
      <c r="BW29" s="17">
        <f>COUNTIFS('Prácticas_Revisiones'!$S$2:$S$282,"T021",'Prácticas_Revisiones'!$T$2:$T$282,"SOFTWARE ENG. MODELS/METH. &gt; Analysis of Models")+COUNTIFS('Prácticas_Snowballing'!$AB$2:$AB$281,"T021",'Prácticas_Snowballing'!$AC$2:$AC$281,"SOFTWARE ENG. MODELS/METH. &gt; Analysis of Models")</f>
        <v>0</v>
      </c>
      <c r="BX29" s="17">
        <f>COUNTIFS('Prácticas_Revisiones'!$S$2:$S$282,"T021",'Prácticas_Revisiones'!$T$2:$T$282,"SOFTWARE ENG. MODELS/METH. &gt; Software Engineering Methods")+COUNTIFS('Prácticas_Snowballing'!$AB$2:$AB$281,"T021",'Prácticas_Snowballing'!$AC$2:$AC$281,"SOFTWARE ENG. MODELS/METH. &gt; Software Engineering Methods")</f>
        <v>0</v>
      </c>
      <c r="BY29" s="17">
        <f>COUNTIFS('Prácticas_Revisiones'!$S$2:$S$282,"T021",'Prácticas_Revisiones'!$T$2:$T$282,"SOFTWARE ENG. MODELS/METH. &gt; Subárea no determinable")+COUNTIFS('Prácticas_Snowballing'!$AB$2:$AB$281,"T021",'Prácticas_Snowballing'!$AC$2:$AC$281,"SOFTWARE ENG. MODELS/METH. &gt; Subárea no determinable")</f>
        <v>0</v>
      </c>
      <c r="BZ29" s="29">
        <f t="shared" si="27"/>
        <v>0</v>
      </c>
      <c r="CA29" s="17">
        <f>COUNTIFS('Prácticas_Revisiones'!$S$2:$S$282,"T021",'Prácticas_Revisiones'!$T$2:$T$282,"SOFTWARE QUALITY &gt; Software Quality Fundamentals")+COUNTIFS('Prácticas_Snowballing'!$AB$2:$AB$281,"T021",'Prácticas_Snowballing'!$AC$2:$AC$281,"SOFTWARE QUALITY &gt; Software Quality Fundamentals")</f>
        <v>0</v>
      </c>
      <c r="CB29" s="17">
        <f>COUNTIFS('Prácticas_Revisiones'!$S$2:$S$282,"T021",'Prácticas_Revisiones'!$T$2:$T$282,"SOFTWARE QUALITY &gt; Software Quality Management Process")+COUNTIFS('Prácticas_Snowballing'!$AB$2:$AB$281,"T021",'Prácticas_Snowballing'!$AC$2:$AC$281,"SOFTWARE QUALITY &gt; Software Quality Management Process")</f>
        <v>0</v>
      </c>
      <c r="CC29" s="17">
        <f>COUNTIFS('Prácticas_Revisiones'!$S$2:$S$282,"T021",'Prácticas_Revisiones'!$T$2:$T$282,"SOFTWARE QUALITY &gt; Software Quality Assurance Process")+COUNTIFS('Prácticas_Snowballing'!$AB$2:$AB$281,"T021",'Prácticas_Snowballing'!$AC$2:$AC$281,"SOFTWARE QUALITY &gt; Software Quality Assurance Process")</f>
        <v>0</v>
      </c>
      <c r="CD29" s="17">
        <f>COUNTIFS('Prácticas_Revisiones'!$S$2:$S$282,"T021",'Prácticas_Revisiones'!$T$2:$T$282,"SOFTWARE QUALITY &gt; Software Quality Tools")+COUNTIFS('Prácticas_Snowballing'!$AB$2:$AB$281,"T021",'Prácticas_Snowballing'!$AC$2:$AC$281,"SOFTWARE QUALITY &gt; Software Quality Tools")</f>
        <v>0</v>
      </c>
      <c r="CE29" s="17">
        <f>COUNTIFS('Prácticas_Revisiones'!$S$2:$S$282,"T021",'Prácticas_Revisiones'!$T$2:$T$282,"SOFTWARE QUALITY &gt; Subárea no determinable")+COUNTIFS('Prácticas_Snowballing'!$AB$2:$AB$281,"T021",'Prácticas_Snowballing'!$AC$2:$AC$281,"SOFTWARE QUALITY &gt; Subárea no determinable")</f>
        <v>0</v>
      </c>
      <c r="CF29" s="29">
        <f t="shared" si="28"/>
        <v>0</v>
      </c>
      <c r="CG29" s="17">
        <f>COUNTIFS('Prácticas_Revisiones'!$S$2:$S$282,"T021",'Prácticas_Revisiones'!$T$2:$T$282,"SOFTWARE SECURITY &gt; Software Security Fundamentals")+COUNTIFS('Prácticas_Snowballing'!$AB$2:$AB$281,"T021",'Prácticas_Snowballing'!$AC$2:$AC$281,"SOFTWARE SECURITY &gt; Software Security Fundamentals")</f>
        <v>0</v>
      </c>
      <c r="CH29" s="17">
        <f>COUNTIFS('Prácticas_Revisiones'!$S$2:$S$282,"T021",'Prácticas_Revisiones'!$T$2:$T$282,"SOFTWARE SECURITY &gt; Security Management and Organization")+COUNTIFS('Prácticas_Snowballing'!$AB$2:$AB$281,"T021",'Prácticas_Snowballing'!$AC$2:$AC$281,"SOFTWARE SECURITY &gt; Security Management and Organization")</f>
        <v>0</v>
      </c>
      <c r="CI29" s="17">
        <f>COUNTIFS('Prácticas_Revisiones'!$S$2:$S$282,"T021",'Prácticas_Revisiones'!$T$2:$T$282,"SOFTWARE SECURITY &gt; Software Security Engineering and Process")+COUNTIFS('Prácticas_Snowballing'!$AB$2:$AB$281,"T021",'Prácticas_Snowballing'!$AC$2:$AC$281,"SOFTWARE SECURITY &gt; Software Security Engineering and Process")</f>
        <v>0</v>
      </c>
      <c r="CJ29" s="17">
        <f>COUNTIFS('Prácticas_Revisiones'!$S$2:$S$282,"T021",'Prácticas_Revisiones'!$T$2:$T$282,"SOFTWARE SECURITY &gt; Security Engineering for Software Systems")+COUNTIFS('Prácticas_Snowballing'!$AB$2:$AB$281,"T021",'Prácticas_Snowballing'!$AC$2:$AC$281,"SOFTWARE SECURITY &gt; Security Engineering for Software Systems")</f>
        <v>0</v>
      </c>
      <c r="CK29" s="17">
        <f>COUNTIFS('Prácticas_Revisiones'!$S$2:$S$282,"T021",'Prácticas_Revisiones'!$T$2:$T$282,"SOFTWARE SECURITY &gt; Software Security Tools")+COUNTIFS('Prácticas_Snowballing'!$AB$2:$AB$281,"T021",'Prácticas_Snowballing'!$AC$2:$AC$281,"SOFTWARE SECURITY &gt; Software Security Tools")</f>
        <v>0</v>
      </c>
      <c r="CL29" s="17">
        <f>COUNTIFS('Prácticas_Revisiones'!$S$2:$S$282,"T021",'Prácticas_Revisiones'!$T$2:$T$282,"SOFTWARE SECURITY &gt; Domain Specific Software Security")+COUNTIFS('Prácticas_Snowballing'!$AB$2:$AB$281,"T021",'Prácticas_Snowballing'!$AC$2:$AC$281,"SOFTWARE SECURITY &gt; Domain Specific Software Security")</f>
        <v>0</v>
      </c>
      <c r="CM29" s="17">
        <f>COUNTIFS('Prácticas_Revisiones'!$S$2:$S$282,"T021",'Prácticas_Revisiones'!$T$2:$T$282,"SOFTWARE SECURITY &gt; Subárea no determinable")+COUNTIFS('Prácticas_Snowballing'!$AB$2:$AB$281,"T021",'Prácticas_Snowballing'!$AC$2:$AC$281,"SOFTWARE SECURITY &gt; Subárea no determinable")</f>
        <v>0</v>
      </c>
      <c r="CN29" s="29">
        <f t="shared" si="29"/>
        <v>0</v>
      </c>
      <c r="CO29" s="17">
        <f>COUNTIFS('Prácticas_Revisiones'!$S$2:$S$282,"T021",'Prácticas_Revisiones'!$T$2:$T$282,"PROFESSIONAL PRACTICE &gt; Professionalism")+COUNTIFS('Prácticas_Snowballing'!$AB$2:$AB$281,"T021",'Prácticas_Snowballing'!$AC$2:$AC$281,"PROFESSIONAL PRACTICE &gt; Professionalism")</f>
        <v>0</v>
      </c>
      <c r="CP29" s="17">
        <f>COUNTIFS('Prácticas_Revisiones'!$S$2:$S$282,"T021",'Prácticas_Revisiones'!$T$2:$T$282,"PROFESSIONAL PRACTICE &gt; Group Dynamics and Psychology")+COUNTIFS('Prácticas_Snowballing'!$AB$2:$AB$281,"T021",'Prácticas_Snowballing'!$AC$2:$AC$281,"PROFESSIONAL PRACTICE &gt; Group Dynamics and Psychology")</f>
        <v>0</v>
      </c>
      <c r="CQ29" s="17">
        <f>COUNTIFS('Prácticas_Revisiones'!$S$2:$S$282,"T021",'Prácticas_Revisiones'!$T$2:$T$282,"PROFESSIONAL PRACTICE &gt; Communication Skills")+COUNTIFS('Prácticas_Snowballing'!$AB$2:$AB$281,"T021",'Prácticas_Snowballing'!$AC$2:$AC$281,"PROFESSIONAL PRACTICE &gt; Communication Skills")</f>
        <v>0</v>
      </c>
      <c r="CR29" s="17">
        <f>COUNTIFS('Prácticas_Revisiones'!$S$2:$S$282,"T021",'Prácticas_Revisiones'!$T$2:$T$282,"PROFESSIONAL PRACTICE &gt; Subárea no determinable")+COUNTIFS('Prácticas_Snowballing'!$AB$2:$AB$281,"T021",'Prácticas_Snowballing'!$AC$2:$AC$281,"PROFESSIONAL PRACTICE &gt; Subárea no determinable")</f>
        <v>0</v>
      </c>
      <c r="CS29" s="29">
        <f t="shared" si="30"/>
        <v>0</v>
      </c>
      <c r="CT29" s="17">
        <f>COUNTIFS('Prácticas_Revisiones'!$S$2:$S$282,"T021",'Prácticas_Revisiones'!$T$2:$T$282,"SOFTWARE ENG. ECONOMICS &gt; Software Engineering Economics Fundamentals")+COUNTIFS('Prácticas_Snowballing'!$AB$2:$AB$281,"T021",'Prácticas_Snowballing'!$AC$2:$AC$281,"SOFTWARE ENG. ECONOMICS &gt; Software Engineering Economics Fundamentals")</f>
        <v>0</v>
      </c>
      <c r="CU29" s="17">
        <f>COUNTIFS('Prácticas_Revisiones'!$S$2:$S$282,"T021",'Prácticas_Revisiones'!$T$2:$T$282,"SOFTWARE ENG. ECONOMICS &gt; The Engineering Decision-Making Process")+COUNTIFS('Prácticas_Snowballing'!$AB$2:$AB$281,"T021",'Prácticas_Snowballing'!$AC$2:$AC$281,"SOFTWARE ENG. ECONOMICS &gt; The Engineering Decision-Making Process")</f>
        <v>0</v>
      </c>
      <c r="CV29" s="17">
        <f>COUNTIFS('Prácticas_Revisiones'!$S$2:$S$282,"T021",'Prácticas_Revisiones'!$T$2:$T$282,"SOFTWARE ENG. ECONOMICS &gt; For-Profit Decision-Making")+COUNTIFS('Prácticas_Snowballing'!$AB$2:$AB$281,"T021",'Prácticas_Snowballing'!$AC$2:$AC$281,"SOFTWARE ENG. ECONOMICS &gt; For-Profit Decision-Making")</f>
        <v>0</v>
      </c>
      <c r="CW29" s="17">
        <f>COUNTIFS('Prácticas_Revisiones'!$S$2:$S$282,"T021",'Prácticas_Revisiones'!$T$2:$T$282,"SOFTWARE ENG. ECONOMICS &gt; Nonprofit Decision-Making")+COUNTIFS('Prácticas_Snowballing'!$AB$2:$AB$281,"T021",'Prácticas_Snowballing'!$AC$2:$AC$281,"SOFTWARE ENG. ECONOMICS &gt; Nonprofit Decision-Making")</f>
        <v>0</v>
      </c>
      <c r="CX29" s="17">
        <f>COUNTIFS('Prácticas_Revisiones'!$S$2:$S$282,"T021",'Prácticas_Revisiones'!$T$2:$T$282,"SOFTWARE ENG. ECONOMICS &gt; Present Economy Decision-Making")+COUNTIFS('Prácticas_Snowballing'!$AB$2:$AB$281,"T021",'Prácticas_Snowballing'!$AC$2:$AC$281,"SOFTWARE ENG. ECONOMICS &gt; Present Economy Decision-Making")</f>
        <v>0</v>
      </c>
      <c r="CY29" s="17">
        <f>COUNTIFS('Prácticas_Revisiones'!$S$2:$S$282,"T021",'Prácticas_Revisiones'!$T$2:$T$282,"SOFTWARE ENG. ECONOMICS &gt; Multiple-Attribute Decision-Making")+COUNTIFS('Prácticas_Snowballing'!$AB$2:$AB$281,"T021",'Prácticas_Snowballing'!$AC$2:$AC$281,"SOFTWARE ENG. ECONOMICS &gt; Multiple-Attribute Decision-Making")</f>
        <v>0</v>
      </c>
      <c r="CZ29" s="17">
        <f>COUNTIFS('Prácticas_Revisiones'!$S$2:$S$282,"T021",'Prácticas_Revisiones'!$T$2:$T$282,"SOFTWARE ENG. ECONOMICS &gt; Identifying and Characterizing Intangible Assets")+COUNTIFS('Prácticas_Snowballing'!$AB$2:$AB$281,"T021",'Prácticas_Snowballing'!$AC$2:$AC$281,"SOFTWARE ENG. ECONOMICS &gt; Identifying and Characterizing Intangible Assets")</f>
        <v>0</v>
      </c>
      <c r="DA29" s="17">
        <f>COUNTIFS('Prácticas_Revisiones'!$S$2:$S$282,"T021",'Prácticas_Revisiones'!$T$2:$T$282,"SOFTWARE ENG. ECONOMICS &gt; Estimation")+COUNTIFS('Prácticas_Snowballing'!$AB$2:$AB$281,"T021",'Prácticas_Snowballing'!$AC$2:$AC$281,"SOFTWARE ENG. ECONOMICS &gt; Estimation")</f>
        <v>0</v>
      </c>
      <c r="DB29" s="17">
        <f>COUNTIFS('Prácticas_Revisiones'!$S$2:$S$282,"T021",'Prácticas_Revisiones'!$T$2:$T$282,"SOFTWARE ENG. ECONOMICS &gt; Practical Considerations")+COUNTIFS('Prácticas_Snowballing'!$AB$2:$AB$281,"T021",'Prácticas_Snowballing'!$AC$2:$AC$281,"SOFTWARE ENG. ECONOMICS &gt; Practical Considerations")</f>
        <v>0</v>
      </c>
      <c r="DC29" s="17">
        <f>COUNTIFS('Prácticas_Revisiones'!$S$2:$S$282,"T021",'Prácticas_Revisiones'!$T$2:$T$282,"SOFTWARE ENG. ECONOMICS &gt; Related Concepts")+COUNTIFS('Prácticas_Snowballing'!$AB$2:$AB$281,"T021",'Prácticas_Snowballing'!$AC$2:$AC$281,"SOFTWARE ENG. ECONOMICS &gt; Related Concepts")</f>
        <v>0</v>
      </c>
      <c r="DD29" s="17">
        <f>COUNTIFS('Prácticas_Revisiones'!$S$2:$S$282,"T021",'Prácticas_Revisiones'!$T$2:$T$282,"SOFTWARE ENG. ECONOMICS &gt; Subárea no determinable")+COUNTIFS('Prácticas_Snowballing'!$AB$2:$AB$281,"T021",'Prácticas_Snowballing'!$AC$2:$AC$281,"SOFTWARE ENG. ECONOMICS &gt; Subárea no determinable")</f>
        <v>0</v>
      </c>
      <c r="DE29" s="29">
        <f t="shared" si="31"/>
        <v>0</v>
      </c>
      <c r="DF29" s="17">
        <f>COUNTIFS('Prácticas_Revisiones'!$S$2:$S$282,"T021",'Prácticas_Revisiones'!$T$2:$T$282,"SOFTWARE ENG. MANAGEMENT &gt; Software Engineering Management Fundamentals")+COUNTIFS('Prácticas_Snowballing'!$AB$2:$AB$281,"T021",'Prácticas_Snowballing'!$AC$2:$AC$281,"SOFTWARE ENG. MANAGEMENT &gt; Software Engineering Management Fundamentals")</f>
        <v>0</v>
      </c>
      <c r="DG29" s="17">
        <f>COUNTIFS('Prácticas_Revisiones'!$S$2:$S$282,"T021",'Prácticas_Revisiones'!$T$2:$T$282,"SOFTWARE ENG. MANAGEMENT &gt; Initiation and Scope Definition")+COUNTIFS('Prácticas_Snowballing'!$AB$2:$AB$281,"T021",'Prácticas_Snowballing'!$AC$2:$AC$281,"SOFTWARE ENG. MANAGEMENT &gt; Initiation and Scope Definition")</f>
        <v>0</v>
      </c>
      <c r="DH29" s="17">
        <f>COUNTIFS('Prácticas_Revisiones'!$S$2:$S$282,"T021",'Prácticas_Revisiones'!$T$2:$T$282,"SOFTWARE ENG. MANAGEMENT &gt; Software Project Planning")+COUNTIFS('Prácticas_Snowballing'!$AB$2:$AB$281,"T021",'Prácticas_Snowballing'!$AC$2:$AC$281,"SOFTWARE ENG. MANAGEMENT &gt; Software Project Planning")</f>
        <v>0</v>
      </c>
      <c r="DI29" s="17">
        <f>COUNTIFS('Prácticas_Revisiones'!$S$2:$S$282,"T021",'Prácticas_Revisiones'!$T$2:$T$282,"SOFTWARE ENG. MANAGEMENT &gt; Software Project Enactment")+COUNTIFS('Prácticas_Snowballing'!$AB$2:$AB$281,"T021",'Prácticas_Snowballing'!$AC$2:$AC$281,"SOFTWARE ENG. MANAGEMENT &gt; Software Project Enactment")</f>
        <v>0</v>
      </c>
      <c r="DJ29" s="17">
        <f>COUNTIFS('Prácticas_Revisiones'!$S$2:$S$282,"T021",'Prácticas_Revisiones'!$T$2:$T$282,"SOFTWARE ENG. MANAGEMENT &gt; Review and Evaluation")+COUNTIFS('Prácticas_Snowballing'!$AB$2:$AB$281,"T021",'Prácticas_Snowballing'!$AC$2:$AC$281,"SOFTWARE ENG. MANAGEMENT &gt; Review and Evaluation")</f>
        <v>0</v>
      </c>
      <c r="DK29" s="17">
        <f>COUNTIFS('Prácticas_Revisiones'!$S$2:$S$282,"T021",'Prácticas_Revisiones'!$T$2:$T$282,"SOFTWARE ENG. MANAGEMENT &gt; Closure")+COUNTIFS('Prácticas_Snowballing'!$AB$2:$AB$281,"T021",'Prácticas_Snowballing'!$AC$2:$AC$281,"SOFTWARE ENG. MANAGEMENT &gt; Closure")</f>
        <v>0</v>
      </c>
      <c r="DL29" s="17">
        <f>COUNTIFS('Prácticas_Revisiones'!$S$2:$S$282,"T021",'Prácticas_Revisiones'!$T$2:$T$282,"SOFTWARE ENG. MANAGEMENT &gt; Software Engineering Management Tools")+COUNTIFS('Prácticas_Snowballing'!$AB$2:$AB$281,"T021",'Prácticas_Snowballing'!$AC$2:$AC$281,"SOFTWARE ENG. MANAGEMENT &gt; Software Engineering Management Tools")</f>
        <v>0</v>
      </c>
      <c r="DM29" s="17">
        <f>COUNTIFS('Prácticas_Revisiones'!$S$2:$S$282,"T021",'Prácticas_Revisiones'!$T$2:$T$282,"SOFTWARE ENG. MANAGEMENT &gt; Subárea no determinable")+COUNTIFS('Prácticas_Snowballing'!$AB$2:$AB$281,"T021",'Prácticas_Snowballing'!$AC$2:$AC$281,"SOFTWARE ENG. MANAGEMENT &gt; Subárea no determinable")</f>
        <v>0</v>
      </c>
      <c r="DN29" s="29">
        <f t="shared" si="32"/>
        <v>0</v>
      </c>
      <c r="DO29" s="17">
        <f>COUNTIFS('Prácticas_Revisiones'!$S$2:$S$282,"T021",'Prácticas_Revisiones'!$T$2:$T$282,"Sin área SWEBOK")+COUNTIFS('Prácticas_Snowballing'!$AB$2:$AB$281,"T021",'Prácticas_Snowballing'!$AC$2:$AC$281,"Sin área SWEBOK")</f>
        <v>0</v>
      </c>
      <c r="DP29" s="27">
        <f t="shared" si="33"/>
        <v>6</v>
      </c>
    </row>
    <row r="30" ht="15.75" customHeight="1">
      <c r="A30" s="28"/>
      <c r="B30" s="16" t="s">
        <v>2754</v>
      </c>
      <c r="C30" s="17">
        <f>COUNTIFS('Prácticas_Revisiones'!$S$2:$S$282,"T022",'Prácticas_Revisiones'!$T$2:$T$282,"REQUIREMENTS &gt; Software Requirements Fundamentals")+COUNTIFS('Prácticas_Snowballing'!$AB$2:$AB$281,"T022",'Prácticas_Snowballing'!$AC$2:$AC$281,"REQUIREMENTS &gt; Software Requirements Fundamentals")</f>
        <v>0</v>
      </c>
      <c r="D30" s="17">
        <f>COUNTIFS('Prácticas_Revisiones'!$S$2:$S$282,"T022",'Prácticas_Revisiones'!$T$2:$T$282,"REQUIREMENTS &gt; Requirements Elicitation")+COUNTIFS('Prácticas_Snowballing'!$AB$2:$AB$281,"T022",'Prácticas_Snowballing'!$AC$2:$AC$281,"REQUIREMENTS &gt; Requirements Elicitation")</f>
        <v>0</v>
      </c>
      <c r="E30" s="17">
        <f>COUNTIFS('Prácticas_Revisiones'!$S$2:$S$282,"T022",'Prácticas_Revisiones'!$T$2:$T$282,"REQUIREMENTS &gt; Requirements Analysis")+COUNTIFS('Prácticas_Snowballing'!$AB$2:$AB$281,"T022",'Prácticas_Snowballing'!$AC$2:$AC$281,"REQUIREMENTS &gt; Requirements Analysis")</f>
        <v>0</v>
      </c>
      <c r="F30" s="17">
        <f>COUNTIFS('Prácticas_Revisiones'!$S$2:$S$282,"T022",'Prácticas_Revisiones'!$T$2:$T$282,"REQUIREMENTS &gt; Requirements Specification")+COUNTIFS('Prácticas_Snowballing'!$AB$2:$AB$281,"T022",'Prácticas_Snowballing'!$AC$2:$AC$281,"REQUIREMENTS &gt; Requirements Specification")</f>
        <v>0</v>
      </c>
      <c r="G30" s="17">
        <f>COUNTIFS('Prácticas_Revisiones'!$S$2:$S$282,"T022",'Prácticas_Revisiones'!$T$2:$T$282,"REQUIREMENTS &gt; Requirements Validation")+COUNTIFS('Prácticas_Snowballing'!$AB$2:$AB$281,"T022",'Prácticas_Snowballing'!$AC$2:$AC$281,"REQUIREMENTS &gt; Requirements Validation")</f>
        <v>0</v>
      </c>
      <c r="H30" s="17">
        <f>COUNTIFS('Prácticas_Revisiones'!$S$2:$S$282,"T022",'Prácticas_Revisiones'!$T$2:$T$282,"REQUIREMENTS &gt; Requirements Management Activities")+COUNTIFS('Prácticas_Snowballing'!$AB$2:$AB$281,"T022",'Prácticas_Snowballing'!$AC$2:$AC$281,"REQUIREMENTS &gt; Requirements Management Activities")</f>
        <v>0</v>
      </c>
      <c r="I30" s="17">
        <f>COUNTIFS('Prácticas_Revisiones'!$S$2:$S$282,"T022",'Prácticas_Revisiones'!$T$2:$T$282,"REQUIREMENTS &gt; Practical Considerations")+COUNTIFS('Prácticas_Snowballing'!$AB$2:$AB$281,"T022",'Prácticas_Snowballing'!$AC$2:$AC$281,"REQUIREMENTS &gt; Practical Considerations")</f>
        <v>0</v>
      </c>
      <c r="J30" s="17">
        <f>COUNTIFS('Prácticas_Revisiones'!$S$2:$S$282,"T022",'Prácticas_Revisiones'!$T$2:$T$282,"REQUIREMENTS &gt; Software Requirements Tools")+COUNTIFS('Prácticas_Snowballing'!$AB$2:$AB$281,"T022",'Prácticas_Snowballing'!$AC$2:$AC$281,"REQUIREMENTS &gt; Software Requirements Tools")</f>
        <v>0</v>
      </c>
      <c r="K30" s="17">
        <f>COUNTIFS('Prácticas_Revisiones'!$S$2:$S$282,"T022",'Prácticas_Revisiones'!$T$2:$T$282,"REQUIREMENTS &gt; Subárea no determinable")+COUNTIFS('Prácticas_Snowballing'!$AB$2:$AB$281,"T022",'Prácticas_Snowballing'!$AC$2:$AC$281,"REQUIREMENTS &gt; Subárea no determinable")</f>
        <v>0</v>
      </c>
      <c r="L30" s="29">
        <f t="shared" si="18"/>
        <v>0</v>
      </c>
      <c r="M30" s="17">
        <f>COUNTIFS('Prácticas_Revisiones'!$S$2:$S$282,"T022",'Prácticas_Revisiones'!$T$2:$T$282,"ARCHITECTURE &gt; Software Architecture Fundamentals")+COUNTIFS('Prácticas_Snowballing'!$AB$2:$AB$281,"T022",'Prácticas_Snowballing'!$AC$2:$AC$281,"ARCHITECTURE &gt; Software Architecture Fundamentals")</f>
        <v>0</v>
      </c>
      <c r="N30" s="17">
        <f>COUNTIFS('Prácticas_Revisiones'!$S$2:$S$282,"T022",'Prácticas_Revisiones'!$T$2:$T$282,"ARCHITECTURE &gt; Software Architecture Description")+COUNTIFS('Prácticas_Snowballing'!$AB$2:$AB$281,"T022",'Prácticas_Snowballing'!$AC$2:$AC$281,"ARCHITECTURE &gt; Software Architecture Description")</f>
        <v>0</v>
      </c>
      <c r="O30" s="17">
        <f>COUNTIFS('Prácticas_Revisiones'!$S$2:$S$282,"T022",'Prácticas_Revisiones'!$T$2:$T$282,"ARCHITECTURE &gt; Software Architecture Process")+COUNTIFS('Prácticas_Snowballing'!$AB$2:$AB$281,"T022",'Prácticas_Snowballing'!$AC$2:$AC$281,"ARCHITECTURE &gt; Software Architecture Process")</f>
        <v>0</v>
      </c>
      <c r="P30" s="17">
        <f>COUNTIFS('Prácticas_Revisiones'!$S$2:$S$282,"T022",'Prácticas_Revisiones'!$T$2:$T$282,"ARCHITECTURE &gt; Software Architecture Evaluation")+COUNTIFS('Prácticas_Snowballing'!$AB$2:$AB$281,"T022",'Prácticas_Snowballing'!$AC$2:$AC$281,"ARCHITECTURE &gt; Software Architecture Evaluation")</f>
        <v>0</v>
      </c>
      <c r="Q30" s="17">
        <f>COUNTIFS('Prácticas_Revisiones'!$S$2:$S$282,"T022",'Prácticas_Revisiones'!$T$2:$T$282,"ARCHITECTURE &gt; Subárea no determinable")+COUNTIFS('Prácticas_Snowballing'!$AB$2:$AB$281,"T022",'Prácticas_Snowballing'!$AC$2:$AC$281,"ARCHITECTURE &gt; Subárea no determinable")</f>
        <v>0</v>
      </c>
      <c r="R30" s="29">
        <f t="shared" si="19"/>
        <v>0</v>
      </c>
      <c r="S30" s="17">
        <f>COUNTIFS('Prácticas_Revisiones'!$S$2:$S$282,"T022",'Prácticas_Revisiones'!$T$2:$T$282,"DESIGN &gt; Software Design Fundamentals")+COUNTIFS('Prácticas_Snowballing'!$AB$2:$AB$281,"T022",'Prácticas_Snowballing'!$AC$2:$AC$281,"DESIGN &gt; Software Design Fundamentals")</f>
        <v>0</v>
      </c>
      <c r="T30" s="17">
        <f>COUNTIFS('Prácticas_Revisiones'!$S$2:$S$282,"T022",'Prácticas_Revisiones'!$T$2:$T$282,"DESIGN &gt; Software Design Processes")+COUNTIFS('Prácticas_Snowballing'!$AB$2:$AB$281,"T022",'Prácticas_Snowballing'!$AC$2:$AC$281,"DESIGN &gt; Software Design Processes")</f>
        <v>0</v>
      </c>
      <c r="U30" s="17">
        <f>COUNTIFS('Prácticas_Revisiones'!$S$2:$S$282,"T022",'Prácticas_Revisiones'!$T$2:$T$282,"DESIGN &gt; Software Design Qualities")+COUNTIFS('Prácticas_Snowballing'!$AB$2:$AB$281,"T022",'Prácticas_Snowballing'!$AC$2:$AC$281,"DESIGN &gt; Software Design Qualities")</f>
        <v>0</v>
      </c>
      <c r="V30" s="17">
        <f>COUNTIFS('Prácticas_Revisiones'!$S$2:$S$282,"T022",'Prácticas_Revisiones'!$T$2:$T$282,"DESIGN &gt; Recording Software Design")+COUNTIFS('Prácticas_Snowballing'!$AB$2:$AB$281,"T022",'Prácticas_Snowballing'!$AC$2:$AC$281,"DESIGN &gt; Recording Software Design")</f>
        <v>0</v>
      </c>
      <c r="W30" s="17">
        <f>COUNTIFS('Prácticas_Revisiones'!$S$2:$S$282,"T022",'Prácticas_Revisiones'!$T$2:$T$282,"DESIGN &gt; Software Design Strategies and Methods")+COUNTIFS('Prácticas_Snowballing'!$AB$2:$AB$281,"T022",'Prácticas_Snowballing'!$AC$2:$AC$281,"DESIGN &gt; Software Design Strategies and Methods")</f>
        <v>0</v>
      </c>
      <c r="X30" s="17">
        <f>COUNTIFS('Prácticas_Revisiones'!$S$2:$S$282,"T022",'Prácticas_Revisiones'!$T$2:$T$282,"DESIGN &gt; Software Design Analysis and Evaluations")+COUNTIFS('Prácticas_Snowballing'!$AB$2:$AB$281,"T022",'Prácticas_Snowballing'!$AC$2:$AC$281,"DESIGN &gt; Software Design Analysis and Evaluations")</f>
        <v>0</v>
      </c>
      <c r="Y30" s="17">
        <f>COUNTIFS('Prácticas_Revisiones'!$S$2:$S$282,"T022",'Prácticas_Revisiones'!$T$2:$T$282,"DESIGN &gt; Subárea no determinable")+COUNTIFS('Prácticas_Snowballing'!$AB$2:$AB$281,"T022",'Prácticas_Snowballing'!$AC$2:$AC$281,"DESIGN &gt; Subárea no determinable")</f>
        <v>0</v>
      </c>
      <c r="Z30" s="29">
        <f t="shared" si="20"/>
        <v>0</v>
      </c>
      <c r="AA30" s="17">
        <f>COUNTIFS('Prácticas_Revisiones'!$S$2:$S$282,"T022",'Prácticas_Revisiones'!$T$2:$T$282,"CONSTRUCTION &gt; Software Construction Fundamentals")+COUNTIFS('Prácticas_Snowballing'!$AB$2:$AB$281,"T022",'Prácticas_Snowballing'!$AC$2:$AC$281,"CONSTRUCTION &gt; Software Construction Fundamentals")</f>
        <v>0</v>
      </c>
      <c r="AB30" s="17">
        <f>COUNTIFS('Prácticas_Revisiones'!$S$2:$S$282,"T022",'Prácticas_Revisiones'!$T$2:$T$282,"CONSTRUCTION &gt; Managing Construction")+COUNTIFS('Prácticas_Snowballing'!$AB$2:$AB$281,"T022",'Prácticas_Snowballing'!$AC$2:$AC$281,"CONSTRUCTION &gt; Managing Construction")</f>
        <v>0</v>
      </c>
      <c r="AC30" s="17">
        <f>COUNTIFS('Prácticas_Revisiones'!$S$2:$S$282,"T022",'Prácticas_Revisiones'!$T$2:$T$282,"CONSTRUCTION &gt; Practical Considerations")+COUNTIFS('Prácticas_Snowballing'!$AB$2:$AB$281,"T022",'Prácticas_Snowballing'!$AC$2:$AC$281,"CONSTRUCTION &gt; Practical Considerations")</f>
        <v>0</v>
      </c>
      <c r="AD30" s="17">
        <f>COUNTIFS('Prácticas_Revisiones'!$S$2:$S$282,"T022",'Prácticas_Revisiones'!$T$2:$T$282,"CONSTRUCTION &gt; Construction Technologies")+COUNTIFS('Prácticas_Snowballing'!$AB$2:$AB$281,"T022",'Prácticas_Snowballing'!$AC$2:$AC$281,"CONSTRUCTION &gt; Construction Technologies")</f>
        <v>0</v>
      </c>
      <c r="AE30" s="17">
        <f>COUNTIFS('Prácticas_Revisiones'!$S$2:$S$282,"T022",'Prácticas_Revisiones'!$T$2:$T$282,"CONSTRUCTION &gt; Software Construction Tools")+COUNTIFS('Prácticas_Snowballing'!$AB$2:$AB$281,"T022",'Prácticas_Snowballing'!$AC$2:$AC$281,"CONSTRUCTION &gt; Software Construction Tools")</f>
        <v>0</v>
      </c>
      <c r="AF30" s="17">
        <f>COUNTIFS('Prácticas_Revisiones'!$S$2:$S$282,"T022",'Prácticas_Revisiones'!$T$2:$T$282,"CONSTRUCTION &gt; Subárea no determinable")+COUNTIFS('Prácticas_Snowballing'!$AB$2:$AB$281,"T022",'Prácticas_Snowballing'!$AC$2:$AC$281,"CONSTRUCTION &gt; Subárea no determinable")</f>
        <v>0</v>
      </c>
      <c r="AG30" s="29">
        <f t="shared" si="21"/>
        <v>0</v>
      </c>
      <c r="AH30" s="17">
        <f>COUNTIFS('Prácticas_Revisiones'!$S$2:$S$282,"T022",'Prácticas_Revisiones'!$T$2:$T$282,"SOFTWARE TESTING &gt; Software Testing Fundamentals")+COUNTIFS('Prácticas_Snowballing'!$AB$2:$AB$281,"T022",'Prácticas_Snowballing'!$AC$2:$AC$281,"SOFTWARE TESTING &gt; Software Testing Fundamentals")</f>
        <v>0</v>
      </c>
      <c r="AI30" s="17">
        <f>COUNTIFS('Prácticas_Revisiones'!$S$2:$S$282,"T022",'Prácticas_Revisiones'!$T$2:$T$282,"SOFTWARE TESTING &gt; Test Levels")+COUNTIFS('Prácticas_Snowballing'!$AB$2:$AB$281,"T022",'Prácticas_Snowballing'!$AC$2:$AC$281,"SOFTWARE TESTING &gt; Test Levels")</f>
        <v>0</v>
      </c>
      <c r="AJ30" s="17">
        <f>COUNTIFS('Prácticas_Revisiones'!$S$2:$S$282,"T022",'Prácticas_Revisiones'!$T$2:$T$282,"SOFTWARE TESTING &gt; Test Techniques")+COUNTIFS('Prácticas_Snowballing'!$AB$2:$AB$281,"T022",'Prácticas_Snowballing'!$AC$2:$AC$281,"SOFTWARE TESTING &gt; Test Techniques")</f>
        <v>0</v>
      </c>
      <c r="AK30" s="17">
        <f>COUNTIFS('Prácticas_Revisiones'!$S$2:$S$282,"T022",'Prácticas_Revisiones'!$T$2:$T$282,"SOFTWARE TESTING &gt; Test-Related Measures")+COUNTIFS('Prácticas_Snowballing'!$AB$2:$AB$281,"T022",'Prácticas_Snowballing'!$AC$2:$AC$281,"SOFTWARE TESTING &gt; Test-Related Measures")</f>
        <v>0</v>
      </c>
      <c r="AL30" s="17">
        <f>COUNTIFS('Prácticas_Revisiones'!$S$2:$S$282,"T022",'Prácticas_Revisiones'!$T$2:$T$282,"SOFTWARE TESTING &gt; Test Process")+COUNTIFS('Prácticas_Snowballing'!$AB$2:$AB$281,"T022",'Prácticas_Snowballing'!$AC$2:$AC$281,"SOFTWARE TESTING &gt; Test Process")</f>
        <v>0</v>
      </c>
      <c r="AM30" s="17">
        <f>COUNTIFS('Prácticas_Revisiones'!$S$2:$S$282,"T022",'Prácticas_Revisiones'!$T$2:$T$282,"SOFTWARE TESTING &gt; Software Testing in the Development Processes...")+COUNTIFS('Prácticas_Snowballing'!$AB$2:$AB$281,"T022",'Prácticas_Snowballing'!$AC$2:$AC$281,"SOFTWARE TESTING &gt; Software Testing in the Development Processes...")</f>
        <v>0</v>
      </c>
      <c r="AN30" s="17">
        <f>COUNTIFS('Prácticas_Revisiones'!$S$2:$S$282,"T022",'Prácticas_Revisiones'!$T$2:$T$282,"SOFTWARE TESTING &gt; Testing of and Testing Through Emerging Tech...")+COUNTIFS('Prácticas_Snowballing'!$AB$2:$AB$281,"T022",'Prácticas_Snowballing'!$AC$2:$AC$281,"SOFTWARE TESTING &gt; Testing of and Testing Through Emerging Tech...")</f>
        <v>0</v>
      </c>
      <c r="AO30" s="17">
        <f>COUNTIFS('Prácticas_Revisiones'!$S$2:$S$282,"T022",'Prácticas_Revisiones'!$T$2:$T$282,"SOFTWARE TESTING &gt; Software Testing Tools")+COUNTIFS('Prácticas_Snowballing'!$AB$2:$AB$281,"T022",'Prácticas_Snowballing'!$AC$2:$AC$281,"SOFTWARE TESTING &gt; Software Testing Tools")</f>
        <v>0</v>
      </c>
      <c r="AP30" s="17">
        <f>COUNTIFS('Prácticas_Revisiones'!$S$2:$S$282,"T022",'Prácticas_Revisiones'!$T$2:$T$282,"SOFTWARE TESTING &gt; Subárea no determinable")+COUNTIFS('Prácticas_Snowballing'!$AB$2:$AB$281,"T022",'Prácticas_Snowballing'!$AC$2:$AC$281,"SOFTWARE TESTING &gt; Subárea no determinable")</f>
        <v>0</v>
      </c>
      <c r="AQ30" s="29">
        <f t="shared" si="22"/>
        <v>0</v>
      </c>
      <c r="AR30" s="17">
        <f>COUNTIFS('Prácticas_Revisiones'!$S$2:$S$282,"T022",'Prácticas_Revisiones'!$T$2:$T$282,"SOFTWARE ENG. OPERATIONS &gt; Software Engineering Operations Fundamentals")+COUNTIFS('Prácticas_Snowballing'!$AB$2:$AB$281,"T022",'Prácticas_Snowballing'!$AC$2:$AC$281,"SOFTWARE ENG. OPERATIONS &gt; Software Engineering Operations Fundamentals")</f>
        <v>0</v>
      </c>
      <c r="AS30" s="17">
        <f>COUNTIFS('Prácticas_Revisiones'!$S$2:$S$282,"T022",'Prácticas_Revisiones'!$T$2:$T$282,"SOFTWARE ENG. OPERATIONS &gt; Software Engineering Operations Planning")+COUNTIFS('Prácticas_Snowballing'!$AB$2:$AB$281,"T022",'Prácticas_Snowballing'!$AC$2:$AC$281,"SOFTWARE ENG. OPERATIONS &gt; Software Engineering Operations Planning")</f>
        <v>0</v>
      </c>
      <c r="AT30" s="17">
        <f>COUNTIFS('Prácticas_Revisiones'!$S$2:$S$282,"T022",'Prácticas_Revisiones'!$T$2:$T$282,"SOFTWARE ENG. OPERATIONS &gt; Software Engineering Operations Delivery")+COUNTIFS('Prácticas_Snowballing'!$AB$2:$AB$281,"T022",'Prácticas_Snowballing'!$AC$2:$AC$281,"SOFTWARE ENG. OPERATIONS &gt; Software Engineering Operations Delivery")</f>
        <v>0</v>
      </c>
      <c r="AU30" s="17">
        <f>COUNTIFS('Prácticas_Revisiones'!$S$2:$S$282,"T022",'Prácticas_Revisiones'!$T$2:$T$282,"SOFTWARE ENG. OPERATIONS &gt; Software Engineering Operations Control")+COUNTIFS('Prácticas_Snowballing'!$AB$2:$AB$281,"T022",'Prácticas_Snowballing'!$AC$2:$AC$281,"SOFTWARE ENG. OPERATIONS &gt; Software Engineering Operations Control")</f>
        <v>0</v>
      </c>
      <c r="AV30" s="17">
        <f>COUNTIFS('Prácticas_Revisiones'!$S$2:$S$282,"T022",'Prácticas_Revisiones'!$T$2:$T$282,"SOFTWARE ENG. OPERATIONS &gt; Practical Considerations")+COUNTIFS('Prácticas_Snowballing'!$AB$2:$AB$281,"T022",'Prácticas_Snowballing'!$AC$2:$AC$281,"SOFTWARE ENG. OPERATIONS &gt; Practical Considerations")</f>
        <v>0</v>
      </c>
      <c r="AW30" s="17">
        <f>COUNTIFS('Prácticas_Revisiones'!$S$2:$S$282,"T022",'Prácticas_Revisiones'!$T$2:$T$282,"SOFTWARE ENG. OPERATIONS &gt; Software Engineering Operations Tools")+COUNTIFS('Prácticas_Snowballing'!$AB$2:$AB$281,"T022",'Prácticas_Snowballing'!$AC$2:$AC$281,"SOFTWARE ENG. OPERATIONS &gt; Software Engineering Operations Tools")</f>
        <v>0</v>
      </c>
      <c r="AX30" s="17">
        <f>COUNTIFS('Prácticas_Revisiones'!$S$2:$S$282,"T022",'Prácticas_Revisiones'!$T$2:$T$282,"SOFTWARE ENG. OPERATIONS &gt; Subárea no determinable")+COUNTIFS('Prácticas_Snowballing'!$AB$2:$AB$281,"T022",'Prácticas_Snowballing'!$AC$2:$AC$281,"SOFTWARE ENG. OPERATIONS &gt; Subárea no determinable")</f>
        <v>0</v>
      </c>
      <c r="AY30" s="29">
        <f t="shared" si="23"/>
        <v>0</v>
      </c>
      <c r="AZ30" s="17">
        <f>COUNTIFS('Prácticas_Revisiones'!$S$2:$S$282,"T022",'Prácticas_Revisiones'!$T$2:$T$282,"MAINTENANCE &gt; Software Maintenance Fundamentals")+COUNTIFS('Prácticas_Snowballing'!$AB$2:$AB$281,"T022",'Prácticas_Snowballing'!$AC$2:$AC$281,"MAINTENANCE &gt; Software Maintenance Fundamentals")</f>
        <v>0</v>
      </c>
      <c r="BA30" s="17">
        <f>COUNTIFS('Prácticas_Revisiones'!$S$2:$S$282,"T022",'Prácticas_Revisiones'!$T$2:$T$282,"MAINTENANCE &gt; Key Issues in Software Maintenance")+COUNTIFS('Prácticas_Snowballing'!$AB$2:$AB$281,"T022",'Prácticas_Snowballing'!$AC$2:$AC$281,"MAINTENANCE &gt; Key Issues in Software Maintenance")</f>
        <v>0</v>
      </c>
      <c r="BB30" s="17">
        <f>COUNTIFS('Prácticas_Revisiones'!$S$2:$S$282,"T022",'Prácticas_Revisiones'!$T$2:$T$282,"MAINTENANCE &gt; Software Maintenance Processes")+COUNTIFS('Prácticas_Snowballing'!$AB$2:$AB$281,"T022",'Prácticas_Snowballing'!$AC$2:$AC$281,"MAINTENANCE &gt; Software Maintenance Processes")</f>
        <v>0</v>
      </c>
      <c r="BC30" s="17">
        <f>COUNTIFS('Prácticas_Revisiones'!$S$2:$S$282,"T022",'Prácticas_Revisiones'!$T$2:$T$282,"MAINTENANCE &gt; Software Maintenance Techniques")+COUNTIFS('Prácticas_Snowballing'!$AB$2:$AB$281,"T022",'Prácticas_Snowballing'!$AC$2:$AC$281,"MAINTENANCE &gt; Software Maintenance Techniques")</f>
        <v>0</v>
      </c>
      <c r="BD30" s="17">
        <f>COUNTIFS('Prácticas_Revisiones'!$S$2:$S$282,"T022",'Prácticas_Revisiones'!$T$2:$T$282,"MAINTENANCE &gt; Software Maintenance Tools")+COUNTIFS('Prácticas_Snowballing'!$AB$2:$AB$281,"T022",'Prácticas_Snowballing'!$AC$2:$AC$281,"MAINTENANCE &gt; Software Maintenance Tools")</f>
        <v>0</v>
      </c>
      <c r="BE30" s="17">
        <f>COUNTIFS('Prácticas_Revisiones'!$S$2:$S$282,"T022",'Prácticas_Revisiones'!$T$2:$T$282,"MAINTENANCE &gt; Subárea no determinable")+COUNTIFS('Prácticas_Snowballing'!$AB$2:$AB$281,"T022",'Prácticas_Snowballing'!$AC$2:$AC$281,"MAINTENANCE &gt; Subárea no determinable")</f>
        <v>0</v>
      </c>
      <c r="BF30" s="29">
        <f t="shared" si="24"/>
        <v>0</v>
      </c>
      <c r="BG30" s="17">
        <f>COUNTIFS('Prácticas_Revisiones'!$S$2:$S$282,"T022",'Prácticas_Revisiones'!$T$2:$T$282,"SOFTWARE CONFIG. MGMT. &gt; Management of the SCM Process")+COUNTIFS('Prácticas_Snowballing'!$AB$2:$AB$281,"T022",'Prácticas_Snowballing'!$AC$2:$AC$281,"SOFTWARE CONFIG. MGMT. &gt; Management of the SCM Process")</f>
        <v>0</v>
      </c>
      <c r="BH30" s="17">
        <f>COUNTIFS('Prácticas_Revisiones'!$S$2:$S$282,"T022",'Prácticas_Revisiones'!$T$2:$T$282,"SOFTWARE CONFIG. MGMT. &gt; Software Configuration Identification")+COUNTIFS('Prácticas_Snowballing'!$AB$2:$AB$281,"T022",'Prácticas_Snowballing'!$AC$2:$AC$281,"SOFTWARE CONFIG. MGMT. &gt; Software Configuration Identification")</f>
        <v>0</v>
      </c>
      <c r="BI30" s="17">
        <f>COUNTIFS('Prácticas_Revisiones'!$S$2:$S$282,"T022",'Prácticas_Revisiones'!$T$2:$T$282,"SOFTWARE CONFIG. MGMT. &gt; Software Configuration Change Control")+COUNTIFS('Prácticas_Snowballing'!$AB$2:$AB$281,"T022",'Prácticas_Snowballing'!$AC$2:$AC$281,"SOFTWARE CONFIG. MGMT. &gt; Software Configuration Change Control")</f>
        <v>0</v>
      </c>
      <c r="BJ30" s="17">
        <f>COUNTIFS('Prácticas_Revisiones'!$S$2:$S$282,"T022",'Prácticas_Revisiones'!$T$2:$T$282,"SOFTWARE CONFIG. MGMT. &gt; Software Configuration Status Accounting")+COUNTIFS('Prácticas_Snowballing'!$AB$2:$AB$281,"T022",'Prácticas_Snowballing'!$AC$2:$AC$281,"SOFTWARE CONFIG. MGMT. &gt; Software Configuration Status Accounting")</f>
        <v>0</v>
      </c>
      <c r="BK30" s="17">
        <f>COUNTIFS('Prácticas_Revisiones'!$S$2:$S$282,"T022",'Prácticas_Revisiones'!$T$2:$T$282,"SOFTWARE CONFIG. MGMT. &gt; Software Configuration Auditing")+COUNTIFS('Prácticas_Snowballing'!$AB$2:$AB$281,"T022",'Prácticas_Snowballing'!$AC$2:$AC$281,"SOFTWARE CONFIG. MGMT. &gt; Software Configuration Auditing")</f>
        <v>0</v>
      </c>
      <c r="BL30" s="17">
        <f>COUNTIFS('Prácticas_Revisiones'!$S$2:$S$282,"T022",'Prácticas_Revisiones'!$T$2:$T$282,"SOFTWARE CONFIG. MGMT. &gt; Software Release Management and Delivery")+COUNTIFS('Prácticas_Snowballing'!$AB$2:$AB$281,"T022",'Prácticas_Snowballing'!$AC$2:$AC$281,"SOFTWARE CONFIG. MGMT. &gt; Software Release Management and Delivery")</f>
        <v>0</v>
      </c>
      <c r="BM30" s="17">
        <f>COUNTIFS('Prácticas_Revisiones'!$S$2:$S$282,"T022",'Prácticas_Revisiones'!$T$2:$T$282,"SOFTWARE CONFIG. MGMT. &gt; Software Configuration Management Tools")+COUNTIFS('Prácticas_Snowballing'!$AB$2:$AB$281,"T022",'Prácticas_Snowballing'!$AC$2:$AC$281,"SOFTWARE CONFIG. MGMT. &gt; Software Configuration Management Tools")</f>
        <v>0</v>
      </c>
      <c r="BN30" s="17">
        <f>COUNTIFS('Prácticas_Revisiones'!$S$2:$S$282,"T022",'Prácticas_Revisiones'!$T$2:$T$282,"SOFTWARE CONFIG. MGMT. &gt; Subárea no determinable")+COUNTIFS('Prácticas_Snowballing'!$AB$2:$AB$281,"T022",'Prácticas_Snowballing'!$AC$2:$AC$281,"SOFTWARE CONFIG. MGMT. &gt; Subárea no determinable")</f>
        <v>0</v>
      </c>
      <c r="BO30" s="29">
        <f t="shared" si="25"/>
        <v>0</v>
      </c>
      <c r="BP30" s="17">
        <f>COUNTIFS('Prácticas_Revisiones'!$S$2:$S$282,"T022",'Prácticas_Revisiones'!$T$2:$T$282,"SOFTWARE ENG. PROCESS &gt; Software Engineering Process Fundamentals")+COUNTIFS('Prácticas_Snowballing'!$AB$2:$AB$281,"T022",'Prácticas_Snowballing'!$AC$2:$AC$281,"SOFTWARE ENG. PROCESS &gt; Software Engineering Process Fundamentals")</f>
        <v>0</v>
      </c>
      <c r="BQ30" s="17">
        <f>COUNTIFS('Prácticas_Revisiones'!$S$2:$S$282,"T022",'Prácticas_Revisiones'!$T$2:$T$282,"SOFTWARE ENG. PROCESS &gt; Life Cycles")+COUNTIFS('Prácticas_Snowballing'!$AB$2:$AB$281,"T022",'Prácticas_Snowballing'!$AC$2:$AC$281,"SOFTWARE ENG. PROCESS &gt; Life Cycles")</f>
        <v>0</v>
      </c>
      <c r="BR30" s="17">
        <f>COUNTIFS('Prácticas_Revisiones'!$S$2:$S$282,"T022",'Prácticas_Revisiones'!$T$2:$T$282,"SOFTWARE ENG. PROCESS &gt; Software Process Assessment and Improvement")+COUNTIFS('Prácticas_Snowballing'!$AB$2:$AB$281,"T022",'Prácticas_Snowballing'!$AC$2:$AC$281,"SOFTWARE ENG. PROCESS &gt; Software Process Assessment and Improvement")</f>
        <v>0</v>
      </c>
      <c r="BS30" s="17">
        <f>COUNTIFS('Prácticas_Revisiones'!$S$2:$S$282,"T022",'Prácticas_Revisiones'!$T$2:$T$282,"SOFTWARE ENG. PROCESS &gt; Subárea no determinable")+COUNTIFS('Prácticas_Snowballing'!$AB$2:$AB$281,"T022",'Prácticas_Snowballing'!$AC$2:$AC$281,"SOFTWARE ENG. PROCESS &gt; Subárea no determinable")</f>
        <v>0</v>
      </c>
      <c r="BT30" s="29">
        <f t="shared" si="26"/>
        <v>0</v>
      </c>
      <c r="BU30" s="17">
        <f>COUNTIFS('Prácticas_Revisiones'!$S$2:$S$282,"T022",'Prácticas_Revisiones'!$T$2:$T$282,"SOFTWARE ENG. MODELS/METH. &gt; Modeling")+COUNTIFS('Prácticas_Snowballing'!$AB$2:$AB$281,"T022",'Prácticas_Snowballing'!$AC$2:$AC$281,"SOFTWARE ENG. MODELS/METH. &gt; Modeling")</f>
        <v>0</v>
      </c>
      <c r="BV30" s="17">
        <f>COUNTIFS('Prácticas_Revisiones'!$S$2:$S$282,"T022",'Prácticas_Revisiones'!$T$2:$T$282,"SOFTWARE ENG. MODELS/METH. &gt; Types of Models")+COUNTIFS('Prácticas_Snowballing'!$AB$2:$AB$281,"T022",'Prácticas_Snowballing'!$AC$2:$AC$281,"SOFTWARE ENG. MODELS/METH. &gt; Types of Models")</f>
        <v>0</v>
      </c>
      <c r="BW30" s="17">
        <f>COUNTIFS('Prácticas_Revisiones'!$S$2:$S$282,"T022",'Prácticas_Revisiones'!$T$2:$T$282,"SOFTWARE ENG. MODELS/METH. &gt; Analysis of Models")+COUNTIFS('Prácticas_Snowballing'!$AB$2:$AB$281,"T022",'Prácticas_Snowballing'!$AC$2:$AC$281,"SOFTWARE ENG. MODELS/METH. &gt; Analysis of Models")</f>
        <v>0</v>
      </c>
      <c r="BX30" s="17">
        <f>COUNTIFS('Prácticas_Revisiones'!$S$2:$S$282,"T022",'Prácticas_Revisiones'!$T$2:$T$282,"SOFTWARE ENG. MODELS/METH. &gt; Software Engineering Methods")+COUNTIFS('Prácticas_Snowballing'!$AB$2:$AB$281,"T022",'Prácticas_Snowballing'!$AC$2:$AC$281,"SOFTWARE ENG. MODELS/METH. &gt; Software Engineering Methods")</f>
        <v>0</v>
      </c>
      <c r="BY30" s="17">
        <f>COUNTIFS('Prácticas_Revisiones'!$S$2:$S$282,"T022",'Prácticas_Revisiones'!$T$2:$T$282,"SOFTWARE ENG. MODELS/METH. &gt; Subárea no determinable")+COUNTIFS('Prácticas_Snowballing'!$AB$2:$AB$281,"T022",'Prácticas_Snowballing'!$AC$2:$AC$281,"SOFTWARE ENG. MODELS/METH. &gt; Subárea no determinable")</f>
        <v>0</v>
      </c>
      <c r="BZ30" s="29">
        <f t="shared" si="27"/>
        <v>0</v>
      </c>
      <c r="CA30" s="17">
        <f>COUNTIFS('Prácticas_Revisiones'!$S$2:$S$282,"T022",'Prácticas_Revisiones'!$T$2:$T$282,"SOFTWARE QUALITY &gt; Software Quality Fundamentals")+COUNTIFS('Prácticas_Snowballing'!$AB$2:$AB$281,"T022",'Prácticas_Snowballing'!$AC$2:$AC$281,"SOFTWARE QUALITY &gt; Software Quality Fundamentals")</f>
        <v>0</v>
      </c>
      <c r="CB30" s="17">
        <f>COUNTIFS('Prácticas_Revisiones'!$S$2:$S$282,"T022",'Prácticas_Revisiones'!$T$2:$T$282,"SOFTWARE QUALITY &gt; Software Quality Management Process")+COUNTIFS('Prácticas_Snowballing'!$AB$2:$AB$281,"T022",'Prácticas_Snowballing'!$AC$2:$AC$281,"SOFTWARE QUALITY &gt; Software Quality Management Process")</f>
        <v>0</v>
      </c>
      <c r="CC30" s="17">
        <f>COUNTIFS('Prácticas_Revisiones'!$S$2:$S$282,"T022",'Prácticas_Revisiones'!$T$2:$T$282,"SOFTWARE QUALITY &gt; Software Quality Assurance Process")+COUNTIFS('Prácticas_Snowballing'!$AB$2:$AB$281,"T022",'Prácticas_Snowballing'!$AC$2:$AC$281,"SOFTWARE QUALITY &gt; Software Quality Assurance Process")</f>
        <v>0</v>
      </c>
      <c r="CD30" s="17">
        <f>COUNTIFS('Prácticas_Revisiones'!$S$2:$S$282,"T022",'Prácticas_Revisiones'!$T$2:$T$282,"SOFTWARE QUALITY &gt; Software Quality Tools")+COUNTIFS('Prácticas_Snowballing'!$AB$2:$AB$281,"T022",'Prácticas_Snowballing'!$AC$2:$AC$281,"SOFTWARE QUALITY &gt; Software Quality Tools")</f>
        <v>0</v>
      </c>
      <c r="CE30" s="17">
        <f>COUNTIFS('Prácticas_Revisiones'!$S$2:$S$282,"T022",'Prácticas_Revisiones'!$T$2:$T$282,"SOFTWARE QUALITY &gt; Subárea no determinable")+COUNTIFS('Prácticas_Snowballing'!$AB$2:$AB$281,"T022",'Prácticas_Snowballing'!$AC$2:$AC$281,"SOFTWARE QUALITY &gt; Subárea no determinable")</f>
        <v>0</v>
      </c>
      <c r="CF30" s="29">
        <f t="shared" si="28"/>
        <v>0</v>
      </c>
      <c r="CG30" s="17">
        <f>COUNTIFS('Prácticas_Revisiones'!$S$2:$S$282,"T022",'Prácticas_Revisiones'!$T$2:$T$282,"SOFTWARE SECURITY &gt; Software Security Fundamentals")+COUNTIFS('Prácticas_Snowballing'!$AB$2:$AB$281,"T022",'Prácticas_Snowballing'!$AC$2:$AC$281,"SOFTWARE SECURITY &gt; Software Security Fundamentals")</f>
        <v>0</v>
      </c>
      <c r="CH30" s="17">
        <f>COUNTIFS('Prácticas_Revisiones'!$S$2:$S$282,"T022",'Prácticas_Revisiones'!$T$2:$T$282,"SOFTWARE SECURITY &gt; Security Management and Organization")+COUNTIFS('Prácticas_Snowballing'!$AB$2:$AB$281,"T022",'Prácticas_Snowballing'!$AC$2:$AC$281,"SOFTWARE SECURITY &gt; Security Management and Organization")</f>
        <v>0</v>
      </c>
      <c r="CI30" s="17">
        <f>COUNTIFS('Prácticas_Revisiones'!$S$2:$S$282,"T022",'Prácticas_Revisiones'!$T$2:$T$282,"SOFTWARE SECURITY &gt; Software Security Engineering and Process")+COUNTIFS('Prácticas_Snowballing'!$AB$2:$AB$281,"T022",'Prácticas_Snowballing'!$AC$2:$AC$281,"SOFTWARE SECURITY &gt; Software Security Engineering and Process")</f>
        <v>0</v>
      </c>
      <c r="CJ30" s="17">
        <f>COUNTIFS('Prácticas_Revisiones'!$S$2:$S$282,"T022",'Prácticas_Revisiones'!$T$2:$T$282,"SOFTWARE SECURITY &gt; Security Engineering for Software Systems")+COUNTIFS('Prácticas_Snowballing'!$AB$2:$AB$281,"T022",'Prácticas_Snowballing'!$AC$2:$AC$281,"SOFTWARE SECURITY &gt; Security Engineering for Software Systems")</f>
        <v>0</v>
      </c>
      <c r="CK30" s="17">
        <f>COUNTIFS('Prácticas_Revisiones'!$S$2:$S$282,"T022",'Prácticas_Revisiones'!$T$2:$T$282,"SOFTWARE SECURITY &gt; Software Security Tools")+COUNTIFS('Prácticas_Snowballing'!$AB$2:$AB$281,"T022",'Prácticas_Snowballing'!$AC$2:$AC$281,"SOFTWARE SECURITY &gt; Software Security Tools")</f>
        <v>0</v>
      </c>
      <c r="CL30" s="17">
        <f>COUNTIFS('Prácticas_Revisiones'!$S$2:$S$282,"T022",'Prácticas_Revisiones'!$T$2:$T$282,"SOFTWARE SECURITY &gt; Domain Specific Software Security")+COUNTIFS('Prácticas_Snowballing'!$AB$2:$AB$281,"T022",'Prácticas_Snowballing'!$AC$2:$AC$281,"SOFTWARE SECURITY &gt; Domain Specific Software Security")</f>
        <v>0</v>
      </c>
      <c r="CM30" s="17">
        <f>COUNTIFS('Prácticas_Revisiones'!$S$2:$S$282,"T022",'Prácticas_Revisiones'!$T$2:$T$282,"SOFTWARE SECURITY &gt; Subárea no determinable")+COUNTIFS('Prácticas_Snowballing'!$AB$2:$AB$281,"T022",'Prácticas_Snowballing'!$AC$2:$AC$281,"SOFTWARE SECURITY &gt; Subárea no determinable")</f>
        <v>0</v>
      </c>
      <c r="CN30" s="29">
        <f t="shared" si="29"/>
        <v>0</v>
      </c>
      <c r="CO30" s="17">
        <f>COUNTIFS('Prácticas_Revisiones'!$S$2:$S$282,"T022",'Prácticas_Revisiones'!$T$2:$T$282,"PROFESSIONAL PRACTICE &gt; Professionalism")+COUNTIFS('Prácticas_Snowballing'!$AB$2:$AB$281,"T022",'Prácticas_Snowballing'!$AC$2:$AC$281,"PROFESSIONAL PRACTICE &gt; Professionalism")</f>
        <v>0</v>
      </c>
      <c r="CP30" s="17">
        <f>COUNTIFS('Prácticas_Revisiones'!$S$2:$S$282,"T022",'Prácticas_Revisiones'!$T$2:$T$282,"PROFESSIONAL PRACTICE &gt; Group Dynamics and Psychology")+COUNTIFS('Prácticas_Snowballing'!$AB$2:$AB$281,"T022",'Prácticas_Snowballing'!$AC$2:$AC$281,"PROFESSIONAL PRACTICE &gt; Group Dynamics and Psychology")</f>
        <v>0</v>
      </c>
      <c r="CQ30" s="17">
        <f>COUNTIFS('Prácticas_Revisiones'!$S$2:$S$282,"T022",'Prácticas_Revisiones'!$T$2:$T$282,"PROFESSIONAL PRACTICE &gt; Communication Skills")+COUNTIFS('Prácticas_Snowballing'!$AB$2:$AB$281,"T022",'Prácticas_Snowballing'!$AC$2:$AC$281,"PROFESSIONAL PRACTICE &gt; Communication Skills")</f>
        <v>0</v>
      </c>
      <c r="CR30" s="17">
        <f>COUNTIFS('Prácticas_Revisiones'!$S$2:$S$282,"T022",'Prácticas_Revisiones'!$T$2:$T$282,"PROFESSIONAL PRACTICE &gt; Subárea no determinable")+COUNTIFS('Prácticas_Snowballing'!$AB$2:$AB$281,"T022",'Prácticas_Snowballing'!$AC$2:$AC$281,"PROFESSIONAL PRACTICE &gt; Subárea no determinable")</f>
        <v>0</v>
      </c>
      <c r="CS30" s="29">
        <f t="shared" si="30"/>
        <v>0</v>
      </c>
      <c r="CT30" s="17">
        <f>COUNTIFS('Prácticas_Revisiones'!$S$2:$S$282,"T022",'Prácticas_Revisiones'!$T$2:$T$282,"SOFTWARE ENG. ECONOMICS &gt; Software Engineering Economics Fundamentals")+COUNTIFS('Prácticas_Snowballing'!$AB$2:$AB$281,"T022",'Prácticas_Snowballing'!$AC$2:$AC$281,"SOFTWARE ENG. ECONOMICS &gt; Software Engineering Economics Fundamentals")</f>
        <v>0</v>
      </c>
      <c r="CU30" s="17">
        <f>COUNTIFS('Prácticas_Revisiones'!$S$2:$S$282,"T022",'Prácticas_Revisiones'!$T$2:$T$282,"SOFTWARE ENG. ECONOMICS &gt; The Engineering Decision-Making Process")+COUNTIFS('Prácticas_Snowballing'!$AB$2:$AB$281,"T022",'Prácticas_Snowballing'!$AC$2:$AC$281,"SOFTWARE ENG. ECONOMICS &gt; The Engineering Decision-Making Process")</f>
        <v>0</v>
      </c>
      <c r="CV30" s="17">
        <f>COUNTIFS('Prácticas_Revisiones'!$S$2:$S$282,"T022",'Prácticas_Revisiones'!$T$2:$T$282,"SOFTWARE ENG. ECONOMICS &gt; For-Profit Decision-Making")+COUNTIFS('Prácticas_Snowballing'!$AB$2:$AB$281,"T022",'Prácticas_Snowballing'!$AC$2:$AC$281,"SOFTWARE ENG. ECONOMICS &gt; For-Profit Decision-Making")</f>
        <v>0</v>
      </c>
      <c r="CW30" s="17">
        <f>COUNTIFS('Prácticas_Revisiones'!$S$2:$S$282,"T022",'Prácticas_Revisiones'!$T$2:$T$282,"SOFTWARE ENG. ECONOMICS &gt; Nonprofit Decision-Making")+COUNTIFS('Prácticas_Snowballing'!$AB$2:$AB$281,"T022",'Prácticas_Snowballing'!$AC$2:$AC$281,"SOFTWARE ENG. ECONOMICS &gt; Nonprofit Decision-Making")</f>
        <v>0</v>
      </c>
      <c r="CX30" s="17">
        <f>COUNTIFS('Prácticas_Revisiones'!$S$2:$S$282,"T022",'Prácticas_Revisiones'!$T$2:$T$282,"SOFTWARE ENG. ECONOMICS &gt; Present Economy Decision-Making")+COUNTIFS('Prácticas_Snowballing'!$AB$2:$AB$281,"T022",'Prácticas_Snowballing'!$AC$2:$AC$281,"SOFTWARE ENG. ECONOMICS &gt; Present Economy Decision-Making")</f>
        <v>0</v>
      </c>
      <c r="CY30" s="17">
        <f>COUNTIFS('Prácticas_Revisiones'!$S$2:$S$282,"T022",'Prácticas_Revisiones'!$T$2:$T$282,"SOFTWARE ENG. ECONOMICS &gt; Multiple-Attribute Decision-Making")+COUNTIFS('Prácticas_Snowballing'!$AB$2:$AB$281,"T022",'Prácticas_Snowballing'!$AC$2:$AC$281,"SOFTWARE ENG. ECONOMICS &gt; Multiple-Attribute Decision-Making")</f>
        <v>0</v>
      </c>
      <c r="CZ30" s="17">
        <f>COUNTIFS('Prácticas_Revisiones'!$S$2:$S$282,"T022",'Prácticas_Revisiones'!$T$2:$T$282,"SOFTWARE ENG. ECONOMICS &gt; Identifying and Characterizing Intangible Assets")+COUNTIFS('Prácticas_Snowballing'!$AB$2:$AB$281,"T022",'Prácticas_Snowballing'!$AC$2:$AC$281,"SOFTWARE ENG. ECONOMICS &gt; Identifying and Characterizing Intangible Assets")</f>
        <v>0</v>
      </c>
      <c r="DA30" s="17">
        <f>COUNTIFS('Prácticas_Revisiones'!$S$2:$S$282,"T022",'Prácticas_Revisiones'!$T$2:$T$282,"SOFTWARE ENG. ECONOMICS &gt; Estimation")+COUNTIFS('Prácticas_Snowballing'!$AB$2:$AB$281,"T022",'Prácticas_Snowballing'!$AC$2:$AC$281,"SOFTWARE ENG. ECONOMICS &gt; Estimation")</f>
        <v>0</v>
      </c>
      <c r="DB30" s="17">
        <f>COUNTIFS('Prácticas_Revisiones'!$S$2:$S$282,"T022",'Prácticas_Revisiones'!$T$2:$T$282,"SOFTWARE ENG. ECONOMICS &gt; Practical Considerations")+COUNTIFS('Prácticas_Snowballing'!$AB$2:$AB$281,"T022",'Prácticas_Snowballing'!$AC$2:$AC$281,"SOFTWARE ENG. ECONOMICS &gt; Practical Considerations")</f>
        <v>0</v>
      </c>
      <c r="DC30" s="17">
        <f>COUNTIFS('Prácticas_Revisiones'!$S$2:$S$282,"T022",'Prácticas_Revisiones'!$T$2:$T$282,"SOFTWARE ENG. ECONOMICS &gt; Related Concepts")+COUNTIFS('Prácticas_Snowballing'!$AB$2:$AB$281,"T022",'Prácticas_Snowballing'!$AC$2:$AC$281,"SOFTWARE ENG. ECONOMICS &gt; Related Concepts")</f>
        <v>0</v>
      </c>
      <c r="DD30" s="17">
        <f>COUNTIFS('Prácticas_Revisiones'!$S$2:$S$282,"T022",'Prácticas_Revisiones'!$T$2:$T$282,"SOFTWARE ENG. ECONOMICS &gt; Subárea no determinable")+COUNTIFS('Prácticas_Snowballing'!$AB$2:$AB$281,"T022",'Prácticas_Snowballing'!$AC$2:$AC$281,"SOFTWARE ENG. ECONOMICS &gt; Subárea no determinable")</f>
        <v>0</v>
      </c>
      <c r="DE30" s="29">
        <f t="shared" si="31"/>
        <v>0</v>
      </c>
      <c r="DF30" s="17">
        <f>COUNTIFS('Prácticas_Revisiones'!$S$2:$S$282,"T022",'Prácticas_Revisiones'!$T$2:$T$282,"SOFTWARE ENG. MANAGEMENT &gt; Software Engineering Management Fundamentals")+COUNTIFS('Prácticas_Snowballing'!$AB$2:$AB$281,"T022",'Prácticas_Snowballing'!$AC$2:$AC$281,"SOFTWARE ENG. MANAGEMENT &gt; Software Engineering Management Fundamentals")</f>
        <v>0</v>
      </c>
      <c r="DG30" s="17">
        <f>COUNTIFS('Prácticas_Revisiones'!$S$2:$S$282,"T022",'Prácticas_Revisiones'!$T$2:$T$282,"SOFTWARE ENG. MANAGEMENT &gt; Initiation and Scope Definition")+COUNTIFS('Prácticas_Snowballing'!$AB$2:$AB$281,"T022",'Prácticas_Snowballing'!$AC$2:$AC$281,"SOFTWARE ENG. MANAGEMENT &gt; Initiation and Scope Definition")</f>
        <v>0</v>
      </c>
      <c r="DH30" s="17">
        <f>COUNTIFS('Prácticas_Revisiones'!$S$2:$S$282,"T022",'Prácticas_Revisiones'!$T$2:$T$282,"SOFTWARE ENG. MANAGEMENT &gt; Software Project Planning")+COUNTIFS('Prácticas_Snowballing'!$AB$2:$AB$281,"T022",'Prácticas_Snowballing'!$AC$2:$AC$281,"SOFTWARE ENG. MANAGEMENT &gt; Software Project Planning")</f>
        <v>0</v>
      </c>
      <c r="DI30" s="17">
        <f>COUNTIFS('Prácticas_Revisiones'!$S$2:$S$282,"T022",'Prácticas_Revisiones'!$T$2:$T$282,"SOFTWARE ENG. MANAGEMENT &gt; Software Project Enactment")+COUNTIFS('Prácticas_Snowballing'!$AB$2:$AB$281,"T022",'Prácticas_Snowballing'!$AC$2:$AC$281,"SOFTWARE ENG. MANAGEMENT &gt; Software Project Enactment")</f>
        <v>0</v>
      </c>
      <c r="DJ30" s="17">
        <f>COUNTIFS('Prácticas_Revisiones'!$S$2:$S$282,"T022",'Prácticas_Revisiones'!$T$2:$T$282,"SOFTWARE ENG. MANAGEMENT &gt; Review and Evaluation")+COUNTIFS('Prácticas_Snowballing'!$AB$2:$AB$281,"T022",'Prácticas_Snowballing'!$AC$2:$AC$281,"SOFTWARE ENG. MANAGEMENT &gt; Review and Evaluation")</f>
        <v>0</v>
      </c>
      <c r="DK30" s="17">
        <f>COUNTIFS('Prácticas_Revisiones'!$S$2:$S$282,"T022",'Prácticas_Revisiones'!$T$2:$T$282,"SOFTWARE ENG. MANAGEMENT &gt; Closure")+COUNTIFS('Prácticas_Snowballing'!$AB$2:$AB$281,"T022",'Prácticas_Snowballing'!$AC$2:$AC$281,"SOFTWARE ENG. MANAGEMENT &gt; Closure")</f>
        <v>0</v>
      </c>
      <c r="DL30" s="17">
        <f>COUNTIFS('Prácticas_Revisiones'!$S$2:$S$282,"T022",'Prácticas_Revisiones'!$T$2:$T$282,"SOFTWARE ENG. MANAGEMENT &gt; Software Engineering Management Tools")+COUNTIFS('Prácticas_Snowballing'!$AB$2:$AB$281,"T022",'Prácticas_Snowballing'!$AC$2:$AC$281,"SOFTWARE ENG. MANAGEMENT &gt; Software Engineering Management Tools")</f>
        <v>0</v>
      </c>
      <c r="DM30" s="17">
        <f>COUNTIFS('Prácticas_Revisiones'!$S$2:$S$282,"T022",'Prácticas_Revisiones'!$T$2:$T$282,"SOFTWARE ENG. MANAGEMENT &gt; Subárea no determinable")+COUNTIFS('Prácticas_Snowballing'!$AB$2:$AB$281,"T022",'Prácticas_Snowballing'!$AC$2:$AC$281,"SOFTWARE ENG. MANAGEMENT &gt; Subárea no determinable")</f>
        <v>0</v>
      </c>
      <c r="DN30" s="29">
        <f t="shared" si="32"/>
        <v>0</v>
      </c>
      <c r="DO30" s="17">
        <f>COUNTIFS('Prácticas_Revisiones'!$S$2:$S$282,"T022",'Prácticas_Revisiones'!$T$2:$T$282,"Sin área SWEBOK")+COUNTIFS('Prácticas_Snowballing'!$AB$2:$AB$281,"T022",'Prácticas_Snowballing'!$AC$2:$AC$281,"Sin área SWEBOK")</f>
        <v>0</v>
      </c>
      <c r="DP30" s="27">
        <f t="shared" si="33"/>
        <v>0</v>
      </c>
    </row>
    <row r="31" ht="15.75" customHeight="1">
      <c r="A31" s="28"/>
      <c r="B31" s="16" t="s">
        <v>2756</v>
      </c>
      <c r="C31" s="17">
        <f>COUNTIFS('Prácticas_Revisiones'!$S$2:$S$282,"T023",'Prácticas_Revisiones'!$T$2:$T$282,"REQUIREMENTS &gt; Software Requirements Fundamentals")+COUNTIFS('Prácticas_Snowballing'!$AB$2:$AB$281,"T023",'Prácticas_Snowballing'!$AC$2:$AC$281,"REQUIREMENTS &gt; Software Requirements Fundamentals")</f>
        <v>0</v>
      </c>
      <c r="D31" s="17">
        <f>COUNTIFS('Prácticas_Revisiones'!$S$2:$S$282,"T023",'Prácticas_Revisiones'!$T$2:$T$282,"REQUIREMENTS &gt; Requirements Elicitation")+COUNTIFS('Prácticas_Snowballing'!$AB$2:$AB$281,"T023",'Prácticas_Snowballing'!$AC$2:$AC$281,"REQUIREMENTS &gt; Requirements Elicitation")</f>
        <v>0</v>
      </c>
      <c r="E31" s="17">
        <f>COUNTIFS('Prácticas_Revisiones'!$S$2:$S$282,"T023",'Prácticas_Revisiones'!$T$2:$T$282,"REQUIREMENTS &gt; Requirements Analysis")+COUNTIFS('Prácticas_Snowballing'!$AB$2:$AB$281,"T023",'Prácticas_Snowballing'!$AC$2:$AC$281,"REQUIREMENTS &gt; Requirements Analysis")</f>
        <v>0</v>
      </c>
      <c r="F31" s="17">
        <f>COUNTIFS('Prácticas_Revisiones'!$S$2:$S$282,"T023",'Prácticas_Revisiones'!$T$2:$T$282,"REQUIREMENTS &gt; Requirements Specification")+COUNTIFS('Prácticas_Snowballing'!$AB$2:$AB$281,"T023",'Prácticas_Snowballing'!$AC$2:$AC$281,"REQUIREMENTS &gt; Requirements Specification")</f>
        <v>0</v>
      </c>
      <c r="G31" s="17">
        <f>COUNTIFS('Prácticas_Revisiones'!$S$2:$S$282,"T023",'Prácticas_Revisiones'!$T$2:$T$282,"REQUIREMENTS &gt; Requirements Validation")+COUNTIFS('Prácticas_Snowballing'!$AB$2:$AB$281,"T023",'Prácticas_Snowballing'!$AC$2:$AC$281,"REQUIREMENTS &gt; Requirements Validation")</f>
        <v>0</v>
      </c>
      <c r="H31" s="17">
        <f>COUNTIFS('Prácticas_Revisiones'!$S$2:$S$282,"T023",'Prácticas_Revisiones'!$T$2:$T$282,"REQUIREMENTS &gt; Requirements Management Activities")+COUNTIFS('Prácticas_Snowballing'!$AB$2:$AB$281,"T023",'Prácticas_Snowballing'!$AC$2:$AC$281,"REQUIREMENTS &gt; Requirements Management Activities")</f>
        <v>0</v>
      </c>
      <c r="I31" s="17">
        <f>COUNTIFS('Prácticas_Revisiones'!$S$2:$S$282,"T023",'Prácticas_Revisiones'!$T$2:$T$282,"REQUIREMENTS &gt; Practical Considerations")+COUNTIFS('Prácticas_Snowballing'!$AB$2:$AB$281,"T023",'Prácticas_Snowballing'!$AC$2:$AC$281,"REQUIREMENTS &gt; Practical Considerations")</f>
        <v>0</v>
      </c>
      <c r="J31" s="17">
        <f>COUNTIFS('Prácticas_Revisiones'!$S$2:$S$282,"T023",'Prácticas_Revisiones'!$T$2:$T$282,"REQUIREMENTS &gt; Software Requirements Tools")+COUNTIFS('Prácticas_Snowballing'!$AB$2:$AB$281,"T023",'Prácticas_Snowballing'!$AC$2:$AC$281,"REQUIREMENTS &gt; Software Requirements Tools")</f>
        <v>0</v>
      </c>
      <c r="K31" s="17">
        <f>COUNTIFS('Prácticas_Revisiones'!$S$2:$S$282,"T023",'Prácticas_Revisiones'!$T$2:$T$282,"REQUIREMENTS &gt; Subárea no determinable")+COUNTIFS('Prácticas_Snowballing'!$AB$2:$AB$281,"T023",'Prácticas_Snowballing'!$AC$2:$AC$281,"REQUIREMENTS &gt; Subárea no determinable")</f>
        <v>0</v>
      </c>
      <c r="L31" s="29">
        <f t="shared" si="18"/>
        <v>0</v>
      </c>
      <c r="M31" s="17">
        <f>COUNTIFS('Prácticas_Revisiones'!$S$2:$S$282,"T023",'Prácticas_Revisiones'!$T$2:$T$282,"ARCHITECTURE &gt; Software Architecture Fundamentals")+COUNTIFS('Prácticas_Snowballing'!$AB$2:$AB$281,"T023",'Prácticas_Snowballing'!$AC$2:$AC$281,"ARCHITECTURE &gt; Software Architecture Fundamentals")</f>
        <v>0</v>
      </c>
      <c r="N31" s="17">
        <f>COUNTIFS('Prácticas_Revisiones'!$S$2:$S$282,"T023",'Prácticas_Revisiones'!$T$2:$T$282,"ARCHITECTURE &gt; Software Architecture Description")+COUNTIFS('Prácticas_Snowballing'!$AB$2:$AB$281,"T023",'Prácticas_Snowballing'!$AC$2:$AC$281,"ARCHITECTURE &gt; Software Architecture Description")</f>
        <v>0</v>
      </c>
      <c r="O31" s="17">
        <f>COUNTIFS('Prácticas_Revisiones'!$S$2:$S$282,"T023",'Prácticas_Revisiones'!$T$2:$T$282,"ARCHITECTURE &gt; Software Architecture Process")+COUNTIFS('Prácticas_Snowballing'!$AB$2:$AB$281,"T023",'Prácticas_Snowballing'!$AC$2:$AC$281,"ARCHITECTURE &gt; Software Architecture Process")</f>
        <v>0</v>
      </c>
      <c r="P31" s="17">
        <f>COUNTIFS('Prácticas_Revisiones'!$S$2:$S$282,"T023",'Prácticas_Revisiones'!$T$2:$T$282,"ARCHITECTURE &gt; Software Architecture Evaluation")+COUNTIFS('Prácticas_Snowballing'!$AB$2:$AB$281,"T023",'Prácticas_Snowballing'!$AC$2:$AC$281,"ARCHITECTURE &gt; Software Architecture Evaluation")</f>
        <v>0</v>
      </c>
      <c r="Q31" s="17">
        <f>COUNTIFS('Prácticas_Revisiones'!$S$2:$S$282,"T023",'Prácticas_Revisiones'!$T$2:$T$282,"ARCHITECTURE &gt; Subárea no determinable")+COUNTIFS('Prácticas_Snowballing'!$AB$2:$AB$281,"T023",'Prácticas_Snowballing'!$AC$2:$AC$281,"ARCHITECTURE &gt; Subárea no determinable")</f>
        <v>0</v>
      </c>
      <c r="R31" s="29">
        <f t="shared" si="19"/>
        <v>0</v>
      </c>
      <c r="S31" s="17">
        <f>COUNTIFS('Prácticas_Revisiones'!$S$2:$S$282,"T023",'Prácticas_Revisiones'!$T$2:$T$282,"DESIGN &gt; Software Design Fundamentals")+COUNTIFS('Prácticas_Snowballing'!$AB$2:$AB$281,"T023",'Prácticas_Snowballing'!$AC$2:$AC$281,"DESIGN &gt; Software Design Fundamentals")</f>
        <v>0</v>
      </c>
      <c r="T31" s="17">
        <f>COUNTIFS('Prácticas_Revisiones'!$S$2:$S$282,"T023",'Prácticas_Revisiones'!$T$2:$T$282,"DESIGN &gt; Software Design Processes")+COUNTIFS('Prácticas_Snowballing'!$AB$2:$AB$281,"T023",'Prácticas_Snowballing'!$AC$2:$AC$281,"DESIGN &gt; Software Design Processes")</f>
        <v>0</v>
      </c>
      <c r="U31" s="17">
        <f>COUNTIFS('Prácticas_Revisiones'!$S$2:$S$282,"T023",'Prácticas_Revisiones'!$T$2:$T$282,"DESIGN &gt; Software Design Qualities")+COUNTIFS('Prácticas_Snowballing'!$AB$2:$AB$281,"T023",'Prácticas_Snowballing'!$AC$2:$AC$281,"DESIGN &gt; Software Design Qualities")</f>
        <v>0</v>
      </c>
      <c r="V31" s="17">
        <f>COUNTIFS('Prácticas_Revisiones'!$S$2:$S$282,"T023",'Prácticas_Revisiones'!$T$2:$T$282,"DESIGN &gt; Recording Software Design")+COUNTIFS('Prácticas_Snowballing'!$AB$2:$AB$281,"T023",'Prácticas_Snowballing'!$AC$2:$AC$281,"DESIGN &gt; Recording Software Design")</f>
        <v>0</v>
      </c>
      <c r="W31" s="17">
        <f>COUNTIFS('Prácticas_Revisiones'!$S$2:$S$282,"T023",'Prácticas_Revisiones'!$T$2:$T$282,"DESIGN &gt; Software Design Strategies and Methods")+COUNTIFS('Prácticas_Snowballing'!$AB$2:$AB$281,"T023",'Prácticas_Snowballing'!$AC$2:$AC$281,"DESIGN &gt; Software Design Strategies and Methods")</f>
        <v>0</v>
      </c>
      <c r="X31" s="17">
        <f>COUNTIFS('Prácticas_Revisiones'!$S$2:$S$282,"T023",'Prácticas_Revisiones'!$T$2:$T$282,"DESIGN &gt; Software Design Analysis and Evaluations")+COUNTIFS('Prácticas_Snowballing'!$AB$2:$AB$281,"T023",'Prácticas_Snowballing'!$AC$2:$AC$281,"DESIGN &gt; Software Design Analysis and Evaluations")</f>
        <v>0</v>
      </c>
      <c r="Y31" s="17">
        <f>COUNTIFS('Prácticas_Revisiones'!$S$2:$S$282,"T023",'Prácticas_Revisiones'!$T$2:$T$282,"DESIGN &gt; Subárea no determinable")+COUNTIFS('Prácticas_Snowballing'!$AB$2:$AB$281,"T023",'Prácticas_Snowballing'!$AC$2:$AC$281,"DESIGN &gt; Subárea no determinable")</f>
        <v>0</v>
      </c>
      <c r="Z31" s="29">
        <f t="shared" si="20"/>
        <v>0</v>
      </c>
      <c r="AA31" s="17">
        <f>COUNTIFS('Prácticas_Revisiones'!$S$2:$S$282,"T023",'Prácticas_Revisiones'!$T$2:$T$282,"CONSTRUCTION &gt; Software Construction Fundamentals")+COUNTIFS('Prácticas_Snowballing'!$AB$2:$AB$281,"T023",'Prácticas_Snowballing'!$AC$2:$AC$281,"CONSTRUCTION &gt; Software Construction Fundamentals")</f>
        <v>0</v>
      </c>
      <c r="AB31" s="17">
        <f>COUNTIFS('Prácticas_Revisiones'!$S$2:$S$282,"T023",'Prácticas_Revisiones'!$T$2:$T$282,"CONSTRUCTION &gt; Managing Construction")+COUNTIFS('Prácticas_Snowballing'!$AB$2:$AB$281,"T023",'Prácticas_Snowballing'!$AC$2:$AC$281,"CONSTRUCTION &gt; Managing Construction")</f>
        <v>0</v>
      </c>
      <c r="AC31" s="17">
        <f>COUNTIFS('Prácticas_Revisiones'!$S$2:$S$282,"T023",'Prácticas_Revisiones'!$T$2:$T$282,"CONSTRUCTION &gt; Practical Considerations")+COUNTIFS('Prácticas_Snowballing'!$AB$2:$AB$281,"T023",'Prácticas_Snowballing'!$AC$2:$AC$281,"CONSTRUCTION &gt; Practical Considerations")</f>
        <v>0</v>
      </c>
      <c r="AD31" s="17">
        <f>COUNTIFS('Prácticas_Revisiones'!$S$2:$S$282,"T023",'Prácticas_Revisiones'!$T$2:$T$282,"CONSTRUCTION &gt; Construction Technologies")+COUNTIFS('Prácticas_Snowballing'!$AB$2:$AB$281,"T023",'Prácticas_Snowballing'!$AC$2:$AC$281,"CONSTRUCTION &gt; Construction Technologies")</f>
        <v>0</v>
      </c>
      <c r="AE31" s="17">
        <f>COUNTIFS('Prácticas_Revisiones'!$S$2:$S$282,"T023",'Prácticas_Revisiones'!$T$2:$T$282,"CONSTRUCTION &gt; Software Construction Tools")+COUNTIFS('Prácticas_Snowballing'!$AB$2:$AB$281,"T023",'Prácticas_Snowballing'!$AC$2:$AC$281,"CONSTRUCTION &gt; Software Construction Tools")</f>
        <v>0</v>
      </c>
      <c r="AF31" s="17">
        <f>COUNTIFS('Prácticas_Revisiones'!$S$2:$S$282,"T023",'Prácticas_Revisiones'!$T$2:$T$282,"CONSTRUCTION &gt; Subárea no determinable")+COUNTIFS('Prácticas_Snowballing'!$AB$2:$AB$281,"T023",'Prácticas_Snowballing'!$AC$2:$AC$281,"CONSTRUCTION &gt; Subárea no determinable")</f>
        <v>0</v>
      </c>
      <c r="AG31" s="29">
        <f t="shared" si="21"/>
        <v>0</v>
      </c>
      <c r="AH31" s="17">
        <f>COUNTIFS('Prácticas_Revisiones'!$S$2:$S$282,"T023",'Prácticas_Revisiones'!$T$2:$T$282,"SOFTWARE TESTING &gt; Software Testing Fundamentals")+COUNTIFS('Prácticas_Snowballing'!$AB$2:$AB$281,"T023",'Prácticas_Snowballing'!$AC$2:$AC$281,"SOFTWARE TESTING &gt; Software Testing Fundamentals")</f>
        <v>0</v>
      </c>
      <c r="AI31" s="17">
        <f>COUNTIFS('Prácticas_Revisiones'!$S$2:$S$282,"T023",'Prácticas_Revisiones'!$T$2:$T$282,"SOFTWARE TESTING &gt; Test Levels")+COUNTIFS('Prácticas_Snowballing'!$AB$2:$AB$281,"T023",'Prácticas_Snowballing'!$AC$2:$AC$281,"SOFTWARE TESTING &gt; Test Levels")</f>
        <v>0</v>
      </c>
      <c r="AJ31" s="17">
        <f>COUNTIFS('Prácticas_Revisiones'!$S$2:$S$282,"T023",'Prácticas_Revisiones'!$T$2:$T$282,"SOFTWARE TESTING &gt; Test Techniques")+COUNTIFS('Prácticas_Snowballing'!$AB$2:$AB$281,"T023",'Prácticas_Snowballing'!$AC$2:$AC$281,"SOFTWARE TESTING &gt; Test Techniques")</f>
        <v>0</v>
      </c>
      <c r="AK31" s="17">
        <f>COUNTIFS('Prácticas_Revisiones'!$S$2:$S$282,"T023",'Prácticas_Revisiones'!$T$2:$T$282,"SOFTWARE TESTING &gt; Test-Related Measures")+COUNTIFS('Prácticas_Snowballing'!$AB$2:$AB$281,"T023",'Prácticas_Snowballing'!$AC$2:$AC$281,"SOFTWARE TESTING &gt; Test-Related Measures")</f>
        <v>0</v>
      </c>
      <c r="AL31" s="17">
        <f>COUNTIFS('Prácticas_Revisiones'!$S$2:$S$282,"T023",'Prácticas_Revisiones'!$T$2:$T$282,"SOFTWARE TESTING &gt; Test Process")+COUNTIFS('Prácticas_Snowballing'!$AB$2:$AB$281,"T023",'Prácticas_Snowballing'!$AC$2:$AC$281,"SOFTWARE TESTING &gt; Test Process")</f>
        <v>0</v>
      </c>
      <c r="AM31" s="17">
        <f>COUNTIFS('Prácticas_Revisiones'!$S$2:$S$282,"T023",'Prácticas_Revisiones'!$T$2:$T$282,"SOFTWARE TESTING &gt; Software Testing in the Development Processes...")+COUNTIFS('Prácticas_Snowballing'!$AB$2:$AB$281,"T023",'Prácticas_Snowballing'!$AC$2:$AC$281,"SOFTWARE TESTING &gt; Software Testing in the Development Processes...")</f>
        <v>0</v>
      </c>
      <c r="AN31" s="17">
        <f>COUNTIFS('Prácticas_Revisiones'!$S$2:$S$282,"T023",'Prácticas_Revisiones'!$T$2:$T$282,"SOFTWARE TESTING &gt; Testing of and Testing Through Emerging Tech...")+COUNTIFS('Prácticas_Snowballing'!$AB$2:$AB$281,"T023",'Prácticas_Snowballing'!$AC$2:$AC$281,"SOFTWARE TESTING &gt; Testing of and Testing Through Emerging Tech...")</f>
        <v>0</v>
      </c>
      <c r="AO31" s="17">
        <f>COUNTIFS('Prácticas_Revisiones'!$S$2:$S$282,"T023",'Prácticas_Revisiones'!$T$2:$T$282,"SOFTWARE TESTING &gt; Software Testing Tools")+COUNTIFS('Prácticas_Snowballing'!$AB$2:$AB$281,"T023",'Prácticas_Snowballing'!$AC$2:$AC$281,"SOFTWARE TESTING &gt; Software Testing Tools")</f>
        <v>0</v>
      </c>
      <c r="AP31" s="17">
        <f>COUNTIFS('Prácticas_Revisiones'!$S$2:$S$282,"T023",'Prácticas_Revisiones'!$T$2:$T$282,"SOFTWARE TESTING &gt; Subárea no determinable")+COUNTIFS('Prácticas_Snowballing'!$AB$2:$AB$281,"T023",'Prácticas_Snowballing'!$AC$2:$AC$281,"SOFTWARE TESTING &gt; Subárea no determinable")</f>
        <v>0</v>
      </c>
      <c r="AQ31" s="29">
        <f t="shared" si="22"/>
        <v>0</v>
      </c>
      <c r="AR31" s="17">
        <f>COUNTIFS('Prácticas_Revisiones'!$S$2:$S$282,"T023",'Prácticas_Revisiones'!$T$2:$T$282,"SOFTWARE ENG. OPERATIONS &gt; Software Engineering Operations Fundamentals")+COUNTIFS('Prácticas_Snowballing'!$AB$2:$AB$281,"T023",'Prácticas_Snowballing'!$AC$2:$AC$281,"SOFTWARE ENG. OPERATIONS &gt; Software Engineering Operations Fundamentals")</f>
        <v>0</v>
      </c>
      <c r="AS31" s="17">
        <f>COUNTIFS('Prácticas_Revisiones'!$S$2:$S$282,"T023",'Prácticas_Revisiones'!$T$2:$T$282,"SOFTWARE ENG. OPERATIONS &gt; Software Engineering Operations Planning")+COUNTIFS('Prácticas_Snowballing'!$AB$2:$AB$281,"T023",'Prácticas_Snowballing'!$AC$2:$AC$281,"SOFTWARE ENG. OPERATIONS &gt; Software Engineering Operations Planning")</f>
        <v>0</v>
      </c>
      <c r="AT31" s="17">
        <f>COUNTIFS('Prácticas_Revisiones'!$S$2:$S$282,"T023",'Prácticas_Revisiones'!$T$2:$T$282,"SOFTWARE ENG. OPERATIONS &gt; Software Engineering Operations Delivery")+COUNTIFS('Prácticas_Snowballing'!$AB$2:$AB$281,"T023",'Prácticas_Snowballing'!$AC$2:$AC$281,"SOFTWARE ENG. OPERATIONS &gt; Software Engineering Operations Delivery")</f>
        <v>0</v>
      </c>
      <c r="AU31" s="17">
        <f>COUNTIFS('Prácticas_Revisiones'!$S$2:$S$282,"T023",'Prácticas_Revisiones'!$T$2:$T$282,"SOFTWARE ENG. OPERATIONS &gt; Software Engineering Operations Control")+COUNTIFS('Prácticas_Snowballing'!$AB$2:$AB$281,"T023",'Prácticas_Snowballing'!$AC$2:$AC$281,"SOFTWARE ENG. OPERATIONS &gt; Software Engineering Operations Control")</f>
        <v>0</v>
      </c>
      <c r="AV31" s="17">
        <f>COUNTIFS('Prácticas_Revisiones'!$S$2:$S$282,"T023",'Prácticas_Revisiones'!$T$2:$T$282,"SOFTWARE ENG. OPERATIONS &gt; Practical Considerations")+COUNTIFS('Prácticas_Snowballing'!$AB$2:$AB$281,"T023",'Prácticas_Snowballing'!$AC$2:$AC$281,"SOFTWARE ENG. OPERATIONS &gt; Practical Considerations")</f>
        <v>0</v>
      </c>
      <c r="AW31" s="17">
        <f>COUNTIFS('Prácticas_Revisiones'!$S$2:$S$282,"T023",'Prácticas_Revisiones'!$T$2:$T$282,"SOFTWARE ENG. OPERATIONS &gt; Software Engineering Operations Tools")+COUNTIFS('Prácticas_Snowballing'!$AB$2:$AB$281,"T023",'Prácticas_Snowballing'!$AC$2:$AC$281,"SOFTWARE ENG. OPERATIONS &gt; Software Engineering Operations Tools")</f>
        <v>0</v>
      </c>
      <c r="AX31" s="17">
        <f>COUNTIFS('Prácticas_Revisiones'!$S$2:$S$282,"T023",'Prácticas_Revisiones'!$T$2:$T$282,"SOFTWARE ENG. OPERATIONS &gt; Subárea no determinable")+COUNTIFS('Prácticas_Snowballing'!$AB$2:$AB$281,"T023",'Prácticas_Snowballing'!$AC$2:$AC$281,"SOFTWARE ENG. OPERATIONS &gt; Subárea no determinable")</f>
        <v>0</v>
      </c>
      <c r="AY31" s="29">
        <f t="shared" si="23"/>
        <v>0</v>
      </c>
      <c r="AZ31" s="17">
        <f>COUNTIFS('Prácticas_Revisiones'!$S$2:$S$282,"T023",'Prácticas_Revisiones'!$T$2:$T$282,"MAINTENANCE &gt; Software Maintenance Fundamentals")+COUNTIFS('Prácticas_Snowballing'!$AB$2:$AB$281,"T023",'Prácticas_Snowballing'!$AC$2:$AC$281,"MAINTENANCE &gt; Software Maintenance Fundamentals")</f>
        <v>0</v>
      </c>
      <c r="BA31" s="17">
        <f>COUNTIFS('Prácticas_Revisiones'!$S$2:$S$282,"T023",'Prácticas_Revisiones'!$T$2:$T$282,"MAINTENANCE &gt; Key Issues in Software Maintenance")+COUNTIFS('Prácticas_Snowballing'!$AB$2:$AB$281,"T023",'Prácticas_Snowballing'!$AC$2:$AC$281,"MAINTENANCE &gt; Key Issues in Software Maintenance")</f>
        <v>0</v>
      </c>
      <c r="BB31" s="17">
        <f>COUNTIFS('Prácticas_Revisiones'!$S$2:$S$282,"T023",'Prácticas_Revisiones'!$T$2:$T$282,"MAINTENANCE &gt; Software Maintenance Processes")+COUNTIFS('Prácticas_Snowballing'!$AB$2:$AB$281,"T023",'Prácticas_Snowballing'!$AC$2:$AC$281,"MAINTENANCE &gt; Software Maintenance Processes")</f>
        <v>0</v>
      </c>
      <c r="BC31" s="17">
        <f>COUNTIFS('Prácticas_Revisiones'!$S$2:$S$282,"T023",'Prácticas_Revisiones'!$T$2:$T$282,"MAINTENANCE &gt; Software Maintenance Techniques")+COUNTIFS('Prácticas_Snowballing'!$AB$2:$AB$281,"T023",'Prácticas_Snowballing'!$AC$2:$AC$281,"MAINTENANCE &gt; Software Maintenance Techniques")</f>
        <v>0</v>
      </c>
      <c r="BD31" s="17">
        <f>COUNTIFS('Prácticas_Revisiones'!$S$2:$S$282,"T023",'Prácticas_Revisiones'!$T$2:$T$282,"MAINTENANCE &gt; Software Maintenance Tools")+COUNTIFS('Prácticas_Snowballing'!$AB$2:$AB$281,"T023",'Prácticas_Snowballing'!$AC$2:$AC$281,"MAINTENANCE &gt; Software Maintenance Tools")</f>
        <v>0</v>
      </c>
      <c r="BE31" s="17">
        <f>COUNTIFS('Prácticas_Revisiones'!$S$2:$S$282,"T023",'Prácticas_Revisiones'!$T$2:$T$282,"MAINTENANCE &gt; Subárea no determinable")+COUNTIFS('Prácticas_Snowballing'!$AB$2:$AB$281,"T023",'Prácticas_Snowballing'!$AC$2:$AC$281,"MAINTENANCE &gt; Subárea no determinable")</f>
        <v>0</v>
      </c>
      <c r="BF31" s="29">
        <f t="shared" si="24"/>
        <v>0</v>
      </c>
      <c r="BG31" s="17">
        <f>COUNTIFS('Prácticas_Revisiones'!$S$2:$S$282,"T023",'Prácticas_Revisiones'!$T$2:$T$282,"SOFTWARE CONFIG. MGMT. &gt; Management of the SCM Process")+COUNTIFS('Prácticas_Snowballing'!$AB$2:$AB$281,"T023",'Prácticas_Snowballing'!$AC$2:$AC$281,"SOFTWARE CONFIG. MGMT. &gt; Management of the SCM Process")</f>
        <v>0</v>
      </c>
      <c r="BH31" s="17">
        <f>COUNTIFS('Prácticas_Revisiones'!$S$2:$S$282,"T023",'Prácticas_Revisiones'!$T$2:$T$282,"SOFTWARE CONFIG. MGMT. &gt; Software Configuration Identification")+COUNTIFS('Prácticas_Snowballing'!$AB$2:$AB$281,"T023",'Prácticas_Snowballing'!$AC$2:$AC$281,"SOFTWARE CONFIG. MGMT. &gt; Software Configuration Identification")</f>
        <v>0</v>
      </c>
      <c r="BI31" s="17">
        <f>COUNTIFS('Prácticas_Revisiones'!$S$2:$S$282,"T023",'Prácticas_Revisiones'!$T$2:$T$282,"SOFTWARE CONFIG. MGMT. &gt; Software Configuration Change Control")+COUNTIFS('Prácticas_Snowballing'!$AB$2:$AB$281,"T023",'Prácticas_Snowballing'!$AC$2:$AC$281,"SOFTWARE CONFIG. MGMT. &gt; Software Configuration Change Control")</f>
        <v>0</v>
      </c>
      <c r="BJ31" s="17">
        <f>COUNTIFS('Prácticas_Revisiones'!$S$2:$S$282,"T023",'Prácticas_Revisiones'!$T$2:$T$282,"SOFTWARE CONFIG. MGMT. &gt; Software Configuration Status Accounting")+COUNTIFS('Prácticas_Snowballing'!$AB$2:$AB$281,"T023",'Prácticas_Snowballing'!$AC$2:$AC$281,"SOFTWARE CONFIG. MGMT. &gt; Software Configuration Status Accounting")</f>
        <v>0</v>
      </c>
      <c r="BK31" s="17">
        <f>COUNTIFS('Prácticas_Revisiones'!$S$2:$S$282,"T023",'Prácticas_Revisiones'!$T$2:$T$282,"SOFTWARE CONFIG. MGMT. &gt; Software Configuration Auditing")+COUNTIFS('Prácticas_Snowballing'!$AB$2:$AB$281,"T023",'Prácticas_Snowballing'!$AC$2:$AC$281,"SOFTWARE CONFIG. MGMT. &gt; Software Configuration Auditing")</f>
        <v>0</v>
      </c>
      <c r="BL31" s="17">
        <f>COUNTIFS('Prácticas_Revisiones'!$S$2:$S$282,"T023",'Prácticas_Revisiones'!$T$2:$T$282,"SOFTWARE CONFIG. MGMT. &gt; Software Release Management and Delivery")+COUNTIFS('Prácticas_Snowballing'!$AB$2:$AB$281,"T023",'Prácticas_Snowballing'!$AC$2:$AC$281,"SOFTWARE CONFIG. MGMT. &gt; Software Release Management and Delivery")</f>
        <v>0</v>
      </c>
      <c r="BM31" s="17">
        <f>COUNTIFS('Prácticas_Revisiones'!$S$2:$S$282,"T023",'Prácticas_Revisiones'!$T$2:$T$282,"SOFTWARE CONFIG. MGMT. &gt; Software Configuration Management Tools")+COUNTIFS('Prácticas_Snowballing'!$AB$2:$AB$281,"T023",'Prácticas_Snowballing'!$AC$2:$AC$281,"SOFTWARE CONFIG. MGMT. &gt; Software Configuration Management Tools")</f>
        <v>0</v>
      </c>
      <c r="BN31" s="17">
        <f>COUNTIFS('Prácticas_Revisiones'!$S$2:$S$282,"T023",'Prácticas_Revisiones'!$T$2:$T$282,"SOFTWARE CONFIG. MGMT. &gt; Subárea no determinable")+COUNTIFS('Prácticas_Snowballing'!$AB$2:$AB$281,"T023",'Prácticas_Snowballing'!$AC$2:$AC$281,"SOFTWARE CONFIG. MGMT. &gt; Subárea no determinable")</f>
        <v>0</v>
      </c>
      <c r="BO31" s="29">
        <f t="shared" si="25"/>
        <v>0</v>
      </c>
      <c r="BP31" s="17">
        <f>COUNTIFS('Prácticas_Revisiones'!$S$2:$S$282,"T023",'Prácticas_Revisiones'!$T$2:$T$282,"SOFTWARE ENG. PROCESS &gt; Software Engineering Process Fundamentals")+COUNTIFS('Prácticas_Snowballing'!$AB$2:$AB$281,"T023",'Prácticas_Snowballing'!$AC$2:$AC$281,"SOFTWARE ENG. PROCESS &gt; Software Engineering Process Fundamentals")</f>
        <v>0</v>
      </c>
      <c r="BQ31" s="17">
        <f>COUNTIFS('Prácticas_Revisiones'!$S$2:$S$282,"T023",'Prácticas_Revisiones'!$T$2:$T$282,"SOFTWARE ENG. PROCESS &gt; Life Cycles")+COUNTIFS('Prácticas_Snowballing'!$AB$2:$AB$281,"T023",'Prácticas_Snowballing'!$AC$2:$AC$281,"SOFTWARE ENG. PROCESS &gt; Life Cycles")</f>
        <v>0</v>
      </c>
      <c r="BR31" s="17">
        <f>COUNTIFS('Prácticas_Revisiones'!$S$2:$S$282,"T023",'Prácticas_Revisiones'!$T$2:$T$282,"SOFTWARE ENG. PROCESS &gt; Software Process Assessment and Improvement")+COUNTIFS('Prácticas_Snowballing'!$AB$2:$AB$281,"T023",'Prácticas_Snowballing'!$AC$2:$AC$281,"SOFTWARE ENG. PROCESS &gt; Software Process Assessment and Improvement")</f>
        <v>0</v>
      </c>
      <c r="BS31" s="17">
        <f>COUNTIFS('Prácticas_Revisiones'!$S$2:$S$282,"T023",'Prácticas_Revisiones'!$T$2:$T$282,"SOFTWARE ENG. PROCESS &gt; Subárea no determinable")+COUNTIFS('Prácticas_Snowballing'!$AB$2:$AB$281,"T023",'Prácticas_Snowballing'!$AC$2:$AC$281,"SOFTWARE ENG. PROCESS &gt; Subárea no determinable")</f>
        <v>0</v>
      </c>
      <c r="BT31" s="29">
        <f t="shared" si="26"/>
        <v>0</v>
      </c>
      <c r="BU31" s="17">
        <f>COUNTIFS('Prácticas_Revisiones'!$S$2:$S$282,"T023",'Prácticas_Revisiones'!$T$2:$T$282,"SOFTWARE ENG. MODELS/METH. &gt; Modeling")+COUNTIFS('Prácticas_Snowballing'!$AB$2:$AB$281,"T023",'Prácticas_Snowballing'!$AC$2:$AC$281,"SOFTWARE ENG. MODELS/METH. &gt; Modeling")</f>
        <v>0</v>
      </c>
      <c r="BV31" s="17">
        <f>COUNTIFS('Prácticas_Revisiones'!$S$2:$S$282,"T023",'Prácticas_Revisiones'!$T$2:$T$282,"SOFTWARE ENG. MODELS/METH. &gt; Types of Models")+COUNTIFS('Prácticas_Snowballing'!$AB$2:$AB$281,"T023",'Prácticas_Snowballing'!$AC$2:$AC$281,"SOFTWARE ENG. MODELS/METH. &gt; Types of Models")</f>
        <v>0</v>
      </c>
      <c r="BW31" s="17">
        <f>COUNTIFS('Prácticas_Revisiones'!$S$2:$S$282,"T023",'Prácticas_Revisiones'!$T$2:$T$282,"SOFTWARE ENG. MODELS/METH. &gt; Analysis of Models")+COUNTIFS('Prácticas_Snowballing'!$AB$2:$AB$281,"T023",'Prácticas_Snowballing'!$AC$2:$AC$281,"SOFTWARE ENG. MODELS/METH. &gt; Analysis of Models")</f>
        <v>0</v>
      </c>
      <c r="BX31" s="17">
        <f>COUNTIFS('Prácticas_Revisiones'!$S$2:$S$282,"T023",'Prácticas_Revisiones'!$T$2:$T$282,"SOFTWARE ENG. MODELS/METH. &gt; Software Engineering Methods")+COUNTIFS('Prácticas_Snowballing'!$AB$2:$AB$281,"T023",'Prácticas_Snowballing'!$AC$2:$AC$281,"SOFTWARE ENG. MODELS/METH. &gt; Software Engineering Methods")</f>
        <v>0</v>
      </c>
      <c r="BY31" s="17">
        <f>COUNTIFS('Prácticas_Revisiones'!$S$2:$S$282,"T023",'Prácticas_Revisiones'!$T$2:$T$282,"SOFTWARE ENG. MODELS/METH. &gt; Subárea no determinable")+COUNTIFS('Prácticas_Snowballing'!$AB$2:$AB$281,"T023",'Prácticas_Snowballing'!$AC$2:$AC$281,"SOFTWARE ENG. MODELS/METH. &gt; Subárea no determinable")</f>
        <v>0</v>
      </c>
      <c r="BZ31" s="29">
        <f t="shared" si="27"/>
        <v>0</v>
      </c>
      <c r="CA31" s="17">
        <f>COUNTIFS('Prácticas_Revisiones'!$S$2:$S$282,"T023",'Prácticas_Revisiones'!$T$2:$T$282,"SOFTWARE QUALITY &gt; Software Quality Fundamentals")+COUNTIFS('Prácticas_Snowballing'!$AB$2:$AB$281,"T023",'Prácticas_Snowballing'!$AC$2:$AC$281,"SOFTWARE QUALITY &gt; Software Quality Fundamentals")</f>
        <v>0</v>
      </c>
      <c r="CB31" s="17">
        <f>COUNTIFS('Prácticas_Revisiones'!$S$2:$S$282,"T023",'Prácticas_Revisiones'!$T$2:$T$282,"SOFTWARE QUALITY &gt; Software Quality Management Process")+COUNTIFS('Prácticas_Snowballing'!$AB$2:$AB$281,"T023",'Prácticas_Snowballing'!$AC$2:$AC$281,"SOFTWARE QUALITY &gt; Software Quality Management Process")</f>
        <v>0</v>
      </c>
      <c r="CC31" s="17">
        <f>COUNTIFS('Prácticas_Revisiones'!$S$2:$S$282,"T023",'Prácticas_Revisiones'!$T$2:$T$282,"SOFTWARE QUALITY &gt; Software Quality Assurance Process")+COUNTIFS('Prácticas_Snowballing'!$AB$2:$AB$281,"T023",'Prácticas_Snowballing'!$AC$2:$AC$281,"SOFTWARE QUALITY &gt; Software Quality Assurance Process")</f>
        <v>0</v>
      </c>
      <c r="CD31" s="17">
        <f>COUNTIFS('Prácticas_Revisiones'!$S$2:$S$282,"T023",'Prácticas_Revisiones'!$T$2:$T$282,"SOFTWARE QUALITY &gt; Software Quality Tools")+COUNTIFS('Prácticas_Snowballing'!$AB$2:$AB$281,"T023",'Prácticas_Snowballing'!$AC$2:$AC$281,"SOFTWARE QUALITY &gt; Software Quality Tools")</f>
        <v>0</v>
      </c>
      <c r="CE31" s="17">
        <f>COUNTIFS('Prácticas_Revisiones'!$S$2:$S$282,"T023",'Prácticas_Revisiones'!$T$2:$T$282,"SOFTWARE QUALITY &gt; Subárea no determinable")+COUNTIFS('Prácticas_Snowballing'!$AB$2:$AB$281,"T023",'Prácticas_Snowballing'!$AC$2:$AC$281,"SOFTWARE QUALITY &gt; Subárea no determinable")</f>
        <v>0</v>
      </c>
      <c r="CF31" s="29">
        <f t="shared" si="28"/>
        <v>0</v>
      </c>
      <c r="CG31" s="17">
        <f>COUNTIFS('Prácticas_Revisiones'!$S$2:$S$282,"T023",'Prácticas_Revisiones'!$T$2:$T$282,"SOFTWARE SECURITY &gt; Software Security Fundamentals")+COUNTIFS('Prácticas_Snowballing'!$AB$2:$AB$281,"T023",'Prácticas_Snowballing'!$AC$2:$AC$281,"SOFTWARE SECURITY &gt; Software Security Fundamentals")</f>
        <v>0</v>
      </c>
      <c r="CH31" s="17">
        <f>COUNTIFS('Prácticas_Revisiones'!$S$2:$S$282,"T023",'Prácticas_Revisiones'!$T$2:$T$282,"SOFTWARE SECURITY &gt; Security Management and Organization")+COUNTIFS('Prácticas_Snowballing'!$AB$2:$AB$281,"T023",'Prácticas_Snowballing'!$AC$2:$AC$281,"SOFTWARE SECURITY &gt; Security Management and Organization")</f>
        <v>0</v>
      </c>
      <c r="CI31" s="17">
        <f>COUNTIFS('Prácticas_Revisiones'!$S$2:$S$282,"T023",'Prácticas_Revisiones'!$T$2:$T$282,"SOFTWARE SECURITY &gt; Software Security Engineering and Process")+COUNTIFS('Prácticas_Snowballing'!$AB$2:$AB$281,"T023",'Prácticas_Snowballing'!$AC$2:$AC$281,"SOFTWARE SECURITY &gt; Software Security Engineering and Process")</f>
        <v>0</v>
      </c>
      <c r="CJ31" s="17">
        <f>COUNTIFS('Prácticas_Revisiones'!$S$2:$S$282,"T023",'Prácticas_Revisiones'!$T$2:$T$282,"SOFTWARE SECURITY &gt; Security Engineering for Software Systems")+COUNTIFS('Prácticas_Snowballing'!$AB$2:$AB$281,"T023",'Prácticas_Snowballing'!$AC$2:$AC$281,"SOFTWARE SECURITY &gt; Security Engineering for Software Systems")</f>
        <v>0</v>
      </c>
      <c r="CK31" s="17">
        <f>COUNTIFS('Prácticas_Revisiones'!$S$2:$S$282,"T023",'Prácticas_Revisiones'!$T$2:$T$282,"SOFTWARE SECURITY &gt; Software Security Tools")+COUNTIFS('Prácticas_Snowballing'!$AB$2:$AB$281,"T023",'Prácticas_Snowballing'!$AC$2:$AC$281,"SOFTWARE SECURITY &gt; Software Security Tools")</f>
        <v>0</v>
      </c>
      <c r="CL31" s="17">
        <f>COUNTIFS('Prácticas_Revisiones'!$S$2:$S$282,"T023",'Prácticas_Revisiones'!$T$2:$T$282,"SOFTWARE SECURITY &gt; Domain Specific Software Security")+COUNTIFS('Prácticas_Snowballing'!$AB$2:$AB$281,"T023",'Prácticas_Snowballing'!$AC$2:$AC$281,"SOFTWARE SECURITY &gt; Domain Specific Software Security")</f>
        <v>0</v>
      </c>
      <c r="CM31" s="17">
        <f>COUNTIFS('Prácticas_Revisiones'!$S$2:$S$282,"T023",'Prácticas_Revisiones'!$T$2:$T$282,"SOFTWARE SECURITY &gt; Subárea no determinable")+COUNTIFS('Prácticas_Snowballing'!$AB$2:$AB$281,"T023",'Prácticas_Snowballing'!$AC$2:$AC$281,"SOFTWARE SECURITY &gt; Subárea no determinable")</f>
        <v>0</v>
      </c>
      <c r="CN31" s="29">
        <f t="shared" si="29"/>
        <v>0</v>
      </c>
      <c r="CO31" s="17">
        <f>COUNTIFS('Prácticas_Revisiones'!$S$2:$S$282,"T023",'Prácticas_Revisiones'!$T$2:$T$282,"PROFESSIONAL PRACTICE &gt; Professionalism")+COUNTIFS('Prácticas_Snowballing'!$AB$2:$AB$281,"T023",'Prácticas_Snowballing'!$AC$2:$AC$281,"PROFESSIONAL PRACTICE &gt; Professionalism")</f>
        <v>0</v>
      </c>
      <c r="CP31" s="17">
        <f>COUNTIFS('Prácticas_Revisiones'!$S$2:$S$282,"T023",'Prácticas_Revisiones'!$T$2:$T$282,"PROFESSIONAL PRACTICE &gt; Group Dynamics and Psychology")+COUNTIFS('Prácticas_Snowballing'!$AB$2:$AB$281,"T023",'Prácticas_Snowballing'!$AC$2:$AC$281,"PROFESSIONAL PRACTICE &gt; Group Dynamics and Psychology")</f>
        <v>0</v>
      </c>
      <c r="CQ31" s="17">
        <f>COUNTIFS('Prácticas_Revisiones'!$S$2:$S$282,"T023",'Prácticas_Revisiones'!$T$2:$T$282,"PROFESSIONAL PRACTICE &gt; Communication Skills")+COUNTIFS('Prácticas_Snowballing'!$AB$2:$AB$281,"T023",'Prácticas_Snowballing'!$AC$2:$AC$281,"PROFESSIONAL PRACTICE &gt; Communication Skills")</f>
        <v>0</v>
      </c>
      <c r="CR31" s="17">
        <f>COUNTIFS('Prácticas_Revisiones'!$S$2:$S$282,"T023",'Prácticas_Revisiones'!$T$2:$T$282,"PROFESSIONAL PRACTICE &gt; Subárea no determinable")+COUNTIFS('Prácticas_Snowballing'!$AB$2:$AB$281,"T023",'Prácticas_Snowballing'!$AC$2:$AC$281,"PROFESSIONAL PRACTICE &gt; Subárea no determinable")</f>
        <v>0</v>
      </c>
      <c r="CS31" s="29">
        <f t="shared" si="30"/>
        <v>0</v>
      </c>
      <c r="CT31" s="17">
        <f>COUNTIFS('Prácticas_Revisiones'!$S$2:$S$282,"T023",'Prácticas_Revisiones'!$T$2:$T$282,"SOFTWARE ENG. ECONOMICS &gt; Software Engineering Economics Fundamentals")+COUNTIFS('Prácticas_Snowballing'!$AB$2:$AB$281,"T023",'Prácticas_Snowballing'!$AC$2:$AC$281,"SOFTWARE ENG. ECONOMICS &gt; Software Engineering Economics Fundamentals")</f>
        <v>0</v>
      </c>
      <c r="CU31" s="17">
        <f>COUNTIFS('Prácticas_Revisiones'!$S$2:$S$282,"T023",'Prácticas_Revisiones'!$T$2:$T$282,"SOFTWARE ENG. ECONOMICS &gt; The Engineering Decision-Making Process")+COUNTIFS('Prácticas_Snowballing'!$AB$2:$AB$281,"T023",'Prácticas_Snowballing'!$AC$2:$AC$281,"SOFTWARE ENG. ECONOMICS &gt; The Engineering Decision-Making Process")</f>
        <v>0</v>
      </c>
      <c r="CV31" s="17">
        <f>COUNTIFS('Prácticas_Revisiones'!$S$2:$S$282,"T023",'Prácticas_Revisiones'!$T$2:$T$282,"SOFTWARE ENG. ECONOMICS &gt; For-Profit Decision-Making")+COUNTIFS('Prácticas_Snowballing'!$AB$2:$AB$281,"T023",'Prácticas_Snowballing'!$AC$2:$AC$281,"SOFTWARE ENG. ECONOMICS &gt; For-Profit Decision-Making")</f>
        <v>0</v>
      </c>
      <c r="CW31" s="17">
        <f>COUNTIFS('Prácticas_Revisiones'!$S$2:$S$282,"T023",'Prácticas_Revisiones'!$T$2:$T$282,"SOFTWARE ENG. ECONOMICS &gt; Nonprofit Decision-Making")+COUNTIFS('Prácticas_Snowballing'!$AB$2:$AB$281,"T023",'Prácticas_Snowballing'!$AC$2:$AC$281,"SOFTWARE ENG. ECONOMICS &gt; Nonprofit Decision-Making")</f>
        <v>0</v>
      </c>
      <c r="CX31" s="17">
        <f>COUNTIFS('Prácticas_Revisiones'!$S$2:$S$282,"T023",'Prácticas_Revisiones'!$T$2:$T$282,"SOFTWARE ENG. ECONOMICS &gt; Present Economy Decision-Making")+COUNTIFS('Prácticas_Snowballing'!$AB$2:$AB$281,"T023",'Prácticas_Snowballing'!$AC$2:$AC$281,"SOFTWARE ENG. ECONOMICS &gt; Present Economy Decision-Making")</f>
        <v>0</v>
      </c>
      <c r="CY31" s="17">
        <f>COUNTIFS('Prácticas_Revisiones'!$S$2:$S$282,"T023",'Prácticas_Revisiones'!$T$2:$T$282,"SOFTWARE ENG. ECONOMICS &gt; Multiple-Attribute Decision-Making")+COUNTIFS('Prácticas_Snowballing'!$AB$2:$AB$281,"T023",'Prácticas_Snowballing'!$AC$2:$AC$281,"SOFTWARE ENG. ECONOMICS &gt; Multiple-Attribute Decision-Making")</f>
        <v>0</v>
      </c>
      <c r="CZ31" s="17">
        <f>COUNTIFS('Prácticas_Revisiones'!$S$2:$S$282,"T023",'Prácticas_Revisiones'!$T$2:$T$282,"SOFTWARE ENG. ECONOMICS &gt; Identifying and Characterizing Intangible Assets")+COUNTIFS('Prácticas_Snowballing'!$AB$2:$AB$281,"T023",'Prácticas_Snowballing'!$AC$2:$AC$281,"SOFTWARE ENG. ECONOMICS &gt; Identifying and Characterizing Intangible Assets")</f>
        <v>0</v>
      </c>
      <c r="DA31" s="17">
        <f>COUNTIFS('Prácticas_Revisiones'!$S$2:$S$282,"T023",'Prácticas_Revisiones'!$T$2:$T$282,"SOFTWARE ENG. ECONOMICS &gt; Estimation")+COUNTIFS('Prácticas_Snowballing'!$AB$2:$AB$281,"T023",'Prácticas_Snowballing'!$AC$2:$AC$281,"SOFTWARE ENG. ECONOMICS &gt; Estimation")</f>
        <v>0</v>
      </c>
      <c r="DB31" s="17">
        <f>COUNTIFS('Prácticas_Revisiones'!$S$2:$S$282,"T023",'Prácticas_Revisiones'!$T$2:$T$282,"SOFTWARE ENG. ECONOMICS &gt; Practical Considerations")+COUNTIFS('Prácticas_Snowballing'!$AB$2:$AB$281,"T023",'Prácticas_Snowballing'!$AC$2:$AC$281,"SOFTWARE ENG. ECONOMICS &gt; Practical Considerations")</f>
        <v>0</v>
      </c>
      <c r="DC31" s="17">
        <f>COUNTIFS('Prácticas_Revisiones'!$S$2:$S$282,"T023",'Prácticas_Revisiones'!$T$2:$T$282,"SOFTWARE ENG. ECONOMICS &gt; Related Concepts")+COUNTIFS('Prácticas_Snowballing'!$AB$2:$AB$281,"T023",'Prácticas_Snowballing'!$AC$2:$AC$281,"SOFTWARE ENG. ECONOMICS &gt; Related Concepts")</f>
        <v>0</v>
      </c>
      <c r="DD31" s="17">
        <f>COUNTIFS('Prácticas_Revisiones'!$S$2:$S$282,"T023",'Prácticas_Revisiones'!$T$2:$T$282,"SOFTWARE ENG. ECONOMICS &gt; Subárea no determinable")+COUNTIFS('Prácticas_Snowballing'!$AB$2:$AB$281,"T023",'Prácticas_Snowballing'!$AC$2:$AC$281,"SOFTWARE ENG. ECONOMICS &gt; Subárea no determinable")</f>
        <v>0</v>
      </c>
      <c r="DE31" s="29">
        <f t="shared" si="31"/>
        <v>0</v>
      </c>
      <c r="DF31" s="17">
        <f>COUNTIFS('Prácticas_Revisiones'!$S$2:$S$282,"T023",'Prácticas_Revisiones'!$T$2:$T$282,"SOFTWARE ENG. MANAGEMENT &gt; Software Engineering Management Fundamentals")+COUNTIFS('Prácticas_Snowballing'!$AB$2:$AB$281,"T023",'Prácticas_Snowballing'!$AC$2:$AC$281,"SOFTWARE ENG. MANAGEMENT &gt; Software Engineering Management Fundamentals")</f>
        <v>0</v>
      </c>
      <c r="DG31" s="17">
        <f>COUNTIFS('Prácticas_Revisiones'!$S$2:$S$282,"T023",'Prácticas_Revisiones'!$T$2:$T$282,"SOFTWARE ENG. MANAGEMENT &gt; Initiation and Scope Definition")+COUNTIFS('Prácticas_Snowballing'!$AB$2:$AB$281,"T023",'Prácticas_Snowballing'!$AC$2:$AC$281,"SOFTWARE ENG. MANAGEMENT &gt; Initiation and Scope Definition")</f>
        <v>0</v>
      </c>
      <c r="DH31" s="17">
        <f>COUNTIFS('Prácticas_Revisiones'!$S$2:$S$282,"T023",'Prácticas_Revisiones'!$T$2:$T$282,"SOFTWARE ENG. MANAGEMENT &gt; Software Project Planning")+COUNTIFS('Prácticas_Snowballing'!$AB$2:$AB$281,"T023",'Prácticas_Snowballing'!$AC$2:$AC$281,"SOFTWARE ENG. MANAGEMENT &gt; Software Project Planning")</f>
        <v>0</v>
      </c>
      <c r="DI31" s="17">
        <f>COUNTIFS('Prácticas_Revisiones'!$S$2:$S$282,"T023",'Prácticas_Revisiones'!$T$2:$T$282,"SOFTWARE ENG. MANAGEMENT &gt; Software Project Enactment")+COUNTIFS('Prácticas_Snowballing'!$AB$2:$AB$281,"T023",'Prácticas_Snowballing'!$AC$2:$AC$281,"SOFTWARE ENG. MANAGEMENT &gt; Software Project Enactment")</f>
        <v>0</v>
      </c>
      <c r="DJ31" s="17">
        <f>COUNTIFS('Prácticas_Revisiones'!$S$2:$S$282,"T023",'Prácticas_Revisiones'!$T$2:$T$282,"SOFTWARE ENG. MANAGEMENT &gt; Review and Evaluation")+COUNTIFS('Prácticas_Snowballing'!$AB$2:$AB$281,"T023",'Prácticas_Snowballing'!$AC$2:$AC$281,"SOFTWARE ENG. MANAGEMENT &gt; Review and Evaluation")</f>
        <v>0</v>
      </c>
      <c r="DK31" s="17">
        <f>COUNTIFS('Prácticas_Revisiones'!$S$2:$S$282,"T023",'Prácticas_Revisiones'!$T$2:$T$282,"SOFTWARE ENG. MANAGEMENT &gt; Closure")+COUNTIFS('Prácticas_Snowballing'!$AB$2:$AB$281,"T023",'Prácticas_Snowballing'!$AC$2:$AC$281,"SOFTWARE ENG. MANAGEMENT &gt; Closure")</f>
        <v>0</v>
      </c>
      <c r="DL31" s="17">
        <f>COUNTIFS('Prácticas_Revisiones'!$S$2:$S$282,"T023",'Prácticas_Revisiones'!$T$2:$T$282,"SOFTWARE ENG. MANAGEMENT &gt; Software Engineering Management Tools")+COUNTIFS('Prácticas_Snowballing'!$AB$2:$AB$281,"T023",'Prácticas_Snowballing'!$AC$2:$AC$281,"SOFTWARE ENG. MANAGEMENT &gt; Software Engineering Management Tools")</f>
        <v>0</v>
      </c>
      <c r="DM31" s="17">
        <f>COUNTIFS('Prácticas_Revisiones'!$S$2:$S$282,"T023",'Prácticas_Revisiones'!$T$2:$T$282,"SOFTWARE ENG. MANAGEMENT &gt; Subárea no determinable")+COUNTIFS('Prácticas_Snowballing'!$AB$2:$AB$281,"T023",'Prácticas_Snowballing'!$AC$2:$AC$281,"SOFTWARE ENG. MANAGEMENT &gt; Subárea no determinable")</f>
        <v>0</v>
      </c>
      <c r="DN31" s="29">
        <f t="shared" si="32"/>
        <v>0</v>
      </c>
      <c r="DO31" s="17">
        <f>COUNTIFS('Prácticas_Revisiones'!$S$2:$S$282,"T023",'Prácticas_Revisiones'!$T$2:$T$282,"Sin área SWEBOK")+COUNTIFS('Prácticas_Snowballing'!$AB$2:$AB$281,"T023",'Prácticas_Snowballing'!$AC$2:$AC$281,"Sin área SWEBOK")</f>
        <v>0</v>
      </c>
      <c r="DP31" s="27">
        <f t="shared" si="33"/>
        <v>0</v>
      </c>
    </row>
    <row r="32" ht="15.75" customHeight="1">
      <c r="A32" s="28"/>
      <c r="B32" s="16" t="s">
        <v>2747</v>
      </c>
      <c r="C32" s="17">
        <f>COUNTIFS('Prácticas_Revisiones'!$S$2:$S$282,"T024",'Prácticas_Revisiones'!$T$2:$T$282,"REQUIREMENTS &gt; Software Requirements Fundamentals")+COUNTIFS('Prácticas_Snowballing'!$AB$2:$AB$281,"T024",'Prácticas_Snowballing'!$AC$2:$AC$281,"REQUIREMENTS &gt; Software Requirements Fundamentals")</f>
        <v>0</v>
      </c>
      <c r="D32" s="17">
        <f>COUNTIFS('Prácticas_Revisiones'!$S$2:$S$282,"T024",'Prácticas_Revisiones'!$T$2:$T$282,"REQUIREMENTS &gt; Requirements Elicitation")+COUNTIFS('Prácticas_Snowballing'!$AB$2:$AB$281,"T024",'Prácticas_Snowballing'!$AC$2:$AC$281,"REQUIREMENTS &gt; Requirements Elicitation")</f>
        <v>0</v>
      </c>
      <c r="E32" s="17">
        <f>COUNTIFS('Prácticas_Revisiones'!$S$2:$S$282,"T024",'Prácticas_Revisiones'!$T$2:$T$282,"REQUIREMENTS &gt; Requirements Analysis")+COUNTIFS('Prácticas_Snowballing'!$AB$2:$AB$281,"T024",'Prácticas_Snowballing'!$AC$2:$AC$281,"REQUIREMENTS &gt; Requirements Analysis")</f>
        <v>0</v>
      </c>
      <c r="F32" s="17">
        <f>COUNTIFS('Prácticas_Revisiones'!$S$2:$S$282,"T024",'Prácticas_Revisiones'!$T$2:$T$282,"REQUIREMENTS &gt; Requirements Specification")+COUNTIFS('Prácticas_Snowballing'!$AB$2:$AB$281,"T024",'Prácticas_Snowballing'!$AC$2:$AC$281,"REQUIREMENTS &gt; Requirements Specification")</f>
        <v>0</v>
      </c>
      <c r="G32" s="17">
        <f>COUNTIFS('Prácticas_Revisiones'!$S$2:$S$282,"T024",'Prácticas_Revisiones'!$T$2:$T$282,"REQUIREMENTS &gt; Requirements Validation")+COUNTIFS('Prácticas_Snowballing'!$AB$2:$AB$281,"T024",'Prácticas_Snowballing'!$AC$2:$AC$281,"REQUIREMENTS &gt; Requirements Validation")</f>
        <v>0</v>
      </c>
      <c r="H32" s="17">
        <f>COUNTIFS('Prácticas_Revisiones'!$S$2:$S$282,"T024",'Prácticas_Revisiones'!$T$2:$T$282,"REQUIREMENTS &gt; Requirements Management Activities")+COUNTIFS('Prácticas_Snowballing'!$AB$2:$AB$281,"T024",'Prácticas_Snowballing'!$AC$2:$AC$281,"REQUIREMENTS &gt; Requirements Management Activities")</f>
        <v>0</v>
      </c>
      <c r="I32" s="17">
        <f>COUNTIFS('Prácticas_Revisiones'!$S$2:$S$282,"T024",'Prácticas_Revisiones'!$T$2:$T$282,"REQUIREMENTS &gt; Practical Considerations")+COUNTIFS('Prácticas_Snowballing'!$AB$2:$AB$281,"T024",'Prácticas_Snowballing'!$AC$2:$AC$281,"REQUIREMENTS &gt; Practical Considerations")</f>
        <v>0</v>
      </c>
      <c r="J32" s="17">
        <f>COUNTIFS('Prácticas_Revisiones'!$S$2:$S$282,"T024",'Prácticas_Revisiones'!$T$2:$T$282,"REQUIREMENTS &gt; Software Requirements Tools")+COUNTIFS('Prácticas_Snowballing'!$AB$2:$AB$281,"T024",'Prácticas_Snowballing'!$AC$2:$AC$281,"REQUIREMENTS &gt; Software Requirements Tools")</f>
        <v>0</v>
      </c>
      <c r="K32" s="17">
        <f>COUNTIFS('Prácticas_Revisiones'!$S$2:$S$282,"T024",'Prácticas_Revisiones'!$T$2:$T$282,"REQUIREMENTS &gt; Subárea no determinable")+COUNTIFS('Prácticas_Snowballing'!$AB$2:$AB$281,"T024",'Prácticas_Snowballing'!$AC$2:$AC$281,"REQUIREMENTS &gt; Subárea no determinable")</f>
        <v>0</v>
      </c>
      <c r="L32" s="29">
        <f t="shared" si="18"/>
        <v>0</v>
      </c>
      <c r="M32" s="17">
        <f>COUNTIFS('Prácticas_Revisiones'!$S$2:$S$282,"T024",'Prácticas_Revisiones'!$T$2:$T$282,"ARCHITECTURE &gt; Software Architecture Fundamentals")+COUNTIFS('Prácticas_Snowballing'!$AB$2:$AB$281,"T024",'Prácticas_Snowballing'!$AC$2:$AC$281,"ARCHITECTURE &gt; Software Architecture Fundamentals")</f>
        <v>0</v>
      </c>
      <c r="N32" s="17">
        <f>COUNTIFS('Prácticas_Revisiones'!$S$2:$S$282,"T024",'Prácticas_Revisiones'!$T$2:$T$282,"ARCHITECTURE &gt; Software Architecture Description")+COUNTIFS('Prácticas_Snowballing'!$AB$2:$AB$281,"T024",'Prácticas_Snowballing'!$AC$2:$AC$281,"ARCHITECTURE &gt; Software Architecture Description")</f>
        <v>0</v>
      </c>
      <c r="O32" s="17">
        <f>COUNTIFS('Prácticas_Revisiones'!$S$2:$S$282,"T024",'Prácticas_Revisiones'!$T$2:$T$282,"ARCHITECTURE &gt; Software Architecture Process")+COUNTIFS('Prácticas_Snowballing'!$AB$2:$AB$281,"T024",'Prácticas_Snowballing'!$AC$2:$AC$281,"ARCHITECTURE &gt; Software Architecture Process")</f>
        <v>0</v>
      </c>
      <c r="P32" s="17">
        <f>COUNTIFS('Prácticas_Revisiones'!$S$2:$S$282,"T024",'Prácticas_Revisiones'!$T$2:$T$282,"ARCHITECTURE &gt; Software Architecture Evaluation")+COUNTIFS('Prácticas_Snowballing'!$AB$2:$AB$281,"T024",'Prácticas_Snowballing'!$AC$2:$AC$281,"ARCHITECTURE &gt; Software Architecture Evaluation")</f>
        <v>0</v>
      </c>
      <c r="Q32" s="17">
        <f>COUNTIFS('Prácticas_Revisiones'!$S$2:$S$282,"T024",'Prácticas_Revisiones'!$T$2:$T$282,"ARCHITECTURE &gt; Subárea no determinable")+COUNTIFS('Prácticas_Snowballing'!$AB$2:$AB$281,"T024",'Prácticas_Snowballing'!$AC$2:$AC$281,"ARCHITECTURE &gt; Subárea no determinable")</f>
        <v>0</v>
      </c>
      <c r="R32" s="29">
        <f t="shared" si="19"/>
        <v>0</v>
      </c>
      <c r="S32" s="17">
        <f>COUNTIFS('Prácticas_Revisiones'!$S$2:$S$282,"T024",'Prácticas_Revisiones'!$T$2:$T$282,"DESIGN &gt; Software Design Fundamentals")+COUNTIFS('Prácticas_Snowballing'!$AB$2:$AB$281,"T024",'Prácticas_Snowballing'!$AC$2:$AC$281,"DESIGN &gt; Software Design Fundamentals")</f>
        <v>0</v>
      </c>
      <c r="T32" s="17">
        <f>COUNTIFS('Prácticas_Revisiones'!$S$2:$S$282,"T024",'Prácticas_Revisiones'!$T$2:$T$282,"DESIGN &gt; Software Design Processes")+COUNTIFS('Prácticas_Snowballing'!$AB$2:$AB$281,"T024",'Prácticas_Snowballing'!$AC$2:$AC$281,"DESIGN &gt; Software Design Processes")</f>
        <v>0</v>
      </c>
      <c r="U32" s="17">
        <f>COUNTIFS('Prácticas_Revisiones'!$S$2:$S$282,"T024",'Prácticas_Revisiones'!$T$2:$T$282,"DESIGN &gt; Software Design Qualities")+COUNTIFS('Prácticas_Snowballing'!$AB$2:$AB$281,"T024",'Prácticas_Snowballing'!$AC$2:$AC$281,"DESIGN &gt; Software Design Qualities")</f>
        <v>0</v>
      </c>
      <c r="V32" s="17">
        <f>COUNTIFS('Prácticas_Revisiones'!$S$2:$S$282,"T024",'Prácticas_Revisiones'!$T$2:$T$282,"DESIGN &gt; Recording Software Design")+COUNTIFS('Prácticas_Snowballing'!$AB$2:$AB$281,"T024",'Prácticas_Snowballing'!$AC$2:$AC$281,"DESIGN &gt; Recording Software Design")</f>
        <v>0</v>
      </c>
      <c r="W32" s="17">
        <f>COUNTIFS('Prácticas_Revisiones'!$S$2:$S$282,"T024",'Prácticas_Revisiones'!$T$2:$T$282,"DESIGN &gt; Software Design Strategies and Methods")+COUNTIFS('Prácticas_Snowballing'!$AB$2:$AB$281,"T024",'Prácticas_Snowballing'!$AC$2:$AC$281,"DESIGN &gt; Software Design Strategies and Methods")</f>
        <v>0</v>
      </c>
      <c r="X32" s="17">
        <f>COUNTIFS('Prácticas_Revisiones'!$S$2:$S$282,"T024",'Prácticas_Revisiones'!$T$2:$T$282,"DESIGN &gt; Software Design Analysis and Evaluations")+COUNTIFS('Prácticas_Snowballing'!$AB$2:$AB$281,"T024",'Prácticas_Snowballing'!$AC$2:$AC$281,"DESIGN &gt; Software Design Analysis and Evaluations")</f>
        <v>0</v>
      </c>
      <c r="Y32" s="17">
        <f>COUNTIFS('Prácticas_Revisiones'!$S$2:$S$282,"T024",'Prácticas_Revisiones'!$T$2:$T$282,"DESIGN &gt; Subárea no determinable")+COUNTIFS('Prácticas_Snowballing'!$AB$2:$AB$281,"T024",'Prácticas_Snowballing'!$AC$2:$AC$281,"DESIGN &gt; Subárea no determinable")</f>
        <v>0</v>
      </c>
      <c r="Z32" s="29">
        <f t="shared" si="20"/>
        <v>0</v>
      </c>
      <c r="AA32" s="17">
        <f>COUNTIFS('Prácticas_Revisiones'!$S$2:$S$282,"T024",'Prácticas_Revisiones'!$T$2:$T$282,"CONSTRUCTION &gt; Software Construction Fundamentals")+COUNTIFS('Prácticas_Snowballing'!$AB$2:$AB$281,"T024",'Prácticas_Snowballing'!$AC$2:$AC$281,"CONSTRUCTION &gt; Software Construction Fundamentals")</f>
        <v>1</v>
      </c>
      <c r="AB32" s="17">
        <f>COUNTIFS('Prácticas_Revisiones'!$S$2:$S$282,"T024",'Prácticas_Revisiones'!$T$2:$T$282,"CONSTRUCTION &gt; Managing Construction")+COUNTIFS('Prácticas_Snowballing'!$AB$2:$AB$281,"T024",'Prácticas_Snowballing'!$AC$2:$AC$281,"CONSTRUCTION &gt; Managing Construction")</f>
        <v>0</v>
      </c>
      <c r="AC32" s="17">
        <f>COUNTIFS('Prácticas_Revisiones'!$S$2:$S$282,"T024",'Prácticas_Revisiones'!$T$2:$T$282,"CONSTRUCTION &gt; Practical Considerations")+COUNTIFS('Prácticas_Snowballing'!$AB$2:$AB$281,"T024",'Prácticas_Snowballing'!$AC$2:$AC$281,"CONSTRUCTION &gt; Practical Considerations")</f>
        <v>0</v>
      </c>
      <c r="AD32" s="17">
        <f>COUNTIFS('Prácticas_Revisiones'!$S$2:$S$282,"T024",'Prácticas_Revisiones'!$T$2:$T$282,"CONSTRUCTION &gt; Construction Technologies")+COUNTIFS('Prácticas_Snowballing'!$AB$2:$AB$281,"T024",'Prácticas_Snowballing'!$AC$2:$AC$281,"CONSTRUCTION &gt; Construction Technologies")</f>
        <v>0</v>
      </c>
      <c r="AE32" s="17">
        <f>COUNTIFS('Prácticas_Revisiones'!$S$2:$S$282,"T024",'Prácticas_Revisiones'!$T$2:$T$282,"CONSTRUCTION &gt; Software Construction Tools")+COUNTIFS('Prácticas_Snowballing'!$AB$2:$AB$281,"T024",'Prácticas_Snowballing'!$AC$2:$AC$281,"CONSTRUCTION &gt; Software Construction Tools")</f>
        <v>0</v>
      </c>
      <c r="AF32" s="17">
        <f>COUNTIFS('Prácticas_Revisiones'!$S$2:$S$282,"T024",'Prácticas_Revisiones'!$T$2:$T$282,"CONSTRUCTION &gt; Subárea no determinable")+COUNTIFS('Prácticas_Snowballing'!$AB$2:$AB$281,"T024",'Prácticas_Snowballing'!$AC$2:$AC$281,"CONSTRUCTION &gt; Subárea no determinable")</f>
        <v>0</v>
      </c>
      <c r="AG32" s="29">
        <f t="shared" si="21"/>
        <v>1</v>
      </c>
      <c r="AH32" s="17">
        <f>COUNTIFS('Prácticas_Revisiones'!$S$2:$S$282,"T024",'Prácticas_Revisiones'!$T$2:$T$282,"SOFTWARE TESTING &gt; Software Testing Fundamentals")+COUNTIFS('Prácticas_Snowballing'!$AB$2:$AB$281,"T024",'Prácticas_Snowballing'!$AC$2:$AC$281,"SOFTWARE TESTING &gt; Software Testing Fundamentals")</f>
        <v>0</v>
      </c>
      <c r="AI32" s="17">
        <f>COUNTIFS('Prácticas_Revisiones'!$S$2:$S$282,"T024",'Prácticas_Revisiones'!$T$2:$T$282,"SOFTWARE TESTING &gt; Test Levels")+COUNTIFS('Prácticas_Snowballing'!$AB$2:$AB$281,"T024",'Prácticas_Snowballing'!$AC$2:$AC$281,"SOFTWARE TESTING &gt; Test Levels")</f>
        <v>0</v>
      </c>
      <c r="AJ32" s="17">
        <f>COUNTIFS('Prácticas_Revisiones'!$S$2:$S$282,"T024",'Prácticas_Revisiones'!$T$2:$T$282,"SOFTWARE TESTING &gt; Test Techniques")+COUNTIFS('Prácticas_Snowballing'!$AB$2:$AB$281,"T024",'Prácticas_Snowballing'!$AC$2:$AC$281,"SOFTWARE TESTING &gt; Test Techniques")</f>
        <v>0</v>
      </c>
      <c r="AK32" s="17">
        <f>COUNTIFS('Prácticas_Revisiones'!$S$2:$S$282,"T024",'Prácticas_Revisiones'!$T$2:$T$282,"SOFTWARE TESTING &gt; Test-Related Measures")+COUNTIFS('Prácticas_Snowballing'!$AB$2:$AB$281,"T024",'Prácticas_Snowballing'!$AC$2:$AC$281,"SOFTWARE TESTING &gt; Test-Related Measures")</f>
        <v>0</v>
      </c>
      <c r="AL32" s="17">
        <f>COUNTIFS('Prácticas_Revisiones'!$S$2:$S$282,"T024",'Prácticas_Revisiones'!$T$2:$T$282,"SOFTWARE TESTING &gt; Test Process")+COUNTIFS('Prácticas_Snowballing'!$AB$2:$AB$281,"T024",'Prácticas_Snowballing'!$AC$2:$AC$281,"SOFTWARE TESTING &gt; Test Process")</f>
        <v>0</v>
      </c>
      <c r="AM32" s="17">
        <f>COUNTIFS('Prácticas_Revisiones'!$S$2:$S$282,"T024",'Prácticas_Revisiones'!$T$2:$T$282,"SOFTWARE TESTING &gt; Software Testing in the Development Processes...")+COUNTIFS('Prácticas_Snowballing'!$AB$2:$AB$281,"T024",'Prácticas_Snowballing'!$AC$2:$AC$281,"SOFTWARE TESTING &gt; Software Testing in the Development Processes...")</f>
        <v>0</v>
      </c>
      <c r="AN32" s="17">
        <f>COUNTIFS('Prácticas_Revisiones'!$S$2:$S$282,"T024",'Prácticas_Revisiones'!$T$2:$T$282,"SOFTWARE TESTING &gt; Testing of and Testing Through Emerging Tech...")+COUNTIFS('Prácticas_Snowballing'!$AB$2:$AB$281,"T024",'Prácticas_Snowballing'!$AC$2:$AC$281,"SOFTWARE TESTING &gt; Testing of and Testing Through Emerging Tech...")</f>
        <v>0</v>
      </c>
      <c r="AO32" s="17">
        <f>COUNTIFS('Prácticas_Revisiones'!$S$2:$S$282,"T024",'Prácticas_Revisiones'!$T$2:$T$282,"SOFTWARE TESTING &gt; Software Testing Tools")+COUNTIFS('Prácticas_Snowballing'!$AB$2:$AB$281,"T024",'Prácticas_Snowballing'!$AC$2:$AC$281,"SOFTWARE TESTING &gt; Software Testing Tools")</f>
        <v>0</v>
      </c>
      <c r="AP32" s="17">
        <f>COUNTIFS('Prácticas_Revisiones'!$S$2:$S$282,"T024",'Prácticas_Revisiones'!$T$2:$T$282,"SOFTWARE TESTING &gt; Subárea no determinable")+COUNTIFS('Prácticas_Snowballing'!$AB$2:$AB$281,"T024",'Prácticas_Snowballing'!$AC$2:$AC$281,"SOFTWARE TESTING &gt; Subárea no determinable")</f>
        <v>0</v>
      </c>
      <c r="AQ32" s="29">
        <f t="shared" si="22"/>
        <v>0</v>
      </c>
      <c r="AR32" s="17">
        <f>COUNTIFS('Prácticas_Revisiones'!$S$2:$S$282,"T024",'Prácticas_Revisiones'!$T$2:$T$282,"SOFTWARE ENG. OPERATIONS &gt; Software Engineering Operations Fundamentals")+COUNTIFS('Prácticas_Snowballing'!$AB$2:$AB$281,"T024",'Prácticas_Snowballing'!$AC$2:$AC$281,"SOFTWARE ENG. OPERATIONS &gt; Software Engineering Operations Fundamentals")</f>
        <v>0</v>
      </c>
      <c r="AS32" s="17">
        <f>COUNTIFS('Prácticas_Revisiones'!$S$2:$S$282,"T024",'Prácticas_Revisiones'!$T$2:$T$282,"SOFTWARE ENG. OPERATIONS &gt; Software Engineering Operations Planning")+COUNTIFS('Prácticas_Snowballing'!$AB$2:$AB$281,"T024",'Prácticas_Snowballing'!$AC$2:$AC$281,"SOFTWARE ENG. OPERATIONS &gt; Software Engineering Operations Planning")</f>
        <v>0</v>
      </c>
      <c r="AT32" s="17">
        <f>COUNTIFS('Prácticas_Revisiones'!$S$2:$S$282,"T024",'Prácticas_Revisiones'!$T$2:$T$282,"SOFTWARE ENG. OPERATIONS &gt; Software Engineering Operations Delivery")+COUNTIFS('Prácticas_Snowballing'!$AB$2:$AB$281,"T024",'Prácticas_Snowballing'!$AC$2:$AC$281,"SOFTWARE ENG. OPERATIONS &gt; Software Engineering Operations Delivery")</f>
        <v>0</v>
      </c>
      <c r="AU32" s="17">
        <f>COUNTIFS('Prácticas_Revisiones'!$S$2:$S$282,"T024",'Prácticas_Revisiones'!$T$2:$T$282,"SOFTWARE ENG. OPERATIONS &gt; Software Engineering Operations Control")+COUNTIFS('Prácticas_Snowballing'!$AB$2:$AB$281,"T024",'Prácticas_Snowballing'!$AC$2:$AC$281,"SOFTWARE ENG. OPERATIONS &gt; Software Engineering Operations Control")</f>
        <v>0</v>
      </c>
      <c r="AV32" s="17">
        <f>COUNTIFS('Prácticas_Revisiones'!$S$2:$S$282,"T024",'Prácticas_Revisiones'!$T$2:$T$282,"SOFTWARE ENG. OPERATIONS &gt; Practical Considerations")+COUNTIFS('Prácticas_Snowballing'!$AB$2:$AB$281,"T024",'Prácticas_Snowballing'!$AC$2:$AC$281,"SOFTWARE ENG. OPERATIONS &gt; Practical Considerations")</f>
        <v>0</v>
      </c>
      <c r="AW32" s="17">
        <f>COUNTIFS('Prácticas_Revisiones'!$S$2:$S$282,"T024",'Prácticas_Revisiones'!$T$2:$T$282,"SOFTWARE ENG. OPERATIONS &gt; Software Engineering Operations Tools")+COUNTIFS('Prácticas_Snowballing'!$AB$2:$AB$281,"T024",'Prácticas_Snowballing'!$AC$2:$AC$281,"SOFTWARE ENG. OPERATIONS &gt; Software Engineering Operations Tools")</f>
        <v>0</v>
      </c>
      <c r="AX32" s="17">
        <f>COUNTIFS('Prácticas_Revisiones'!$S$2:$S$282,"T024",'Prácticas_Revisiones'!$T$2:$T$282,"SOFTWARE ENG. OPERATIONS &gt; Subárea no determinable")+COUNTIFS('Prácticas_Snowballing'!$AB$2:$AB$281,"T024",'Prácticas_Snowballing'!$AC$2:$AC$281,"SOFTWARE ENG. OPERATIONS &gt; Subárea no determinable")</f>
        <v>0</v>
      </c>
      <c r="AY32" s="29">
        <f t="shared" si="23"/>
        <v>0</v>
      </c>
      <c r="AZ32" s="17">
        <f>COUNTIFS('Prácticas_Revisiones'!$S$2:$S$282,"T024",'Prácticas_Revisiones'!$T$2:$T$282,"MAINTENANCE &gt; Software Maintenance Fundamentals")+COUNTIFS('Prácticas_Snowballing'!$AB$2:$AB$281,"T024",'Prácticas_Snowballing'!$AC$2:$AC$281,"MAINTENANCE &gt; Software Maintenance Fundamentals")</f>
        <v>0</v>
      </c>
      <c r="BA32" s="17">
        <f>COUNTIFS('Prácticas_Revisiones'!$S$2:$S$282,"T024",'Prácticas_Revisiones'!$T$2:$T$282,"MAINTENANCE &gt; Key Issues in Software Maintenance")+COUNTIFS('Prácticas_Snowballing'!$AB$2:$AB$281,"T024",'Prácticas_Snowballing'!$AC$2:$AC$281,"MAINTENANCE &gt; Key Issues in Software Maintenance")</f>
        <v>0</v>
      </c>
      <c r="BB32" s="17">
        <f>COUNTIFS('Prácticas_Revisiones'!$S$2:$S$282,"T024",'Prácticas_Revisiones'!$T$2:$T$282,"MAINTENANCE &gt; Software Maintenance Processes")+COUNTIFS('Prácticas_Snowballing'!$AB$2:$AB$281,"T024",'Prácticas_Snowballing'!$AC$2:$AC$281,"MAINTENANCE &gt; Software Maintenance Processes")</f>
        <v>0</v>
      </c>
      <c r="BC32" s="17">
        <f>COUNTIFS('Prácticas_Revisiones'!$S$2:$S$282,"T024",'Prácticas_Revisiones'!$T$2:$T$282,"MAINTENANCE &gt; Software Maintenance Techniques")+COUNTIFS('Prácticas_Snowballing'!$AB$2:$AB$281,"T024",'Prácticas_Snowballing'!$AC$2:$AC$281,"MAINTENANCE &gt; Software Maintenance Techniques")</f>
        <v>0</v>
      </c>
      <c r="BD32" s="17">
        <f>COUNTIFS('Prácticas_Revisiones'!$S$2:$S$282,"T024",'Prácticas_Revisiones'!$T$2:$T$282,"MAINTENANCE &gt; Software Maintenance Tools")+COUNTIFS('Prácticas_Snowballing'!$AB$2:$AB$281,"T024",'Prácticas_Snowballing'!$AC$2:$AC$281,"MAINTENANCE &gt; Software Maintenance Tools")</f>
        <v>0</v>
      </c>
      <c r="BE32" s="17">
        <f>COUNTIFS('Prácticas_Revisiones'!$S$2:$S$282,"T024",'Prácticas_Revisiones'!$T$2:$T$282,"MAINTENANCE &gt; Subárea no determinable")+COUNTIFS('Prácticas_Snowballing'!$AB$2:$AB$281,"T024",'Prácticas_Snowballing'!$AC$2:$AC$281,"MAINTENANCE &gt; Subárea no determinable")</f>
        <v>0</v>
      </c>
      <c r="BF32" s="29">
        <f t="shared" si="24"/>
        <v>0</v>
      </c>
      <c r="BG32" s="17">
        <f>COUNTIFS('Prácticas_Revisiones'!$S$2:$S$282,"T024",'Prácticas_Revisiones'!$T$2:$T$282,"SOFTWARE CONFIG. MGMT. &gt; Management of the SCM Process")+COUNTIFS('Prácticas_Snowballing'!$AB$2:$AB$281,"T024",'Prácticas_Snowballing'!$AC$2:$AC$281,"SOFTWARE CONFIG. MGMT. &gt; Management of the SCM Process")</f>
        <v>0</v>
      </c>
      <c r="BH32" s="17">
        <f>COUNTIFS('Prácticas_Revisiones'!$S$2:$S$282,"T024",'Prácticas_Revisiones'!$T$2:$T$282,"SOFTWARE CONFIG. MGMT. &gt; Software Configuration Identification")+COUNTIFS('Prácticas_Snowballing'!$AB$2:$AB$281,"T024",'Prácticas_Snowballing'!$AC$2:$AC$281,"SOFTWARE CONFIG. MGMT. &gt; Software Configuration Identification")</f>
        <v>0</v>
      </c>
      <c r="BI32" s="17">
        <f>COUNTIFS('Prácticas_Revisiones'!$S$2:$S$282,"T024",'Prácticas_Revisiones'!$T$2:$T$282,"SOFTWARE CONFIG. MGMT. &gt; Software Configuration Change Control")+COUNTIFS('Prácticas_Snowballing'!$AB$2:$AB$281,"T024",'Prácticas_Snowballing'!$AC$2:$AC$281,"SOFTWARE CONFIG. MGMT. &gt; Software Configuration Change Control")</f>
        <v>0</v>
      </c>
      <c r="BJ32" s="17">
        <f>COUNTIFS('Prácticas_Revisiones'!$S$2:$S$282,"T024",'Prácticas_Revisiones'!$T$2:$T$282,"SOFTWARE CONFIG. MGMT. &gt; Software Configuration Status Accounting")+COUNTIFS('Prácticas_Snowballing'!$AB$2:$AB$281,"T024",'Prácticas_Snowballing'!$AC$2:$AC$281,"SOFTWARE CONFIG. MGMT. &gt; Software Configuration Status Accounting")</f>
        <v>0</v>
      </c>
      <c r="BK32" s="17">
        <f>COUNTIFS('Prácticas_Revisiones'!$S$2:$S$282,"T024",'Prácticas_Revisiones'!$T$2:$T$282,"SOFTWARE CONFIG. MGMT. &gt; Software Configuration Auditing")+COUNTIFS('Prácticas_Snowballing'!$AB$2:$AB$281,"T024",'Prácticas_Snowballing'!$AC$2:$AC$281,"SOFTWARE CONFIG. MGMT. &gt; Software Configuration Auditing")</f>
        <v>0</v>
      </c>
      <c r="BL32" s="17">
        <f>COUNTIFS('Prácticas_Revisiones'!$S$2:$S$282,"T024",'Prácticas_Revisiones'!$T$2:$T$282,"SOFTWARE CONFIG. MGMT. &gt; Software Release Management and Delivery")+COUNTIFS('Prácticas_Snowballing'!$AB$2:$AB$281,"T024",'Prácticas_Snowballing'!$AC$2:$AC$281,"SOFTWARE CONFIG. MGMT. &gt; Software Release Management and Delivery")</f>
        <v>0</v>
      </c>
      <c r="BM32" s="17">
        <f>COUNTIFS('Prácticas_Revisiones'!$S$2:$S$282,"T024",'Prácticas_Revisiones'!$T$2:$T$282,"SOFTWARE CONFIG. MGMT. &gt; Software Configuration Management Tools")+COUNTIFS('Prácticas_Snowballing'!$AB$2:$AB$281,"T024",'Prácticas_Snowballing'!$AC$2:$AC$281,"SOFTWARE CONFIG. MGMT. &gt; Software Configuration Management Tools")</f>
        <v>0</v>
      </c>
      <c r="BN32" s="17">
        <f>COUNTIFS('Prácticas_Revisiones'!$S$2:$S$282,"T024",'Prácticas_Revisiones'!$T$2:$T$282,"SOFTWARE CONFIG. MGMT. &gt; Subárea no determinable")+COUNTIFS('Prácticas_Snowballing'!$AB$2:$AB$281,"T024",'Prácticas_Snowballing'!$AC$2:$AC$281,"SOFTWARE CONFIG. MGMT. &gt; Subárea no determinable")</f>
        <v>0</v>
      </c>
      <c r="BO32" s="29">
        <f t="shared" si="25"/>
        <v>0</v>
      </c>
      <c r="BP32" s="17">
        <f>COUNTIFS('Prácticas_Revisiones'!$S$2:$S$282,"T024",'Prácticas_Revisiones'!$T$2:$T$282,"SOFTWARE ENG. PROCESS &gt; Software Engineering Process Fundamentals")+COUNTIFS('Prácticas_Snowballing'!$AB$2:$AB$281,"T024",'Prácticas_Snowballing'!$AC$2:$AC$281,"SOFTWARE ENG. PROCESS &gt; Software Engineering Process Fundamentals")</f>
        <v>0</v>
      </c>
      <c r="BQ32" s="17">
        <f>COUNTIFS('Prácticas_Revisiones'!$S$2:$S$282,"T024",'Prácticas_Revisiones'!$T$2:$T$282,"SOFTWARE ENG. PROCESS &gt; Life Cycles")+COUNTIFS('Prácticas_Snowballing'!$AB$2:$AB$281,"T024",'Prácticas_Snowballing'!$AC$2:$AC$281,"SOFTWARE ENG. PROCESS &gt; Life Cycles")</f>
        <v>0</v>
      </c>
      <c r="BR32" s="17">
        <f>COUNTIFS('Prácticas_Revisiones'!$S$2:$S$282,"T024",'Prácticas_Revisiones'!$T$2:$T$282,"SOFTWARE ENG. PROCESS &gt; Software Process Assessment and Improvement")+COUNTIFS('Prácticas_Snowballing'!$AB$2:$AB$281,"T024",'Prácticas_Snowballing'!$AC$2:$AC$281,"SOFTWARE ENG. PROCESS &gt; Software Process Assessment and Improvement")</f>
        <v>0</v>
      </c>
      <c r="BS32" s="17">
        <f>COUNTIFS('Prácticas_Revisiones'!$S$2:$S$282,"T024",'Prácticas_Revisiones'!$T$2:$T$282,"SOFTWARE ENG. PROCESS &gt; Subárea no determinable")+COUNTIFS('Prácticas_Snowballing'!$AB$2:$AB$281,"T024",'Prácticas_Snowballing'!$AC$2:$AC$281,"SOFTWARE ENG. PROCESS &gt; Subárea no determinable")</f>
        <v>0</v>
      </c>
      <c r="BT32" s="29">
        <f t="shared" si="26"/>
        <v>0</v>
      </c>
      <c r="BU32" s="17">
        <f>COUNTIFS('Prácticas_Revisiones'!$S$2:$S$282,"T024",'Prácticas_Revisiones'!$T$2:$T$282,"SOFTWARE ENG. MODELS/METH. &gt; Modeling")+COUNTIFS('Prácticas_Snowballing'!$AB$2:$AB$281,"T024",'Prácticas_Snowballing'!$AC$2:$AC$281,"SOFTWARE ENG. MODELS/METH. &gt; Modeling")</f>
        <v>0</v>
      </c>
      <c r="BV32" s="17">
        <f>COUNTIFS('Prácticas_Revisiones'!$S$2:$S$282,"T024",'Prácticas_Revisiones'!$T$2:$T$282,"SOFTWARE ENG. MODELS/METH. &gt; Types of Models")+COUNTIFS('Prácticas_Snowballing'!$AB$2:$AB$281,"T024",'Prácticas_Snowballing'!$AC$2:$AC$281,"SOFTWARE ENG. MODELS/METH. &gt; Types of Models")</f>
        <v>0</v>
      </c>
      <c r="BW32" s="17">
        <f>COUNTIFS('Prácticas_Revisiones'!$S$2:$S$282,"T024",'Prácticas_Revisiones'!$T$2:$T$282,"SOFTWARE ENG. MODELS/METH. &gt; Analysis of Models")+COUNTIFS('Prácticas_Snowballing'!$AB$2:$AB$281,"T024",'Prácticas_Snowballing'!$AC$2:$AC$281,"SOFTWARE ENG. MODELS/METH. &gt; Analysis of Models")</f>
        <v>0</v>
      </c>
      <c r="BX32" s="17">
        <f>COUNTIFS('Prácticas_Revisiones'!$S$2:$S$282,"T024",'Prácticas_Revisiones'!$T$2:$T$282,"SOFTWARE ENG. MODELS/METH. &gt; Software Engineering Methods")+COUNTIFS('Prácticas_Snowballing'!$AB$2:$AB$281,"T024",'Prácticas_Snowballing'!$AC$2:$AC$281,"SOFTWARE ENG. MODELS/METH. &gt; Software Engineering Methods")</f>
        <v>0</v>
      </c>
      <c r="BY32" s="17">
        <f>COUNTIFS('Prácticas_Revisiones'!$S$2:$S$282,"T024",'Prácticas_Revisiones'!$T$2:$T$282,"SOFTWARE ENG. MODELS/METH. &gt; Subárea no determinable")+COUNTIFS('Prácticas_Snowballing'!$AB$2:$AB$281,"T024",'Prácticas_Snowballing'!$AC$2:$AC$281,"SOFTWARE ENG. MODELS/METH. &gt; Subárea no determinable")</f>
        <v>0</v>
      </c>
      <c r="BZ32" s="29">
        <f t="shared" si="27"/>
        <v>0</v>
      </c>
      <c r="CA32" s="17">
        <f>COUNTIFS('Prácticas_Revisiones'!$S$2:$S$282,"T024",'Prácticas_Revisiones'!$T$2:$T$282,"SOFTWARE QUALITY &gt; Software Quality Fundamentals")+COUNTIFS('Prácticas_Snowballing'!$AB$2:$AB$281,"T024",'Prácticas_Snowballing'!$AC$2:$AC$281,"SOFTWARE QUALITY &gt; Software Quality Fundamentals")</f>
        <v>0</v>
      </c>
      <c r="CB32" s="17">
        <f>COUNTIFS('Prácticas_Revisiones'!$S$2:$S$282,"T024",'Prácticas_Revisiones'!$T$2:$T$282,"SOFTWARE QUALITY &gt; Software Quality Management Process")+COUNTIFS('Prácticas_Snowballing'!$AB$2:$AB$281,"T024",'Prácticas_Snowballing'!$AC$2:$AC$281,"SOFTWARE QUALITY &gt; Software Quality Management Process")</f>
        <v>0</v>
      </c>
      <c r="CC32" s="17">
        <f>COUNTIFS('Prácticas_Revisiones'!$S$2:$S$282,"T024",'Prácticas_Revisiones'!$T$2:$T$282,"SOFTWARE QUALITY &gt; Software Quality Assurance Process")+COUNTIFS('Prácticas_Snowballing'!$AB$2:$AB$281,"T024",'Prácticas_Snowballing'!$AC$2:$AC$281,"SOFTWARE QUALITY &gt; Software Quality Assurance Process")</f>
        <v>0</v>
      </c>
      <c r="CD32" s="17">
        <f>COUNTIFS('Prácticas_Revisiones'!$S$2:$S$282,"T024",'Prácticas_Revisiones'!$T$2:$T$282,"SOFTWARE QUALITY &gt; Software Quality Tools")+COUNTIFS('Prácticas_Snowballing'!$AB$2:$AB$281,"T024",'Prácticas_Snowballing'!$AC$2:$AC$281,"SOFTWARE QUALITY &gt; Software Quality Tools")</f>
        <v>0</v>
      </c>
      <c r="CE32" s="17">
        <f>COUNTIFS('Prácticas_Revisiones'!$S$2:$S$282,"T024",'Prácticas_Revisiones'!$T$2:$T$282,"SOFTWARE QUALITY &gt; Subárea no determinable")+COUNTIFS('Prácticas_Snowballing'!$AB$2:$AB$281,"T024",'Prácticas_Snowballing'!$AC$2:$AC$281,"SOFTWARE QUALITY &gt; Subárea no determinable")</f>
        <v>0</v>
      </c>
      <c r="CF32" s="29">
        <f t="shared" si="28"/>
        <v>0</v>
      </c>
      <c r="CG32" s="17">
        <f>COUNTIFS('Prácticas_Revisiones'!$S$2:$S$282,"T024",'Prácticas_Revisiones'!$T$2:$T$282,"SOFTWARE SECURITY &gt; Software Security Fundamentals")+COUNTIFS('Prácticas_Snowballing'!$AB$2:$AB$281,"T024",'Prácticas_Snowballing'!$AC$2:$AC$281,"SOFTWARE SECURITY &gt; Software Security Fundamentals")</f>
        <v>0</v>
      </c>
      <c r="CH32" s="17">
        <f>COUNTIFS('Prácticas_Revisiones'!$S$2:$S$282,"T024",'Prácticas_Revisiones'!$T$2:$T$282,"SOFTWARE SECURITY &gt; Security Management and Organization")+COUNTIFS('Prácticas_Snowballing'!$AB$2:$AB$281,"T024",'Prácticas_Snowballing'!$AC$2:$AC$281,"SOFTWARE SECURITY &gt; Security Management and Organization")</f>
        <v>0</v>
      </c>
      <c r="CI32" s="17">
        <f>COUNTIFS('Prácticas_Revisiones'!$S$2:$S$282,"T024",'Prácticas_Revisiones'!$T$2:$T$282,"SOFTWARE SECURITY &gt; Software Security Engineering and Process")+COUNTIFS('Prácticas_Snowballing'!$AB$2:$AB$281,"T024",'Prácticas_Snowballing'!$AC$2:$AC$281,"SOFTWARE SECURITY &gt; Software Security Engineering and Process")</f>
        <v>0</v>
      </c>
      <c r="CJ32" s="17">
        <f>COUNTIFS('Prácticas_Revisiones'!$S$2:$S$282,"T024",'Prácticas_Revisiones'!$T$2:$T$282,"SOFTWARE SECURITY &gt; Security Engineering for Software Systems")+COUNTIFS('Prácticas_Snowballing'!$AB$2:$AB$281,"T024",'Prácticas_Snowballing'!$AC$2:$AC$281,"SOFTWARE SECURITY &gt; Security Engineering for Software Systems")</f>
        <v>0</v>
      </c>
      <c r="CK32" s="17">
        <f>COUNTIFS('Prácticas_Revisiones'!$S$2:$S$282,"T024",'Prácticas_Revisiones'!$T$2:$T$282,"SOFTWARE SECURITY &gt; Software Security Tools")+COUNTIFS('Prácticas_Snowballing'!$AB$2:$AB$281,"T024",'Prácticas_Snowballing'!$AC$2:$AC$281,"SOFTWARE SECURITY &gt; Software Security Tools")</f>
        <v>0</v>
      </c>
      <c r="CL32" s="17">
        <f>COUNTIFS('Prácticas_Revisiones'!$S$2:$S$282,"T024",'Prácticas_Revisiones'!$T$2:$T$282,"SOFTWARE SECURITY &gt; Domain Specific Software Security")+COUNTIFS('Prácticas_Snowballing'!$AB$2:$AB$281,"T024",'Prácticas_Snowballing'!$AC$2:$AC$281,"SOFTWARE SECURITY &gt; Domain Specific Software Security")</f>
        <v>0</v>
      </c>
      <c r="CM32" s="17">
        <f>COUNTIFS('Prácticas_Revisiones'!$S$2:$S$282,"T024",'Prácticas_Revisiones'!$T$2:$T$282,"SOFTWARE SECURITY &gt; Subárea no determinable")+COUNTIFS('Prácticas_Snowballing'!$AB$2:$AB$281,"T024",'Prácticas_Snowballing'!$AC$2:$AC$281,"SOFTWARE SECURITY &gt; Subárea no determinable")</f>
        <v>0</v>
      </c>
      <c r="CN32" s="29">
        <f t="shared" si="29"/>
        <v>0</v>
      </c>
      <c r="CO32" s="17">
        <f>COUNTIFS('Prácticas_Revisiones'!$S$2:$S$282,"T024",'Prácticas_Revisiones'!$T$2:$T$282,"PROFESSIONAL PRACTICE &gt; Professionalism")+COUNTIFS('Prácticas_Snowballing'!$AB$2:$AB$281,"T024",'Prácticas_Snowballing'!$AC$2:$AC$281,"PROFESSIONAL PRACTICE &gt; Professionalism")</f>
        <v>0</v>
      </c>
      <c r="CP32" s="17">
        <f>COUNTIFS('Prácticas_Revisiones'!$S$2:$S$282,"T024",'Prácticas_Revisiones'!$T$2:$T$282,"PROFESSIONAL PRACTICE &gt; Group Dynamics and Psychology")+COUNTIFS('Prácticas_Snowballing'!$AB$2:$AB$281,"T024",'Prácticas_Snowballing'!$AC$2:$AC$281,"PROFESSIONAL PRACTICE &gt; Group Dynamics and Psychology")</f>
        <v>0</v>
      </c>
      <c r="CQ32" s="17">
        <f>COUNTIFS('Prácticas_Revisiones'!$S$2:$S$282,"T024",'Prácticas_Revisiones'!$T$2:$T$282,"PROFESSIONAL PRACTICE &gt; Communication Skills")+COUNTIFS('Prácticas_Snowballing'!$AB$2:$AB$281,"T024",'Prácticas_Snowballing'!$AC$2:$AC$281,"PROFESSIONAL PRACTICE &gt; Communication Skills")</f>
        <v>0</v>
      </c>
      <c r="CR32" s="17">
        <f>COUNTIFS('Prácticas_Revisiones'!$S$2:$S$282,"T024",'Prácticas_Revisiones'!$T$2:$T$282,"PROFESSIONAL PRACTICE &gt; Subárea no determinable")+COUNTIFS('Prácticas_Snowballing'!$AB$2:$AB$281,"T024",'Prácticas_Snowballing'!$AC$2:$AC$281,"PROFESSIONAL PRACTICE &gt; Subárea no determinable")</f>
        <v>0</v>
      </c>
      <c r="CS32" s="29">
        <f t="shared" si="30"/>
        <v>0</v>
      </c>
      <c r="CT32" s="17">
        <f>COUNTIFS('Prácticas_Revisiones'!$S$2:$S$282,"T024",'Prácticas_Revisiones'!$T$2:$T$282,"SOFTWARE ENG. ECONOMICS &gt; Software Engineering Economics Fundamentals")+COUNTIFS('Prácticas_Snowballing'!$AB$2:$AB$281,"T024",'Prácticas_Snowballing'!$AC$2:$AC$281,"SOFTWARE ENG. ECONOMICS &gt; Software Engineering Economics Fundamentals")</f>
        <v>0</v>
      </c>
      <c r="CU32" s="17">
        <f>COUNTIFS('Prácticas_Revisiones'!$S$2:$S$282,"T024",'Prácticas_Revisiones'!$T$2:$T$282,"SOFTWARE ENG. ECONOMICS &gt; The Engineering Decision-Making Process")+COUNTIFS('Prácticas_Snowballing'!$AB$2:$AB$281,"T024",'Prácticas_Snowballing'!$AC$2:$AC$281,"SOFTWARE ENG. ECONOMICS &gt; The Engineering Decision-Making Process")</f>
        <v>0</v>
      </c>
      <c r="CV32" s="17">
        <f>COUNTIFS('Prácticas_Revisiones'!$S$2:$S$282,"T024",'Prácticas_Revisiones'!$T$2:$T$282,"SOFTWARE ENG. ECONOMICS &gt; For-Profit Decision-Making")+COUNTIFS('Prácticas_Snowballing'!$AB$2:$AB$281,"T024",'Prácticas_Snowballing'!$AC$2:$AC$281,"SOFTWARE ENG. ECONOMICS &gt; For-Profit Decision-Making")</f>
        <v>0</v>
      </c>
      <c r="CW32" s="17">
        <f>COUNTIFS('Prácticas_Revisiones'!$S$2:$S$282,"T024",'Prácticas_Revisiones'!$T$2:$T$282,"SOFTWARE ENG. ECONOMICS &gt; Nonprofit Decision-Making")+COUNTIFS('Prácticas_Snowballing'!$AB$2:$AB$281,"T024",'Prácticas_Snowballing'!$AC$2:$AC$281,"SOFTWARE ENG. ECONOMICS &gt; Nonprofit Decision-Making")</f>
        <v>0</v>
      </c>
      <c r="CX32" s="17">
        <f>COUNTIFS('Prácticas_Revisiones'!$S$2:$S$282,"T024",'Prácticas_Revisiones'!$T$2:$T$282,"SOFTWARE ENG. ECONOMICS &gt; Present Economy Decision-Making")+COUNTIFS('Prácticas_Snowballing'!$AB$2:$AB$281,"T024",'Prácticas_Snowballing'!$AC$2:$AC$281,"SOFTWARE ENG. ECONOMICS &gt; Present Economy Decision-Making")</f>
        <v>0</v>
      </c>
      <c r="CY32" s="17">
        <f>COUNTIFS('Prácticas_Revisiones'!$S$2:$S$282,"T024",'Prácticas_Revisiones'!$T$2:$T$282,"SOFTWARE ENG. ECONOMICS &gt; Multiple-Attribute Decision-Making")+COUNTIFS('Prácticas_Snowballing'!$AB$2:$AB$281,"T024",'Prácticas_Snowballing'!$AC$2:$AC$281,"SOFTWARE ENG. ECONOMICS &gt; Multiple-Attribute Decision-Making")</f>
        <v>0</v>
      </c>
      <c r="CZ32" s="17">
        <f>COUNTIFS('Prácticas_Revisiones'!$S$2:$S$282,"T024",'Prácticas_Revisiones'!$T$2:$T$282,"SOFTWARE ENG. ECONOMICS &gt; Identifying and Characterizing Intangible Assets")+COUNTIFS('Prácticas_Snowballing'!$AB$2:$AB$281,"T024",'Prácticas_Snowballing'!$AC$2:$AC$281,"SOFTWARE ENG. ECONOMICS &gt; Identifying and Characterizing Intangible Assets")</f>
        <v>0</v>
      </c>
      <c r="DA32" s="17">
        <f>COUNTIFS('Prácticas_Revisiones'!$S$2:$S$282,"T024",'Prácticas_Revisiones'!$T$2:$T$282,"SOFTWARE ENG. ECONOMICS &gt; Estimation")+COUNTIFS('Prácticas_Snowballing'!$AB$2:$AB$281,"T024",'Prácticas_Snowballing'!$AC$2:$AC$281,"SOFTWARE ENG. ECONOMICS &gt; Estimation")</f>
        <v>0</v>
      </c>
      <c r="DB32" s="17">
        <f>COUNTIFS('Prácticas_Revisiones'!$S$2:$S$282,"T024",'Prácticas_Revisiones'!$T$2:$T$282,"SOFTWARE ENG. ECONOMICS &gt; Practical Considerations")+COUNTIFS('Prácticas_Snowballing'!$AB$2:$AB$281,"T024",'Prácticas_Snowballing'!$AC$2:$AC$281,"SOFTWARE ENG. ECONOMICS &gt; Practical Considerations")</f>
        <v>0</v>
      </c>
      <c r="DC32" s="17">
        <f>COUNTIFS('Prácticas_Revisiones'!$S$2:$S$282,"T024",'Prácticas_Revisiones'!$T$2:$T$282,"SOFTWARE ENG. ECONOMICS &gt; Related Concepts")+COUNTIFS('Prácticas_Snowballing'!$AB$2:$AB$281,"T024",'Prácticas_Snowballing'!$AC$2:$AC$281,"SOFTWARE ENG. ECONOMICS &gt; Related Concepts")</f>
        <v>0</v>
      </c>
      <c r="DD32" s="17">
        <f>COUNTIFS('Prácticas_Revisiones'!$S$2:$S$282,"T024",'Prácticas_Revisiones'!$T$2:$T$282,"SOFTWARE ENG. ECONOMICS &gt; Subárea no determinable")+COUNTIFS('Prácticas_Snowballing'!$AB$2:$AB$281,"T024",'Prácticas_Snowballing'!$AC$2:$AC$281,"SOFTWARE ENG. ECONOMICS &gt; Subárea no determinable")</f>
        <v>0</v>
      </c>
      <c r="DE32" s="29">
        <f t="shared" si="31"/>
        <v>0</v>
      </c>
      <c r="DF32" s="17">
        <f>COUNTIFS('Prácticas_Revisiones'!$S$2:$S$282,"T024",'Prácticas_Revisiones'!$T$2:$T$282,"SOFTWARE ENG. MANAGEMENT &gt; Software Engineering Management Fundamentals")+COUNTIFS('Prácticas_Snowballing'!$AB$2:$AB$281,"T024",'Prácticas_Snowballing'!$AC$2:$AC$281,"SOFTWARE ENG. MANAGEMENT &gt; Software Engineering Management Fundamentals")</f>
        <v>0</v>
      </c>
      <c r="DG32" s="17">
        <f>COUNTIFS('Prácticas_Revisiones'!$S$2:$S$282,"T024",'Prácticas_Revisiones'!$T$2:$T$282,"SOFTWARE ENG. MANAGEMENT &gt; Initiation and Scope Definition")+COUNTIFS('Prácticas_Snowballing'!$AB$2:$AB$281,"T024",'Prácticas_Snowballing'!$AC$2:$AC$281,"SOFTWARE ENG. MANAGEMENT &gt; Initiation and Scope Definition")</f>
        <v>0</v>
      </c>
      <c r="DH32" s="17">
        <f>COUNTIFS('Prácticas_Revisiones'!$S$2:$S$282,"T024",'Prácticas_Revisiones'!$T$2:$T$282,"SOFTWARE ENG. MANAGEMENT &gt; Software Project Planning")+COUNTIFS('Prácticas_Snowballing'!$AB$2:$AB$281,"T024",'Prácticas_Snowballing'!$AC$2:$AC$281,"SOFTWARE ENG. MANAGEMENT &gt; Software Project Planning")</f>
        <v>0</v>
      </c>
      <c r="DI32" s="17">
        <f>COUNTIFS('Prácticas_Revisiones'!$S$2:$S$282,"T024",'Prácticas_Revisiones'!$T$2:$T$282,"SOFTWARE ENG. MANAGEMENT &gt; Software Project Enactment")+COUNTIFS('Prácticas_Snowballing'!$AB$2:$AB$281,"T024",'Prácticas_Snowballing'!$AC$2:$AC$281,"SOFTWARE ENG. MANAGEMENT &gt; Software Project Enactment")</f>
        <v>0</v>
      </c>
      <c r="DJ32" s="17">
        <f>COUNTIFS('Prácticas_Revisiones'!$S$2:$S$282,"T024",'Prácticas_Revisiones'!$T$2:$T$282,"SOFTWARE ENG. MANAGEMENT &gt; Review and Evaluation")+COUNTIFS('Prácticas_Snowballing'!$AB$2:$AB$281,"T024",'Prácticas_Snowballing'!$AC$2:$AC$281,"SOFTWARE ENG. MANAGEMENT &gt; Review and Evaluation")</f>
        <v>0</v>
      </c>
      <c r="DK32" s="17">
        <f>COUNTIFS('Prácticas_Revisiones'!$S$2:$S$282,"T024",'Prácticas_Revisiones'!$T$2:$T$282,"SOFTWARE ENG. MANAGEMENT &gt; Closure")+COUNTIFS('Prácticas_Snowballing'!$AB$2:$AB$281,"T024",'Prácticas_Snowballing'!$AC$2:$AC$281,"SOFTWARE ENG. MANAGEMENT &gt; Closure")</f>
        <v>0</v>
      </c>
      <c r="DL32" s="17">
        <f>COUNTIFS('Prácticas_Revisiones'!$S$2:$S$282,"T024",'Prácticas_Revisiones'!$T$2:$T$282,"SOFTWARE ENG. MANAGEMENT &gt; Software Engineering Management Tools")+COUNTIFS('Prácticas_Snowballing'!$AB$2:$AB$281,"T024",'Prácticas_Snowballing'!$AC$2:$AC$281,"SOFTWARE ENG. MANAGEMENT &gt; Software Engineering Management Tools")</f>
        <v>0</v>
      </c>
      <c r="DM32" s="17">
        <f>COUNTIFS('Prácticas_Revisiones'!$S$2:$S$282,"T024",'Prácticas_Revisiones'!$T$2:$T$282,"SOFTWARE ENG. MANAGEMENT &gt; Subárea no determinable")+COUNTIFS('Prácticas_Snowballing'!$AB$2:$AB$281,"T024",'Prácticas_Snowballing'!$AC$2:$AC$281,"SOFTWARE ENG. MANAGEMENT &gt; Subárea no determinable")</f>
        <v>0</v>
      </c>
      <c r="DN32" s="29">
        <f t="shared" si="32"/>
        <v>0</v>
      </c>
      <c r="DO32" s="17">
        <f>COUNTIFS('Prácticas_Revisiones'!$S$2:$S$282,"T024",'Prácticas_Revisiones'!$T$2:$T$282,"Sin área SWEBOK")+COUNTIFS('Prácticas_Snowballing'!$AB$2:$AB$281,"T024",'Prácticas_Snowballing'!$AC$2:$AC$281,"Sin área SWEBOK")</f>
        <v>0</v>
      </c>
      <c r="DP32" s="27">
        <f t="shared" si="33"/>
        <v>1</v>
      </c>
    </row>
    <row r="33" ht="15.75" customHeight="1">
      <c r="A33" s="28"/>
      <c r="B33" s="16" t="s">
        <v>2740</v>
      </c>
      <c r="C33" s="17">
        <f>COUNTIFS('Prácticas_Revisiones'!$S$2:$S$282,"T025",'Prácticas_Revisiones'!$T$2:$T$282,"REQUIREMENTS &gt; Software Requirements Fundamentals")+COUNTIFS('Prácticas_Snowballing'!$AB$2:$AB$281,"T025",'Prácticas_Snowballing'!$AC$2:$AC$281,"REQUIREMENTS &gt; Software Requirements Fundamentals")</f>
        <v>0</v>
      </c>
      <c r="D33" s="17">
        <f>COUNTIFS('Prácticas_Revisiones'!$S$2:$S$282,"T025",'Prácticas_Revisiones'!$T$2:$T$282,"REQUIREMENTS &gt; Requirements Elicitation")+COUNTIFS('Prácticas_Snowballing'!$AB$2:$AB$281,"T025",'Prácticas_Snowballing'!$AC$2:$AC$281,"REQUIREMENTS &gt; Requirements Elicitation")</f>
        <v>0</v>
      </c>
      <c r="E33" s="17">
        <f>COUNTIFS('Prácticas_Revisiones'!$S$2:$S$282,"T025",'Prácticas_Revisiones'!$T$2:$T$282,"REQUIREMENTS &gt; Requirements Analysis")+COUNTIFS('Prácticas_Snowballing'!$AB$2:$AB$281,"T025",'Prácticas_Snowballing'!$AC$2:$AC$281,"REQUIREMENTS &gt; Requirements Analysis")</f>
        <v>0</v>
      </c>
      <c r="F33" s="17">
        <f>COUNTIFS('Prácticas_Revisiones'!$S$2:$S$282,"T025",'Prácticas_Revisiones'!$T$2:$T$282,"REQUIREMENTS &gt; Requirements Specification")+COUNTIFS('Prácticas_Snowballing'!$AB$2:$AB$281,"T025",'Prácticas_Snowballing'!$AC$2:$AC$281,"REQUIREMENTS &gt; Requirements Specification")</f>
        <v>0</v>
      </c>
      <c r="G33" s="17">
        <f>COUNTIFS('Prácticas_Revisiones'!$S$2:$S$282,"T025",'Prácticas_Revisiones'!$T$2:$T$282,"REQUIREMENTS &gt; Requirements Validation")+COUNTIFS('Prácticas_Snowballing'!$AB$2:$AB$281,"T025",'Prácticas_Snowballing'!$AC$2:$AC$281,"REQUIREMENTS &gt; Requirements Validation")</f>
        <v>0</v>
      </c>
      <c r="H33" s="17">
        <f>COUNTIFS('Prácticas_Revisiones'!$S$2:$S$282,"T025",'Prácticas_Revisiones'!$T$2:$T$282,"REQUIREMENTS &gt; Requirements Management Activities")+COUNTIFS('Prácticas_Snowballing'!$AB$2:$AB$281,"T025",'Prácticas_Snowballing'!$AC$2:$AC$281,"REQUIREMENTS &gt; Requirements Management Activities")</f>
        <v>0</v>
      </c>
      <c r="I33" s="17">
        <f>COUNTIFS('Prácticas_Revisiones'!$S$2:$S$282,"T025",'Prácticas_Revisiones'!$T$2:$T$282,"REQUIREMENTS &gt; Practical Considerations")+COUNTIFS('Prácticas_Snowballing'!$AB$2:$AB$281,"T025",'Prácticas_Snowballing'!$AC$2:$AC$281,"REQUIREMENTS &gt; Practical Considerations")</f>
        <v>0</v>
      </c>
      <c r="J33" s="17">
        <f>COUNTIFS('Prácticas_Revisiones'!$S$2:$S$282,"T025",'Prácticas_Revisiones'!$T$2:$T$282,"REQUIREMENTS &gt; Software Requirements Tools")+COUNTIFS('Prácticas_Snowballing'!$AB$2:$AB$281,"T025",'Prácticas_Snowballing'!$AC$2:$AC$281,"REQUIREMENTS &gt; Software Requirements Tools")</f>
        <v>0</v>
      </c>
      <c r="K33" s="17">
        <f>COUNTIFS('Prácticas_Revisiones'!$S$2:$S$282,"T025",'Prácticas_Revisiones'!$T$2:$T$282,"REQUIREMENTS &gt; Subárea no determinable")+COUNTIFS('Prácticas_Snowballing'!$AB$2:$AB$281,"T025",'Prácticas_Snowballing'!$AC$2:$AC$281,"REQUIREMENTS &gt; Subárea no determinable")</f>
        <v>0</v>
      </c>
      <c r="L33" s="29">
        <f t="shared" si="18"/>
        <v>0</v>
      </c>
      <c r="M33" s="17">
        <f>COUNTIFS('Prácticas_Revisiones'!$S$2:$S$282,"T025",'Prácticas_Revisiones'!$T$2:$T$282,"ARCHITECTURE &gt; Software Architecture Fundamentals")+COUNTIFS('Prácticas_Snowballing'!$AB$2:$AB$281,"T025",'Prácticas_Snowballing'!$AC$2:$AC$281,"ARCHITECTURE &gt; Software Architecture Fundamentals")</f>
        <v>0</v>
      </c>
      <c r="N33" s="17">
        <f>COUNTIFS('Prácticas_Revisiones'!$S$2:$S$282,"T025",'Prácticas_Revisiones'!$T$2:$T$282,"ARCHITECTURE &gt; Software Architecture Description")+COUNTIFS('Prácticas_Snowballing'!$AB$2:$AB$281,"T025",'Prácticas_Snowballing'!$AC$2:$AC$281,"ARCHITECTURE &gt; Software Architecture Description")</f>
        <v>0</v>
      </c>
      <c r="O33" s="17">
        <f>COUNTIFS('Prácticas_Revisiones'!$S$2:$S$282,"T025",'Prácticas_Revisiones'!$T$2:$T$282,"ARCHITECTURE &gt; Software Architecture Process")+COUNTIFS('Prácticas_Snowballing'!$AB$2:$AB$281,"T025",'Prácticas_Snowballing'!$AC$2:$AC$281,"ARCHITECTURE &gt; Software Architecture Process")</f>
        <v>0</v>
      </c>
      <c r="P33" s="17">
        <f>COUNTIFS('Prácticas_Revisiones'!$S$2:$S$282,"T025",'Prácticas_Revisiones'!$T$2:$T$282,"ARCHITECTURE &gt; Software Architecture Evaluation")+COUNTIFS('Prácticas_Snowballing'!$AB$2:$AB$281,"T025",'Prácticas_Snowballing'!$AC$2:$AC$281,"ARCHITECTURE &gt; Software Architecture Evaluation")</f>
        <v>0</v>
      </c>
      <c r="Q33" s="17">
        <f>COUNTIFS('Prácticas_Revisiones'!$S$2:$S$282,"T025",'Prácticas_Revisiones'!$T$2:$T$282,"ARCHITECTURE &gt; Subárea no determinable")+COUNTIFS('Prácticas_Snowballing'!$AB$2:$AB$281,"T025",'Prácticas_Snowballing'!$AC$2:$AC$281,"ARCHITECTURE &gt; Subárea no determinable")</f>
        <v>0</v>
      </c>
      <c r="R33" s="29">
        <f t="shared" si="19"/>
        <v>0</v>
      </c>
      <c r="S33" s="17">
        <f>COUNTIFS('Prácticas_Revisiones'!$S$2:$S$282,"T025",'Prácticas_Revisiones'!$T$2:$T$282,"DESIGN &gt; Software Design Fundamentals")+COUNTIFS('Prácticas_Snowballing'!$AB$2:$AB$281,"T025",'Prácticas_Snowballing'!$AC$2:$AC$281,"DESIGN &gt; Software Design Fundamentals")</f>
        <v>0</v>
      </c>
      <c r="T33" s="17">
        <f>COUNTIFS('Prácticas_Revisiones'!$S$2:$S$282,"T025",'Prácticas_Revisiones'!$T$2:$T$282,"DESIGN &gt; Software Design Processes")+COUNTIFS('Prácticas_Snowballing'!$AB$2:$AB$281,"T025",'Prácticas_Snowballing'!$AC$2:$AC$281,"DESIGN &gt; Software Design Processes")</f>
        <v>0</v>
      </c>
      <c r="U33" s="17">
        <f>COUNTIFS('Prácticas_Revisiones'!$S$2:$S$282,"T025",'Prácticas_Revisiones'!$T$2:$T$282,"DESIGN &gt; Software Design Qualities")+COUNTIFS('Prácticas_Snowballing'!$AB$2:$AB$281,"T025",'Prácticas_Snowballing'!$AC$2:$AC$281,"DESIGN &gt; Software Design Qualities")</f>
        <v>0</v>
      </c>
      <c r="V33" s="17">
        <f>COUNTIFS('Prácticas_Revisiones'!$S$2:$S$282,"T025",'Prácticas_Revisiones'!$T$2:$T$282,"DESIGN &gt; Recording Software Design")+COUNTIFS('Prácticas_Snowballing'!$AB$2:$AB$281,"T025",'Prácticas_Snowballing'!$AC$2:$AC$281,"DESIGN &gt; Recording Software Design")</f>
        <v>0</v>
      </c>
      <c r="W33" s="17">
        <f>COUNTIFS('Prácticas_Revisiones'!$S$2:$S$282,"T025",'Prácticas_Revisiones'!$T$2:$T$282,"DESIGN &gt; Software Design Strategies and Methods")+COUNTIFS('Prácticas_Snowballing'!$AB$2:$AB$281,"T025",'Prácticas_Snowballing'!$AC$2:$AC$281,"DESIGN &gt; Software Design Strategies and Methods")</f>
        <v>1</v>
      </c>
      <c r="X33" s="17">
        <f>COUNTIFS('Prácticas_Revisiones'!$S$2:$S$282,"T025",'Prácticas_Revisiones'!$T$2:$T$282,"DESIGN &gt; Software Design Analysis and Evaluations")+COUNTIFS('Prácticas_Snowballing'!$AB$2:$AB$281,"T025",'Prácticas_Snowballing'!$AC$2:$AC$281,"DESIGN &gt; Software Design Analysis and Evaluations")</f>
        <v>0</v>
      </c>
      <c r="Y33" s="17">
        <f>COUNTIFS('Prácticas_Revisiones'!$S$2:$S$282,"T025",'Prácticas_Revisiones'!$T$2:$T$282,"DESIGN &gt; Subárea no determinable")+COUNTIFS('Prácticas_Snowballing'!$AB$2:$AB$281,"T025",'Prácticas_Snowballing'!$AC$2:$AC$281,"DESIGN &gt; Subárea no determinable")</f>
        <v>0</v>
      </c>
      <c r="Z33" s="29">
        <f t="shared" si="20"/>
        <v>1</v>
      </c>
      <c r="AA33" s="17">
        <f>COUNTIFS('Prácticas_Revisiones'!$S$2:$S$282,"T025",'Prácticas_Revisiones'!$T$2:$T$282,"CONSTRUCTION &gt; Software Construction Fundamentals")+COUNTIFS('Prácticas_Snowballing'!$AB$2:$AB$281,"T025",'Prácticas_Snowballing'!$AC$2:$AC$281,"CONSTRUCTION &gt; Software Construction Fundamentals")</f>
        <v>0</v>
      </c>
      <c r="AB33" s="17">
        <f>COUNTIFS('Prácticas_Revisiones'!$S$2:$S$282,"T025",'Prácticas_Revisiones'!$T$2:$T$282,"CONSTRUCTION &gt; Managing Construction")+COUNTIFS('Prácticas_Snowballing'!$AB$2:$AB$281,"T025",'Prácticas_Snowballing'!$AC$2:$AC$281,"CONSTRUCTION &gt; Managing Construction")</f>
        <v>0</v>
      </c>
      <c r="AC33" s="17">
        <f>COUNTIFS('Prácticas_Revisiones'!$S$2:$S$282,"T025",'Prácticas_Revisiones'!$T$2:$T$282,"CONSTRUCTION &gt; Practical Considerations")+COUNTIFS('Prácticas_Snowballing'!$AB$2:$AB$281,"T025",'Prácticas_Snowballing'!$AC$2:$AC$281,"CONSTRUCTION &gt; Practical Considerations")</f>
        <v>1</v>
      </c>
      <c r="AD33" s="17">
        <f>COUNTIFS('Prácticas_Revisiones'!$S$2:$S$282,"T025",'Prácticas_Revisiones'!$T$2:$T$282,"CONSTRUCTION &gt; Construction Technologies")+COUNTIFS('Prácticas_Snowballing'!$AB$2:$AB$281,"T025",'Prácticas_Snowballing'!$AC$2:$AC$281,"CONSTRUCTION &gt; Construction Technologies")</f>
        <v>0</v>
      </c>
      <c r="AE33" s="17">
        <f>COUNTIFS('Prácticas_Revisiones'!$S$2:$S$282,"T025",'Prácticas_Revisiones'!$T$2:$T$282,"CONSTRUCTION &gt; Software Construction Tools")+COUNTIFS('Prácticas_Snowballing'!$AB$2:$AB$281,"T025",'Prácticas_Snowballing'!$AC$2:$AC$281,"CONSTRUCTION &gt; Software Construction Tools")</f>
        <v>0</v>
      </c>
      <c r="AF33" s="17">
        <f>COUNTIFS('Prácticas_Revisiones'!$S$2:$S$282,"T025",'Prácticas_Revisiones'!$T$2:$T$282,"CONSTRUCTION &gt; Subárea no determinable")+COUNTIFS('Prácticas_Snowballing'!$AB$2:$AB$281,"T025",'Prácticas_Snowballing'!$AC$2:$AC$281,"CONSTRUCTION &gt; Subárea no determinable")</f>
        <v>0</v>
      </c>
      <c r="AG33" s="29">
        <f t="shared" si="21"/>
        <v>1</v>
      </c>
      <c r="AH33" s="17">
        <f>COUNTIFS('Prácticas_Revisiones'!$S$2:$S$282,"T025",'Prácticas_Revisiones'!$T$2:$T$282,"SOFTWARE TESTING &gt; Software Testing Fundamentals")+COUNTIFS('Prácticas_Snowballing'!$AB$2:$AB$281,"T025",'Prácticas_Snowballing'!$AC$2:$AC$281,"SOFTWARE TESTING &gt; Software Testing Fundamentals")</f>
        <v>0</v>
      </c>
      <c r="AI33" s="17">
        <f>COUNTIFS('Prácticas_Revisiones'!$S$2:$S$282,"T025",'Prácticas_Revisiones'!$T$2:$T$282,"SOFTWARE TESTING &gt; Test Levels")+COUNTIFS('Prácticas_Snowballing'!$AB$2:$AB$281,"T025",'Prácticas_Snowballing'!$AC$2:$AC$281,"SOFTWARE TESTING &gt; Test Levels")</f>
        <v>0</v>
      </c>
      <c r="AJ33" s="17">
        <f>COUNTIFS('Prácticas_Revisiones'!$S$2:$S$282,"T025",'Prácticas_Revisiones'!$T$2:$T$282,"SOFTWARE TESTING &gt; Test Techniques")+COUNTIFS('Prácticas_Snowballing'!$AB$2:$AB$281,"T025",'Prácticas_Snowballing'!$AC$2:$AC$281,"SOFTWARE TESTING &gt; Test Techniques")</f>
        <v>0</v>
      </c>
      <c r="AK33" s="17">
        <f>COUNTIFS('Prácticas_Revisiones'!$S$2:$S$282,"T025",'Prácticas_Revisiones'!$T$2:$T$282,"SOFTWARE TESTING &gt; Test-Related Measures")+COUNTIFS('Prácticas_Snowballing'!$AB$2:$AB$281,"T025",'Prácticas_Snowballing'!$AC$2:$AC$281,"SOFTWARE TESTING &gt; Test-Related Measures")</f>
        <v>0</v>
      </c>
      <c r="AL33" s="17">
        <f>COUNTIFS('Prácticas_Revisiones'!$S$2:$S$282,"T025",'Prácticas_Revisiones'!$T$2:$T$282,"SOFTWARE TESTING &gt; Test Process")+COUNTIFS('Prácticas_Snowballing'!$AB$2:$AB$281,"T025",'Prácticas_Snowballing'!$AC$2:$AC$281,"SOFTWARE TESTING &gt; Test Process")</f>
        <v>0</v>
      </c>
      <c r="AM33" s="17">
        <f>COUNTIFS('Prácticas_Revisiones'!$S$2:$S$282,"T025",'Prácticas_Revisiones'!$T$2:$T$282,"SOFTWARE TESTING &gt; Software Testing in the Development Processes...")+COUNTIFS('Prácticas_Snowballing'!$AB$2:$AB$281,"T025",'Prácticas_Snowballing'!$AC$2:$AC$281,"SOFTWARE TESTING &gt; Software Testing in the Development Processes...")</f>
        <v>0</v>
      </c>
      <c r="AN33" s="17">
        <f>COUNTIFS('Prácticas_Revisiones'!$S$2:$S$282,"T025",'Prácticas_Revisiones'!$T$2:$T$282,"SOFTWARE TESTING &gt; Testing of and Testing Through Emerging Tech...")+COUNTIFS('Prácticas_Snowballing'!$AB$2:$AB$281,"T025",'Prácticas_Snowballing'!$AC$2:$AC$281,"SOFTWARE TESTING &gt; Testing of and Testing Through Emerging Tech...")</f>
        <v>0</v>
      </c>
      <c r="AO33" s="17">
        <f>COUNTIFS('Prácticas_Revisiones'!$S$2:$S$282,"T025",'Prácticas_Revisiones'!$T$2:$T$282,"SOFTWARE TESTING &gt; Software Testing Tools")+COUNTIFS('Prácticas_Snowballing'!$AB$2:$AB$281,"T025",'Prácticas_Snowballing'!$AC$2:$AC$281,"SOFTWARE TESTING &gt; Software Testing Tools")</f>
        <v>0</v>
      </c>
      <c r="AP33" s="17">
        <f>COUNTIFS('Prácticas_Revisiones'!$S$2:$S$282,"T025",'Prácticas_Revisiones'!$T$2:$T$282,"SOFTWARE TESTING &gt; Subárea no determinable")+COUNTIFS('Prácticas_Snowballing'!$AB$2:$AB$281,"T025",'Prácticas_Snowballing'!$AC$2:$AC$281,"SOFTWARE TESTING &gt; Subárea no determinable")</f>
        <v>0</v>
      </c>
      <c r="AQ33" s="29">
        <f t="shared" si="22"/>
        <v>0</v>
      </c>
      <c r="AR33" s="17">
        <f>COUNTIFS('Prácticas_Revisiones'!$S$2:$S$282,"T025",'Prácticas_Revisiones'!$T$2:$T$282,"SOFTWARE ENG. OPERATIONS &gt; Software Engineering Operations Fundamentals")+COUNTIFS('Prácticas_Snowballing'!$AB$2:$AB$281,"T025",'Prácticas_Snowballing'!$AC$2:$AC$281,"SOFTWARE ENG. OPERATIONS &gt; Software Engineering Operations Fundamentals")</f>
        <v>0</v>
      </c>
      <c r="AS33" s="17">
        <f>COUNTIFS('Prácticas_Revisiones'!$S$2:$S$282,"T025",'Prácticas_Revisiones'!$T$2:$T$282,"SOFTWARE ENG. OPERATIONS &gt; Software Engineering Operations Planning")+COUNTIFS('Prácticas_Snowballing'!$AB$2:$AB$281,"T025",'Prácticas_Snowballing'!$AC$2:$AC$281,"SOFTWARE ENG. OPERATIONS &gt; Software Engineering Operations Planning")</f>
        <v>0</v>
      </c>
      <c r="AT33" s="17">
        <f>COUNTIFS('Prácticas_Revisiones'!$S$2:$S$282,"T025",'Prácticas_Revisiones'!$T$2:$T$282,"SOFTWARE ENG. OPERATIONS &gt; Software Engineering Operations Delivery")+COUNTIFS('Prácticas_Snowballing'!$AB$2:$AB$281,"T025",'Prácticas_Snowballing'!$AC$2:$AC$281,"SOFTWARE ENG. OPERATIONS &gt; Software Engineering Operations Delivery")</f>
        <v>0</v>
      </c>
      <c r="AU33" s="17">
        <f>COUNTIFS('Prácticas_Revisiones'!$S$2:$S$282,"T025",'Prácticas_Revisiones'!$T$2:$T$282,"SOFTWARE ENG. OPERATIONS &gt; Software Engineering Operations Control")+COUNTIFS('Prácticas_Snowballing'!$AB$2:$AB$281,"T025",'Prácticas_Snowballing'!$AC$2:$AC$281,"SOFTWARE ENG. OPERATIONS &gt; Software Engineering Operations Control")</f>
        <v>0</v>
      </c>
      <c r="AV33" s="17">
        <f>COUNTIFS('Prácticas_Revisiones'!$S$2:$S$282,"T025",'Prácticas_Revisiones'!$T$2:$T$282,"SOFTWARE ENG. OPERATIONS &gt; Practical Considerations")+COUNTIFS('Prácticas_Snowballing'!$AB$2:$AB$281,"T025",'Prácticas_Snowballing'!$AC$2:$AC$281,"SOFTWARE ENG. OPERATIONS &gt; Practical Considerations")</f>
        <v>0</v>
      </c>
      <c r="AW33" s="17">
        <f>COUNTIFS('Prácticas_Revisiones'!$S$2:$S$282,"T025",'Prácticas_Revisiones'!$T$2:$T$282,"SOFTWARE ENG. OPERATIONS &gt; Software Engineering Operations Tools")+COUNTIFS('Prácticas_Snowballing'!$AB$2:$AB$281,"T025",'Prácticas_Snowballing'!$AC$2:$AC$281,"SOFTWARE ENG. OPERATIONS &gt; Software Engineering Operations Tools")</f>
        <v>0</v>
      </c>
      <c r="AX33" s="17">
        <f>COUNTIFS('Prácticas_Revisiones'!$S$2:$S$282,"T025",'Prácticas_Revisiones'!$T$2:$T$282,"SOFTWARE ENG. OPERATIONS &gt; Subárea no determinable")+COUNTIFS('Prácticas_Snowballing'!$AB$2:$AB$281,"T025",'Prácticas_Snowballing'!$AC$2:$AC$281,"SOFTWARE ENG. OPERATIONS &gt; Subárea no determinable")</f>
        <v>0</v>
      </c>
      <c r="AY33" s="29">
        <f t="shared" si="23"/>
        <v>0</v>
      </c>
      <c r="AZ33" s="17">
        <f>COUNTIFS('Prácticas_Revisiones'!$S$2:$S$282,"T025",'Prácticas_Revisiones'!$T$2:$T$282,"MAINTENANCE &gt; Software Maintenance Fundamentals")+COUNTIFS('Prácticas_Snowballing'!$AB$2:$AB$281,"T025",'Prácticas_Snowballing'!$AC$2:$AC$281,"MAINTENANCE &gt; Software Maintenance Fundamentals")</f>
        <v>0</v>
      </c>
      <c r="BA33" s="17">
        <f>COUNTIFS('Prácticas_Revisiones'!$S$2:$S$282,"T025",'Prácticas_Revisiones'!$T$2:$T$282,"MAINTENANCE &gt; Key Issues in Software Maintenance")+COUNTIFS('Prácticas_Snowballing'!$AB$2:$AB$281,"T025",'Prácticas_Snowballing'!$AC$2:$AC$281,"MAINTENANCE &gt; Key Issues in Software Maintenance")</f>
        <v>0</v>
      </c>
      <c r="BB33" s="17">
        <f>COUNTIFS('Prácticas_Revisiones'!$S$2:$S$282,"T025",'Prácticas_Revisiones'!$T$2:$T$282,"MAINTENANCE &gt; Software Maintenance Processes")+COUNTIFS('Prácticas_Snowballing'!$AB$2:$AB$281,"T025",'Prácticas_Snowballing'!$AC$2:$AC$281,"MAINTENANCE &gt; Software Maintenance Processes")</f>
        <v>0</v>
      </c>
      <c r="BC33" s="17">
        <f>COUNTIFS('Prácticas_Revisiones'!$S$2:$S$282,"T025",'Prácticas_Revisiones'!$T$2:$T$282,"MAINTENANCE &gt; Software Maintenance Techniques")+COUNTIFS('Prácticas_Snowballing'!$AB$2:$AB$281,"T025",'Prácticas_Snowballing'!$AC$2:$AC$281,"MAINTENANCE &gt; Software Maintenance Techniques")</f>
        <v>0</v>
      </c>
      <c r="BD33" s="17">
        <f>COUNTIFS('Prácticas_Revisiones'!$S$2:$S$282,"T025",'Prácticas_Revisiones'!$T$2:$T$282,"MAINTENANCE &gt; Software Maintenance Tools")+COUNTIFS('Prácticas_Snowballing'!$AB$2:$AB$281,"T025",'Prácticas_Snowballing'!$AC$2:$AC$281,"MAINTENANCE &gt; Software Maintenance Tools")</f>
        <v>0</v>
      </c>
      <c r="BE33" s="17">
        <f>COUNTIFS('Prácticas_Revisiones'!$S$2:$S$282,"T025",'Prácticas_Revisiones'!$T$2:$T$282,"MAINTENANCE &gt; Subárea no determinable")+COUNTIFS('Prácticas_Snowballing'!$AB$2:$AB$281,"T025",'Prácticas_Snowballing'!$AC$2:$AC$281,"MAINTENANCE &gt; Subárea no determinable")</f>
        <v>0</v>
      </c>
      <c r="BF33" s="29">
        <f t="shared" si="24"/>
        <v>0</v>
      </c>
      <c r="BG33" s="17">
        <f>COUNTIFS('Prácticas_Revisiones'!$S$2:$S$282,"T025",'Prácticas_Revisiones'!$T$2:$T$282,"SOFTWARE CONFIG. MGMT. &gt; Management of the SCM Process")+COUNTIFS('Prácticas_Snowballing'!$AB$2:$AB$281,"T025",'Prácticas_Snowballing'!$AC$2:$AC$281,"SOFTWARE CONFIG. MGMT. &gt; Management of the SCM Process")</f>
        <v>0</v>
      </c>
      <c r="BH33" s="17">
        <f>COUNTIFS('Prácticas_Revisiones'!$S$2:$S$282,"T025",'Prácticas_Revisiones'!$T$2:$T$282,"SOFTWARE CONFIG. MGMT. &gt; Software Configuration Identification")+COUNTIFS('Prácticas_Snowballing'!$AB$2:$AB$281,"T025",'Prácticas_Snowballing'!$AC$2:$AC$281,"SOFTWARE CONFIG. MGMT. &gt; Software Configuration Identification")</f>
        <v>0</v>
      </c>
      <c r="BI33" s="17">
        <f>COUNTIFS('Prácticas_Revisiones'!$S$2:$S$282,"T025",'Prácticas_Revisiones'!$T$2:$T$282,"SOFTWARE CONFIG. MGMT. &gt; Software Configuration Change Control")+COUNTIFS('Prácticas_Snowballing'!$AB$2:$AB$281,"T025",'Prácticas_Snowballing'!$AC$2:$AC$281,"SOFTWARE CONFIG. MGMT. &gt; Software Configuration Change Control")</f>
        <v>0</v>
      </c>
      <c r="BJ33" s="17">
        <f>COUNTIFS('Prácticas_Revisiones'!$S$2:$S$282,"T025",'Prácticas_Revisiones'!$T$2:$T$282,"SOFTWARE CONFIG. MGMT. &gt; Software Configuration Status Accounting")+COUNTIFS('Prácticas_Snowballing'!$AB$2:$AB$281,"T025",'Prácticas_Snowballing'!$AC$2:$AC$281,"SOFTWARE CONFIG. MGMT. &gt; Software Configuration Status Accounting")</f>
        <v>0</v>
      </c>
      <c r="BK33" s="17">
        <f>COUNTIFS('Prácticas_Revisiones'!$S$2:$S$282,"T025",'Prácticas_Revisiones'!$T$2:$T$282,"SOFTWARE CONFIG. MGMT. &gt; Software Configuration Auditing")+COUNTIFS('Prácticas_Snowballing'!$AB$2:$AB$281,"T025",'Prácticas_Snowballing'!$AC$2:$AC$281,"SOFTWARE CONFIG. MGMT. &gt; Software Configuration Auditing")</f>
        <v>0</v>
      </c>
      <c r="BL33" s="17">
        <f>COUNTIFS('Prácticas_Revisiones'!$S$2:$S$282,"T025",'Prácticas_Revisiones'!$T$2:$T$282,"SOFTWARE CONFIG. MGMT. &gt; Software Release Management and Delivery")+COUNTIFS('Prácticas_Snowballing'!$AB$2:$AB$281,"T025",'Prácticas_Snowballing'!$AC$2:$AC$281,"SOFTWARE CONFIG. MGMT. &gt; Software Release Management and Delivery")</f>
        <v>0</v>
      </c>
      <c r="BM33" s="17">
        <f>COUNTIFS('Prácticas_Revisiones'!$S$2:$S$282,"T025",'Prácticas_Revisiones'!$T$2:$T$282,"SOFTWARE CONFIG. MGMT. &gt; Software Configuration Management Tools")+COUNTIFS('Prácticas_Snowballing'!$AB$2:$AB$281,"T025",'Prácticas_Snowballing'!$AC$2:$AC$281,"SOFTWARE CONFIG. MGMT. &gt; Software Configuration Management Tools")</f>
        <v>0</v>
      </c>
      <c r="BN33" s="17">
        <f>COUNTIFS('Prácticas_Revisiones'!$S$2:$S$282,"T025",'Prácticas_Revisiones'!$T$2:$T$282,"SOFTWARE CONFIG. MGMT. &gt; Subárea no determinable")+COUNTIFS('Prácticas_Snowballing'!$AB$2:$AB$281,"T025",'Prácticas_Snowballing'!$AC$2:$AC$281,"SOFTWARE CONFIG. MGMT. &gt; Subárea no determinable")</f>
        <v>0</v>
      </c>
      <c r="BO33" s="29">
        <f t="shared" si="25"/>
        <v>0</v>
      </c>
      <c r="BP33" s="17">
        <f>COUNTIFS('Prácticas_Revisiones'!$S$2:$S$282,"T025",'Prácticas_Revisiones'!$T$2:$T$282,"SOFTWARE ENG. PROCESS &gt; Software Engineering Process Fundamentals")+COUNTIFS('Prácticas_Snowballing'!$AB$2:$AB$281,"T025",'Prácticas_Snowballing'!$AC$2:$AC$281,"SOFTWARE ENG. PROCESS &gt; Software Engineering Process Fundamentals")</f>
        <v>0</v>
      </c>
      <c r="BQ33" s="17">
        <f>COUNTIFS('Prácticas_Revisiones'!$S$2:$S$282,"T025",'Prácticas_Revisiones'!$T$2:$T$282,"SOFTWARE ENG. PROCESS &gt; Life Cycles")+COUNTIFS('Prácticas_Snowballing'!$AB$2:$AB$281,"T025",'Prácticas_Snowballing'!$AC$2:$AC$281,"SOFTWARE ENG. PROCESS &gt; Life Cycles")</f>
        <v>0</v>
      </c>
      <c r="BR33" s="17">
        <f>COUNTIFS('Prácticas_Revisiones'!$S$2:$S$282,"T025",'Prácticas_Revisiones'!$T$2:$T$282,"SOFTWARE ENG. PROCESS &gt; Software Process Assessment and Improvement")+COUNTIFS('Prácticas_Snowballing'!$AB$2:$AB$281,"T025",'Prácticas_Snowballing'!$AC$2:$AC$281,"SOFTWARE ENG. PROCESS &gt; Software Process Assessment and Improvement")</f>
        <v>0</v>
      </c>
      <c r="BS33" s="17">
        <f>COUNTIFS('Prácticas_Revisiones'!$S$2:$S$282,"T025",'Prácticas_Revisiones'!$T$2:$T$282,"SOFTWARE ENG. PROCESS &gt; Subárea no determinable")+COUNTIFS('Prácticas_Snowballing'!$AB$2:$AB$281,"T025",'Prácticas_Snowballing'!$AC$2:$AC$281,"SOFTWARE ENG. PROCESS &gt; Subárea no determinable")</f>
        <v>0</v>
      </c>
      <c r="BT33" s="29">
        <f t="shared" si="26"/>
        <v>0</v>
      </c>
      <c r="BU33" s="17">
        <f>COUNTIFS('Prácticas_Revisiones'!$S$2:$S$282,"T025",'Prácticas_Revisiones'!$T$2:$T$282,"SOFTWARE ENG. MODELS/METH. &gt; Modeling")+COUNTIFS('Prácticas_Snowballing'!$AB$2:$AB$281,"T025",'Prácticas_Snowballing'!$AC$2:$AC$281,"SOFTWARE ENG. MODELS/METH. &gt; Modeling")</f>
        <v>0</v>
      </c>
      <c r="BV33" s="17">
        <f>COUNTIFS('Prácticas_Revisiones'!$S$2:$S$282,"T025",'Prácticas_Revisiones'!$T$2:$T$282,"SOFTWARE ENG. MODELS/METH. &gt; Types of Models")+COUNTIFS('Prácticas_Snowballing'!$AB$2:$AB$281,"T025",'Prácticas_Snowballing'!$AC$2:$AC$281,"SOFTWARE ENG. MODELS/METH. &gt; Types of Models")</f>
        <v>0</v>
      </c>
      <c r="BW33" s="17">
        <f>COUNTIFS('Prácticas_Revisiones'!$S$2:$S$282,"T025",'Prácticas_Revisiones'!$T$2:$T$282,"SOFTWARE ENG. MODELS/METH. &gt; Analysis of Models")+COUNTIFS('Prácticas_Snowballing'!$AB$2:$AB$281,"T025",'Prácticas_Snowballing'!$AC$2:$AC$281,"SOFTWARE ENG. MODELS/METH. &gt; Analysis of Models")</f>
        <v>0</v>
      </c>
      <c r="BX33" s="17">
        <f>COUNTIFS('Prácticas_Revisiones'!$S$2:$S$282,"T025",'Prácticas_Revisiones'!$T$2:$T$282,"SOFTWARE ENG. MODELS/METH. &gt; Software Engineering Methods")+COUNTIFS('Prácticas_Snowballing'!$AB$2:$AB$281,"T025",'Prácticas_Snowballing'!$AC$2:$AC$281,"SOFTWARE ENG. MODELS/METH. &gt; Software Engineering Methods")</f>
        <v>0</v>
      </c>
      <c r="BY33" s="17">
        <f>COUNTIFS('Prácticas_Revisiones'!$S$2:$S$282,"T025",'Prácticas_Revisiones'!$T$2:$T$282,"SOFTWARE ENG. MODELS/METH. &gt; Subárea no determinable")+COUNTIFS('Prácticas_Snowballing'!$AB$2:$AB$281,"T025",'Prácticas_Snowballing'!$AC$2:$AC$281,"SOFTWARE ENG. MODELS/METH. &gt; Subárea no determinable")</f>
        <v>0</v>
      </c>
      <c r="BZ33" s="29">
        <f t="shared" si="27"/>
        <v>0</v>
      </c>
      <c r="CA33" s="17">
        <f>COUNTIFS('Prácticas_Revisiones'!$S$2:$S$282,"T025",'Prácticas_Revisiones'!$T$2:$T$282,"SOFTWARE QUALITY &gt; Software Quality Fundamentals")+COUNTIFS('Prácticas_Snowballing'!$AB$2:$AB$281,"T025",'Prácticas_Snowballing'!$AC$2:$AC$281,"SOFTWARE QUALITY &gt; Software Quality Fundamentals")</f>
        <v>0</v>
      </c>
      <c r="CB33" s="17">
        <f>COUNTIFS('Prácticas_Revisiones'!$S$2:$S$282,"T025",'Prácticas_Revisiones'!$T$2:$T$282,"SOFTWARE QUALITY &gt; Software Quality Management Process")+COUNTIFS('Prácticas_Snowballing'!$AB$2:$AB$281,"T025",'Prácticas_Snowballing'!$AC$2:$AC$281,"SOFTWARE QUALITY &gt; Software Quality Management Process")</f>
        <v>0</v>
      </c>
      <c r="CC33" s="17">
        <f>COUNTIFS('Prácticas_Revisiones'!$S$2:$S$282,"T025",'Prácticas_Revisiones'!$T$2:$T$282,"SOFTWARE QUALITY &gt; Software Quality Assurance Process")+COUNTIFS('Prácticas_Snowballing'!$AB$2:$AB$281,"T025",'Prácticas_Snowballing'!$AC$2:$AC$281,"SOFTWARE QUALITY &gt; Software Quality Assurance Process")</f>
        <v>0</v>
      </c>
      <c r="CD33" s="17">
        <f>COUNTIFS('Prácticas_Revisiones'!$S$2:$S$282,"T025",'Prácticas_Revisiones'!$T$2:$T$282,"SOFTWARE QUALITY &gt; Software Quality Tools")+COUNTIFS('Prácticas_Snowballing'!$AB$2:$AB$281,"T025",'Prácticas_Snowballing'!$AC$2:$AC$281,"SOFTWARE QUALITY &gt; Software Quality Tools")</f>
        <v>0</v>
      </c>
      <c r="CE33" s="17">
        <f>COUNTIFS('Prácticas_Revisiones'!$S$2:$S$282,"T025",'Prácticas_Revisiones'!$T$2:$T$282,"SOFTWARE QUALITY &gt; Subárea no determinable")+COUNTIFS('Prácticas_Snowballing'!$AB$2:$AB$281,"T025",'Prácticas_Snowballing'!$AC$2:$AC$281,"SOFTWARE QUALITY &gt; Subárea no determinable")</f>
        <v>0</v>
      </c>
      <c r="CF33" s="29">
        <f t="shared" si="28"/>
        <v>0</v>
      </c>
      <c r="CG33" s="17">
        <f>COUNTIFS('Prácticas_Revisiones'!$S$2:$S$282,"T025",'Prácticas_Revisiones'!$T$2:$T$282,"SOFTWARE SECURITY &gt; Software Security Fundamentals")+COUNTIFS('Prácticas_Snowballing'!$AB$2:$AB$281,"T025",'Prácticas_Snowballing'!$AC$2:$AC$281,"SOFTWARE SECURITY &gt; Software Security Fundamentals")</f>
        <v>0</v>
      </c>
      <c r="CH33" s="17">
        <f>COUNTIFS('Prácticas_Revisiones'!$S$2:$S$282,"T025",'Prácticas_Revisiones'!$T$2:$T$282,"SOFTWARE SECURITY &gt; Security Management and Organization")+COUNTIFS('Prácticas_Snowballing'!$AB$2:$AB$281,"T025",'Prácticas_Snowballing'!$AC$2:$AC$281,"SOFTWARE SECURITY &gt; Security Management and Organization")</f>
        <v>0</v>
      </c>
      <c r="CI33" s="17">
        <f>COUNTIFS('Prácticas_Revisiones'!$S$2:$S$282,"T025",'Prácticas_Revisiones'!$T$2:$T$282,"SOFTWARE SECURITY &gt; Software Security Engineering and Process")+COUNTIFS('Prácticas_Snowballing'!$AB$2:$AB$281,"T025",'Prácticas_Snowballing'!$AC$2:$AC$281,"SOFTWARE SECURITY &gt; Software Security Engineering and Process")</f>
        <v>0</v>
      </c>
      <c r="CJ33" s="17">
        <f>COUNTIFS('Prácticas_Revisiones'!$S$2:$S$282,"T025",'Prácticas_Revisiones'!$T$2:$T$282,"SOFTWARE SECURITY &gt; Security Engineering for Software Systems")+COUNTIFS('Prácticas_Snowballing'!$AB$2:$AB$281,"T025",'Prácticas_Snowballing'!$AC$2:$AC$281,"SOFTWARE SECURITY &gt; Security Engineering for Software Systems")</f>
        <v>0</v>
      </c>
      <c r="CK33" s="17">
        <f>COUNTIFS('Prácticas_Revisiones'!$S$2:$S$282,"T025",'Prácticas_Revisiones'!$T$2:$T$282,"SOFTWARE SECURITY &gt; Software Security Tools")+COUNTIFS('Prácticas_Snowballing'!$AB$2:$AB$281,"T025",'Prácticas_Snowballing'!$AC$2:$AC$281,"SOFTWARE SECURITY &gt; Software Security Tools")</f>
        <v>0</v>
      </c>
      <c r="CL33" s="17">
        <f>COUNTIFS('Prácticas_Revisiones'!$S$2:$S$282,"T025",'Prácticas_Revisiones'!$T$2:$T$282,"SOFTWARE SECURITY &gt; Domain Specific Software Security")+COUNTIFS('Prácticas_Snowballing'!$AB$2:$AB$281,"T025",'Prácticas_Snowballing'!$AC$2:$AC$281,"SOFTWARE SECURITY &gt; Domain Specific Software Security")</f>
        <v>0</v>
      </c>
      <c r="CM33" s="17">
        <f>COUNTIFS('Prácticas_Revisiones'!$S$2:$S$282,"T025",'Prácticas_Revisiones'!$T$2:$T$282,"SOFTWARE SECURITY &gt; Subárea no determinable")+COUNTIFS('Prácticas_Snowballing'!$AB$2:$AB$281,"T025",'Prácticas_Snowballing'!$AC$2:$AC$281,"SOFTWARE SECURITY &gt; Subárea no determinable")</f>
        <v>0</v>
      </c>
      <c r="CN33" s="29">
        <f t="shared" si="29"/>
        <v>0</v>
      </c>
      <c r="CO33" s="17">
        <f>COUNTIFS('Prácticas_Revisiones'!$S$2:$S$282,"T025",'Prácticas_Revisiones'!$T$2:$T$282,"PROFESSIONAL PRACTICE &gt; Professionalism")+COUNTIFS('Prácticas_Snowballing'!$AB$2:$AB$281,"T025",'Prácticas_Snowballing'!$AC$2:$AC$281,"PROFESSIONAL PRACTICE &gt; Professionalism")</f>
        <v>0</v>
      </c>
      <c r="CP33" s="17">
        <f>COUNTIFS('Prácticas_Revisiones'!$S$2:$S$282,"T025",'Prácticas_Revisiones'!$T$2:$T$282,"PROFESSIONAL PRACTICE &gt; Group Dynamics and Psychology")+COUNTIFS('Prácticas_Snowballing'!$AB$2:$AB$281,"T025",'Prácticas_Snowballing'!$AC$2:$AC$281,"PROFESSIONAL PRACTICE &gt; Group Dynamics and Psychology")</f>
        <v>0</v>
      </c>
      <c r="CQ33" s="17">
        <f>COUNTIFS('Prácticas_Revisiones'!$S$2:$S$282,"T025",'Prácticas_Revisiones'!$T$2:$T$282,"PROFESSIONAL PRACTICE &gt; Communication Skills")+COUNTIFS('Prácticas_Snowballing'!$AB$2:$AB$281,"T025",'Prácticas_Snowballing'!$AC$2:$AC$281,"PROFESSIONAL PRACTICE &gt; Communication Skills")</f>
        <v>0</v>
      </c>
      <c r="CR33" s="17">
        <f>COUNTIFS('Prácticas_Revisiones'!$S$2:$S$282,"T025",'Prácticas_Revisiones'!$T$2:$T$282,"PROFESSIONAL PRACTICE &gt; Subárea no determinable")+COUNTIFS('Prácticas_Snowballing'!$AB$2:$AB$281,"T025",'Prácticas_Snowballing'!$AC$2:$AC$281,"PROFESSIONAL PRACTICE &gt; Subárea no determinable")</f>
        <v>0</v>
      </c>
      <c r="CS33" s="29">
        <f t="shared" si="30"/>
        <v>0</v>
      </c>
      <c r="CT33" s="17">
        <f>COUNTIFS('Prácticas_Revisiones'!$S$2:$S$282,"T025",'Prácticas_Revisiones'!$T$2:$T$282,"SOFTWARE ENG. ECONOMICS &gt; Software Engineering Economics Fundamentals")+COUNTIFS('Prácticas_Snowballing'!$AB$2:$AB$281,"T025",'Prácticas_Snowballing'!$AC$2:$AC$281,"SOFTWARE ENG. ECONOMICS &gt; Software Engineering Economics Fundamentals")</f>
        <v>0</v>
      </c>
      <c r="CU33" s="17">
        <f>COUNTIFS('Prácticas_Revisiones'!$S$2:$S$282,"T025",'Prácticas_Revisiones'!$T$2:$T$282,"SOFTWARE ENG. ECONOMICS &gt; The Engineering Decision-Making Process")+COUNTIFS('Prácticas_Snowballing'!$AB$2:$AB$281,"T025",'Prácticas_Snowballing'!$AC$2:$AC$281,"SOFTWARE ENG. ECONOMICS &gt; The Engineering Decision-Making Process")</f>
        <v>0</v>
      </c>
      <c r="CV33" s="17">
        <f>COUNTIFS('Prácticas_Revisiones'!$S$2:$S$282,"T025",'Prácticas_Revisiones'!$T$2:$T$282,"SOFTWARE ENG. ECONOMICS &gt; For-Profit Decision-Making")+COUNTIFS('Prácticas_Snowballing'!$AB$2:$AB$281,"T025",'Prácticas_Snowballing'!$AC$2:$AC$281,"SOFTWARE ENG. ECONOMICS &gt; For-Profit Decision-Making")</f>
        <v>0</v>
      </c>
      <c r="CW33" s="17">
        <f>COUNTIFS('Prácticas_Revisiones'!$S$2:$S$282,"T025",'Prácticas_Revisiones'!$T$2:$T$282,"SOFTWARE ENG. ECONOMICS &gt; Nonprofit Decision-Making")+COUNTIFS('Prácticas_Snowballing'!$AB$2:$AB$281,"T025",'Prácticas_Snowballing'!$AC$2:$AC$281,"SOFTWARE ENG. ECONOMICS &gt; Nonprofit Decision-Making")</f>
        <v>0</v>
      </c>
      <c r="CX33" s="17">
        <f>COUNTIFS('Prácticas_Revisiones'!$S$2:$S$282,"T025",'Prácticas_Revisiones'!$T$2:$T$282,"SOFTWARE ENG. ECONOMICS &gt; Present Economy Decision-Making")+COUNTIFS('Prácticas_Snowballing'!$AB$2:$AB$281,"T025",'Prácticas_Snowballing'!$AC$2:$AC$281,"SOFTWARE ENG. ECONOMICS &gt; Present Economy Decision-Making")</f>
        <v>0</v>
      </c>
      <c r="CY33" s="17">
        <f>COUNTIFS('Prácticas_Revisiones'!$S$2:$S$282,"T025",'Prácticas_Revisiones'!$T$2:$T$282,"SOFTWARE ENG. ECONOMICS &gt; Multiple-Attribute Decision-Making")+COUNTIFS('Prácticas_Snowballing'!$AB$2:$AB$281,"T025",'Prácticas_Snowballing'!$AC$2:$AC$281,"SOFTWARE ENG. ECONOMICS &gt; Multiple-Attribute Decision-Making")</f>
        <v>0</v>
      </c>
      <c r="CZ33" s="17">
        <f>COUNTIFS('Prácticas_Revisiones'!$S$2:$S$282,"T025",'Prácticas_Revisiones'!$T$2:$T$282,"SOFTWARE ENG. ECONOMICS &gt; Identifying and Characterizing Intangible Assets")+COUNTIFS('Prácticas_Snowballing'!$AB$2:$AB$281,"T025",'Prácticas_Snowballing'!$AC$2:$AC$281,"SOFTWARE ENG. ECONOMICS &gt; Identifying and Characterizing Intangible Assets")</f>
        <v>0</v>
      </c>
      <c r="DA33" s="17">
        <f>COUNTIFS('Prácticas_Revisiones'!$S$2:$S$282,"T025",'Prácticas_Revisiones'!$T$2:$T$282,"SOFTWARE ENG. ECONOMICS &gt; Estimation")+COUNTIFS('Prácticas_Snowballing'!$AB$2:$AB$281,"T025",'Prácticas_Snowballing'!$AC$2:$AC$281,"SOFTWARE ENG. ECONOMICS &gt; Estimation")</f>
        <v>0</v>
      </c>
      <c r="DB33" s="17">
        <f>COUNTIFS('Prácticas_Revisiones'!$S$2:$S$282,"T025",'Prácticas_Revisiones'!$T$2:$T$282,"SOFTWARE ENG. ECONOMICS &gt; Practical Considerations")+COUNTIFS('Prácticas_Snowballing'!$AB$2:$AB$281,"T025",'Prácticas_Snowballing'!$AC$2:$AC$281,"SOFTWARE ENG. ECONOMICS &gt; Practical Considerations")</f>
        <v>0</v>
      </c>
      <c r="DC33" s="17">
        <f>COUNTIFS('Prácticas_Revisiones'!$S$2:$S$282,"T025",'Prácticas_Revisiones'!$T$2:$T$282,"SOFTWARE ENG. ECONOMICS &gt; Related Concepts")+COUNTIFS('Prácticas_Snowballing'!$AB$2:$AB$281,"T025",'Prácticas_Snowballing'!$AC$2:$AC$281,"SOFTWARE ENG. ECONOMICS &gt; Related Concepts")</f>
        <v>0</v>
      </c>
      <c r="DD33" s="17">
        <f>COUNTIFS('Prácticas_Revisiones'!$S$2:$S$282,"T025",'Prácticas_Revisiones'!$T$2:$T$282,"SOFTWARE ENG. ECONOMICS &gt; Subárea no determinable")+COUNTIFS('Prácticas_Snowballing'!$AB$2:$AB$281,"T025",'Prácticas_Snowballing'!$AC$2:$AC$281,"SOFTWARE ENG. ECONOMICS &gt; Subárea no determinable")</f>
        <v>0</v>
      </c>
      <c r="DE33" s="29">
        <f t="shared" si="31"/>
        <v>0</v>
      </c>
      <c r="DF33" s="17">
        <f>COUNTIFS('Prácticas_Revisiones'!$S$2:$S$282,"T025",'Prácticas_Revisiones'!$T$2:$T$282,"SOFTWARE ENG. MANAGEMENT &gt; Software Engineering Management Fundamentals")+COUNTIFS('Prácticas_Snowballing'!$AB$2:$AB$281,"T025",'Prácticas_Snowballing'!$AC$2:$AC$281,"SOFTWARE ENG. MANAGEMENT &gt; Software Engineering Management Fundamentals")</f>
        <v>0</v>
      </c>
      <c r="DG33" s="17">
        <f>COUNTIFS('Prácticas_Revisiones'!$S$2:$S$282,"T025",'Prácticas_Revisiones'!$T$2:$T$282,"SOFTWARE ENG. MANAGEMENT &gt; Initiation and Scope Definition")+COUNTIFS('Prácticas_Snowballing'!$AB$2:$AB$281,"T025",'Prácticas_Snowballing'!$AC$2:$AC$281,"SOFTWARE ENG. MANAGEMENT &gt; Initiation and Scope Definition")</f>
        <v>0</v>
      </c>
      <c r="DH33" s="17">
        <f>COUNTIFS('Prácticas_Revisiones'!$S$2:$S$282,"T025",'Prácticas_Revisiones'!$T$2:$T$282,"SOFTWARE ENG. MANAGEMENT &gt; Software Project Planning")+COUNTIFS('Prácticas_Snowballing'!$AB$2:$AB$281,"T025",'Prácticas_Snowballing'!$AC$2:$AC$281,"SOFTWARE ENG. MANAGEMENT &gt; Software Project Planning")</f>
        <v>0</v>
      </c>
      <c r="DI33" s="17">
        <f>COUNTIFS('Prácticas_Revisiones'!$S$2:$S$282,"T025",'Prácticas_Revisiones'!$T$2:$T$282,"SOFTWARE ENG. MANAGEMENT &gt; Software Project Enactment")+COUNTIFS('Prácticas_Snowballing'!$AB$2:$AB$281,"T025",'Prácticas_Snowballing'!$AC$2:$AC$281,"SOFTWARE ENG. MANAGEMENT &gt; Software Project Enactment")</f>
        <v>0</v>
      </c>
      <c r="DJ33" s="17">
        <f>COUNTIFS('Prácticas_Revisiones'!$S$2:$S$282,"T025",'Prácticas_Revisiones'!$T$2:$T$282,"SOFTWARE ENG. MANAGEMENT &gt; Review and Evaluation")+COUNTIFS('Prácticas_Snowballing'!$AB$2:$AB$281,"T025",'Prácticas_Snowballing'!$AC$2:$AC$281,"SOFTWARE ENG. MANAGEMENT &gt; Review and Evaluation")</f>
        <v>0</v>
      </c>
      <c r="DK33" s="17">
        <f>COUNTIFS('Prácticas_Revisiones'!$S$2:$S$282,"T025",'Prácticas_Revisiones'!$T$2:$T$282,"SOFTWARE ENG. MANAGEMENT &gt; Closure")+COUNTIFS('Prácticas_Snowballing'!$AB$2:$AB$281,"T025",'Prácticas_Snowballing'!$AC$2:$AC$281,"SOFTWARE ENG. MANAGEMENT &gt; Closure")</f>
        <v>0</v>
      </c>
      <c r="DL33" s="17">
        <f>COUNTIFS('Prácticas_Revisiones'!$S$2:$S$282,"T025",'Prácticas_Revisiones'!$T$2:$T$282,"SOFTWARE ENG. MANAGEMENT &gt; Software Engineering Management Tools")+COUNTIFS('Prácticas_Snowballing'!$AB$2:$AB$281,"T025",'Prácticas_Snowballing'!$AC$2:$AC$281,"SOFTWARE ENG. MANAGEMENT &gt; Software Engineering Management Tools")</f>
        <v>0</v>
      </c>
      <c r="DM33" s="17">
        <f>COUNTIFS('Prácticas_Revisiones'!$S$2:$S$282,"T025",'Prácticas_Revisiones'!$T$2:$T$282,"SOFTWARE ENG. MANAGEMENT &gt; Subárea no determinable")+COUNTIFS('Prácticas_Snowballing'!$AB$2:$AB$281,"T025",'Prácticas_Snowballing'!$AC$2:$AC$281,"SOFTWARE ENG. MANAGEMENT &gt; Subárea no determinable")</f>
        <v>0</v>
      </c>
      <c r="DN33" s="29">
        <f t="shared" si="32"/>
        <v>0</v>
      </c>
      <c r="DO33" s="17">
        <f>COUNTIFS('Prácticas_Revisiones'!$S$2:$S$282,"T025",'Prácticas_Revisiones'!$T$2:$T$282,"Sin área SWEBOK")+COUNTIFS('Prácticas_Snowballing'!$AB$2:$AB$281,"T025",'Prácticas_Snowballing'!$AC$2:$AC$281,"Sin área SWEBOK")</f>
        <v>2</v>
      </c>
      <c r="DP33" s="27">
        <f t="shared" si="33"/>
        <v>4</v>
      </c>
    </row>
    <row r="34" ht="15.75" customHeight="1">
      <c r="A34" s="28"/>
      <c r="B34" s="16" t="s">
        <v>2741</v>
      </c>
      <c r="C34" s="17">
        <f>COUNTIFS('Prácticas_Revisiones'!$S$2:$S$282,"T026",'Prácticas_Revisiones'!$T$2:$T$282,"REQUIREMENTS &gt; Software Requirements Fundamentals")+COUNTIFS('Prácticas_Snowballing'!$AB$2:$AB$281,"T026",'Prácticas_Snowballing'!$AC$2:$AC$281,"REQUIREMENTS &gt; Software Requirements Fundamentals")</f>
        <v>0</v>
      </c>
      <c r="D34" s="17">
        <f>COUNTIFS('Prácticas_Revisiones'!$S$2:$S$282,"T026",'Prácticas_Revisiones'!$T$2:$T$282,"REQUIREMENTS &gt; Requirements Elicitation")+COUNTIFS('Prácticas_Snowballing'!$AB$2:$AB$281,"T026",'Prácticas_Snowballing'!$AC$2:$AC$281,"REQUIREMENTS &gt; Requirements Elicitation")</f>
        <v>0</v>
      </c>
      <c r="E34" s="17">
        <f>COUNTIFS('Prácticas_Revisiones'!$S$2:$S$282,"T026",'Prácticas_Revisiones'!$T$2:$T$282,"REQUIREMENTS &gt; Requirements Analysis")+COUNTIFS('Prácticas_Snowballing'!$AB$2:$AB$281,"T026",'Prácticas_Snowballing'!$AC$2:$AC$281,"REQUIREMENTS &gt; Requirements Analysis")</f>
        <v>0</v>
      </c>
      <c r="F34" s="17">
        <f>COUNTIFS('Prácticas_Revisiones'!$S$2:$S$282,"T026",'Prácticas_Revisiones'!$T$2:$T$282,"REQUIREMENTS &gt; Requirements Specification")+COUNTIFS('Prácticas_Snowballing'!$AB$2:$AB$281,"T026",'Prácticas_Snowballing'!$AC$2:$AC$281,"REQUIREMENTS &gt; Requirements Specification")</f>
        <v>0</v>
      </c>
      <c r="G34" s="17">
        <f>COUNTIFS('Prácticas_Revisiones'!$S$2:$S$282,"T026",'Prácticas_Revisiones'!$T$2:$T$282,"REQUIREMENTS &gt; Requirements Validation")+COUNTIFS('Prácticas_Snowballing'!$AB$2:$AB$281,"T026",'Prácticas_Snowballing'!$AC$2:$AC$281,"REQUIREMENTS &gt; Requirements Validation")</f>
        <v>0</v>
      </c>
      <c r="H34" s="17">
        <f>COUNTIFS('Prácticas_Revisiones'!$S$2:$S$282,"T026",'Prácticas_Revisiones'!$T$2:$T$282,"REQUIREMENTS &gt; Requirements Management Activities")+COUNTIFS('Prácticas_Snowballing'!$AB$2:$AB$281,"T026",'Prácticas_Snowballing'!$AC$2:$AC$281,"REQUIREMENTS &gt; Requirements Management Activities")</f>
        <v>0</v>
      </c>
      <c r="I34" s="17">
        <f>COUNTIFS('Prácticas_Revisiones'!$S$2:$S$282,"T026",'Prácticas_Revisiones'!$T$2:$T$282,"REQUIREMENTS &gt; Practical Considerations")+COUNTIFS('Prácticas_Snowballing'!$AB$2:$AB$281,"T026",'Prácticas_Snowballing'!$AC$2:$AC$281,"REQUIREMENTS &gt; Practical Considerations")</f>
        <v>0</v>
      </c>
      <c r="J34" s="17">
        <f>COUNTIFS('Prácticas_Revisiones'!$S$2:$S$282,"T026",'Prácticas_Revisiones'!$T$2:$T$282,"REQUIREMENTS &gt; Software Requirements Tools")+COUNTIFS('Prácticas_Snowballing'!$AB$2:$AB$281,"T026",'Prácticas_Snowballing'!$AC$2:$AC$281,"REQUIREMENTS &gt; Software Requirements Tools")</f>
        <v>0</v>
      </c>
      <c r="K34" s="17">
        <f>COUNTIFS('Prácticas_Revisiones'!$S$2:$S$282,"T026",'Prácticas_Revisiones'!$T$2:$T$282,"REQUIREMENTS &gt; Subárea no determinable")+COUNTIFS('Prácticas_Snowballing'!$AB$2:$AB$281,"T026",'Prácticas_Snowballing'!$AC$2:$AC$281,"REQUIREMENTS &gt; Subárea no determinable")</f>
        <v>0</v>
      </c>
      <c r="L34" s="29">
        <f t="shared" si="18"/>
        <v>0</v>
      </c>
      <c r="M34" s="17">
        <f>COUNTIFS('Prácticas_Revisiones'!$S$2:$S$282,"T026",'Prácticas_Revisiones'!$T$2:$T$282,"ARCHITECTURE &gt; Software Architecture Fundamentals")+COUNTIFS('Prácticas_Snowballing'!$AB$2:$AB$281,"T026",'Prácticas_Snowballing'!$AC$2:$AC$281,"ARCHITECTURE &gt; Software Architecture Fundamentals")</f>
        <v>0</v>
      </c>
      <c r="N34" s="17">
        <f>COUNTIFS('Prácticas_Revisiones'!$S$2:$S$282,"T026",'Prácticas_Revisiones'!$T$2:$T$282,"ARCHITECTURE &gt; Software Architecture Description")+COUNTIFS('Prácticas_Snowballing'!$AB$2:$AB$281,"T026",'Prácticas_Snowballing'!$AC$2:$AC$281,"ARCHITECTURE &gt; Software Architecture Description")</f>
        <v>0</v>
      </c>
      <c r="O34" s="17">
        <f>COUNTIFS('Prácticas_Revisiones'!$S$2:$S$282,"T026",'Prácticas_Revisiones'!$T$2:$T$282,"ARCHITECTURE &gt; Software Architecture Process")+COUNTIFS('Prácticas_Snowballing'!$AB$2:$AB$281,"T026",'Prácticas_Snowballing'!$AC$2:$AC$281,"ARCHITECTURE &gt; Software Architecture Process")</f>
        <v>0</v>
      </c>
      <c r="P34" s="17">
        <f>COUNTIFS('Prácticas_Revisiones'!$S$2:$S$282,"T026",'Prácticas_Revisiones'!$T$2:$T$282,"ARCHITECTURE &gt; Software Architecture Evaluation")+COUNTIFS('Prácticas_Snowballing'!$AB$2:$AB$281,"T026",'Prácticas_Snowballing'!$AC$2:$AC$281,"ARCHITECTURE &gt; Software Architecture Evaluation")</f>
        <v>0</v>
      </c>
      <c r="Q34" s="17">
        <f>COUNTIFS('Prácticas_Revisiones'!$S$2:$S$282,"T026",'Prácticas_Revisiones'!$T$2:$T$282,"ARCHITECTURE &gt; Subárea no determinable")+COUNTIFS('Prácticas_Snowballing'!$AB$2:$AB$281,"T026",'Prácticas_Snowballing'!$AC$2:$AC$281,"ARCHITECTURE &gt; Subárea no determinable")</f>
        <v>0</v>
      </c>
      <c r="R34" s="29">
        <f t="shared" si="19"/>
        <v>0</v>
      </c>
      <c r="S34" s="17">
        <f>COUNTIFS('Prácticas_Revisiones'!$S$2:$S$282,"T026",'Prácticas_Revisiones'!$T$2:$T$282,"DESIGN &gt; Software Design Fundamentals")+COUNTIFS('Prácticas_Snowballing'!$AB$2:$AB$281,"T026",'Prácticas_Snowballing'!$AC$2:$AC$281,"DESIGN &gt; Software Design Fundamentals")</f>
        <v>1</v>
      </c>
      <c r="T34" s="17">
        <f>COUNTIFS('Prácticas_Revisiones'!$S$2:$S$282,"T026",'Prácticas_Revisiones'!$T$2:$T$282,"DESIGN &gt; Software Design Processes")+COUNTIFS('Prácticas_Snowballing'!$AB$2:$AB$281,"T026",'Prácticas_Snowballing'!$AC$2:$AC$281,"DESIGN &gt; Software Design Processes")</f>
        <v>1</v>
      </c>
      <c r="U34" s="17">
        <f>COUNTIFS('Prácticas_Revisiones'!$S$2:$S$282,"T026",'Prácticas_Revisiones'!$T$2:$T$282,"DESIGN &gt; Software Design Qualities")+COUNTIFS('Prácticas_Snowballing'!$AB$2:$AB$281,"T026",'Prácticas_Snowballing'!$AC$2:$AC$281,"DESIGN &gt; Software Design Qualities")</f>
        <v>0</v>
      </c>
      <c r="V34" s="17">
        <f>COUNTIFS('Prácticas_Revisiones'!$S$2:$S$282,"T026",'Prácticas_Revisiones'!$T$2:$T$282,"DESIGN &gt; Recording Software Design")+COUNTIFS('Prácticas_Snowballing'!$AB$2:$AB$281,"T026",'Prácticas_Snowballing'!$AC$2:$AC$281,"DESIGN &gt; Recording Software Design")</f>
        <v>0</v>
      </c>
      <c r="W34" s="17">
        <f>COUNTIFS('Prácticas_Revisiones'!$S$2:$S$282,"T026",'Prácticas_Revisiones'!$T$2:$T$282,"DESIGN &gt; Software Design Strategies and Methods")+COUNTIFS('Prácticas_Snowballing'!$AB$2:$AB$281,"T026",'Prácticas_Snowballing'!$AC$2:$AC$281,"DESIGN &gt; Software Design Strategies and Methods")</f>
        <v>0</v>
      </c>
      <c r="X34" s="17">
        <f>COUNTIFS('Prácticas_Revisiones'!$S$2:$S$282,"T026",'Prácticas_Revisiones'!$T$2:$T$282,"DESIGN &gt; Software Design Analysis and Evaluations")+COUNTIFS('Prácticas_Snowballing'!$AB$2:$AB$281,"T026",'Prácticas_Snowballing'!$AC$2:$AC$281,"DESIGN &gt; Software Design Analysis and Evaluations")</f>
        <v>0</v>
      </c>
      <c r="Y34" s="17">
        <f>COUNTIFS('Prácticas_Revisiones'!$S$2:$S$282,"T026",'Prácticas_Revisiones'!$T$2:$T$282,"DESIGN &gt; Subárea no determinable")+COUNTIFS('Prácticas_Snowballing'!$AB$2:$AB$281,"T026",'Prácticas_Snowballing'!$AC$2:$AC$281,"DESIGN &gt; Subárea no determinable")</f>
        <v>0</v>
      </c>
      <c r="Z34" s="29">
        <f t="shared" si="20"/>
        <v>2</v>
      </c>
      <c r="AA34" s="17">
        <f>COUNTIFS('Prácticas_Revisiones'!$S$2:$S$282,"T026",'Prácticas_Revisiones'!$T$2:$T$282,"CONSTRUCTION &gt; Software Construction Fundamentals")+COUNTIFS('Prácticas_Snowballing'!$AB$2:$AB$281,"T026",'Prácticas_Snowballing'!$AC$2:$AC$281,"CONSTRUCTION &gt; Software Construction Fundamentals")</f>
        <v>0</v>
      </c>
      <c r="AB34" s="17">
        <f>COUNTIFS('Prácticas_Revisiones'!$S$2:$S$282,"T026",'Prácticas_Revisiones'!$T$2:$T$282,"CONSTRUCTION &gt; Managing Construction")+COUNTIFS('Prácticas_Snowballing'!$AB$2:$AB$281,"T026",'Prácticas_Snowballing'!$AC$2:$AC$281,"CONSTRUCTION &gt; Managing Construction")</f>
        <v>0</v>
      </c>
      <c r="AC34" s="17">
        <f>COUNTIFS('Prácticas_Revisiones'!$S$2:$S$282,"T026",'Prácticas_Revisiones'!$T$2:$T$282,"CONSTRUCTION &gt; Practical Considerations")+COUNTIFS('Prácticas_Snowballing'!$AB$2:$AB$281,"T026",'Prácticas_Snowballing'!$AC$2:$AC$281,"CONSTRUCTION &gt; Practical Considerations")</f>
        <v>0</v>
      </c>
      <c r="AD34" s="17">
        <f>COUNTIFS('Prácticas_Revisiones'!$S$2:$S$282,"T026",'Prácticas_Revisiones'!$T$2:$T$282,"CONSTRUCTION &gt; Construction Technologies")+COUNTIFS('Prácticas_Snowballing'!$AB$2:$AB$281,"T026",'Prácticas_Snowballing'!$AC$2:$AC$281,"CONSTRUCTION &gt; Construction Technologies")</f>
        <v>0</v>
      </c>
      <c r="AE34" s="17">
        <f>COUNTIFS('Prácticas_Revisiones'!$S$2:$S$282,"T026",'Prácticas_Revisiones'!$T$2:$T$282,"CONSTRUCTION &gt; Software Construction Tools")+COUNTIFS('Prácticas_Snowballing'!$AB$2:$AB$281,"T026",'Prácticas_Snowballing'!$AC$2:$AC$281,"CONSTRUCTION &gt; Software Construction Tools")</f>
        <v>0</v>
      </c>
      <c r="AF34" s="17">
        <f>COUNTIFS('Prácticas_Revisiones'!$S$2:$S$282,"T026",'Prácticas_Revisiones'!$T$2:$T$282,"CONSTRUCTION &gt; Subárea no determinable")+COUNTIFS('Prácticas_Snowballing'!$AB$2:$AB$281,"T026",'Prácticas_Snowballing'!$AC$2:$AC$281,"CONSTRUCTION &gt; Subárea no determinable")</f>
        <v>0</v>
      </c>
      <c r="AG34" s="29">
        <f t="shared" si="21"/>
        <v>0</v>
      </c>
      <c r="AH34" s="17">
        <f>COUNTIFS('Prácticas_Revisiones'!$S$2:$S$282,"T026",'Prácticas_Revisiones'!$T$2:$T$282,"SOFTWARE TESTING &gt; Software Testing Fundamentals")+COUNTIFS('Prácticas_Snowballing'!$AB$2:$AB$281,"T026",'Prácticas_Snowballing'!$AC$2:$AC$281,"SOFTWARE TESTING &gt; Software Testing Fundamentals")</f>
        <v>0</v>
      </c>
      <c r="AI34" s="17">
        <f>COUNTIFS('Prácticas_Revisiones'!$S$2:$S$282,"T026",'Prácticas_Revisiones'!$T$2:$T$282,"SOFTWARE TESTING &gt; Test Levels")+COUNTIFS('Prácticas_Snowballing'!$AB$2:$AB$281,"T026",'Prácticas_Snowballing'!$AC$2:$AC$281,"SOFTWARE TESTING &gt; Test Levels")</f>
        <v>0</v>
      </c>
      <c r="AJ34" s="17">
        <f>COUNTIFS('Prácticas_Revisiones'!$S$2:$S$282,"T026",'Prácticas_Revisiones'!$T$2:$T$282,"SOFTWARE TESTING &gt; Test Techniques")+COUNTIFS('Prácticas_Snowballing'!$AB$2:$AB$281,"T026",'Prácticas_Snowballing'!$AC$2:$AC$281,"SOFTWARE TESTING &gt; Test Techniques")</f>
        <v>0</v>
      </c>
      <c r="AK34" s="17">
        <f>COUNTIFS('Prácticas_Revisiones'!$S$2:$S$282,"T026",'Prácticas_Revisiones'!$T$2:$T$282,"SOFTWARE TESTING &gt; Test-Related Measures")+COUNTIFS('Prácticas_Snowballing'!$AB$2:$AB$281,"T026",'Prácticas_Snowballing'!$AC$2:$AC$281,"SOFTWARE TESTING &gt; Test-Related Measures")</f>
        <v>0</v>
      </c>
      <c r="AL34" s="17">
        <f>COUNTIFS('Prácticas_Revisiones'!$S$2:$S$282,"T026",'Prácticas_Revisiones'!$T$2:$T$282,"SOFTWARE TESTING &gt; Test Process")+COUNTIFS('Prácticas_Snowballing'!$AB$2:$AB$281,"T026",'Prácticas_Snowballing'!$AC$2:$AC$281,"SOFTWARE TESTING &gt; Test Process")</f>
        <v>0</v>
      </c>
      <c r="AM34" s="17">
        <f>COUNTIFS('Prácticas_Revisiones'!$S$2:$S$282,"T026",'Prácticas_Revisiones'!$T$2:$T$282,"SOFTWARE TESTING &gt; Software Testing in the Development Processes...")+COUNTIFS('Prácticas_Snowballing'!$AB$2:$AB$281,"T026",'Prácticas_Snowballing'!$AC$2:$AC$281,"SOFTWARE TESTING &gt; Software Testing in the Development Processes...")</f>
        <v>0</v>
      </c>
      <c r="AN34" s="17">
        <f>COUNTIFS('Prácticas_Revisiones'!$S$2:$S$282,"T026",'Prácticas_Revisiones'!$T$2:$T$282,"SOFTWARE TESTING &gt; Testing of and Testing Through Emerging Tech...")+COUNTIFS('Prácticas_Snowballing'!$AB$2:$AB$281,"T026",'Prácticas_Snowballing'!$AC$2:$AC$281,"SOFTWARE TESTING &gt; Testing of and Testing Through Emerging Tech...")</f>
        <v>0</v>
      </c>
      <c r="AO34" s="17">
        <f>COUNTIFS('Prácticas_Revisiones'!$S$2:$S$282,"T026",'Prácticas_Revisiones'!$T$2:$T$282,"SOFTWARE TESTING &gt; Software Testing Tools")+COUNTIFS('Prácticas_Snowballing'!$AB$2:$AB$281,"T026",'Prácticas_Snowballing'!$AC$2:$AC$281,"SOFTWARE TESTING &gt; Software Testing Tools")</f>
        <v>0</v>
      </c>
      <c r="AP34" s="17">
        <f>COUNTIFS('Prácticas_Revisiones'!$S$2:$S$282,"T026",'Prácticas_Revisiones'!$T$2:$T$282,"SOFTWARE TESTING &gt; Subárea no determinable")+COUNTIFS('Prácticas_Snowballing'!$AB$2:$AB$281,"T026",'Prácticas_Snowballing'!$AC$2:$AC$281,"SOFTWARE TESTING &gt; Subárea no determinable")</f>
        <v>0</v>
      </c>
      <c r="AQ34" s="29">
        <f t="shared" si="22"/>
        <v>0</v>
      </c>
      <c r="AR34" s="17">
        <f>COUNTIFS('Prácticas_Revisiones'!$S$2:$S$282,"T026",'Prácticas_Revisiones'!$T$2:$T$282,"SOFTWARE ENG. OPERATIONS &gt; Software Engineering Operations Fundamentals")+COUNTIFS('Prácticas_Snowballing'!$AB$2:$AB$281,"T026",'Prácticas_Snowballing'!$AC$2:$AC$281,"SOFTWARE ENG. OPERATIONS &gt; Software Engineering Operations Fundamentals")</f>
        <v>0</v>
      </c>
      <c r="AS34" s="17">
        <f>COUNTIFS('Prácticas_Revisiones'!$S$2:$S$282,"T026",'Prácticas_Revisiones'!$T$2:$T$282,"SOFTWARE ENG. OPERATIONS &gt; Software Engineering Operations Planning")+COUNTIFS('Prácticas_Snowballing'!$AB$2:$AB$281,"T026",'Prácticas_Snowballing'!$AC$2:$AC$281,"SOFTWARE ENG. OPERATIONS &gt; Software Engineering Operations Planning")</f>
        <v>0</v>
      </c>
      <c r="AT34" s="17">
        <f>COUNTIFS('Prácticas_Revisiones'!$S$2:$S$282,"T026",'Prácticas_Revisiones'!$T$2:$T$282,"SOFTWARE ENG. OPERATIONS &gt; Software Engineering Operations Delivery")+COUNTIFS('Prácticas_Snowballing'!$AB$2:$AB$281,"T026",'Prácticas_Snowballing'!$AC$2:$AC$281,"SOFTWARE ENG. OPERATIONS &gt; Software Engineering Operations Delivery")</f>
        <v>0</v>
      </c>
      <c r="AU34" s="17">
        <f>COUNTIFS('Prácticas_Revisiones'!$S$2:$S$282,"T026",'Prácticas_Revisiones'!$T$2:$T$282,"SOFTWARE ENG. OPERATIONS &gt; Software Engineering Operations Control")+COUNTIFS('Prácticas_Snowballing'!$AB$2:$AB$281,"T026",'Prácticas_Snowballing'!$AC$2:$AC$281,"SOFTWARE ENG. OPERATIONS &gt; Software Engineering Operations Control")</f>
        <v>0</v>
      </c>
      <c r="AV34" s="17">
        <f>COUNTIFS('Prácticas_Revisiones'!$S$2:$S$282,"T026",'Prácticas_Revisiones'!$T$2:$T$282,"SOFTWARE ENG. OPERATIONS &gt; Practical Considerations")+COUNTIFS('Prácticas_Snowballing'!$AB$2:$AB$281,"T026",'Prácticas_Snowballing'!$AC$2:$AC$281,"SOFTWARE ENG. OPERATIONS &gt; Practical Considerations")</f>
        <v>0</v>
      </c>
      <c r="AW34" s="17">
        <f>COUNTIFS('Prácticas_Revisiones'!$S$2:$S$282,"T026",'Prácticas_Revisiones'!$T$2:$T$282,"SOFTWARE ENG. OPERATIONS &gt; Software Engineering Operations Tools")+COUNTIFS('Prácticas_Snowballing'!$AB$2:$AB$281,"T026",'Prácticas_Snowballing'!$AC$2:$AC$281,"SOFTWARE ENG. OPERATIONS &gt; Software Engineering Operations Tools")</f>
        <v>0</v>
      </c>
      <c r="AX34" s="17">
        <f>COUNTIFS('Prácticas_Revisiones'!$S$2:$S$282,"T026",'Prácticas_Revisiones'!$T$2:$T$282,"SOFTWARE ENG. OPERATIONS &gt; Subárea no determinable")+COUNTIFS('Prácticas_Snowballing'!$AB$2:$AB$281,"T026",'Prácticas_Snowballing'!$AC$2:$AC$281,"SOFTWARE ENG. OPERATIONS &gt; Subárea no determinable")</f>
        <v>0</v>
      </c>
      <c r="AY34" s="29">
        <f t="shared" si="23"/>
        <v>0</v>
      </c>
      <c r="AZ34" s="17">
        <f>COUNTIFS('Prácticas_Revisiones'!$S$2:$S$282,"T026",'Prácticas_Revisiones'!$T$2:$T$282,"MAINTENANCE &gt; Software Maintenance Fundamentals")+COUNTIFS('Prácticas_Snowballing'!$AB$2:$AB$281,"T026",'Prácticas_Snowballing'!$AC$2:$AC$281,"MAINTENANCE &gt; Software Maintenance Fundamentals")</f>
        <v>0</v>
      </c>
      <c r="BA34" s="17">
        <f>COUNTIFS('Prácticas_Revisiones'!$S$2:$S$282,"T026",'Prácticas_Revisiones'!$T$2:$T$282,"MAINTENANCE &gt; Key Issues in Software Maintenance")+COUNTIFS('Prácticas_Snowballing'!$AB$2:$AB$281,"T026",'Prácticas_Snowballing'!$AC$2:$AC$281,"MAINTENANCE &gt; Key Issues in Software Maintenance")</f>
        <v>0</v>
      </c>
      <c r="BB34" s="17">
        <f>COUNTIFS('Prácticas_Revisiones'!$S$2:$S$282,"T026",'Prácticas_Revisiones'!$T$2:$T$282,"MAINTENANCE &gt; Software Maintenance Processes")+COUNTIFS('Prácticas_Snowballing'!$AB$2:$AB$281,"T026",'Prácticas_Snowballing'!$AC$2:$AC$281,"MAINTENANCE &gt; Software Maintenance Processes")</f>
        <v>0</v>
      </c>
      <c r="BC34" s="17">
        <f>COUNTIFS('Prácticas_Revisiones'!$S$2:$S$282,"T026",'Prácticas_Revisiones'!$T$2:$T$282,"MAINTENANCE &gt; Software Maintenance Techniques")+COUNTIFS('Prácticas_Snowballing'!$AB$2:$AB$281,"T026",'Prácticas_Snowballing'!$AC$2:$AC$281,"MAINTENANCE &gt; Software Maintenance Techniques")</f>
        <v>0</v>
      </c>
      <c r="BD34" s="17">
        <f>COUNTIFS('Prácticas_Revisiones'!$S$2:$S$282,"T026",'Prácticas_Revisiones'!$T$2:$T$282,"MAINTENANCE &gt; Software Maintenance Tools")+COUNTIFS('Prácticas_Snowballing'!$AB$2:$AB$281,"T026",'Prácticas_Snowballing'!$AC$2:$AC$281,"MAINTENANCE &gt; Software Maintenance Tools")</f>
        <v>0</v>
      </c>
      <c r="BE34" s="17">
        <f>COUNTIFS('Prácticas_Revisiones'!$S$2:$S$282,"T026",'Prácticas_Revisiones'!$T$2:$T$282,"MAINTENANCE &gt; Subárea no determinable")+COUNTIFS('Prácticas_Snowballing'!$AB$2:$AB$281,"T026",'Prácticas_Snowballing'!$AC$2:$AC$281,"MAINTENANCE &gt; Subárea no determinable")</f>
        <v>0</v>
      </c>
      <c r="BF34" s="29">
        <f t="shared" si="24"/>
        <v>0</v>
      </c>
      <c r="BG34" s="17">
        <f>COUNTIFS('Prácticas_Revisiones'!$S$2:$S$282,"T026",'Prácticas_Revisiones'!$T$2:$T$282,"SOFTWARE CONFIG. MGMT. &gt; Management of the SCM Process")+COUNTIFS('Prácticas_Snowballing'!$AB$2:$AB$281,"T026",'Prácticas_Snowballing'!$AC$2:$AC$281,"SOFTWARE CONFIG. MGMT. &gt; Management of the SCM Process")</f>
        <v>0</v>
      </c>
      <c r="BH34" s="17">
        <f>COUNTIFS('Prácticas_Revisiones'!$S$2:$S$282,"T026",'Prácticas_Revisiones'!$T$2:$T$282,"SOFTWARE CONFIG. MGMT. &gt; Software Configuration Identification")+COUNTIFS('Prácticas_Snowballing'!$AB$2:$AB$281,"T026",'Prácticas_Snowballing'!$AC$2:$AC$281,"SOFTWARE CONFIG. MGMT. &gt; Software Configuration Identification")</f>
        <v>0</v>
      </c>
      <c r="BI34" s="17">
        <f>COUNTIFS('Prácticas_Revisiones'!$S$2:$S$282,"T026",'Prácticas_Revisiones'!$T$2:$T$282,"SOFTWARE CONFIG. MGMT. &gt; Software Configuration Change Control")+COUNTIFS('Prácticas_Snowballing'!$AB$2:$AB$281,"T026",'Prácticas_Snowballing'!$AC$2:$AC$281,"SOFTWARE CONFIG. MGMT. &gt; Software Configuration Change Control")</f>
        <v>0</v>
      </c>
      <c r="BJ34" s="17">
        <f>COUNTIFS('Prácticas_Revisiones'!$S$2:$S$282,"T026",'Prácticas_Revisiones'!$T$2:$T$282,"SOFTWARE CONFIG. MGMT. &gt; Software Configuration Status Accounting")+COUNTIFS('Prácticas_Snowballing'!$AB$2:$AB$281,"T026",'Prácticas_Snowballing'!$AC$2:$AC$281,"SOFTWARE CONFIG. MGMT. &gt; Software Configuration Status Accounting")</f>
        <v>0</v>
      </c>
      <c r="BK34" s="17">
        <f>COUNTIFS('Prácticas_Revisiones'!$S$2:$S$282,"T026",'Prácticas_Revisiones'!$T$2:$T$282,"SOFTWARE CONFIG. MGMT. &gt; Software Configuration Auditing")+COUNTIFS('Prácticas_Snowballing'!$AB$2:$AB$281,"T026",'Prácticas_Snowballing'!$AC$2:$AC$281,"SOFTWARE CONFIG. MGMT. &gt; Software Configuration Auditing")</f>
        <v>0</v>
      </c>
      <c r="BL34" s="17">
        <f>COUNTIFS('Prácticas_Revisiones'!$S$2:$S$282,"T026",'Prácticas_Revisiones'!$T$2:$T$282,"SOFTWARE CONFIG. MGMT. &gt; Software Release Management and Delivery")+COUNTIFS('Prácticas_Snowballing'!$AB$2:$AB$281,"T026",'Prácticas_Snowballing'!$AC$2:$AC$281,"SOFTWARE CONFIG. MGMT. &gt; Software Release Management and Delivery")</f>
        <v>0</v>
      </c>
      <c r="BM34" s="17">
        <f>COUNTIFS('Prácticas_Revisiones'!$S$2:$S$282,"T026",'Prácticas_Revisiones'!$T$2:$T$282,"SOFTWARE CONFIG. MGMT. &gt; Software Configuration Management Tools")+COUNTIFS('Prácticas_Snowballing'!$AB$2:$AB$281,"T026",'Prácticas_Snowballing'!$AC$2:$AC$281,"SOFTWARE CONFIG. MGMT. &gt; Software Configuration Management Tools")</f>
        <v>0</v>
      </c>
      <c r="BN34" s="17">
        <f>COUNTIFS('Prácticas_Revisiones'!$S$2:$S$282,"T026",'Prácticas_Revisiones'!$T$2:$T$282,"SOFTWARE CONFIG. MGMT. &gt; Subárea no determinable")+COUNTIFS('Prácticas_Snowballing'!$AB$2:$AB$281,"T026",'Prácticas_Snowballing'!$AC$2:$AC$281,"SOFTWARE CONFIG. MGMT. &gt; Subárea no determinable")</f>
        <v>0</v>
      </c>
      <c r="BO34" s="29">
        <f t="shared" si="25"/>
        <v>0</v>
      </c>
      <c r="BP34" s="17">
        <f>COUNTIFS('Prácticas_Revisiones'!$S$2:$S$282,"T026",'Prácticas_Revisiones'!$T$2:$T$282,"SOFTWARE ENG. PROCESS &gt; Software Engineering Process Fundamentals")+COUNTIFS('Prácticas_Snowballing'!$AB$2:$AB$281,"T026",'Prácticas_Snowballing'!$AC$2:$AC$281,"SOFTWARE ENG. PROCESS &gt; Software Engineering Process Fundamentals")</f>
        <v>0</v>
      </c>
      <c r="BQ34" s="17">
        <f>COUNTIFS('Prácticas_Revisiones'!$S$2:$S$282,"T026",'Prácticas_Revisiones'!$T$2:$T$282,"SOFTWARE ENG. PROCESS &gt; Life Cycles")+COUNTIFS('Prácticas_Snowballing'!$AB$2:$AB$281,"T026",'Prácticas_Snowballing'!$AC$2:$AC$281,"SOFTWARE ENG. PROCESS &gt; Life Cycles")</f>
        <v>0</v>
      </c>
      <c r="BR34" s="17">
        <f>COUNTIFS('Prácticas_Revisiones'!$S$2:$S$282,"T026",'Prácticas_Revisiones'!$T$2:$T$282,"SOFTWARE ENG. PROCESS &gt; Software Process Assessment and Improvement")+COUNTIFS('Prácticas_Snowballing'!$AB$2:$AB$281,"T026",'Prácticas_Snowballing'!$AC$2:$AC$281,"SOFTWARE ENG. PROCESS &gt; Software Process Assessment and Improvement")</f>
        <v>0</v>
      </c>
      <c r="BS34" s="17">
        <f>COUNTIFS('Prácticas_Revisiones'!$S$2:$S$282,"T026",'Prácticas_Revisiones'!$T$2:$T$282,"SOFTWARE ENG. PROCESS &gt; Subárea no determinable")+COUNTIFS('Prácticas_Snowballing'!$AB$2:$AB$281,"T026",'Prácticas_Snowballing'!$AC$2:$AC$281,"SOFTWARE ENG. PROCESS &gt; Subárea no determinable")</f>
        <v>0</v>
      </c>
      <c r="BT34" s="29">
        <f t="shared" si="26"/>
        <v>0</v>
      </c>
      <c r="BU34" s="17">
        <f>COUNTIFS('Prácticas_Revisiones'!$S$2:$S$282,"T026",'Prácticas_Revisiones'!$T$2:$T$282,"SOFTWARE ENG. MODELS/METH. &gt; Modeling")+COUNTIFS('Prácticas_Snowballing'!$AB$2:$AB$281,"T026",'Prácticas_Snowballing'!$AC$2:$AC$281,"SOFTWARE ENG. MODELS/METH. &gt; Modeling")</f>
        <v>0</v>
      </c>
      <c r="BV34" s="17">
        <f>COUNTIFS('Prácticas_Revisiones'!$S$2:$S$282,"T026",'Prácticas_Revisiones'!$T$2:$T$282,"SOFTWARE ENG. MODELS/METH. &gt; Types of Models")+COUNTIFS('Prácticas_Snowballing'!$AB$2:$AB$281,"T026",'Prácticas_Snowballing'!$AC$2:$AC$281,"SOFTWARE ENG. MODELS/METH. &gt; Types of Models")</f>
        <v>0</v>
      </c>
      <c r="BW34" s="17">
        <f>COUNTIFS('Prácticas_Revisiones'!$S$2:$S$282,"T026",'Prácticas_Revisiones'!$T$2:$T$282,"SOFTWARE ENG. MODELS/METH. &gt; Analysis of Models")+COUNTIFS('Prácticas_Snowballing'!$AB$2:$AB$281,"T026",'Prácticas_Snowballing'!$AC$2:$AC$281,"SOFTWARE ENG. MODELS/METH. &gt; Analysis of Models")</f>
        <v>0</v>
      </c>
      <c r="BX34" s="17">
        <f>COUNTIFS('Prácticas_Revisiones'!$S$2:$S$282,"T026",'Prácticas_Revisiones'!$T$2:$T$282,"SOFTWARE ENG. MODELS/METH. &gt; Software Engineering Methods")+COUNTIFS('Prácticas_Snowballing'!$AB$2:$AB$281,"T026",'Prácticas_Snowballing'!$AC$2:$AC$281,"SOFTWARE ENG. MODELS/METH. &gt; Software Engineering Methods")</f>
        <v>0</v>
      </c>
      <c r="BY34" s="17">
        <f>COUNTIFS('Prácticas_Revisiones'!$S$2:$S$282,"T026",'Prácticas_Revisiones'!$T$2:$T$282,"SOFTWARE ENG. MODELS/METH. &gt; Subárea no determinable")+COUNTIFS('Prácticas_Snowballing'!$AB$2:$AB$281,"T026",'Prácticas_Snowballing'!$AC$2:$AC$281,"SOFTWARE ENG. MODELS/METH. &gt; Subárea no determinable")</f>
        <v>0</v>
      </c>
      <c r="BZ34" s="29">
        <f t="shared" si="27"/>
        <v>0</v>
      </c>
      <c r="CA34" s="17">
        <f>COUNTIFS('Prácticas_Revisiones'!$S$2:$S$282,"T026",'Prácticas_Revisiones'!$T$2:$T$282,"SOFTWARE QUALITY &gt; Software Quality Fundamentals")+COUNTIFS('Prácticas_Snowballing'!$AB$2:$AB$281,"T026",'Prácticas_Snowballing'!$AC$2:$AC$281,"SOFTWARE QUALITY &gt; Software Quality Fundamentals")</f>
        <v>0</v>
      </c>
      <c r="CB34" s="17">
        <f>COUNTIFS('Prácticas_Revisiones'!$S$2:$S$282,"T026",'Prácticas_Revisiones'!$T$2:$T$282,"SOFTWARE QUALITY &gt; Software Quality Management Process")+COUNTIFS('Prácticas_Snowballing'!$AB$2:$AB$281,"T026",'Prácticas_Snowballing'!$AC$2:$AC$281,"SOFTWARE QUALITY &gt; Software Quality Management Process")</f>
        <v>0</v>
      </c>
      <c r="CC34" s="17">
        <f>COUNTIFS('Prácticas_Revisiones'!$S$2:$S$282,"T026",'Prácticas_Revisiones'!$T$2:$T$282,"SOFTWARE QUALITY &gt; Software Quality Assurance Process")+COUNTIFS('Prácticas_Snowballing'!$AB$2:$AB$281,"T026",'Prácticas_Snowballing'!$AC$2:$AC$281,"SOFTWARE QUALITY &gt; Software Quality Assurance Process")</f>
        <v>0</v>
      </c>
      <c r="CD34" s="17">
        <f>COUNTIFS('Prácticas_Revisiones'!$S$2:$S$282,"T026",'Prácticas_Revisiones'!$T$2:$T$282,"SOFTWARE QUALITY &gt; Software Quality Tools")+COUNTIFS('Prácticas_Snowballing'!$AB$2:$AB$281,"T026",'Prácticas_Snowballing'!$AC$2:$AC$281,"SOFTWARE QUALITY &gt; Software Quality Tools")</f>
        <v>0</v>
      </c>
      <c r="CE34" s="17">
        <f>COUNTIFS('Prácticas_Revisiones'!$S$2:$S$282,"T026",'Prácticas_Revisiones'!$T$2:$T$282,"SOFTWARE QUALITY &gt; Subárea no determinable")+COUNTIFS('Prácticas_Snowballing'!$AB$2:$AB$281,"T026",'Prácticas_Snowballing'!$AC$2:$AC$281,"SOFTWARE QUALITY &gt; Subárea no determinable")</f>
        <v>0</v>
      </c>
      <c r="CF34" s="29">
        <f t="shared" si="28"/>
        <v>0</v>
      </c>
      <c r="CG34" s="17">
        <f>COUNTIFS('Prácticas_Revisiones'!$S$2:$S$282,"T026",'Prácticas_Revisiones'!$T$2:$T$282,"SOFTWARE SECURITY &gt; Software Security Fundamentals")+COUNTIFS('Prácticas_Snowballing'!$AB$2:$AB$281,"T026",'Prácticas_Snowballing'!$AC$2:$AC$281,"SOFTWARE SECURITY &gt; Software Security Fundamentals")</f>
        <v>0</v>
      </c>
      <c r="CH34" s="17">
        <f>COUNTIFS('Prácticas_Revisiones'!$S$2:$S$282,"T026",'Prácticas_Revisiones'!$T$2:$T$282,"SOFTWARE SECURITY &gt; Security Management and Organization")+COUNTIFS('Prácticas_Snowballing'!$AB$2:$AB$281,"T026",'Prácticas_Snowballing'!$AC$2:$AC$281,"SOFTWARE SECURITY &gt; Security Management and Organization")</f>
        <v>0</v>
      </c>
      <c r="CI34" s="17">
        <f>COUNTIFS('Prácticas_Revisiones'!$S$2:$S$282,"T026",'Prácticas_Revisiones'!$T$2:$T$282,"SOFTWARE SECURITY &gt; Software Security Engineering and Process")+COUNTIFS('Prácticas_Snowballing'!$AB$2:$AB$281,"T026",'Prácticas_Snowballing'!$AC$2:$AC$281,"SOFTWARE SECURITY &gt; Software Security Engineering and Process")</f>
        <v>0</v>
      </c>
      <c r="CJ34" s="17">
        <f>COUNTIFS('Prácticas_Revisiones'!$S$2:$S$282,"T026",'Prácticas_Revisiones'!$T$2:$T$282,"SOFTWARE SECURITY &gt; Security Engineering for Software Systems")+COUNTIFS('Prácticas_Snowballing'!$AB$2:$AB$281,"T026",'Prácticas_Snowballing'!$AC$2:$AC$281,"SOFTWARE SECURITY &gt; Security Engineering for Software Systems")</f>
        <v>0</v>
      </c>
      <c r="CK34" s="17">
        <f>COUNTIFS('Prácticas_Revisiones'!$S$2:$S$282,"T026",'Prácticas_Revisiones'!$T$2:$T$282,"SOFTWARE SECURITY &gt; Software Security Tools")+COUNTIFS('Prácticas_Snowballing'!$AB$2:$AB$281,"T026",'Prácticas_Snowballing'!$AC$2:$AC$281,"SOFTWARE SECURITY &gt; Software Security Tools")</f>
        <v>0</v>
      </c>
      <c r="CL34" s="17">
        <f>COUNTIFS('Prácticas_Revisiones'!$S$2:$S$282,"T026",'Prácticas_Revisiones'!$T$2:$T$282,"SOFTWARE SECURITY &gt; Domain Specific Software Security")+COUNTIFS('Prácticas_Snowballing'!$AB$2:$AB$281,"T026",'Prácticas_Snowballing'!$AC$2:$AC$281,"SOFTWARE SECURITY &gt; Domain Specific Software Security")</f>
        <v>0</v>
      </c>
      <c r="CM34" s="17">
        <f>COUNTIFS('Prácticas_Revisiones'!$S$2:$S$282,"T026",'Prácticas_Revisiones'!$T$2:$T$282,"SOFTWARE SECURITY &gt; Subárea no determinable")+COUNTIFS('Prácticas_Snowballing'!$AB$2:$AB$281,"T026",'Prácticas_Snowballing'!$AC$2:$AC$281,"SOFTWARE SECURITY &gt; Subárea no determinable")</f>
        <v>0</v>
      </c>
      <c r="CN34" s="29">
        <f t="shared" si="29"/>
        <v>0</v>
      </c>
      <c r="CO34" s="17">
        <f>COUNTIFS('Prácticas_Revisiones'!$S$2:$S$282,"T026",'Prácticas_Revisiones'!$T$2:$T$282,"PROFESSIONAL PRACTICE &gt; Professionalism")+COUNTIFS('Prácticas_Snowballing'!$AB$2:$AB$281,"T026",'Prácticas_Snowballing'!$AC$2:$AC$281,"PROFESSIONAL PRACTICE &gt; Professionalism")</f>
        <v>0</v>
      </c>
      <c r="CP34" s="17">
        <f>COUNTIFS('Prácticas_Revisiones'!$S$2:$S$282,"T026",'Prácticas_Revisiones'!$T$2:$T$282,"PROFESSIONAL PRACTICE &gt; Group Dynamics and Psychology")+COUNTIFS('Prácticas_Snowballing'!$AB$2:$AB$281,"T026",'Prácticas_Snowballing'!$AC$2:$AC$281,"PROFESSIONAL PRACTICE &gt; Group Dynamics and Psychology")</f>
        <v>0</v>
      </c>
      <c r="CQ34" s="17">
        <f>COUNTIFS('Prácticas_Revisiones'!$S$2:$S$282,"T026",'Prácticas_Revisiones'!$T$2:$T$282,"PROFESSIONAL PRACTICE &gt; Communication Skills")+COUNTIFS('Prácticas_Snowballing'!$AB$2:$AB$281,"T026",'Prácticas_Snowballing'!$AC$2:$AC$281,"PROFESSIONAL PRACTICE &gt; Communication Skills")</f>
        <v>0</v>
      </c>
      <c r="CR34" s="17">
        <f>COUNTIFS('Prácticas_Revisiones'!$S$2:$S$282,"T026",'Prácticas_Revisiones'!$T$2:$T$282,"PROFESSIONAL PRACTICE &gt; Subárea no determinable")+COUNTIFS('Prácticas_Snowballing'!$AB$2:$AB$281,"T026",'Prácticas_Snowballing'!$AC$2:$AC$281,"PROFESSIONAL PRACTICE &gt; Subárea no determinable")</f>
        <v>0</v>
      </c>
      <c r="CS34" s="29">
        <f t="shared" si="30"/>
        <v>0</v>
      </c>
      <c r="CT34" s="17">
        <f>COUNTIFS('Prácticas_Revisiones'!$S$2:$S$282,"T026",'Prácticas_Revisiones'!$T$2:$T$282,"SOFTWARE ENG. ECONOMICS &gt; Software Engineering Economics Fundamentals")+COUNTIFS('Prácticas_Snowballing'!$AB$2:$AB$281,"T026",'Prácticas_Snowballing'!$AC$2:$AC$281,"SOFTWARE ENG. ECONOMICS &gt; Software Engineering Economics Fundamentals")</f>
        <v>0</v>
      </c>
      <c r="CU34" s="17">
        <f>COUNTIFS('Prácticas_Revisiones'!$S$2:$S$282,"T026",'Prácticas_Revisiones'!$T$2:$T$282,"SOFTWARE ENG. ECONOMICS &gt; The Engineering Decision-Making Process")+COUNTIFS('Prácticas_Snowballing'!$AB$2:$AB$281,"T026",'Prácticas_Snowballing'!$AC$2:$AC$281,"SOFTWARE ENG. ECONOMICS &gt; The Engineering Decision-Making Process")</f>
        <v>0</v>
      </c>
      <c r="CV34" s="17">
        <f>COUNTIFS('Prácticas_Revisiones'!$S$2:$S$282,"T026",'Prácticas_Revisiones'!$T$2:$T$282,"SOFTWARE ENG. ECONOMICS &gt; For-Profit Decision-Making")+COUNTIFS('Prácticas_Snowballing'!$AB$2:$AB$281,"T026",'Prácticas_Snowballing'!$AC$2:$AC$281,"SOFTWARE ENG. ECONOMICS &gt; For-Profit Decision-Making")</f>
        <v>0</v>
      </c>
      <c r="CW34" s="17">
        <f>COUNTIFS('Prácticas_Revisiones'!$S$2:$S$282,"T026",'Prácticas_Revisiones'!$T$2:$T$282,"SOFTWARE ENG. ECONOMICS &gt; Nonprofit Decision-Making")+COUNTIFS('Prácticas_Snowballing'!$AB$2:$AB$281,"T026",'Prácticas_Snowballing'!$AC$2:$AC$281,"SOFTWARE ENG. ECONOMICS &gt; Nonprofit Decision-Making")</f>
        <v>0</v>
      </c>
      <c r="CX34" s="17">
        <f>COUNTIFS('Prácticas_Revisiones'!$S$2:$S$282,"T026",'Prácticas_Revisiones'!$T$2:$T$282,"SOFTWARE ENG. ECONOMICS &gt; Present Economy Decision-Making")+COUNTIFS('Prácticas_Snowballing'!$AB$2:$AB$281,"T026",'Prácticas_Snowballing'!$AC$2:$AC$281,"SOFTWARE ENG. ECONOMICS &gt; Present Economy Decision-Making")</f>
        <v>0</v>
      </c>
      <c r="CY34" s="17">
        <f>COUNTIFS('Prácticas_Revisiones'!$S$2:$S$282,"T026",'Prácticas_Revisiones'!$T$2:$T$282,"SOFTWARE ENG. ECONOMICS &gt; Multiple-Attribute Decision-Making")+COUNTIFS('Prácticas_Snowballing'!$AB$2:$AB$281,"T026",'Prácticas_Snowballing'!$AC$2:$AC$281,"SOFTWARE ENG. ECONOMICS &gt; Multiple-Attribute Decision-Making")</f>
        <v>0</v>
      </c>
      <c r="CZ34" s="17">
        <f>COUNTIFS('Prácticas_Revisiones'!$S$2:$S$282,"T026",'Prácticas_Revisiones'!$T$2:$T$282,"SOFTWARE ENG. ECONOMICS &gt; Identifying and Characterizing Intangible Assets")+COUNTIFS('Prácticas_Snowballing'!$AB$2:$AB$281,"T026",'Prácticas_Snowballing'!$AC$2:$AC$281,"SOFTWARE ENG. ECONOMICS &gt; Identifying and Characterizing Intangible Assets")</f>
        <v>0</v>
      </c>
      <c r="DA34" s="17">
        <f>COUNTIFS('Prácticas_Revisiones'!$S$2:$S$282,"T026",'Prácticas_Revisiones'!$T$2:$T$282,"SOFTWARE ENG. ECONOMICS &gt; Estimation")+COUNTIFS('Prácticas_Snowballing'!$AB$2:$AB$281,"T026",'Prácticas_Snowballing'!$AC$2:$AC$281,"SOFTWARE ENG. ECONOMICS &gt; Estimation")</f>
        <v>0</v>
      </c>
      <c r="DB34" s="17">
        <f>COUNTIFS('Prácticas_Revisiones'!$S$2:$S$282,"T026",'Prácticas_Revisiones'!$T$2:$T$282,"SOFTWARE ENG. ECONOMICS &gt; Practical Considerations")+COUNTIFS('Prácticas_Snowballing'!$AB$2:$AB$281,"T026",'Prácticas_Snowballing'!$AC$2:$AC$281,"SOFTWARE ENG. ECONOMICS &gt; Practical Considerations")</f>
        <v>0</v>
      </c>
      <c r="DC34" s="17">
        <f>COUNTIFS('Prácticas_Revisiones'!$S$2:$S$282,"T026",'Prácticas_Revisiones'!$T$2:$T$282,"SOFTWARE ENG. ECONOMICS &gt; Related Concepts")+COUNTIFS('Prácticas_Snowballing'!$AB$2:$AB$281,"T026",'Prácticas_Snowballing'!$AC$2:$AC$281,"SOFTWARE ENG. ECONOMICS &gt; Related Concepts")</f>
        <v>0</v>
      </c>
      <c r="DD34" s="17">
        <f>COUNTIFS('Prácticas_Revisiones'!$S$2:$S$282,"T026",'Prácticas_Revisiones'!$T$2:$T$282,"SOFTWARE ENG. ECONOMICS &gt; Subárea no determinable")+COUNTIFS('Prácticas_Snowballing'!$AB$2:$AB$281,"T026",'Prácticas_Snowballing'!$AC$2:$AC$281,"SOFTWARE ENG. ECONOMICS &gt; Subárea no determinable")</f>
        <v>0</v>
      </c>
      <c r="DE34" s="29">
        <f t="shared" si="31"/>
        <v>0</v>
      </c>
      <c r="DF34" s="17">
        <f>COUNTIFS('Prácticas_Revisiones'!$S$2:$S$282,"T026",'Prácticas_Revisiones'!$T$2:$T$282,"SOFTWARE ENG. MANAGEMENT &gt; Software Engineering Management Fundamentals")+COUNTIFS('Prácticas_Snowballing'!$AB$2:$AB$281,"T026",'Prácticas_Snowballing'!$AC$2:$AC$281,"SOFTWARE ENG. MANAGEMENT &gt; Software Engineering Management Fundamentals")</f>
        <v>0</v>
      </c>
      <c r="DG34" s="17">
        <f>COUNTIFS('Prácticas_Revisiones'!$S$2:$S$282,"T026",'Prácticas_Revisiones'!$T$2:$T$282,"SOFTWARE ENG. MANAGEMENT &gt; Initiation and Scope Definition")+COUNTIFS('Prácticas_Snowballing'!$AB$2:$AB$281,"T026",'Prácticas_Snowballing'!$AC$2:$AC$281,"SOFTWARE ENG. MANAGEMENT &gt; Initiation and Scope Definition")</f>
        <v>0</v>
      </c>
      <c r="DH34" s="17">
        <f>COUNTIFS('Prácticas_Revisiones'!$S$2:$S$282,"T026",'Prácticas_Revisiones'!$T$2:$T$282,"SOFTWARE ENG. MANAGEMENT &gt; Software Project Planning")+COUNTIFS('Prácticas_Snowballing'!$AB$2:$AB$281,"T026",'Prácticas_Snowballing'!$AC$2:$AC$281,"SOFTWARE ENG. MANAGEMENT &gt; Software Project Planning")</f>
        <v>0</v>
      </c>
      <c r="DI34" s="17">
        <f>COUNTIFS('Prácticas_Revisiones'!$S$2:$S$282,"T026",'Prácticas_Revisiones'!$T$2:$T$282,"SOFTWARE ENG. MANAGEMENT &gt; Software Project Enactment")+COUNTIFS('Prácticas_Snowballing'!$AB$2:$AB$281,"T026",'Prácticas_Snowballing'!$AC$2:$AC$281,"SOFTWARE ENG. MANAGEMENT &gt; Software Project Enactment")</f>
        <v>0</v>
      </c>
      <c r="DJ34" s="17">
        <f>COUNTIFS('Prácticas_Revisiones'!$S$2:$S$282,"T026",'Prácticas_Revisiones'!$T$2:$T$282,"SOFTWARE ENG. MANAGEMENT &gt; Review and Evaluation")+COUNTIFS('Prácticas_Snowballing'!$AB$2:$AB$281,"T026",'Prácticas_Snowballing'!$AC$2:$AC$281,"SOFTWARE ENG. MANAGEMENT &gt; Review and Evaluation")</f>
        <v>0</v>
      </c>
      <c r="DK34" s="17">
        <f>COUNTIFS('Prácticas_Revisiones'!$S$2:$S$282,"T026",'Prácticas_Revisiones'!$T$2:$T$282,"SOFTWARE ENG. MANAGEMENT &gt; Closure")+COUNTIFS('Prácticas_Snowballing'!$AB$2:$AB$281,"T026",'Prácticas_Snowballing'!$AC$2:$AC$281,"SOFTWARE ENG. MANAGEMENT &gt; Closure")</f>
        <v>0</v>
      </c>
      <c r="DL34" s="17">
        <f>COUNTIFS('Prácticas_Revisiones'!$S$2:$S$282,"T026",'Prácticas_Revisiones'!$T$2:$T$282,"SOFTWARE ENG. MANAGEMENT &gt; Software Engineering Management Tools")+COUNTIFS('Prácticas_Snowballing'!$AB$2:$AB$281,"T026",'Prácticas_Snowballing'!$AC$2:$AC$281,"SOFTWARE ENG. MANAGEMENT &gt; Software Engineering Management Tools")</f>
        <v>0</v>
      </c>
      <c r="DM34" s="17">
        <f>COUNTIFS('Prácticas_Revisiones'!$S$2:$S$282,"T026",'Prácticas_Revisiones'!$T$2:$T$282,"SOFTWARE ENG. MANAGEMENT &gt; Subárea no determinable")+COUNTIFS('Prácticas_Snowballing'!$AB$2:$AB$281,"T026",'Prácticas_Snowballing'!$AC$2:$AC$281,"SOFTWARE ENG. MANAGEMENT &gt; Subárea no determinable")</f>
        <v>0</v>
      </c>
      <c r="DN34" s="29">
        <f t="shared" si="32"/>
        <v>0</v>
      </c>
      <c r="DO34" s="17">
        <f>COUNTIFS('Prácticas_Revisiones'!$S$2:$S$282,"T026",'Prácticas_Revisiones'!$T$2:$T$282,"Sin área SWEBOK")+COUNTIFS('Prácticas_Snowballing'!$AB$2:$AB$281,"T026",'Prácticas_Snowballing'!$AC$2:$AC$281,"Sin área SWEBOK")</f>
        <v>0</v>
      </c>
      <c r="DP34" s="27">
        <f t="shared" si="33"/>
        <v>2</v>
      </c>
    </row>
    <row r="35" ht="15.75" customHeight="1">
      <c r="A35" s="28"/>
      <c r="B35" s="16" t="s">
        <v>2758</v>
      </c>
      <c r="C35" s="17">
        <f>COUNTIFS('Prácticas_Revisiones'!$S$2:$S$282,"T027",'Prácticas_Revisiones'!$T$2:$T$282,"REQUIREMENTS &gt; Software Requirements Fundamentals")+COUNTIFS('Prácticas_Snowballing'!$AB$2:$AB$281,"T027",'Prácticas_Snowballing'!$AC$2:$AC$281,"REQUIREMENTS &gt; Software Requirements Fundamentals")</f>
        <v>0</v>
      </c>
      <c r="D35" s="17">
        <f>COUNTIFS('Prácticas_Revisiones'!$S$2:$S$282,"T027",'Prácticas_Revisiones'!$T$2:$T$282,"REQUIREMENTS &gt; Requirements Elicitation")+COUNTIFS('Prácticas_Snowballing'!$AB$2:$AB$281,"T027",'Prácticas_Snowballing'!$AC$2:$AC$281,"REQUIREMENTS &gt; Requirements Elicitation")</f>
        <v>0</v>
      </c>
      <c r="E35" s="17">
        <f>COUNTIFS('Prácticas_Revisiones'!$S$2:$S$282,"T027",'Prácticas_Revisiones'!$T$2:$T$282,"REQUIREMENTS &gt; Requirements Analysis")+COUNTIFS('Prácticas_Snowballing'!$AB$2:$AB$281,"T027",'Prácticas_Snowballing'!$AC$2:$AC$281,"REQUIREMENTS &gt; Requirements Analysis")</f>
        <v>0</v>
      </c>
      <c r="F35" s="17">
        <f>COUNTIFS('Prácticas_Revisiones'!$S$2:$S$282,"T027",'Prácticas_Revisiones'!$T$2:$T$282,"REQUIREMENTS &gt; Requirements Specification")+COUNTIFS('Prácticas_Snowballing'!$AB$2:$AB$281,"T027",'Prácticas_Snowballing'!$AC$2:$AC$281,"REQUIREMENTS &gt; Requirements Specification")</f>
        <v>0</v>
      </c>
      <c r="G35" s="17">
        <f>COUNTIFS('Prácticas_Revisiones'!$S$2:$S$282,"T027",'Prácticas_Revisiones'!$T$2:$T$282,"REQUIREMENTS &gt; Requirements Validation")+COUNTIFS('Prácticas_Snowballing'!$AB$2:$AB$281,"T027",'Prácticas_Snowballing'!$AC$2:$AC$281,"REQUIREMENTS &gt; Requirements Validation")</f>
        <v>0</v>
      </c>
      <c r="H35" s="17">
        <f>COUNTIFS('Prácticas_Revisiones'!$S$2:$S$282,"T027",'Prácticas_Revisiones'!$T$2:$T$282,"REQUIREMENTS &gt; Requirements Management Activities")+COUNTIFS('Prácticas_Snowballing'!$AB$2:$AB$281,"T027",'Prácticas_Snowballing'!$AC$2:$AC$281,"REQUIREMENTS &gt; Requirements Management Activities")</f>
        <v>0</v>
      </c>
      <c r="I35" s="17">
        <f>COUNTIFS('Prácticas_Revisiones'!$S$2:$S$282,"T027",'Prácticas_Revisiones'!$T$2:$T$282,"REQUIREMENTS &gt; Practical Considerations")+COUNTIFS('Prácticas_Snowballing'!$AB$2:$AB$281,"T027",'Prácticas_Snowballing'!$AC$2:$AC$281,"REQUIREMENTS &gt; Practical Considerations")</f>
        <v>0</v>
      </c>
      <c r="J35" s="17">
        <f>COUNTIFS('Prácticas_Revisiones'!$S$2:$S$282,"T027",'Prácticas_Revisiones'!$T$2:$T$282,"REQUIREMENTS &gt; Software Requirements Tools")+COUNTIFS('Prácticas_Snowballing'!$AB$2:$AB$281,"T027",'Prácticas_Snowballing'!$AC$2:$AC$281,"REQUIREMENTS &gt; Software Requirements Tools")</f>
        <v>0</v>
      </c>
      <c r="K35" s="17">
        <f>COUNTIFS('Prácticas_Revisiones'!$S$2:$S$282,"T027",'Prácticas_Revisiones'!$T$2:$T$282,"REQUIREMENTS &gt; Subárea no determinable")+COUNTIFS('Prácticas_Snowballing'!$AB$2:$AB$281,"T027",'Prácticas_Snowballing'!$AC$2:$AC$281,"REQUIREMENTS &gt; Subárea no determinable")</f>
        <v>0</v>
      </c>
      <c r="L35" s="29">
        <f t="shared" si="18"/>
        <v>0</v>
      </c>
      <c r="M35" s="17">
        <f>COUNTIFS('Prácticas_Revisiones'!$S$2:$S$282,"T027",'Prácticas_Revisiones'!$T$2:$T$282,"ARCHITECTURE &gt; Software Architecture Fundamentals")+COUNTIFS('Prácticas_Snowballing'!$AB$2:$AB$281,"T027",'Prácticas_Snowballing'!$AC$2:$AC$281,"ARCHITECTURE &gt; Software Architecture Fundamentals")</f>
        <v>0</v>
      </c>
      <c r="N35" s="17">
        <f>COUNTIFS('Prácticas_Revisiones'!$S$2:$S$282,"T027",'Prácticas_Revisiones'!$T$2:$T$282,"ARCHITECTURE &gt; Software Architecture Description")+COUNTIFS('Prácticas_Snowballing'!$AB$2:$AB$281,"T027",'Prácticas_Snowballing'!$AC$2:$AC$281,"ARCHITECTURE &gt; Software Architecture Description")</f>
        <v>0</v>
      </c>
      <c r="O35" s="17">
        <f>COUNTIFS('Prácticas_Revisiones'!$S$2:$S$282,"T027",'Prácticas_Revisiones'!$T$2:$T$282,"ARCHITECTURE &gt; Software Architecture Process")+COUNTIFS('Prácticas_Snowballing'!$AB$2:$AB$281,"T027",'Prácticas_Snowballing'!$AC$2:$AC$281,"ARCHITECTURE &gt; Software Architecture Process")</f>
        <v>0</v>
      </c>
      <c r="P35" s="17">
        <f>COUNTIFS('Prácticas_Revisiones'!$S$2:$S$282,"T027",'Prácticas_Revisiones'!$T$2:$T$282,"ARCHITECTURE &gt; Software Architecture Evaluation")+COUNTIFS('Prácticas_Snowballing'!$AB$2:$AB$281,"T027",'Prácticas_Snowballing'!$AC$2:$AC$281,"ARCHITECTURE &gt; Software Architecture Evaluation")</f>
        <v>0</v>
      </c>
      <c r="Q35" s="17">
        <f>COUNTIFS('Prácticas_Revisiones'!$S$2:$S$282,"T027",'Prácticas_Revisiones'!$T$2:$T$282,"ARCHITECTURE &gt; Subárea no determinable")+COUNTIFS('Prácticas_Snowballing'!$AB$2:$AB$281,"T027",'Prácticas_Snowballing'!$AC$2:$AC$281,"ARCHITECTURE &gt; Subárea no determinable")</f>
        <v>0</v>
      </c>
      <c r="R35" s="29">
        <f t="shared" si="19"/>
        <v>0</v>
      </c>
      <c r="S35" s="17">
        <f>COUNTIFS('Prácticas_Revisiones'!$S$2:$S$282,"T027",'Prácticas_Revisiones'!$T$2:$T$282,"DESIGN &gt; Software Design Fundamentals")+COUNTIFS('Prácticas_Snowballing'!$AB$2:$AB$281,"T027",'Prácticas_Snowballing'!$AC$2:$AC$281,"DESIGN &gt; Software Design Fundamentals")</f>
        <v>0</v>
      </c>
      <c r="T35" s="17">
        <f>COUNTIFS('Prácticas_Revisiones'!$S$2:$S$282,"T027",'Prácticas_Revisiones'!$T$2:$T$282,"DESIGN &gt; Software Design Processes")+COUNTIFS('Prácticas_Snowballing'!$AB$2:$AB$281,"T027",'Prácticas_Snowballing'!$AC$2:$AC$281,"DESIGN &gt; Software Design Processes")</f>
        <v>0</v>
      </c>
      <c r="U35" s="17">
        <f>COUNTIFS('Prácticas_Revisiones'!$S$2:$S$282,"T027",'Prácticas_Revisiones'!$T$2:$T$282,"DESIGN &gt; Software Design Qualities")+COUNTIFS('Prácticas_Snowballing'!$AB$2:$AB$281,"T027",'Prácticas_Snowballing'!$AC$2:$AC$281,"DESIGN &gt; Software Design Qualities")</f>
        <v>0</v>
      </c>
      <c r="V35" s="17">
        <f>COUNTIFS('Prácticas_Revisiones'!$S$2:$S$282,"T027",'Prácticas_Revisiones'!$T$2:$T$282,"DESIGN &gt; Recording Software Design")+COUNTIFS('Prácticas_Snowballing'!$AB$2:$AB$281,"T027",'Prácticas_Snowballing'!$AC$2:$AC$281,"DESIGN &gt; Recording Software Design")</f>
        <v>0</v>
      </c>
      <c r="W35" s="17">
        <f>COUNTIFS('Prácticas_Revisiones'!$S$2:$S$282,"T027",'Prácticas_Revisiones'!$T$2:$T$282,"DESIGN &gt; Software Design Strategies and Methods")+COUNTIFS('Prácticas_Snowballing'!$AB$2:$AB$281,"T027",'Prácticas_Snowballing'!$AC$2:$AC$281,"DESIGN &gt; Software Design Strategies and Methods")</f>
        <v>0</v>
      </c>
      <c r="X35" s="17">
        <f>COUNTIFS('Prácticas_Revisiones'!$S$2:$S$282,"T027",'Prácticas_Revisiones'!$T$2:$T$282,"DESIGN &gt; Software Design Analysis and Evaluations")+COUNTIFS('Prácticas_Snowballing'!$AB$2:$AB$281,"T027",'Prácticas_Snowballing'!$AC$2:$AC$281,"DESIGN &gt; Software Design Analysis and Evaluations")</f>
        <v>0</v>
      </c>
      <c r="Y35" s="17">
        <f>COUNTIFS('Prácticas_Revisiones'!$S$2:$S$282,"T027",'Prácticas_Revisiones'!$T$2:$T$282,"DESIGN &gt; Subárea no determinable")+COUNTIFS('Prácticas_Snowballing'!$AB$2:$AB$281,"T027",'Prácticas_Snowballing'!$AC$2:$AC$281,"DESIGN &gt; Subárea no determinable")</f>
        <v>0</v>
      </c>
      <c r="Z35" s="29">
        <f t="shared" si="20"/>
        <v>0</v>
      </c>
      <c r="AA35" s="17">
        <f>COUNTIFS('Prácticas_Revisiones'!$S$2:$S$282,"T027",'Prácticas_Revisiones'!$T$2:$T$282,"CONSTRUCTION &gt; Software Construction Fundamentals")+COUNTIFS('Prácticas_Snowballing'!$AB$2:$AB$281,"T027",'Prácticas_Snowballing'!$AC$2:$AC$281,"CONSTRUCTION &gt; Software Construction Fundamentals")</f>
        <v>0</v>
      </c>
      <c r="AB35" s="17">
        <f>COUNTIFS('Prácticas_Revisiones'!$S$2:$S$282,"T027",'Prácticas_Revisiones'!$T$2:$T$282,"CONSTRUCTION &gt; Managing Construction")+COUNTIFS('Prácticas_Snowballing'!$AB$2:$AB$281,"T027",'Prácticas_Snowballing'!$AC$2:$AC$281,"CONSTRUCTION &gt; Managing Construction")</f>
        <v>0</v>
      </c>
      <c r="AC35" s="17">
        <f>COUNTIFS('Prácticas_Revisiones'!$S$2:$S$282,"T027",'Prácticas_Revisiones'!$T$2:$T$282,"CONSTRUCTION &gt; Practical Considerations")+COUNTIFS('Prácticas_Snowballing'!$AB$2:$AB$281,"T027",'Prácticas_Snowballing'!$AC$2:$AC$281,"CONSTRUCTION &gt; Practical Considerations")</f>
        <v>0</v>
      </c>
      <c r="AD35" s="17">
        <f>COUNTIFS('Prácticas_Revisiones'!$S$2:$S$282,"T027",'Prácticas_Revisiones'!$T$2:$T$282,"CONSTRUCTION &gt; Construction Technologies")+COUNTIFS('Prácticas_Snowballing'!$AB$2:$AB$281,"T027",'Prácticas_Snowballing'!$AC$2:$AC$281,"CONSTRUCTION &gt; Construction Technologies")</f>
        <v>0</v>
      </c>
      <c r="AE35" s="17">
        <f>COUNTIFS('Prácticas_Revisiones'!$S$2:$S$282,"T027",'Prácticas_Revisiones'!$T$2:$T$282,"CONSTRUCTION &gt; Software Construction Tools")+COUNTIFS('Prácticas_Snowballing'!$AB$2:$AB$281,"T027",'Prácticas_Snowballing'!$AC$2:$AC$281,"CONSTRUCTION &gt; Software Construction Tools")</f>
        <v>0</v>
      </c>
      <c r="AF35" s="17">
        <f>COUNTIFS('Prácticas_Revisiones'!$S$2:$S$282,"T027",'Prácticas_Revisiones'!$T$2:$T$282,"CONSTRUCTION &gt; Subárea no determinable")+COUNTIFS('Prácticas_Snowballing'!$AB$2:$AB$281,"T027",'Prácticas_Snowballing'!$AC$2:$AC$281,"CONSTRUCTION &gt; Subárea no determinable")</f>
        <v>0</v>
      </c>
      <c r="AG35" s="29">
        <f t="shared" si="21"/>
        <v>0</v>
      </c>
      <c r="AH35" s="17">
        <f>COUNTIFS('Prácticas_Revisiones'!$S$2:$S$282,"T027",'Prácticas_Revisiones'!$T$2:$T$282,"SOFTWARE TESTING &gt; Software Testing Fundamentals")+COUNTIFS('Prácticas_Snowballing'!$AB$2:$AB$281,"T027",'Prácticas_Snowballing'!$AC$2:$AC$281,"SOFTWARE TESTING &gt; Software Testing Fundamentals")</f>
        <v>0</v>
      </c>
      <c r="AI35" s="17">
        <f>COUNTIFS('Prácticas_Revisiones'!$S$2:$S$282,"T027",'Prácticas_Revisiones'!$T$2:$T$282,"SOFTWARE TESTING &gt; Test Levels")+COUNTIFS('Prácticas_Snowballing'!$AB$2:$AB$281,"T027",'Prácticas_Snowballing'!$AC$2:$AC$281,"SOFTWARE TESTING &gt; Test Levels")</f>
        <v>0</v>
      </c>
      <c r="AJ35" s="17">
        <f>COUNTIFS('Prácticas_Revisiones'!$S$2:$S$282,"T027",'Prácticas_Revisiones'!$T$2:$T$282,"SOFTWARE TESTING &gt; Test Techniques")+COUNTIFS('Prácticas_Snowballing'!$AB$2:$AB$281,"T027",'Prácticas_Snowballing'!$AC$2:$AC$281,"SOFTWARE TESTING &gt; Test Techniques")</f>
        <v>0</v>
      </c>
      <c r="AK35" s="17">
        <f>COUNTIFS('Prácticas_Revisiones'!$S$2:$S$282,"T027",'Prácticas_Revisiones'!$T$2:$T$282,"SOFTWARE TESTING &gt; Test-Related Measures")+COUNTIFS('Prácticas_Snowballing'!$AB$2:$AB$281,"T027",'Prácticas_Snowballing'!$AC$2:$AC$281,"SOFTWARE TESTING &gt; Test-Related Measures")</f>
        <v>0</v>
      </c>
      <c r="AL35" s="17">
        <f>COUNTIFS('Prácticas_Revisiones'!$S$2:$S$282,"T027",'Prácticas_Revisiones'!$T$2:$T$282,"SOFTWARE TESTING &gt; Test Process")+COUNTIFS('Prácticas_Snowballing'!$AB$2:$AB$281,"T027",'Prácticas_Snowballing'!$AC$2:$AC$281,"SOFTWARE TESTING &gt; Test Process")</f>
        <v>0</v>
      </c>
      <c r="AM35" s="17">
        <f>COUNTIFS('Prácticas_Revisiones'!$S$2:$S$282,"T027",'Prácticas_Revisiones'!$T$2:$T$282,"SOFTWARE TESTING &gt; Software Testing in the Development Processes...")+COUNTIFS('Prácticas_Snowballing'!$AB$2:$AB$281,"T027",'Prácticas_Snowballing'!$AC$2:$AC$281,"SOFTWARE TESTING &gt; Software Testing in the Development Processes...")</f>
        <v>0</v>
      </c>
      <c r="AN35" s="17">
        <f>COUNTIFS('Prácticas_Revisiones'!$S$2:$S$282,"T027",'Prácticas_Revisiones'!$T$2:$T$282,"SOFTWARE TESTING &gt; Testing of and Testing Through Emerging Tech...")+COUNTIFS('Prácticas_Snowballing'!$AB$2:$AB$281,"T027",'Prácticas_Snowballing'!$AC$2:$AC$281,"SOFTWARE TESTING &gt; Testing of and Testing Through Emerging Tech...")</f>
        <v>0</v>
      </c>
      <c r="AO35" s="17">
        <f>COUNTIFS('Prácticas_Revisiones'!$S$2:$S$282,"T027",'Prácticas_Revisiones'!$T$2:$T$282,"SOFTWARE TESTING &gt; Software Testing Tools")+COUNTIFS('Prácticas_Snowballing'!$AB$2:$AB$281,"T027",'Prácticas_Snowballing'!$AC$2:$AC$281,"SOFTWARE TESTING &gt; Software Testing Tools")</f>
        <v>0</v>
      </c>
      <c r="AP35" s="17">
        <f>COUNTIFS('Prácticas_Revisiones'!$S$2:$S$282,"T027",'Prácticas_Revisiones'!$T$2:$T$282,"SOFTWARE TESTING &gt; Subárea no determinable")+COUNTIFS('Prácticas_Snowballing'!$AB$2:$AB$281,"T027",'Prácticas_Snowballing'!$AC$2:$AC$281,"SOFTWARE TESTING &gt; Subárea no determinable")</f>
        <v>0</v>
      </c>
      <c r="AQ35" s="29">
        <f t="shared" si="22"/>
        <v>0</v>
      </c>
      <c r="AR35" s="17">
        <f>COUNTIFS('Prácticas_Revisiones'!$S$2:$S$282,"T027",'Prácticas_Revisiones'!$T$2:$T$282,"SOFTWARE ENG. OPERATIONS &gt; Software Engineering Operations Fundamentals")+COUNTIFS('Prácticas_Snowballing'!$AB$2:$AB$281,"T027",'Prácticas_Snowballing'!$AC$2:$AC$281,"SOFTWARE ENG. OPERATIONS &gt; Software Engineering Operations Fundamentals")</f>
        <v>0</v>
      </c>
      <c r="AS35" s="17">
        <f>COUNTIFS('Prácticas_Revisiones'!$S$2:$S$282,"T027",'Prácticas_Revisiones'!$T$2:$T$282,"SOFTWARE ENG. OPERATIONS &gt; Software Engineering Operations Planning")+COUNTIFS('Prácticas_Snowballing'!$AB$2:$AB$281,"T027",'Prácticas_Snowballing'!$AC$2:$AC$281,"SOFTWARE ENG. OPERATIONS &gt; Software Engineering Operations Planning")</f>
        <v>0</v>
      </c>
      <c r="AT35" s="17">
        <f>COUNTIFS('Prácticas_Revisiones'!$S$2:$S$282,"T027",'Prácticas_Revisiones'!$T$2:$T$282,"SOFTWARE ENG. OPERATIONS &gt; Software Engineering Operations Delivery")+COUNTIFS('Prácticas_Snowballing'!$AB$2:$AB$281,"T027",'Prácticas_Snowballing'!$AC$2:$AC$281,"SOFTWARE ENG. OPERATIONS &gt; Software Engineering Operations Delivery")</f>
        <v>0</v>
      </c>
      <c r="AU35" s="17">
        <f>COUNTIFS('Prácticas_Revisiones'!$S$2:$S$282,"T027",'Prácticas_Revisiones'!$T$2:$T$282,"SOFTWARE ENG. OPERATIONS &gt; Software Engineering Operations Control")+COUNTIFS('Prácticas_Snowballing'!$AB$2:$AB$281,"T027",'Prácticas_Snowballing'!$AC$2:$AC$281,"SOFTWARE ENG. OPERATIONS &gt; Software Engineering Operations Control")</f>
        <v>0</v>
      </c>
      <c r="AV35" s="17">
        <f>COUNTIFS('Prácticas_Revisiones'!$S$2:$S$282,"T027",'Prácticas_Revisiones'!$T$2:$T$282,"SOFTWARE ENG. OPERATIONS &gt; Practical Considerations")+COUNTIFS('Prácticas_Snowballing'!$AB$2:$AB$281,"T027",'Prácticas_Snowballing'!$AC$2:$AC$281,"SOFTWARE ENG. OPERATIONS &gt; Practical Considerations")</f>
        <v>0</v>
      </c>
      <c r="AW35" s="17">
        <f>COUNTIFS('Prácticas_Revisiones'!$S$2:$S$282,"T027",'Prácticas_Revisiones'!$T$2:$T$282,"SOFTWARE ENG. OPERATIONS &gt; Software Engineering Operations Tools")+COUNTIFS('Prácticas_Snowballing'!$AB$2:$AB$281,"T027",'Prácticas_Snowballing'!$AC$2:$AC$281,"SOFTWARE ENG. OPERATIONS &gt; Software Engineering Operations Tools")</f>
        <v>0</v>
      </c>
      <c r="AX35" s="17">
        <f>COUNTIFS('Prácticas_Revisiones'!$S$2:$S$282,"T027",'Prácticas_Revisiones'!$T$2:$T$282,"SOFTWARE ENG. OPERATIONS &gt; Subárea no determinable")+COUNTIFS('Prácticas_Snowballing'!$AB$2:$AB$281,"T027",'Prácticas_Snowballing'!$AC$2:$AC$281,"SOFTWARE ENG. OPERATIONS &gt; Subárea no determinable")</f>
        <v>0</v>
      </c>
      <c r="AY35" s="29">
        <f t="shared" si="23"/>
        <v>0</v>
      </c>
      <c r="AZ35" s="17">
        <f>COUNTIFS('Prácticas_Revisiones'!$S$2:$S$282,"T027",'Prácticas_Revisiones'!$T$2:$T$282,"MAINTENANCE &gt; Software Maintenance Fundamentals")+COUNTIFS('Prácticas_Snowballing'!$AB$2:$AB$281,"T027",'Prácticas_Snowballing'!$AC$2:$AC$281,"MAINTENANCE &gt; Software Maintenance Fundamentals")</f>
        <v>0</v>
      </c>
      <c r="BA35" s="17">
        <f>COUNTIFS('Prácticas_Revisiones'!$S$2:$S$282,"T027",'Prácticas_Revisiones'!$T$2:$T$282,"MAINTENANCE &gt; Key Issues in Software Maintenance")+COUNTIFS('Prácticas_Snowballing'!$AB$2:$AB$281,"T027",'Prácticas_Snowballing'!$AC$2:$AC$281,"MAINTENANCE &gt; Key Issues in Software Maintenance")</f>
        <v>0</v>
      </c>
      <c r="BB35" s="17">
        <f>COUNTIFS('Prácticas_Revisiones'!$S$2:$S$282,"T027",'Prácticas_Revisiones'!$T$2:$T$282,"MAINTENANCE &gt; Software Maintenance Processes")+COUNTIFS('Prácticas_Snowballing'!$AB$2:$AB$281,"T027",'Prácticas_Snowballing'!$AC$2:$AC$281,"MAINTENANCE &gt; Software Maintenance Processes")</f>
        <v>0</v>
      </c>
      <c r="BC35" s="17">
        <f>COUNTIFS('Prácticas_Revisiones'!$S$2:$S$282,"T027",'Prácticas_Revisiones'!$T$2:$T$282,"MAINTENANCE &gt; Software Maintenance Techniques")+COUNTIFS('Prácticas_Snowballing'!$AB$2:$AB$281,"T027",'Prácticas_Snowballing'!$AC$2:$AC$281,"MAINTENANCE &gt; Software Maintenance Techniques")</f>
        <v>0</v>
      </c>
      <c r="BD35" s="17">
        <f>COUNTIFS('Prácticas_Revisiones'!$S$2:$S$282,"T027",'Prácticas_Revisiones'!$T$2:$T$282,"MAINTENANCE &gt; Software Maintenance Tools")+COUNTIFS('Prácticas_Snowballing'!$AB$2:$AB$281,"T027",'Prácticas_Snowballing'!$AC$2:$AC$281,"MAINTENANCE &gt; Software Maintenance Tools")</f>
        <v>0</v>
      </c>
      <c r="BE35" s="17">
        <f>COUNTIFS('Prácticas_Revisiones'!$S$2:$S$282,"T027",'Prácticas_Revisiones'!$T$2:$T$282,"MAINTENANCE &gt; Subárea no determinable")+COUNTIFS('Prácticas_Snowballing'!$AB$2:$AB$281,"T027",'Prácticas_Snowballing'!$AC$2:$AC$281,"MAINTENANCE &gt; Subárea no determinable")</f>
        <v>0</v>
      </c>
      <c r="BF35" s="29">
        <f t="shared" si="24"/>
        <v>0</v>
      </c>
      <c r="BG35" s="17">
        <f>COUNTIFS('Prácticas_Revisiones'!$S$2:$S$282,"T027",'Prácticas_Revisiones'!$T$2:$T$282,"SOFTWARE CONFIG. MGMT. &gt; Management of the SCM Process")+COUNTIFS('Prácticas_Snowballing'!$AB$2:$AB$281,"T027",'Prácticas_Snowballing'!$AC$2:$AC$281,"SOFTWARE CONFIG. MGMT. &gt; Management of the SCM Process")</f>
        <v>0</v>
      </c>
      <c r="BH35" s="17">
        <f>COUNTIFS('Prácticas_Revisiones'!$S$2:$S$282,"T027",'Prácticas_Revisiones'!$T$2:$T$282,"SOFTWARE CONFIG. MGMT. &gt; Software Configuration Identification")+COUNTIFS('Prácticas_Snowballing'!$AB$2:$AB$281,"T027",'Prácticas_Snowballing'!$AC$2:$AC$281,"SOFTWARE CONFIG. MGMT. &gt; Software Configuration Identification")</f>
        <v>0</v>
      </c>
      <c r="BI35" s="17">
        <f>COUNTIFS('Prácticas_Revisiones'!$S$2:$S$282,"T027",'Prácticas_Revisiones'!$T$2:$T$282,"SOFTWARE CONFIG. MGMT. &gt; Software Configuration Change Control")+COUNTIFS('Prácticas_Snowballing'!$AB$2:$AB$281,"T027",'Prácticas_Snowballing'!$AC$2:$AC$281,"SOFTWARE CONFIG. MGMT. &gt; Software Configuration Change Control")</f>
        <v>0</v>
      </c>
      <c r="BJ35" s="17">
        <f>COUNTIFS('Prácticas_Revisiones'!$S$2:$S$282,"T027",'Prácticas_Revisiones'!$T$2:$T$282,"SOFTWARE CONFIG. MGMT. &gt; Software Configuration Status Accounting")+COUNTIFS('Prácticas_Snowballing'!$AB$2:$AB$281,"T027",'Prácticas_Snowballing'!$AC$2:$AC$281,"SOFTWARE CONFIG. MGMT. &gt; Software Configuration Status Accounting")</f>
        <v>0</v>
      </c>
      <c r="BK35" s="17">
        <f>COUNTIFS('Prácticas_Revisiones'!$S$2:$S$282,"T027",'Prácticas_Revisiones'!$T$2:$T$282,"SOFTWARE CONFIG. MGMT. &gt; Software Configuration Auditing")+COUNTIFS('Prácticas_Snowballing'!$AB$2:$AB$281,"T027",'Prácticas_Snowballing'!$AC$2:$AC$281,"SOFTWARE CONFIG. MGMT. &gt; Software Configuration Auditing")</f>
        <v>0</v>
      </c>
      <c r="BL35" s="17">
        <f>COUNTIFS('Prácticas_Revisiones'!$S$2:$S$282,"T027",'Prácticas_Revisiones'!$T$2:$T$282,"SOFTWARE CONFIG. MGMT. &gt; Software Release Management and Delivery")+COUNTIFS('Prácticas_Snowballing'!$AB$2:$AB$281,"T027",'Prácticas_Snowballing'!$AC$2:$AC$281,"SOFTWARE CONFIG. MGMT. &gt; Software Release Management and Delivery")</f>
        <v>0</v>
      </c>
      <c r="BM35" s="17">
        <f>COUNTIFS('Prácticas_Revisiones'!$S$2:$S$282,"T027",'Prácticas_Revisiones'!$T$2:$T$282,"SOFTWARE CONFIG. MGMT. &gt; Software Configuration Management Tools")+COUNTIFS('Prácticas_Snowballing'!$AB$2:$AB$281,"T027",'Prácticas_Snowballing'!$AC$2:$AC$281,"SOFTWARE CONFIG. MGMT. &gt; Software Configuration Management Tools")</f>
        <v>0</v>
      </c>
      <c r="BN35" s="17">
        <f>COUNTIFS('Prácticas_Revisiones'!$S$2:$S$282,"T027",'Prácticas_Revisiones'!$T$2:$T$282,"SOFTWARE CONFIG. MGMT. &gt; Subárea no determinable")+COUNTIFS('Prácticas_Snowballing'!$AB$2:$AB$281,"T027",'Prácticas_Snowballing'!$AC$2:$AC$281,"SOFTWARE CONFIG. MGMT. &gt; Subárea no determinable")</f>
        <v>0</v>
      </c>
      <c r="BO35" s="29">
        <f t="shared" si="25"/>
        <v>0</v>
      </c>
      <c r="BP35" s="17">
        <f>COUNTIFS('Prácticas_Revisiones'!$S$2:$S$282,"T027",'Prácticas_Revisiones'!$T$2:$T$282,"SOFTWARE ENG. PROCESS &gt; Software Engineering Process Fundamentals")+COUNTIFS('Prácticas_Snowballing'!$AB$2:$AB$281,"T027",'Prácticas_Snowballing'!$AC$2:$AC$281,"SOFTWARE ENG. PROCESS &gt; Software Engineering Process Fundamentals")</f>
        <v>0</v>
      </c>
      <c r="BQ35" s="17">
        <f>COUNTIFS('Prácticas_Revisiones'!$S$2:$S$282,"T027",'Prácticas_Revisiones'!$T$2:$T$282,"SOFTWARE ENG. PROCESS &gt; Life Cycles")+COUNTIFS('Prácticas_Snowballing'!$AB$2:$AB$281,"T027",'Prácticas_Snowballing'!$AC$2:$AC$281,"SOFTWARE ENG. PROCESS &gt; Life Cycles")</f>
        <v>0</v>
      </c>
      <c r="BR35" s="17">
        <f>COUNTIFS('Prácticas_Revisiones'!$S$2:$S$282,"T027",'Prácticas_Revisiones'!$T$2:$T$282,"SOFTWARE ENG. PROCESS &gt; Software Process Assessment and Improvement")+COUNTIFS('Prácticas_Snowballing'!$AB$2:$AB$281,"T027",'Prácticas_Snowballing'!$AC$2:$AC$281,"SOFTWARE ENG. PROCESS &gt; Software Process Assessment and Improvement")</f>
        <v>0</v>
      </c>
      <c r="BS35" s="17">
        <f>COUNTIFS('Prácticas_Revisiones'!$S$2:$S$282,"T027",'Prácticas_Revisiones'!$T$2:$T$282,"SOFTWARE ENG. PROCESS &gt; Subárea no determinable")+COUNTIFS('Prácticas_Snowballing'!$AB$2:$AB$281,"T027",'Prácticas_Snowballing'!$AC$2:$AC$281,"SOFTWARE ENG. PROCESS &gt; Subárea no determinable")</f>
        <v>0</v>
      </c>
      <c r="BT35" s="29">
        <f t="shared" si="26"/>
        <v>0</v>
      </c>
      <c r="BU35" s="17">
        <f>COUNTIFS('Prácticas_Revisiones'!$S$2:$S$282,"T027",'Prácticas_Revisiones'!$T$2:$T$282,"SOFTWARE ENG. MODELS/METH. &gt; Modeling")+COUNTIFS('Prácticas_Snowballing'!$AB$2:$AB$281,"T027",'Prácticas_Snowballing'!$AC$2:$AC$281,"SOFTWARE ENG. MODELS/METH. &gt; Modeling")</f>
        <v>0</v>
      </c>
      <c r="BV35" s="17">
        <f>COUNTIFS('Prácticas_Revisiones'!$S$2:$S$282,"T027",'Prácticas_Revisiones'!$T$2:$T$282,"SOFTWARE ENG. MODELS/METH. &gt; Types of Models")+COUNTIFS('Prácticas_Snowballing'!$AB$2:$AB$281,"T027",'Prácticas_Snowballing'!$AC$2:$AC$281,"SOFTWARE ENG. MODELS/METH. &gt; Types of Models")</f>
        <v>0</v>
      </c>
      <c r="BW35" s="17">
        <f>COUNTIFS('Prácticas_Revisiones'!$S$2:$S$282,"T027",'Prácticas_Revisiones'!$T$2:$T$282,"SOFTWARE ENG. MODELS/METH. &gt; Analysis of Models")+COUNTIFS('Prácticas_Snowballing'!$AB$2:$AB$281,"T027",'Prácticas_Snowballing'!$AC$2:$AC$281,"SOFTWARE ENG. MODELS/METH. &gt; Analysis of Models")</f>
        <v>0</v>
      </c>
      <c r="BX35" s="17">
        <f>COUNTIFS('Prácticas_Revisiones'!$S$2:$S$282,"T027",'Prácticas_Revisiones'!$T$2:$T$282,"SOFTWARE ENG. MODELS/METH. &gt; Software Engineering Methods")+COUNTIFS('Prácticas_Snowballing'!$AB$2:$AB$281,"T027",'Prácticas_Snowballing'!$AC$2:$AC$281,"SOFTWARE ENG. MODELS/METH. &gt; Software Engineering Methods")</f>
        <v>0</v>
      </c>
      <c r="BY35" s="17">
        <f>COUNTIFS('Prácticas_Revisiones'!$S$2:$S$282,"T027",'Prácticas_Revisiones'!$T$2:$T$282,"SOFTWARE ENG. MODELS/METH. &gt; Subárea no determinable")+COUNTIFS('Prácticas_Snowballing'!$AB$2:$AB$281,"T027",'Prácticas_Snowballing'!$AC$2:$AC$281,"SOFTWARE ENG. MODELS/METH. &gt; Subárea no determinable")</f>
        <v>0</v>
      </c>
      <c r="BZ35" s="29">
        <f t="shared" si="27"/>
        <v>0</v>
      </c>
      <c r="CA35" s="17">
        <f>COUNTIFS('Prácticas_Revisiones'!$S$2:$S$282,"T027",'Prácticas_Revisiones'!$T$2:$T$282,"SOFTWARE QUALITY &gt; Software Quality Fundamentals")+COUNTIFS('Prácticas_Snowballing'!$AB$2:$AB$281,"T027",'Prácticas_Snowballing'!$AC$2:$AC$281,"SOFTWARE QUALITY &gt; Software Quality Fundamentals")</f>
        <v>0</v>
      </c>
      <c r="CB35" s="17">
        <f>COUNTIFS('Prácticas_Revisiones'!$S$2:$S$282,"T027",'Prácticas_Revisiones'!$T$2:$T$282,"SOFTWARE QUALITY &gt; Software Quality Management Process")+COUNTIFS('Prácticas_Snowballing'!$AB$2:$AB$281,"T027",'Prácticas_Snowballing'!$AC$2:$AC$281,"SOFTWARE QUALITY &gt; Software Quality Management Process")</f>
        <v>0</v>
      </c>
      <c r="CC35" s="17">
        <f>COUNTIFS('Prácticas_Revisiones'!$S$2:$S$282,"T027",'Prácticas_Revisiones'!$T$2:$T$282,"SOFTWARE QUALITY &gt; Software Quality Assurance Process")+COUNTIFS('Prácticas_Snowballing'!$AB$2:$AB$281,"T027",'Prácticas_Snowballing'!$AC$2:$AC$281,"SOFTWARE QUALITY &gt; Software Quality Assurance Process")</f>
        <v>0</v>
      </c>
      <c r="CD35" s="17">
        <f>COUNTIFS('Prácticas_Revisiones'!$S$2:$S$282,"T027",'Prácticas_Revisiones'!$T$2:$T$282,"SOFTWARE QUALITY &gt; Software Quality Tools")+COUNTIFS('Prácticas_Snowballing'!$AB$2:$AB$281,"T027",'Prácticas_Snowballing'!$AC$2:$AC$281,"SOFTWARE QUALITY &gt; Software Quality Tools")</f>
        <v>0</v>
      </c>
      <c r="CE35" s="17">
        <f>COUNTIFS('Prácticas_Revisiones'!$S$2:$S$282,"T027",'Prácticas_Revisiones'!$T$2:$T$282,"SOFTWARE QUALITY &gt; Subárea no determinable")+COUNTIFS('Prácticas_Snowballing'!$AB$2:$AB$281,"T027",'Prácticas_Snowballing'!$AC$2:$AC$281,"SOFTWARE QUALITY &gt; Subárea no determinable")</f>
        <v>0</v>
      </c>
      <c r="CF35" s="29">
        <f t="shared" si="28"/>
        <v>0</v>
      </c>
      <c r="CG35" s="17">
        <f>COUNTIFS('Prácticas_Revisiones'!$S$2:$S$282,"T027",'Prácticas_Revisiones'!$T$2:$T$282,"SOFTWARE SECURITY &gt; Software Security Fundamentals")+COUNTIFS('Prácticas_Snowballing'!$AB$2:$AB$281,"T027",'Prácticas_Snowballing'!$AC$2:$AC$281,"SOFTWARE SECURITY &gt; Software Security Fundamentals")</f>
        <v>0</v>
      </c>
      <c r="CH35" s="17">
        <f>COUNTIFS('Prácticas_Revisiones'!$S$2:$S$282,"T027",'Prácticas_Revisiones'!$T$2:$T$282,"SOFTWARE SECURITY &gt; Security Management and Organization")+COUNTIFS('Prácticas_Snowballing'!$AB$2:$AB$281,"T027",'Prácticas_Snowballing'!$AC$2:$AC$281,"SOFTWARE SECURITY &gt; Security Management and Organization")</f>
        <v>0</v>
      </c>
      <c r="CI35" s="17">
        <f>COUNTIFS('Prácticas_Revisiones'!$S$2:$S$282,"T027",'Prácticas_Revisiones'!$T$2:$T$282,"SOFTWARE SECURITY &gt; Software Security Engineering and Process")+COUNTIFS('Prácticas_Snowballing'!$AB$2:$AB$281,"T027",'Prácticas_Snowballing'!$AC$2:$AC$281,"SOFTWARE SECURITY &gt; Software Security Engineering and Process")</f>
        <v>0</v>
      </c>
      <c r="CJ35" s="17">
        <f>COUNTIFS('Prácticas_Revisiones'!$S$2:$S$282,"T027",'Prácticas_Revisiones'!$T$2:$T$282,"SOFTWARE SECURITY &gt; Security Engineering for Software Systems")+COUNTIFS('Prácticas_Snowballing'!$AB$2:$AB$281,"T027",'Prácticas_Snowballing'!$AC$2:$AC$281,"SOFTWARE SECURITY &gt; Security Engineering for Software Systems")</f>
        <v>0</v>
      </c>
      <c r="CK35" s="17">
        <f>COUNTIFS('Prácticas_Revisiones'!$S$2:$S$282,"T027",'Prácticas_Revisiones'!$T$2:$T$282,"SOFTWARE SECURITY &gt; Software Security Tools")+COUNTIFS('Prácticas_Snowballing'!$AB$2:$AB$281,"T027",'Prácticas_Snowballing'!$AC$2:$AC$281,"SOFTWARE SECURITY &gt; Software Security Tools")</f>
        <v>0</v>
      </c>
      <c r="CL35" s="17">
        <f>COUNTIFS('Prácticas_Revisiones'!$S$2:$S$282,"T027",'Prácticas_Revisiones'!$T$2:$T$282,"SOFTWARE SECURITY &gt; Domain Specific Software Security")+COUNTIFS('Prácticas_Snowballing'!$AB$2:$AB$281,"T027",'Prácticas_Snowballing'!$AC$2:$AC$281,"SOFTWARE SECURITY &gt; Domain Specific Software Security")</f>
        <v>0</v>
      </c>
      <c r="CM35" s="17">
        <f>COUNTIFS('Prácticas_Revisiones'!$S$2:$S$282,"T027",'Prácticas_Revisiones'!$T$2:$T$282,"SOFTWARE SECURITY &gt; Subárea no determinable")+COUNTIFS('Prácticas_Snowballing'!$AB$2:$AB$281,"T027",'Prácticas_Snowballing'!$AC$2:$AC$281,"SOFTWARE SECURITY &gt; Subárea no determinable")</f>
        <v>0</v>
      </c>
      <c r="CN35" s="29">
        <f t="shared" si="29"/>
        <v>0</v>
      </c>
      <c r="CO35" s="17">
        <f>COUNTIFS('Prácticas_Revisiones'!$S$2:$S$282,"T027",'Prácticas_Revisiones'!$T$2:$T$282,"PROFESSIONAL PRACTICE &gt; Professionalism")+COUNTIFS('Prácticas_Snowballing'!$AB$2:$AB$281,"T027",'Prácticas_Snowballing'!$AC$2:$AC$281,"PROFESSIONAL PRACTICE &gt; Professionalism")</f>
        <v>0</v>
      </c>
      <c r="CP35" s="17">
        <f>COUNTIFS('Prácticas_Revisiones'!$S$2:$S$282,"T027",'Prácticas_Revisiones'!$T$2:$T$282,"PROFESSIONAL PRACTICE &gt; Group Dynamics and Psychology")+COUNTIFS('Prácticas_Snowballing'!$AB$2:$AB$281,"T027",'Prácticas_Snowballing'!$AC$2:$AC$281,"PROFESSIONAL PRACTICE &gt; Group Dynamics and Psychology")</f>
        <v>0</v>
      </c>
      <c r="CQ35" s="17">
        <f>COUNTIFS('Prácticas_Revisiones'!$S$2:$S$282,"T027",'Prácticas_Revisiones'!$T$2:$T$282,"PROFESSIONAL PRACTICE &gt; Communication Skills")+COUNTIFS('Prácticas_Snowballing'!$AB$2:$AB$281,"T027",'Prácticas_Snowballing'!$AC$2:$AC$281,"PROFESSIONAL PRACTICE &gt; Communication Skills")</f>
        <v>0</v>
      </c>
      <c r="CR35" s="17">
        <f>COUNTIFS('Prácticas_Revisiones'!$S$2:$S$282,"T027",'Prácticas_Revisiones'!$T$2:$T$282,"PROFESSIONAL PRACTICE &gt; Subárea no determinable")+COUNTIFS('Prácticas_Snowballing'!$AB$2:$AB$281,"T027",'Prácticas_Snowballing'!$AC$2:$AC$281,"PROFESSIONAL PRACTICE &gt; Subárea no determinable")</f>
        <v>0</v>
      </c>
      <c r="CS35" s="29">
        <f t="shared" si="30"/>
        <v>0</v>
      </c>
      <c r="CT35" s="17">
        <f>COUNTIFS('Prácticas_Revisiones'!$S$2:$S$282,"T027",'Prácticas_Revisiones'!$T$2:$T$282,"SOFTWARE ENG. ECONOMICS &gt; Software Engineering Economics Fundamentals")+COUNTIFS('Prácticas_Snowballing'!$AB$2:$AB$281,"T027",'Prácticas_Snowballing'!$AC$2:$AC$281,"SOFTWARE ENG. ECONOMICS &gt; Software Engineering Economics Fundamentals")</f>
        <v>0</v>
      </c>
      <c r="CU35" s="17">
        <f>COUNTIFS('Prácticas_Revisiones'!$S$2:$S$282,"T027",'Prácticas_Revisiones'!$T$2:$T$282,"SOFTWARE ENG. ECONOMICS &gt; The Engineering Decision-Making Process")+COUNTIFS('Prácticas_Snowballing'!$AB$2:$AB$281,"T027",'Prácticas_Snowballing'!$AC$2:$AC$281,"SOFTWARE ENG. ECONOMICS &gt; The Engineering Decision-Making Process")</f>
        <v>0</v>
      </c>
      <c r="CV35" s="17">
        <f>COUNTIFS('Prácticas_Revisiones'!$S$2:$S$282,"T027",'Prácticas_Revisiones'!$T$2:$T$282,"SOFTWARE ENG. ECONOMICS &gt; For-Profit Decision-Making")+COUNTIFS('Prácticas_Snowballing'!$AB$2:$AB$281,"T027",'Prácticas_Snowballing'!$AC$2:$AC$281,"SOFTWARE ENG. ECONOMICS &gt; For-Profit Decision-Making")</f>
        <v>0</v>
      </c>
      <c r="CW35" s="17">
        <f>COUNTIFS('Prácticas_Revisiones'!$S$2:$S$282,"T027",'Prácticas_Revisiones'!$T$2:$T$282,"SOFTWARE ENG. ECONOMICS &gt; Nonprofit Decision-Making")+COUNTIFS('Prácticas_Snowballing'!$AB$2:$AB$281,"T027",'Prácticas_Snowballing'!$AC$2:$AC$281,"SOFTWARE ENG. ECONOMICS &gt; Nonprofit Decision-Making")</f>
        <v>0</v>
      </c>
      <c r="CX35" s="17">
        <f>COUNTIFS('Prácticas_Revisiones'!$S$2:$S$282,"T027",'Prácticas_Revisiones'!$T$2:$T$282,"SOFTWARE ENG. ECONOMICS &gt; Present Economy Decision-Making")+COUNTIFS('Prácticas_Snowballing'!$AB$2:$AB$281,"T027",'Prácticas_Snowballing'!$AC$2:$AC$281,"SOFTWARE ENG. ECONOMICS &gt; Present Economy Decision-Making")</f>
        <v>0</v>
      </c>
      <c r="CY35" s="17">
        <f>COUNTIFS('Prácticas_Revisiones'!$S$2:$S$282,"T027",'Prácticas_Revisiones'!$T$2:$T$282,"SOFTWARE ENG. ECONOMICS &gt; Multiple-Attribute Decision-Making")+COUNTIFS('Prácticas_Snowballing'!$AB$2:$AB$281,"T027",'Prácticas_Snowballing'!$AC$2:$AC$281,"SOFTWARE ENG. ECONOMICS &gt; Multiple-Attribute Decision-Making")</f>
        <v>0</v>
      </c>
      <c r="CZ35" s="17">
        <f>COUNTIFS('Prácticas_Revisiones'!$S$2:$S$282,"T027",'Prácticas_Revisiones'!$T$2:$T$282,"SOFTWARE ENG. ECONOMICS &gt; Identifying and Characterizing Intangible Assets")+COUNTIFS('Prácticas_Snowballing'!$AB$2:$AB$281,"T027",'Prácticas_Snowballing'!$AC$2:$AC$281,"SOFTWARE ENG. ECONOMICS &gt; Identifying and Characterizing Intangible Assets")</f>
        <v>0</v>
      </c>
      <c r="DA35" s="17">
        <f>COUNTIFS('Prácticas_Revisiones'!$S$2:$S$282,"T027",'Prácticas_Revisiones'!$T$2:$T$282,"SOFTWARE ENG. ECONOMICS &gt; Estimation")+COUNTIFS('Prácticas_Snowballing'!$AB$2:$AB$281,"T027",'Prácticas_Snowballing'!$AC$2:$AC$281,"SOFTWARE ENG. ECONOMICS &gt; Estimation")</f>
        <v>0</v>
      </c>
      <c r="DB35" s="17">
        <f>COUNTIFS('Prácticas_Revisiones'!$S$2:$S$282,"T027",'Prácticas_Revisiones'!$T$2:$T$282,"SOFTWARE ENG. ECONOMICS &gt; Practical Considerations")+COUNTIFS('Prácticas_Snowballing'!$AB$2:$AB$281,"T027",'Prácticas_Snowballing'!$AC$2:$AC$281,"SOFTWARE ENG. ECONOMICS &gt; Practical Considerations")</f>
        <v>0</v>
      </c>
      <c r="DC35" s="17">
        <f>COUNTIFS('Prácticas_Revisiones'!$S$2:$S$282,"T027",'Prácticas_Revisiones'!$T$2:$T$282,"SOFTWARE ENG. ECONOMICS &gt; Related Concepts")+COUNTIFS('Prácticas_Snowballing'!$AB$2:$AB$281,"T027",'Prácticas_Snowballing'!$AC$2:$AC$281,"SOFTWARE ENG. ECONOMICS &gt; Related Concepts")</f>
        <v>0</v>
      </c>
      <c r="DD35" s="17">
        <f>COUNTIFS('Prácticas_Revisiones'!$S$2:$S$282,"T027",'Prácticas_Revisiones'!$T$2:$T$282,"SOFTWARE ENG. ECONOMICS &gt; Subárea no determinable")+COUNTIFS('Prácticas_Snowballing'!$AB$2:$AB$281,"T027",'Prácticas_Snowballing'!$AC$2:$AC$281,"SOFTWARE ENG. ECONOMICS &gt; Subárea no determinable")</f>
        <v>0</v>
      </c>
      <c r="DE35" s="29">
        <f t="shared" si="31"/>
        <v>0</v>
      </c>
      <c r="DF35" s="17">
        <f>COUNTIFS('Prácticas_Revisiones'!$S$2:$S$282,"T027",'Prácticas_Revisiones'!$T$2:$T$282,"SOFTWARE ENG. MANAGEMENT &gt; Software Engineering Management Fundamentals")+COUNTIFS('Prácticas_Snowballing'!$AB$2:$AB$281,"T027",'Prácticas_Snowballing'!$AC$2:$AC$281,"SOFTWARE ENG. MANAGEMENT &gt; Software Engineering Management Fundamentals")</f>
        <v>0</v>
      </c>
      <c r="DG35" s="17">
        <f>COUNTIFS('Prácticas_Revisiones'!$S$2:$S$282,"T027",'Prácticas_Revisiones'!$T$2:$T$282,"SOFTWARE ENG. MANAGEMENT &gt; Initiation and Scope Definition")+COUNTIFS('Prácticas_Snowballing'!$AB$2:$AB$281,"T027",'Prácticas_Snowballing'!$AC$2:$AC$281,"SOFTWARE ENG. MANAGEMENT &gt; Initiation and Scope Definition")</f>
        <v>0</v>
      </c>
      <c r="DH35" s="17">
        <f>COUNTIFS('Prácticas_Revisiones'!$S$2:$S$282,"T027",'Prácticas_Revisiones'!$T$2:$T$282,"SOFTWARE ENG. MANAGEMENT &gt; Software Project Planning")+COUNTIFS('Prácticas_Snowballing'!$AB$2:$AB$281,"T027",'Prácticas_Snowballing'!$AC$2:$AC$281,"SOFTWARE ENG. MANAGEMENT &gt; Software Project Planning")</f>
        <v>0</v>
      </c>
      <c r="DI35" s="17">
        <f>COUNTIFS('Prácticas_Revisiones'!$S$2:$S$282,"T027",'Prácticas_Revisiones'!$T$2:$T$282,"SOFTWARE ENG. MANAGEMENT &gt; Software Project Enactment")+COUNTIFS('Prácticas_Snowballing'!$AB$2:$AB$281,"T027",'Prácticas_Snowballing'!$AC$2:$AC$281,"SOFTWARE ENG. MANAGEMENT &gt; Software Project Enactment")</f>
        <v>0</v>
      </c>
      <c r="DJ35" s="17">
        <f>COUNTIFS('Prácticas_Revisiones'!$S$2:$S$282,"T027",'Prácticas_Revisiones'!$T$2:$T$282,"SOFTWARE ENG. MANAGEMENT &gt; Review and Evaluation")+COUNTIFS('Prácticas_Snowballing'!$AB$2:$AB$281,"T027",'Prácticas_Snowballing'!$AC$2:$AC$281,"SOFTWARE ENG. MANAGEMENT &gt; Review and Evaluation")</f>
        <v>0</v>
      </c>
      <c r="DK35" s="17">
        <f>COUNTIFS('Prácticas_Revisiones'!$S$2:$S$282,"T027",'Prácticas_Revisiones'!$T$2:$T$282,"SOFTWARE ENG. MANAGEMENT &gt; Closure")+COUNTIFS('Prácticas_Snowballing'!$AB$2:$AB$281,"T027",'Prácticas_Snowballing'!$AC$2:$AC$281,"SOFTWARE ENG. MANAGEMENT &gt; Closure")</f>
        <v>0</v>
      </c>
      <c r="DL35" s="17">
        <f>COUNTIFS('Prácticas_Revisiones'!$S$2:$S$282,"T027",'Prácticas_Revisiones'!$T$2:$T$282,"SOFTWARE ENG. MANAGEMENT &gt; Software Engineering Management Tools")+COUNTIFS('Prácticas_Snowballing'!$AB$2:$AB$281,"T027",'Prácticas_Snowballing'!$AC$2:$AC$281,"SOFTWARE ENG. MANAGEMENT &gt; Software Engineering Management Tools")</f>
        <v>0</v>
      </c>
      <c r="DM35" s="17">
        <f>COUNTIFS('Prácticas_Revisiones'!$S$2:$S$282,"T027",'Prácticas_Revisiones'!$T$2:$T$282,"SOFTWARE ENG. MANAGEMENT &gt; Subárea no determinable")+COUNTIFS('Prácticas_Snowballing'!$AB$2:$AB$281,"T027",'Prácticas_Snowballing'!$AC$2:$AC$281,"SOFTWARE ENG. MANAGEMENT &gt; Subárea no determinable")</f>
        <v>0</v>
      </c>
      <c r="DN35" s="29">
        <f t="shared" si="32"/>
        <v>0</v>
      </c>
      <c r="DO35" s="17">
        <f>COUNTIFS('Prácticas_Revisiones'!$S$2:$S$282,"T027",'Prácticas_Revisiones'!$T$2:$T$282,"Sin área SWEBOK")+COUNTIFS('Prácticas_Snowballing'!$AB$2:$AB$281,"T027",'Prácticas_Snowballing'!$AC$2:$AC$281,"Sin área SWEBOK")</f>
        <v>0</v>
      </c>
      <c r="DP35" s="27">
        <f t="shared" si="33"/>
        <v>0</v>
      </c>
    </row>
    <row r="36" ht="15.75" customHeight="1">
      <c r="A36" s="28"/>
      <c r="B36" s="16" t="s">
        <v>2760</v>
      </c>
      <c r="C36" s="17">
        <f>COUNTIFS('Prácticas_Revisiones'!$S$2:$S$282,"T028",'Prácticas_Revisiones'!$T$2:$T$282,"REQUIREMENTS &gt; Software Requirements Fundamentals")+COUNTIFS('Prácticas_Snowballing'!$AB$2:$AB$281,"T028",'Prácticas_Snowballing'!$AC$2:$AC$281,"REQUIREMENTS &gt; Software Requirements Fundamentals")</f>
        <v>0</v>
      </c>
      <c r="D36" s="17">
        <f>COUNTIFS('Prácticas_Revisiones'!$S$2:$S$282,"T028",'Prácticas_Revisiones'!$T$2:$T$282,"REQUIREMENTS &gt; Requirements Elicitation")+COUNTIFS('Prácticas_Snowballing'!$AB$2:$AB$281,"T028",'Prácticas_Snowballing'!$AC$2:$AC$281,"REQUIREMENTS &gt; Requirements Elicitation")</f>
        <v>0</v>
      </c>
      <c r="E36" s="17">
        <f>COUNTIFS('Prácticas_Revisiones'!$S$2:$S$282,"T028",'Prácticas_Revisiones'!$T$2:$T$282,"REQUIREMENTS &gt; Requirements Analysis")+COUNTIFS('Prácticas_Snowballing'!$AB$2:$AB$281,"T028",'Prácticas_Snowballing'!$AC$2:$AC$281,"REQUIREMENTS &gt; Requirements Analysis")</f>
        <v>0</v>
      </c>
      <c r="F36" s="17">
        <f>COUNTIFS('Prácticas_Revisiones'!$S$2:$S$282,"T028",'Prácticas_Revisiones'!$T$2:$T$282,"REQUIREMENTS &gt; Requirements Specification")+COUNTIFS('Prácticas_Snowballing'!$AB$2:$AB$281,"T028",'Prácticas_Snowballing'!$AC$2:$AC$281,"REQUIREMENTS &gt; Requirements Specification")</f>
        <v>0</v>
      </c>
      <c r="G36" s="17">
        <f>COUNTIFS('Prácticas_Revisiones'!$S$2:$S$282,"T028",'Prácticas_Revisiones'!$T$2:$T$282,"REQUIREMENTS &gt; Requirements Validation")+COUNTIFS('Prácticas_Snowballing'!$AB$2:$AB$281,"T028",'Prácticas_Snowballing'!$AC$2:$AC$281,"REQUIREMENTS &gt; Requirements Validation")</f>
        <v>0</v>
      </c>
      <c r="H36" s="17">
        <f>COUNTIFS('Prácticas_Revisiones'!$S$2:$S$282,"T028",'Prácticas_Revisiones'!$T$2:$T$282,"REQUIREMENTS &gt; Requirements Management Activities")+COUNTIFS('Prácticas_Snowballing'!$AB$2:$AB$281,"T028",'Prácticas_Snowballing'!$AC$2:$AC$281,"REQUIREMENTS &gt; Requirements Management Activities")</f>
        <v>0</v>
      </c>
      <c r="I36" s="17">
        <f>COUNTIFS('Prácticas_Revisiones'!$S$2:$S$282,"T028",'Prácticas_Revisiones'!$T$2:$T$282,"REQUIREMENTS &gt; Practical Considerations")+COUNTIFS('Prácticas_Snowballing'!$AB$2:$AB$281,"T028",'Prácticas_Snowballing'!$AC$2:$AC$281,"REQUIREMENTS &gt; Practical Considerations")</f>
        <v>0</v>
      </c>
      <c r="J36" s="17">
        <f>COUNTIFS('Prácticas_Revisiones'!$S$2:$S$282,"T028",'Prácticas_Revisiones'!$T$2:$T$282,"REQUIREMENTS &gt; Software Requirements Tools")+COUNTIFS('Prácticas_Snowballing'!$AB$2:$AB$281,"T028",'Prácticas_Snowballing'!$AC$2:$AC$281,"REQUIREMENTS &gt; Software Requirements Tools")</f>
        <v>0</v>
      </c>
      <c r="K36" s="17">
        <f>COUNTIFS('Prácticas_Revisiones'!$S$2:$S$282,"T028",'Prácticas_Revisiones'!$T$2:$T$282,"REQUIREMENTS &gt; Subárea no determinable")+COUNTIFS('Prácticas_Snowballing'!$AB$2:$AB$281,"T028",'Prácticas_Snowballing'!$AC$2:$AC$281,"REQUIREMENTS &gt; Subárea no determinable")</f>
        <v>0</v>
      </c>
      <c r="L36" s="29">
        <f t="shared" si="18"/>
        <v>0</v>
      </c>
      <c r="M36" s="17">
        <f>COUNTIFS('Prácticas_Revisiones'!$S$2:$S$282,"T028",'Prácticas_Revisiones'!$T$2:$T$282,"ARCHITECTURE &gt; Software Architecture Fundamentals")+COUNTIFS('Prácticas_Snowballing'!$AB$2:$AB$281,"T028",'Prácticas_Snowballing'!$AC$2:$AC$281,"ARCHITECTURE &gt; Software Architecture Fundamentals")</f>
        <v>0</v>
      </c>
      <c r="N36" s="17">
        <f>COUNTIFS('Prácticas_Revisiones'!$S$2:$S$282,"T028",'Prácticas_Revisiones'!$T$2:$T$282,"ARCHITECTURE &gt; Software Architecture Description")+COUNTIFS('Prácticas_Snowballing'!$AB$2:$AB$281,"T028",'Prácticas_Snowballing'!$AC$2:$AC$281,"ARCHITECTURE &gt; Software Architecture Description")</f>
        <v>0</v>
      </c>
      <c r="O36" s="17">
        <f>COUNTIFS('Prácticas_Revisiones'!$S$2:$S$282,"T028",'Prácticas_Revisiones'!$T$2:$T$282,"ARCHITECTURE &gt; Software Architecture Process")+COUNTIFS('Prácticas_Snowballing'!$AB$2:$AB$281,"T028",'Prácticas_Snowballing'!$AC$2:$AC$281,"ARCHITECTURE &gt; Software Architecture Process")</f>
        <v>0</v>
      </c>
      <c r="P36" s="17">
        <f>COUNTIFS('Prácticas_Revisiones'!$S$2:$S$282,"T028",'Prácticas_Revisiones'!$T$2:$T$282,"ARCHITECTURE &gt; Software Architecture Evaluation")+COUNTIFS('Prácticas_Snowballing'!$AB$2:$AB$281,"T028",'Prácticas_Snowballing'!$AC$2:$AC$281,"ARCHITECTURE &gt; Software Architecture Evaluation")</f>
        <v>0</v>
      </c>
      <c r="Q36" s="17">
        <f>COUNTIFS('Prácticas_Revisiones'!$S$2:$S$282,"T028",'Prácticas_Revisiones'!$T$2:$T$282,"ARCHITECTURE &gt; Subárea no determinable")+COUNTIFS('Prácticas_Snowballing'!$AB$2:$AB$281,"T028",'Prácticas_Snowballing'!$AC$2:$AC$281,"ARCHITECTURE &gt; Subárea no determinable")</f>
        <v>0</v>
      </c>
      <c r="R36" s="29">
        <f t="shared" si="19"/>
        <v>0</v>
      </c>
      <c r="S36" s="17">
        <f>COUNTIFS('Prácticas_Revisiones'!$S$2:$S$282,"T028",'Prácticas_Revisiones'!$T$2:$T$282,"DESIGN &gt; Software Design Fundamentals")+COUNTIFS('Prácticas_Snowballing'!$AB$2:$AB$281,"T028",'Prácticas_Snowballing'!$AC$2:$AC$281,"DESIGN &gt; Software Design Fundamentals")</f>
        <v>0</v>
      </c>
      <c r="T36" s="17">
        <f>COUNTIFS('Prácticas_Revisiones'!$S$2:$S$282,"T028",'Prácticas_Revisiones'!$T$2:$T$282,"DESIGN &gt; Software Design Processes")+COUNTIFS('Prácticas_Snowballing'!$AB$2:$AB$281,"T028",'Prácticas_Snowballing'!$AC$2:$AC$281,"DESIGN &gt; Software Design Processes")</f>
        <v>0</v>
      </c>
      <c r="U36" s="17">
        <f>COUNTIFS('Prácticas_Revisiones'!$S$2:$S$282,"T028",'Prácticas_Revisiones'!$T$2:$T$282,"DESIGN &gt; Software Design Qualities")+COUNTIFS('Prácticas_Snowballing'!$AB$2:$AB$281,"T028",'Prácticas_Snowballing'!$AC$2:$AC$281,"DESIGN &gt; Software Design Qualities")</f>
        <v>0</v>
      </c>
      <c r="V36" s="17">
        <f>COUNTIFS('Prácticas_Revisiones'!$S$2:$S$282,"T028",'Prácticas_Revisiones'!$T$2:$T$282,"DESIGN &gt; Recording Software Design")+COUNTIFS('Prácticas_Snowballing'!$AB$2:$AB$281,"T028",'Prácticas_Snowballing'!$AC$2:$AC$281,"DESIGN &gt; Recording Software Design")</f>
        <v>0</v>
      </c>
      <c r="W36" s="17">
        <f>COUNTIFS('Prácticas_Revisiones'!$S$2:$S$282,"T028",'Prácticas_Revisiones'!$T$2:$T$282,"DESIGN &gt; Software Design Strategies and Methods")+COUNTIFS('Prácticas_Snowballing'!$AB$2:$AB$281,"T028",'Prácticas_Snowballing'!$AC$2:$AC$281,"DESIGN &gt; Software Design Strategies and Methods")</f>
        <v>0</v>
      </c>
      <c r="X36" s="17">
        <f>COUNTIFS('Prácticas_Revisiones'!$S$2:$S$282,"T028",'Prácticas_Revisiones'!$T$2:$T$282,"DESIGN &gt; Software Design Analysis and Evaluations")+COUNTIFS('Prácticas_Snowballing'!$AB$2:$AB$281,"T028",'Prácticas_Snowballing'!$AC$2:$AC$281,"DESIGN &gt; Software Design Analysis and Evaluations")</f>
        <v>0</v>
      </c>
      <c r="Y36" s="17">
        <f>COUNTIFS('Prácticas_Revisiones'!$S$2:$S$282,"T028",'Prácticas_Revisiones'!$T$2:$T$282,"DESIGN &gt; Subárea no determinable")+COUNTIFS('Prácticas_Snowballing'!$AB$2:$AB$281,"T028",'Prácticas_Snowballing'!$AC$2:$AC$281,"DESIGN &gt; Subárea no determinable")</f>
        <v>0</v>
      </c>
      <c r="Z36" s="29">
        <f t="shared" si="20"/>
        <v>0</v>
      </c>
      <c r="AA36" s="17">
        <f>COUNTIFS('Prácticas_Revisiones'!$S$2:$S$282,"T028",'Prácticas_Revisiones'!$T$2:$T$282,"CONSTRUCTION &gt; Software Construction Fundamentals")+COUNTIFS('Prácticas_Snowballing'!$AB$2:$AB$281,"T028",'Prácticas_Snowballing'!$AC$2:$AC$281,"CONSTRUCTION &gt; Software Construction Fundamentals")</f>
        <v>0</v>
      </c>
      <c r="AB36" s="17">
        <f>COUNTIFS('Prácticas_Revisiones'!$S$2:$S$282,"T028",'Prácticas_Revisiones'!$T$2:$T$282,"CONSTRUCTION &gt; Managing Construction")+COUNTIFS('Prácticas_Snowballing'!$AB$2:$AB$281,"T028",'Prácticas_Snowballing'!$AC$2:$AC$281,"CONSTRUCTION &gt; Managing Construction")</f>
        <v>0</v>
      </c>
      <c r="AC36" s="17">
        <f>COUNTIFS('Prácticas_Revisiones'!$S$2:$S$282,"T028",'Prácticas_Revisiones'!$T$2:$T$282,"CONSTRUCTION &gt; Practical Considerations")+COUNTIFS('Prácticas_Snowballing'!$AB$2:$AB$281,"T028",'Prácticas_Snowballing'!$AC$2:$AC$281,"CONSTRUCTION &gt; Practical Considerations")</f>
        <v>0</v>
      </c>
      <c r="AD36" s="17">
        <f>COUNTIFS('Prácticas_Revisiones'!$S$2:$S$282,"T028",'Prácticas_Revisiones'!$T$2:$T$282,"CONSTRUCTION &gt; Construction Technologies")+COUNTIFS('Prácticas_Snowballing'!$AB$2:$AB$281,"T028",'Prácticas_Snowballing'!$AC$2:$AC$281,"CONSTRUCTION &gt; Construction Technologies")</f>
        <v>0</v>
      </c>
      <c r="AE36" s="17">
        <f>COUNTIFS('Prácticas_Revisiones'!$S$2:$S$282,"T028",'Prácticas_Revisiones'!$T$2:$T$282,"CONSTRUCTION &gt; Software Construction Tools")+COUNTIFS('Prácticas_Snowballing'!$AB$2:$AB$281,"T028",'Prácticas_Snowballing'!$AC$2:$AC$281,"CONSTRUCTION &gt; Software Construction Tools")</f>
        <v>0</v>
      </c>
      <c r="AF36" s="17">
        <f>COUNTIFS('Prácticas_Revisiones'!$S$2:$S$282,"T028",'Prácticas_Revisiones'!$T$2:$T$282,"CONSTRUCTION &gt; Subárea no determinable")+COUNTIFS('Prácticas_Snowballing'!$AB$2:$AB$281,"T028",'Prácticas_Snowballing'!$AC$2:$AC$281,"CONSTRUCTION &gt; Subárea no determinable")</f>
        <v>0</v>
      </c>
      <c r="AG36" s="29">
        <f t="shared" si="21"/>
        <v>0</v>
      </c>
      <c r="AH36" s="17">
        <f>COUNTIFS('Prácticas_Revisiones'!$S$2:$S$282,"T028",'Prácticas_Revisiones'!$T$2:$T$282,"SOFTWARE TESTING &gt; Software Testing Fundamentals")+COUNTIFS('Prácticas_Snowballing'!$AB$2:$AB$281,"T028",'Prácticas_Snowballing'!$AC$2:$AC$281,"SOFTWARE TESTING &gt; Software Testing Fundamentals")</f>
        <v>0</v>
      </c>
      <c r="AI36" s="17">
        <f>COUNTIFS('Prácticas_Revisiones'!$S$2:$S$282,"T028",'Prácticas_Revisiones'!$T$2:$T$282,"SOFTWARE TESTING &gt; Test Levels")+COUNTIFS('Prácticas_Snowballing'!$AB$2:$AB$281,"T028",'Prácticas_Snowballing'!$AC$2:$AC$281,"SOFTWARE TESTING &gt; Test Levels")</f>
        <v>0</v>
      </c>
      <c r="AJ36" s="17">
        <f>COUNTIFS('Prácticas_Revisiones'!$S$2:$S$282,"T028",'Prácticas_Revisiones'!$T$2:$T$282,"SOFTWARE TESTING &gt; Test Techniques")+COUNTIFS('Prácticas_Snowballing'!$AB$2:$AB$281,"T028",'Prácticas_Snowballing'!$AC$2:$AC$281,"SOFTWARE TESTING &gt; Test Techniques")</f>
        <v>0</v>
      </c>
      <c r="AK36" s="17">
        <f>COUNTIFS('Prácticas_Revisiones'!$S$2:$S$282,"T028",'Prácticas_Revisiones'!$T$2:$T$282,"SOFTWARE TESTING &gt; Test-Related Measures")+COUNTIFS('Prácticas_Snowballing'!$AB$2:$AB$281,"T028",'Prácticas_Snowballing'!$AC$2:$AC$281,"SOFTWARE TESTING &gt; Test-Related Measures")</f>
        <v>0</v>
      </c>
      <c r="AL36" s="17">
        <f>COUNTIFS('Prácticas_Revisiones'!$S$2:$S$282,"T028",'Prácticas_Revisiones'!$T$2:$T$282,"SOFTWARE TESTING &gt; Test Process")+COUNTIFS('Prácticas_Snowballing'!$AB$2:$AB$281,"T028",'Prácticas_Snowballing'!$AC$2:$AC$281,"SOFTWARE TESTING &gt; Test Process")</f>
        <v>0</v>
      </c>
      <c r="AM36" s="17">
        <f>COUNTIFS('Prácticas_Revisiones'!$S$2:$S$282,"T028",'Prácticas_Revisiones'!$T$2:$T$282,"SOFTWARE TESTING &gt; Software Testing in the Development Processes...")+COUNTIFS('Prácticas_Snowballing'!$AB$2:$AB$281,"T028",'Prácticas_Snowballing'!$AC$2:$AC$281,"SOFTWARE TESTING &gt; Software Testing in the Development Processes...")</f>
        <v>0</v>
      </c>
      <c r="AN36" s="17">
        <f>COUNTIFS('Prácticas_Revisiones'!$S$2:$S$282,"T028",'Prácticas_Revisiones'!$T$2:$T$282,"SOFTWARE TESTING &gt; Testing of and Testing Through Emerging Tech...")+COUNTIFS('Prácticas_Snowballing'!$AB$2:$AB$281,"T028",'Prácticas_Snowballing'!$AC$2:$AC$281,"SOFTWARE TESTING &gt; Testing of and Testing Through Emerging Tech...")</f>
        <v>0</v>
      </c>
      <c r="AO36" s="17">
        <f>COUNTIFS('Prácticas_Revisiones'!$S$2:$S$282,"T028",'Prácticas_Revisiones'!$T$2:$T$282,"SOFTWARE TESTING &gt; Software Testing Tools")+COUNTIFS('Prácticas_Snowballing'!$AB$2:$AB$281,"T028",'Prácticas_Snowballing'!$AC$2:$AC$281,"SOFTWARE TESTING &gt; Software Testing Tools")</f>
        <v>0</v>
      </c>
      <c r="AP36" s="17">
        <f>COUNTIFS('Prácticas_Revisiones'!$S$2:$S$282,"T028",'Prácticas_Revisiones'!$T$2:$T$282,"SOFTWARE TESTING &gt; Subárea no determinable")+COUNTIFS('Prácticas_Snowballing'!$AB$2:$AB$281,"T028",'Prácticas_Snowballing'!$AC$2:$AC$281,"SOFTWARE TESTING &gt; Subárea no determinable")</f>
        <v>0</v>
      </c>
      <c r="AQ36" s="29">
        <f t="shared" si="22"/>
        <v>0</v>
      </c>
      <c r="AR36" s="17">
        <f>COUNTIFS('Prácticas_Revisiones'!$S$2:$S$282,"T028",'Prácticas_Revisiones'!$T$2:$T$282,"SOFTWARE ENG. OPERATIONS &gt; Software Engineering Operations Fundamentals")+COUNTIFS('Prácticas_Snowballing'!$AB$2:$AB$281,"T028",'Prácticas_Snowballing'!$AC$2:$AC$281,"SOFTWARE ENG. OPERATIONS &gt; Software Engineering Operations Fundamentals")</f>
        <v>0</v>
      </c>
      <c r="AS36" s="17">
        <f>COUNTIFS('Prácticas_Revisiones'!$S$2:$S$282,"T028",'Prácticas_Revisiones'!$T$2:$T$282,"SOFTWARE ENG. OPERATIONS &gt; Software Engineering Operations Planning")+COUNTIFS('Prácticas_Snowballing'!$AB$2:$AB$281,"T028",'Prácticas_Snowballing'!$AC$2:$AC$281,"SOFTWARE ENG. OPERATIONS &gt; Software Engineering Operations Planning")</f>
        <v>0</v>
      </c>
      <c r="AT36" s="17">
        <f>COUNTIFS('Prácticas_Revisiones'!$S$2:$S$282,"T028",'Prácticas_Revisiones'!$T$2:$T$282,"SOFTWARE ENG. OPERATIONS &gt; Software Engineering Operations Delivery")+COUNTIFS('Prácticas_Snowballing'!$AB$2:$AB$281,"T028",'Prácticas_Snowballing'!$AC$2:$AC$281,"SOFTWARE ENG. OPERATIONS &gt; Software Engineering Operations Delivery")</f>
        <v>0</v>
      </c>
      <c r="AU36" s="17">
        <f>COUNTIFS('Prácticas_Revisiones'!$S$2:$S$282,"T028",'Prácticas_Revisiones'!$T$2:$T$282,"SOFTWARE ENG. OPERATIONS &gt; Software Engineering Operations Control")+COUNTIFS('Prácticas_Snowballing'!$AB$2:$AB$281,"T028",'Prácticas_Snowballing'!$AC$2:$AC$281,"SOFTWARE ENG. OPERATIONS &gt; Software Engineering Operations Control")</f>
        <v>0</v>
      </c>
      <c r="AV36" s="17">
        <f>COUNTIFS('Prácticas_Revisiones'!$S$2:$S$282,"T028",'Prácticas_Revisiones'!$T$2:$T$282,"SOFTWARE ENG. OPERATIONS &gt; Practical Considerations")+COUNTIFS('Prácticas_Snowballing'!$AB$2:$AB$281,"T028",'Prácticas_Snowballing'!$AC$2:$AC$281,"SOFTWARE ENG. OPERATIONS &gt; Practical Considerations")</f>
        <v>0</v>
      </c>
      <c r="AW36" s="17">
        <f>COUNTIFS('Prácticas_Revisiones'!$S$2:$S$282,"T028",'Prácticas_Revisiones'!$T$2:$T$282,"SOFTWARE ENG. OPERATIONS &gt; Software Engineering Operations Tools")+COUNTIFS('Prácticas_Snowballing'!$AB$2:$AB$281,"T028",'Prácticas_Snowballing'!$AC$2:$AC$281,"SOFTWARE ENG. OPERATIONS &gt; Software Engineering Operations Tools")</f>
        <v>0</v>
      </c>
      <c r="AX36" s="17">
        <f>COUNTIFS('Prácticas_Revisiones'!$S$2:$S$282,"T028",'Prácticas_Revisiones'!$T$2:$T$282,"SOFTWARE ENG. OPERATIONS &gt; Subárea no determinable")+COUNTIFS('Prácticas_Snowballing'!$AB$2:$AB$281,"T028",'Prácticas_Snowballing'!$AC$2:$AC$281,"SOFTWARE ENG. OPERATIONS &gt; Subárea no determinable")</f>
        <v>0</v>
      </c>
      <c r="AY36" s="29">
        <f t="shared" si="23"/>
        <v>0</v>
      </c>
      <c r="AZ36" s="17">
        <f>COUNTIFS('Prácticas_Revisiones'!$S$2:$S$282,"T028",'Prácticas_Revisiones'!$T$2:$T$282,"MAINTENANCE &gt; Software Maintenance Fundamentals")+COUNTIFS('Prácticas_Snowballing'!$AB$2:$AB$281,"T028",'Prácticas_Snowballing'!$AC$2:$AC$281,"MAINTENANCE &gt; Software Maintenance Fundamentals")</f>
        <v>0</v>
      </c>
      <c r="BA36" s="17">
        <f>COUNTIFS('Prácticas_Revisiones'!$S$2:$S$282,"T028",'Prácticas_Revisiones'!$T$2:$T$282,"MAINTENANCE &gt; Key Issues in Software Maintenance")+COUNTIFS('Prácticas_Snowballing'!$AB$2:$AB$281,"T028",'Prácticas_Snowballing'!$AC$2:$AC$281,"MAINTENANCE &gt; Key Issues in Software Maintenance")</f>
        <v>0</v>
      </c>
      <c r="BB36" s="17">
        <f>COUNTIFS('Prácticas_Revisiones'!$S$2:$S$282,"T028",'Prácticas_Revisiones'!$T$2:$T$282,"MAINTENANCE &gt; Software Maintenance Processes")+COUNTIFS('Prácticas_Snowballing'!$AB$2:$AB$281,"T028",'Prácticas_Snowballing'!$AC$2:$AC$281,"MAINTENANCE &gt; Software Maintenance Processes")</f>
        <v>0</v>
      </c>
      <c r="BC36" s="17">
        <f>COUNTIFS('Prácticas_Revisiones'!$S$2:$S$282,"T028",'Prácticas_Revisiones'!$T$2:$T$282,"MAINTENANCE &gt; Software Maintenance Techniques")+COUNTIFS('Prácticas_Snowballing'!$AB$2:$AB$281,"T028",'Prácticas_Snowballing'!$AC$2:$AC$281,"MAINTENANCE &gt; Software Maintenance Techniques")</f>
        <v>0</v>
      </c>
      <c r="BD36" s="17">
        <f>COUNTIFS('Prácticas_Revisiones'!$S$2:$S$282,"T028",'Prácticas_Revisiones'!$T$2:$T$282,"MAINTENANCE &gt; Software Maintenance Tools")+COUNTIFS('Prácticas_Snowballing'!$AB$2:$AB$281,"T028",'Prácticas_Snowballing'!$AC$2:$AC$281,"MAINTENANCE &gt; Software Maintenance Tools")</f>
        <v>0</v>
      </c>
      <c r="BE36" s="17">
        <f>COUNTIFS('Prácticas_Revisiones'!$S$2:$S$282,"T028",'Prácticas_Revisiones'!$T$2:$T$282,"MAINTENANCE &gt; Subárea no determinable")+COUNTIFS('Prácticas_Snowballing'!$AB$2:$AB$281,"T028",'Prácticas_Snowballing'!$AC$2:$AC$281,"MAINTENANCE &gt; Subárea no determinable")</f>
        <v>0</v>
      </c>
      <c r="BF36" s="29">
        <f t="shared" si="24"/>
        <v>0</v>
      </c>
      <c r="BG36" s="17">
        <f>COUNTIFS('Prácticas_Revisiones'!$S$2:$S$282,"T028",'Prácticas_Revisiones'!$T$2:$T$282,"SOFTWARE CONFIG. MGMT. &gt; Management of the SCM Process")+COUNTIFS('Prácticas_Snowballing'!$AB$2:$AB$281,"T028",'Prácticas_Snowballing'!$AC$2:$AC$281,"SOFTWARE CONFIG. MGMT. &gt; Management of the SCM Process")</f>
        <v>0</v>
      </c>
      <c r="BH36" s="17">
        <f>COUNTIFS('Prácticas_Revisiones'!$S$2:$S$282,"T028",'Prácticas_Revisiones'!$T$2:$T$282,"SOFTWARE CONFIG. MGMT. &gt; Software Configuration Identification")+COUNTIFS('Prácticas_Snowballing'!$AB$2:$AB$281,"T028",'Prácticas_Snowballing'!$AC$2:$AC$281,"SOFTWARE CONFIG. MGMT. &gt; Software Configuration Identification")</f>
        <v>0</v>
      </c>
      <c r="BI36" s="17">
        <f>COUNTIFS('Prácticas_Revisiones'!$S$2:$S$282,"T028",'Prácticas_Revisiones'!$T$2:$T$282,"SOFTWARE CONFIG. MGMT. &gt; Software Configuration Change Control")+COUNTIFS('Prácticas_Snowballing'!$AB$2:$AB$281,"T028",'Prácticas_Snowballing'!$AC$2:$AC$281,"SOFTWARE CONFIG. MGMT. &gt; Software Configuration Change Control")</f>
        <v>0</v>
      </c>
      <c r="BJ36" s="17">
        <f>COUNTIFS('Prácticas_Revisiones'!$S$2:$S$282,"T028",'Prácticas_Revisiones'!$T$2:$T$282,"SOFTWARE CONFIG. MGMT. &gt; Software Configuration Status Accounting")+COUNTIFS('Prácticas_Snowballing'!$AB$2:$AB$281,"T028",'Prácticas_Snowballing'!$AC$2:$AC$281,"SOFTWARE CONFIG. MGMT. &gt; Software Configuration Status Accounting")</f>
        <v>0</v>
      </c>
      <c r="BK36" s="17">
        <f>COUNTIFS('Prácticas_Revisiones'!$S$2:$S$282,"T028",'Prácticas_Revisiones'!$T$2:$T$282,"SOFTWARE CONFIG. MGMT. &gt; Software Configuration Auditing")+COUNTIFS('Prácticas_Snowballing'!$AB$2:$AB$281,"T028",'Prácticas_Snowballing'!$AC$2:$AC$281,"SOFTWARE CONFIG. MGMT. &gt; Software Configuration Auditing")</f>
        <v>0</v>
      </c>
      <c r="BL36" s="17">
        <f>COUNTIFS('Prácticas_Revisiones'!$S$2:$S$282,"T028",'Prácticas_Revisiones'!$T$2:$T$282,"SOFTWARE CONFIG. MGMT. &gt; Software Release Management and Delivery")+COUNTIFS('Prácticas_Snowballing'!$AB$2:$AB$281,"T028",'Prácticas_Snowballing'!$AC$2:$AC$281,"SOFTWARE CONFIG. MGMT. &gt; Software Release Management and Delivery")</f>
        <v>0</v>
      </c>
      <c r="BM36" s="17">
        <f>COUNTIFS('Prácticas_Revisiones'!$S$2:$S$282,"T028",'Prácticas_Revisiones'!$T$2:$T$282,"SOFTWARE CONFIG. MGMT. &gt; Software Configuration Management Tools")+COUNTIFS('Prácticas_Snowballing'!$AB$2:$AB$281,"T028",'Prácticas_Snowballing'!$AC$2:$AC$281,"SOFTWARE CONFIG. MGMT. &gt; Software Configuration Management Tools")</f>
        <v>0</v>
      </c>
      <c r="BN36" s="17">
        <f>COUNTIFS('Prácticas_Revisiones'!$S$2:$S$282,"T028",'Prácticas_Revisiones'!$T$2:$T$282,"SOFTWARE CONFIG. MGMT. &gt; Subárea no determinable")+COUNTIFS('Prácticas_Snowballing'!$AB$2:$AB$281,"T028",'Prácticas_Snowballing'!$AC$2:$AC$281,"SOFTWARE CONFIG. MGMT. &gt; Subárea no determinable")</f>
        <v>0</v>
      </c>
      <c r="BO36" s="29">
        <f t="shared" si="25"/>
        <v>0</v>
      </c>
      <c r="BP36" s="17">
        <f>COUNTIFS('Prácticas_Revisiones'!$S$2:$S$282,"T028",'Prácticas_Revisiones'!$T$2:$T$282,"SOFTWARE ENG. PROCESS &gt; Software Engineering Process Fundamentals")+COUNTIFS('Prácticas_Snowballing'!$AB$2:$AB$281,"T028",'Prácticas_Snowballing'!$AC$2:$AC$281,"SOFTWARE ENG. PROCESS &gt; Software Engineering Process Fundamentals")</f>
        <v>0</v>
      </c>
      <c r="BQ36" s="17">
        <f>COUNTIFS('Prácticas_Revisiones'!$S$2:$S$282,"T028",'Prácticas_Revisiones'!$T$2:$T$282,"SOFTWARE ENG. PROCESS &gt; Life Cycles")+COUNTIFS('Prácticas_Snowballing'!$AB$2:$AB$281,"T028",'Prácticas_Snowballing'!$AC$2:$AC$281,"SOFTWARE ENG. PROCESS &gt; Life Cycles")</f>
        <v>0</v>
      </c>
      <c r="BR36" s="17">
        <f>COUNTIFS('Prácticas_Revisiones'!$S$2:$S$282,"T028",'Prácticas_Revisiones'!$T$2:$T$282,"SOFTWARE ENG. PROCESS &gt; Software Process Assessment and Improvement")+COUNTIFS('Prácticas_Snowballing'!$AB$2:$AB$281,"T028",'Prácticas_Snowballing'!$AC$2:$AC$281,"SOFTWARE ENG. PROCESS &gt; Software Process Assessment and Improvement")</f>
        <v>0</v>
      </c>
      <c r="BS36" s="17">
        <f>COUNTIFS('Prácticas_Revisiones'!$S$2:$S$282,"T028",'Prácticas_Revisiones'!$T$2:$T$282,"SOFTWARE ENG. PROCESS &gt; Subárea no determinable")+COUNTIFS('Prácticas_Snowballing'!$AB$2:$AB$281,"T028",'Prácticas_Snowballing'!$AC$2:$AC$281,"SOFTWARE ENG. PROCESS &gt; Subárea no determinable")</f>
        <v>0</v>
      </c>
      <c r="BT36" s="29">
        <f t="shared" si="26"/>
        <v>0</v>
      </c>
      <c r="BU36" s="17">
        <f>COUNTIFS('Prácticas_Revisiones'!$S$2:$S$282,"T028",'Prácticas_Revisiones'!$T$2:$T$282,"SOFTWARE ENG. MODELS/METH. &gt; Modeling")+COUNTIFS('Prácticas_Snowballing'!$AB$2:$AB$281,"T028",'Prácticas_Snowballing'!$AC$2:$AC$281,"SOFTWARE ENG. MODELS/METH. &gt; Modeling")</f>
        <v>0</v>
      </c>
      <c r="BV36" s="17">
        <f>COUNTIFS('Prácticas_Revisiones'!$S$2:$S$282,"T028",'Prácticas_Revisiones'!$T$2:$T$282,"SOFTWARE ENG. MODELS/METH. &gt; Types of Models")+COUNTIFS('Prácticas_Snowballing'!$AB$2:$AB$281,"T028",'Prácticas_Snowballing'!$AC$2:$AC$281,"SOFTWARE ENG. MODELS/METH. &gt; Types of Models")</f>
        <v>0</v>
      </c>
      <c r="BW36" s="17">
        <f>COUNTIFS('Prácticas_Revisiones'!$S$2:$S$282,"T028",'Prácticas_Revisiones'!$T$2:$T$282,"SOFTWARE ENG. MODELS/METH. &gt; Analysis of Models")+COUNTIFS('Prácticas_Snowballing'!$AB$2:$AB$281,"T028",'Prácticas_Snowballing'!$AC$2:$AC$281,"SOFTWARE ENG. MODELS/METH. &gt; Analysis of Models")</f>
        <v>0</v>
      </c>
      <c r="BX36" s="17">
        <f>COUNTIFS('Prácticas_Revisiones'!$S$2:$S$282,"T028",'Prácticas_Revisiones'!$T$2:$T$282,"SOFTWARE ENG. MODELS/METH. &gt; Software Engineering Methods")+COUNTIFS('Prácticas_Snowballing'!$AB$2:$AB$281,"T028",'Prácticas_Snowballing'!$AC$2:$AC$281,"SOFTWARE ENG. MODELS/METH. &gt; Software Engineering Methods")</f>
        <v>0</v>
      </c>
      <c r="BY36" s="17">
        <f>COUNTIFS('Prácticas_Revisiones'!$S$2:$S$282,"T028",'Prácticas_Revisiones'!$T$2:$T$282,"SOFTWARE ENG. MODELS/METH. &gt; Subárea no determinable")+COUNTIFS('Prácticas_Snowballing'!$AB$2:$AB$281,"T028",'Prácticas_Snowballing'!$AC$2:$AC$281,"SOFTWARE ENG. MODELS/METH. &gt; Subárea no determinable")</f>
        <v>0</v>
      </c>
      <c r="BZ36" s="29">
        <f t="shared" si="27"/>
        <v>0</v>
      </c>
      <c r="CA36" s="17">
        <f>COUNTIFS('Prácticas_Revisiones'!$S$2:$S$282,"T028",'Prácticas_Revisiones'!$T$2:$T$282,"SOFTWARE QUALITY &gt; Software Quality Fundamentals")+COUNTIFS('Prácticas_Snowballing'!$AB$2:$AB$281,"T028",'Prácticas_Snowballing'!$AC$2:$AC$281,"SOFTWARE QUALITY &gt; Software Quality Fundamentals")</f>
        <v>0</v>
      </c>
      <c r="CB36" s="17">
        <f>COUNTIFS('Prácticas_Revisiones'!$S$2:$S$282,"T028",'Prácticas_Revisiones'!$T$2:$T$282,"SOFTWARE QUALITY &gt; Software Quality Management Process")+COUNTIFS('Prácticas_Snowballing'!$AB$2:$AB$281,"T028",'Prácticas_Snowballing'!$AC$2:$AC$281,"SOFTWARE QUALITY &gt; Software Quality Management Process")</f>
        <v>0</v>
      </c>
      <c r="CC36" s="17">
        <f>COUNTIFS('Prácticas_Revisiones'!$S$2:$S$282,"T028",'Prácticas_Revisiones'!$T$2:$T$282,"SOFTWARE QUALITY &gt; Software Quality Assurance Process")+COUNTIFS('Prácticas_Snowballing'!$AB$2:$AB$281,"T028",'Prácticas_Snowballing'!$AC$2:$AC$281,"SOFTWARE QUALITY &gt; Software Quality Assurance Process")</f>
        <v>0</v>
      </c>
      <c r="CD36" s="17">
        <f>COUNTIFS('Prácticas_Revisiones'!$S$2:$S$282,"T028",'Prácticas_Revisiones'!$T$2:$T$282,"SOFTWARE QUALITY &gt; Software Quality Tools")+COUNTIFS('Prácticas_Snowballing'!$AB$2:$AB$281,"T028",'Prácticas_Snowballing'!$AC$2:$AC$281,"SOFTWARE QUALITY &gt; Software Quality Tools")</f>
        <v>0</v>
      </c>
      <c r="CE36" s="17">
        <f>COUNTIFS('Prácticas_Revisiones'!$S$2:$S$282,"T028",'Prácticas_Revisiones'!$T$2:$T$282,"SOFTWARE QUALITY &gt; Subárea no determinable")+COUNTIFS('Prácticas_Snowballing'!$AB$2:$AB$281,"T028",'Prácticas_Snowballing'!$AC$2:$AC$281,"SOFTWARE QUALITY &gt; Subárea no determinable")</f>
        <v>0</v>
      </c>
      <c r="CF36" s="29">
        <f t="shared" si="28"/>
        <v>0</v>
      </c>
      <c r="CG36" s="17">
        <f>COUNTIFS('Prácticas_Revisiones'!$S$2:$S$282,"T028",'Prácticas_Revisiones'!$T$2:$T$282,"SOFTWARE SECURITY &gt; Software Security Fundamentals")+COUNTIFS('Prácticas_Snowballing'!$AB$2:$AB$281,"T028",'Prácticas_Snowballing'!$AC$2:$AC$281,"SOFTWARE SECURITY &gt; Software Security Fundamentals")</f>
        <v>0</v>
      </c>
      <c r="CH36" s="17">
        <f>COUNTIFS('Prácticas_Revisiones'!$S$2:$S$282,"T028",'Prácticas_Revisiones'!$T$2:$T$282,"SOFTWARE SECURITY &gt; Security Management and Organization")+COUNTIFS('Prácticas_Snowballing'!$AB$2:$AB$281,"T028",'Prácticas_Snowballing'!$AC$2:$AC$281,"SOFTWARE SECURITY &gt; Security Management and Organization")</f>
        <v>0</v>
      </c>
      <c r="CI36" s="17">
        <f>COUNTIFS('Prácticas_Revisiones'!$S$2:$S$282,"T028",'Prácticas_Revisiones'!$T$2:$T$282,"SOFTWARE SECURITY &gt; Software Security Engineering and Process")+COUNTIFS('Prácticas_Snowballing'!$AB$2:$AB$281,"T028",'Prácticas_Snowballing'!$AC$2:$AC$281,"SOFTWARE SECURITY &gt; Software Security Engineering and Process")</f>
        <v>0</v>
      </c>
      <c r="CJ36" s="17">
        <f>COUNTIFS('Prácticas_Revisiones'!$S$2:$S$282,"T028",'Prácticas_Revisiones'!$T$2:$T$282,"SOFTWARE SECURITY &gt; Security Engineering for Software Systems")+COUNTIFS('Prácticas_Snowballing'!$AB$2:$AB$281,"T028",'Prácticas_Snowballing'!$AC$2:$AC$281,"SOFTWARE SECURITY &gt; Security Engineering for Software Systems")</f>
        <v>0</v>
      </c>
      <c r="CK36" s="17">
        <f>COUNTIFS('Prácticas_Revisiones'!$S$2:$S$282,"T028",'Prácticas_Revisiones'!$T$2:$T$282,"SOFTWARE SECURITY &gt; Software Security Tools")+COUNTIFS('Prácticas_Snowballing'!$AB$2:$AB$281,"T028",'Prácticas_Snowballing'!$AC$2:$AC$281,"SOFTWARE SECURITY &gt; Software Security Tools")</f>
        <v>0</v>
      </c>
      <c r="CL36" s="17">
        <f>COUNTIFS('Prácticas_Revisiones'!$S$2:$S$282,"T028",'Prácticas_Revisiones'!$T$2:$T$282,"SOFTWARE SECURITY &gt; Domain Specific Software Security")+COUNTIFS('Prácticas_Snowballing'!$AB$2:$AB$281,"T028",'Prácticas_Snowballing'!$AC$2:$AC$281,"SOFTWARE SECURITY &gt; Domain Specific Software Security")</f>
        <v>0</v>
      </c>
      <c r="CM36" s="17">
        <f>COUNTIFS('Prácticas_Revisiones'!$S$2:$S$282,"T028",'Prácticas_Revisiones'!$T$2:$T$282,"SOFTWARE SECURITY &gt; Subárea no determinable")+COUNTIFS('Prácticas_Snowballing'!$AB$2:$AB$281,"T028",'Prácticas_Snowballing'!$AC$2:$AC$281,"SOFTWARE SECURITY &gt; Subárea no determinable")</f>
        <v>0</v>
      </c>
      <c r="CN36" s="29">
        <f t="shared" si="29"/>
        <v>0</v>
      </c>
      <c r="CO36" s="17">
        <f>COUNTIFS('Prácticas_Revisiones'!$S$2:$S$282,"T028",'Prácticas_Revisiones'!$T$2:$T$282,"PROFESSIONAL PRACTICE &gt; Professionalism")+COUNTIFS('Prácticas_Snowballing'!$AB$2:$AB$281,"T028",'Prácticas_Snowballing'!$AC$2:$AC$281,"PROFESSIONAL PRACTICE &gt; Professionalism")</f>
        <v>0</v>
      </c>
      <c r="CP36" s="17">
        <f>COUNTIFS('Prácticas_Revisiones'!$S$2:$S$282,"T028",'Prácticas_Revisiones'!$T$2:$T$282,"PROFESSIONAL PRACTICE &gt; Group Dynamics and Psychology")+COUNTIFS('Prácticas_Snowballing'!$AB$2:$AB$281,"T028",'Prácticas_Snowballing'!$AC$2:$AC$281,"PROFESSIONAL PRACTICE &gt; Group Dynamics and Psychology")</f>
        <v>0</v>
      </c>
      <c r="CQ36" s="17">
        <f>COUNTIFS('Prácticas_Revisiones'!$S$2:$S$282,"T028",'Prácticas_Revisiones'!$T$2:$T$282,"PROFESSIONAL PRACTICE &gt; Communication Skills")+COUNTIFS('Prácticas_Snowballing'!$AB$2:$AB$281,"T028",'Prácticas_Snowballing'!$AC$2:$AC$281,"PROFESSIONAL PRACTICE &gt; Communication Skills")</f>
        <v>0</v>
      </c>
      <c r="CR36" s="17">
        <f>COUNTIFS('Prácticas_Revisiones'!$S$2:$S$282,"T028",'Prácticas_Revisiones'!$T$2:$T$282,"PROFESSIONAL PRACTICE &gt; Subárea no determinable")+COUNTIFS('Prácticas_Snowballing'!$AB$2:$AB$281,"T028",'Prácticas_Snowballing'!$AC$2:$AC$281,"PROFESSIONAL PRACTICE &gt; Subárea no determinable")</f>
        <v>0</v>
      </c>
      <c r="CS36" s="29">
        <f t="shared" si="30"/>
        <v>0</v>
      </c>
      <c r="CT36" s="17">
        <f>COUNTIFS('Prácticas_Revisiones'!$S$2:$S$282,"T028",'Prácticas_Revisiones'!$T$2:$T$282,"SOFTWARE ENG. ECONOMICS &gt; Software Engineering Economics Fundamentals")+COUNTIFS('Prácticas_Snowballing'!$AB$2:$AB$281,"T028",'Prácticas_Snowballing'!$AC$2:$AC$281,"SOFTWARE ENG. ECONOMICS &gt; Software Engineering Economics Fundamentals")</f>
        <v>0</v>
      </c>
      <c r="CU36" s="17">
        <f>COUNTIFS('Prácticas_Revisiones'!$S$2:$S$282,"T028",'Prácticas_Revisiones'!$T$2:$T$282,"SOFTWARE ENG. ECONOMICS &gt; The Engineering Decision-Making Process")+COUNTIFS('Prácticas_Snowballing'!$AB$2:$AB$281,"T028",'Prácticas_Snowballing'!$AC$2:$AC$281,"SOFTWARE ENG. ECONOMICS &gt; The Engineering Decision-Making Process")</f>
        <v>0</v>
      </c>
      <c r="CV36" s="17">
        <f>COUNTIFS('Prácticas_Revisiones'!$S$2:$S$282,"T028",'Prácticas_Revisiones'!$T$2:$T$282,"SOFTWARE ENG. ECONOMICS &gt; For-Profit Decision-Making")+COUNTIFS('Prácticas_Snowballing'!$AB$2:$AB$281,"T028",'Prácticas_Snowballing'!$AC$2:$AC$281,"SOFTWARE ENG. ECONOMICS &gt; For-Profit Decision-Making")</f>
        <v>0</v>
      </c>
      <c r="CW36" s="17">
        <f>COUNTIFS('Prácticas_Revisiones'!$S$2:$S$282,"T028",'Prácticas_Revisiones'!$T$2:$T$282,"SOFTWARE ENG. ECONOMICS &gt; Nonprofit Decision-Making")+COUNTIFS('Prácticas_Snowballing'!$AB$2:$AB$281,"T028",'Prácticas_Snowballing'!$AC$2:$AC$281,"SOFTWARE ENG. ECONOMICS &gt; Nonprofit Decision-Making")</f>
        <v>0</v>
      </c>
      <c r="CX36" s="17">
        <f>COUNTIFS('Prácticas_Revisiones'!$S$2:$S$282,"T028",'Prácticas_Revisiones'!$T$2:$T$282,"SOFTWARE ENG. ECONOMICS &gt; Present Economy Decision-Making")+COUNTIFS('Prácticas_Snowballing'!$AB$2:$AB$281,"T028",'Prácticas_Snowballing'!$AC$2:$AC$281,"SOFTWARE ENG. ECONOMICS &gt; Present Economy Decision-Making")</f>
        <v>0</v>
      </c>
      <c r="CY36" s="17">
        <f>COUNTIFS('Prácticas_Revisiones'!$S$2:$S$282,"T028",'Prácticas_Revisiones'!$T$2:$T$282,"SOFTWARE ENG. ECONOMICS &gt; Multiple-Attribute Decision-Making")+COUNTIFS('Prácticas_Snowballing'!$AB$2:$AB$281,"T028",'Prácticas_Snowballing'!$AC$2:$AC$281,"SOFTWARE ENG. ECONOMICS &gt; Multiple-Attribute Decision-Making")</f>
        <v>0</v>
      </c>
      <c r="CZ36" s="17">
        <f>COUNTIFS('Prácticas_Revisiones'!$S$2:$S$282,"T028",'Prácticas_Revisiones'!$T$2:$T$282,"SOFTWARE ENG. ECONOMICS &gt; Identifying and Characterizing Intangible Assets")+COUNTIFS('Prácticas_Snowballing'!$AB$2:$AB$281,"T028",'Prácticas_Snowballing'!$AC$2:$AC$281,"SOFTWARE ENG. ECONOMICS &gt; Identifying and Characterizing Intangible Assets")</f>
        <v>0</v>
      </c>
      <c r="DA36" s="17">
        <f>COUNTIFS('Prácticas_Revisiones'!$S$2:$S$282,"T028",'Prácticas_Revisiones'!$T$2:$T$282,"SOFTWARE ENG. ECONOMICS &gt; Estimation")+COUNTIFS('Prácticas_Snowballing'!$AB$2:$AB$281,"T028",'Prácticas_Snowballing'!$AC$2:$AC$281,"SOFTWARE ENG. ECONOMICS &gt; Estimation")</f>
        <v>0</v>
      </c>
      <c r="DB36" s="17">
        <f>COUNTIFS('Prácticas_Revisiones'!$S$2:$S$282,"T028",'Prácticas_Revisiones'!$T$2:$T$282,"SOFTWARE ENG. ECONOMICS &gt; Practical Considerations")+COUNTIFS('Prácticas_Snowballing'!$AB$2:$AB$281,"T028",'Prácticas_Snowballing'!$AC$2:$AC$281,"SOFTWARE ENG. ECONOMICS &gt; Practical Considerations")</f>
        <v>0</v>
      </c>
      <c r="DC36" s="17">
        <f>COUNTIFS('Prácticas_Revisiones'!$S$2:$S$282,"T028",'Prácticas_Revisiones'!$T$2:$T$282,"SOFTWARE ENG. ECONOMICS &gt; Related Concepts")+COUNTIFS('Prácticas_Snowballing'!$AB$2:$AB$281,"T028",'Prácticas_Snowballing'!$AC$2:$AC$281,"SOFTWARE ENG. ECONOMICS &gt; Related Concepts")</f>
        <v>0</v>
      </c>
      <c r="DD36" s="17">
        <f>COUNTIFS('Prácticas_Revisiones'!$S$2:$S$282,"T028",'Prácticas_Revisiones'!$T$2:$T$282,"SOFTWARE ENG. ECONOMICS &gt; Subárea no determinable")+COUNTIFS('Prácticas_Snowballing'!$AB$2:$AB$281,"T028",'Prácticas_Snowballing'!$AC$2:$AC$281,"SOFTWARE ENG. ECONOMICS &gt; Subárea no determinable")</f>
        <v>0</v>
      </c>
      <c r="DE36" s="29">
        <f t="shared" si="31"/>
        <v>0</v>
      </c>
      <c r="DF36" s="17">
        <f>COUNTIFS('Prácticas_Revisiones'!$S$2:$S$282,"T028",'Prácticas_Revisiones'!$T$2:$T$282,"SOFTWARE ENG. MANAGEMENT &gt; Software Engineering Management Fundamentals")+COUNTIFS('Prácticas_Snowballing'!$AB$2:$AB$281,"T028",'Prácticas_Snowballing'!$AC$2:$AC$281,"SOFTWARE ENG. MANAGEMENT &gt; Software Engineering Management Fundamentals")</f>
        <v>0</v>
      </c>
      <c r="DG36" s="17">
        <f>COUNTIFS('Prácticas_Revisiones'!$S$2:$S$282,"T028",'Prácticas_Revisiones'!$T$2:$T$282,"SOFTWARE ENG. MANAGEMENT &gt; Initiation and Scope Definition")+COUNTIFS('Prácticas_Snowballing'!$AB$2:$AB$281,"T028",'Prácticas_Snowballing'!$AC$2:$AC$281,"SOFTWARE ENG. MANAGEMENT &gt; Initiation and Scope Definition")</f>
        <v>0</v>
      </c>
      <c r="DH36" s="17">
        <f>COUNTIFS('Prácticas_Revisiones'!$S$2:$S$282,"T028",'Prácticas_Revisiones'!$T$2:$T$282,"SOFTWARE ENG. MANAGEMENT &gt; Software Project Planning")+COUNTIFS('Prácticas_Snowballing'!$AB$2:$AB$281,"T028",'Prácticas_Snowballing'!$AC$2:$AC$281,"SOFTWARE ENG. MANAGEMENT &gt; Software Project Planning")</f>
        <v>0</v>
      </c>
      <c r="DI36" s="17">
        <f>COUNTIFS('Prácticas_Revisiones'!$S$2:$S$282,"T028",'Prácticas_Revisiones'!$T$2:$T$282,"SOFTWARE ENG. MANAGEMENT &gt; Software Project Enactment")+COUNTIFS('Prácticas_Snowballing'!$AB$2:$AB$281,"T028",'Prácticas_Snowballing'!$AC$2:$AC$281,"SOFTWARE ENG. MANAGEMENT &gt; Software Project Enactment")</f>
        <v>0</v>
      </c>
      <c r="DJ36" s="17">
        <f>COUNTIFS('Prácticas_Revisiones'!$S$2:$S$282,"T028",'Prácticas_Revisiones'!$T$2:$T$282,"SOFTWARE ENG. MANAGEMENT &gt; Review and Evaluation")+COUNTIFS('Prácticas_Snowballing'!$AB$2:$AB$281,"T028",'Prácticas_Snowballing'!$AC$2:$AC$281,"SOFTWARE ENG. MANAGEMENT &gt; Review and Evaluation")</f>
        <v>0</v>
      </c>
      <c r="DK36" s="17">
        <f>COUNTIFS('Prácticas_Revisiones'!$S$2:$S$282,"T028",'Prácticas_Revisiones'!$T$2:$T$282,"SOFTWARE ENG. MANAGEMENT &gt; Closure")+COUNTIFS('Prácticas_Snowballing'!$AB$2:$AB$281,"T028",'Prácticas_Snowballing'!$AC$2:$AC$281,"SOFTWARE ENG. MANAGEMENT &gt; Closure")</f>
        <v>0</v>
      </c>
      <c r="DL36" s="17">
        <f>COUNTIFS('Prácticas_Revisiones'!$S$2:$S$282,"T028",'Prácticas_Revisiones'!$T$2:$T$282,"SOFTWARE ENG. MANAGEMENT &gt; Software Engineering Management Tools")+COUNTIFS('Prácticas_Snowballing'!$AB$2:$AB$281,"T028",'Prácticas_Snowballing'!$AC$2:$AC$281,"SOFTWARE ENG. MANAGEMENT &gt; Software Engineering Management Tools")</f>
        <v>0</v>
      </c>
      <c r="DM36" s="17">
        <f>COUNTIFS('Prácticas_Revisiones'!$S$2:$S$282,"T028",'Prácticas_Revisiones'!$T$2:$T$282,"SOFTWARE ENG. MANAGEMENT &gt; Subárea no determinable")+COUNTIFS('Prácticas_Snowballing'!$AB$2:$AB$281,"T028",'Prácticas_Snowballing'!$AC$2:$AC$281,"SOFTWARE ENG. MANAGEMENT &gt; Subárea no determinable")</f>
        <v>0</v>
      </c>
      <c r="DN36" s="29">
        <f t="shared" si="32"/>
        <v>0</v>
      </c>
      <c r="DO36" s="17">
        <f>COUNTIFS('Prácticas_Revisiones'!$S$2:$S$282,"T028",'Prácticas_Revisiones'!$T$2:$T$282,"Sin área SWEBOK")+COUNTIFS('Prácticas_Snowballing'!$AB$2:$AB$281,"T028",'Prácticas_Snowballing'!$AC$2:$AC$281,"Sin área SWEBOK")</f>
        <v>0</v>
      </c>
      <c r="DP36" s="27">
        <f t="shared" si="33"/>
        <v>0</v>
      </c>
    </row>
    <row r="37" ht="15.75" customHeight="1">
      <c r="A37" s="28"/>
      <c r="B37" s="16" t="s">
        <v>2746</v>
      </c>
      <c r="C37" s="17">
        <f>COUNTIFS('Prácticas_Revisiones'!$S$2:$S$282,"T029",'Prácticas_Revisiones'!$T$2:$T$282,"REQUIREMENTS &gt; Software Requirements Fundamentals")+COUNTIFS('Prácticas_Snowballing'!$AB$2:$AB$281,"T029",'Prácticas_Snowballing'!$AC$2:$AC$281,"REQUIREMENTS &gt; Software Requirements Fundamentals")</f>
        <v>0</v>
      </c>
      <c r="D37" s="17">
        <f>COUNTIFS('Prácticas_Revisiones'!$S$2:$S$282,"T029",'Prácticas_Revisiones'!$T$2:$T$282,"REQUIREMENTS &gt; Requirements Elicitation")+COUNTIFS('Prácticas_Snowballing'!$AB$2:$AB$281,"T029",'Prácticas_Snowballing'!$AC$2:$AC$281,"REQUIREMENTS &gt; Requirements Elicitation")</f>
        <v>0</v>
      </c>
      <c r="E37" s="17">
        <f>COUNTIFS('Prácticas_Revisiones'!$S$2:$S$282,"T029",'Prácticas_Revisiones'!$T$2:$T$282,"REQUIREMENTS &gt; Requirements Analysis")+COUNTIFS('Prácticas_Snowballing'!$AB$2:$AB$281,"T029",'Prácticas_Snowballing'!$AC$2:$AC$281,"REQUIREMENTS &gt; Requirements Analysis")</f>
        <v>0</v>
      </c>
      <c r="F37" s="17">
        <f>COUNTIFS('Prácticas_Revisiones'!$S$2:$S$282,"T029",'Prácticas_Revisiones'!$T$2:$T$282,"REQUIREMENTS &gt; Requirements Specification")+COUNTIFS('Prácticas_Snowballing'!$AB$2:$AB$281,"T029",'Prácticas_Snowballing'!$AC$2:$AC$281,"REQUIREMENTS &gt; Requirements Specification")</f>
        <v>0</v>
      </c>
      <c r="G37" s="17">
        <f>COUNTIFS('Prácticas_Revisiones'!$S$2:$S$282,"T029",'Prácticas_Revisiones'!$T$2:$T$282,"REQUIREMENTS &gt; Requirements Validation")+COUNTIFS('Prácticas_Snowballing'!$AB$2:$AB$281,"T029",'Prácticas_Snowballing'!$AC$2:$AC$281,"REQUIREMENTS &gt; Requirements Validation")</f>
        <v>0</v>
      </c>
      <c r="H37" s="17">
        <f>COUNTIFS('Prácticas_Revisiones'!$S$2:$S$282,"T029",'Prácticas_Revisiones'!$T$2:$T$282,"REQUIREMENTS &gt; Requirements Management Activities")+COUNTIFS('Prácticas_Snowballing'!$AB$2:$AB$281,"T029",'Prácticas_Snowballing'!$AC$2:$AC$281,"REQUIREMENTS &gt; Requirements Management Activities")</f>
        <v>0</v>
      </c>
      <c r="I37" s="17">
        <f>COUNTIFS('Prácticas_Revisiones'!$S$2:$S$282,"T029",'Prácticas_Revisiones'!$T$2:$T$282,"REQUIREMENTS &gt; Practical Considerations")+COUNTIFS('Prácticas_Snowballing'!$AB$2:$AB$281,"T029",'Prácticas_Snowballing'!$AC$2:$AC$281,"REQUIREMENTS &gt; Practical Considerations")</f>
        <v>0</v>
      </c>
      <c r="J37" s="17">
        <f>COUNTIFS('Prácticas_Revisiones'!$S$2:$S$282,"T029",'Prácticas_Revisiones'!$T$2:$T$282,"REQUIREMENTS &gt; Software Requirements Tools")+COUNTIFS('Prácticas_Snowballing'!$AB$2:$AB$281,"T029",'Prácticas_Snowballing'!$AC$2:$AC$281,"REQUIREMENTS &gt; Software Requirements Tools")</f>
        <v>0</v>
      </c>
      <c r="K37" s="17">
        <f>COUNTIFS('Prácticas_Revisiones'!$S$2:$S$282,"T029",'Prácticas_Revisiones'!$T$2:$T$282,"REQUIREMENTS &gt; Subárea no determinable")+COUNTIFS('Prácticas_Snowballing'!$AB$2:$AB$281,"T029",'Prácticas_Snowballing'!$AC$2:$AC$281,"REQUIREMENTS &gt; Subárea no determinable")</f>
        <v>0</v>
      </c>
      <c r="L37" s="29">
        <f t="shared" si="18"/>
        <v>0</v>
      </c>
      <c r="M37" s="17">
        <f>COUNTIFS('Prácticas_Revisiones'!$S$2:$S$282,"T029",'Prácticas_Revisiones'!$T$2:$T$282,"ARCHITECTURE &gt; Software Architecture Fundamentals")+COUNTIFS('Prácticas_Snowballing'!$AB$2:$AB$281,"T029",'Prácticas_Snowballing'!$AC$2:$AC$281,"ARCHITECTURE &gt; Software Architecture Fundamentals")</f>
        <v>0</v>
      </c>
      <c r="N37" s="17">
        <f>COUNTIFS('Prácticas_Revisiones'!$S$2:$S$282,"T029",'Prácticas_Revisiones'!$T$2:$T$282,"ARCHITECTURE &gt; Software Architecture Description")+COUNTIFS('Prácticas_Snowballing'!$AB$2:$AB$281,"T029",'Prácticas_Snowballing'!$AC$2:$AC$281,"ARCHITECTURE &gt; Software Architecture Description")</f>
        <v>0</v>
      </c>
      <c r="O37" s="17">
        <f>COUNTIFS('Prácticas_Revisiones'!$S$2:$S$282,"T029",'Prácticas_Revisiones'!$T$2:$T$282,"ARCHITECTURE &gt; Software Architecture Process")+COUNTIFS('Prácticas_Snowballing'!$AB$2:$AB$281,"T029",'Prácticas_Snowballing'!$AC$2:$AC$281,"ARCHITECTURE &gt; Software Architecture Process")</f>
        <v>0</v>
      </c>
      <c r="P37" s="17">
        <f>COUNTIFS('Prácticas_Revisiones'!$S$2:$S$282,"T029",'Prácticas_Revisiones'!$T$2:$T$282,"ARCHITECTURE &gt; Software Architecture Evaluation")+COUNTIFS('Prácticas_Snowballing'!$AB$2:$AB$281,"T029",'Prácticas_Snowballing'!$AC$2:$AC$281,"ARCHITECTURE &gt; Software Architecture Evaluation")</f>
        <v>0</v>
      </c>
      <c r="Q37" s="17">
        <f>COUNTIFS('Prácticas_Revisiones'!$S$2:$S$282,"T029",'Prácticas_Revisiones'!$T$2:$T$282,"ARCHITECTURE &gt; Subárea no determinable")+COUNTIFS('Prácticas_Snowballing'!$AB$2:$AB$281,"T029",'Prácticas_Snowballing'!$AC$2:$AC$281,"ARCHITECTURE &gt; Subárea no determinable")</f>
        <v>0</v>
      </c>
      <c r="R37" s="29">
        <f t="shared" si="19"/>
        <v>0</v>
      </c>
      <c r="S37" s="17">
        <f>COUNTIFS('Prácticas_Revisiones'!$S$2:$S$282,"T029",'Prácticas_Revisiones'!$T$2:$T$282,"DESIGN &gt; Software Design Fundamentals")+COUNTIFS('Prácticas_Snowballing'!$AB$2:$AB$281,"T029",'Prácticas_Snowballing'!$AC$2:$AC$281,"DESIGN &gt; Software Design Fundamentals")</f>
        <v>0</v>
      </c>
      <c r="T37" s="17">
        <f>COUNTIFS('Prácticas_Revisiones'!$S$2:$S$282,"T029",'Prácticas_Revisiones'!$T$2:$T$282,"DESIGN &gt; Software Design Processes")+COUNTIFS('Prácticas_Snowballing'!$AB$2:$AB$281,"T029",'Prácticas_Snowballing'!$AC$2:$AC$281,"DESIGN &gt; Software Design Processes")</f>
        <v>0</v>
      </c>
      <c r="U37" s="17">
        <f>COUNTIFS('Prácticas_Revisiones'!$S$2:$S$282,"T029",'Prácticas_Revisiones'!$T$2:$T$282,"DESIGN &gt; Software Design Qualities")+COUNTIFS('Prácticas_Snowballing'!$AB$2:$AB$281,"T029",'Prácticas_Snowballing'!$AC$2:$AC$281,"DESIGN &gt; Software Design Qualities")</f>
        <v>0</v>
      </c>
      <c r="V37" s="17">
        <f>COUNTIFS('Prácticas_Revisiones'!$S$2:$S$282,"T029",'Prácticas_Revisiones'!$T$2:$T$282,"DESIGN &gt; Recording Software Design")+COUNTIFS('Prácticas_Snowballing'!$AB$2:$AB$281,"T029",'Prácticas_Snowballing'!$AC$2:$AC$281,"DESIGN &gt; Recording Software Design")</f>
        <v>0</v>
      </c>
      <c r="W37" s="17">
        <f>COUNTIFS('Prácticas_Revisiones'!$S$2:$S$282,"T029",'Prácticas_Revisiones'!$T$2:$T$282,"DESIGN &gt; Software Design Strategies and Methods")+COUNTIFS('Prácticas_Snowballing'!$AB$2:$AB$281,"T029",'Prácticas_Snowballing'!$AC$2:$AC$281,"DESIGN &gt; Software Design Strategies and Methods")</f>
        <v>0</v>
      </c>
      <c r="X37" s="17">
        <f>COUNTIFS('Prácticas_Revisiones'!$S$2:$S$282,"T029",'Prácticas_Revisiones'!$T$2:$T$282,"DESIGN &gt; Software Design Analysis and Evaluations")+COUNTIFS('Prácticas_Snowballing'!$AB$2:$AB$281,"T029",'Prácticas_Snowballing'!$AC$2:$AC$281,"DESIGN &gt; Software Design Analysis and Evaluations")</f>
        <v>0</v>
      </c>
      <c r="Y37" s="17">
        <f>COUNTIFS('Prácticas_Revisiones'!$S$2:$S$282,"T029",'Prácticas_Revisiones'!$T$2:$T$282,"DESIGN &gt; Subárea no determinable")+COUNTIFS('Prácticas_Snowballing'!$AB$2:$AB$281,"T029",'Prácticas_Snowballing'!$AC$2:$AC$281,"DESIGN &gt; Subárea no determinable")</f>
        <v>0</v>
      </c>
      <c r="Z37" s="29">
        <f t="shared" si="20"/>
        <v>0</v>
      </c>
      <c r="AA37" s="17">
        <f>COUNTIFS('Prácticas_Revisiones'!$S$2:$S$282,"T029",'Prácticas_Revisiones'!$T$2:$T$282,"CONSTRUCTION &gt; Software Construction Fundamentals")+COUNTIFS('Prácticas_Snowballing'!$AB$2:$AB$281,"T029",'Prácticas_Snowballing'!$AC$2:$AC$281,"CONSTRUCTION &gt; Software Construction Fundamentals")</f>
        <v>0</v>
      </c>
      <c r="AB37" s="17">
        <f>COUNTIFS('Prácticas_Revisiones'!$S$2:$S$282,"T029",'Prácticas_Revisiones'!$T$2:$T$282,"CONSTRUCTION &gt; Managing Construction")+COUNTIFS('Prácticas_Snowballing'!$AB$2:$AB$281,"T029",'Prácticas_Snowballing'!$AC$2:$AC$281,"CONSTRUCTION &gt; Managing Construction")</f>
        <v>0</v>
      </c>
      <c r="AC37" s="17">
        <f>COUNTIFS('Prácticas_Revisiones'!$S$2:$S$282,"T029",'Prácticas_Revisiones'!$T$2:$T$282,"CONSTRUCTION &gt; Practical Considerations")+COUNTIFS('Prácticas_Snowballing'!$AB$2:$AB$281,"T029",'Prácticas_Snowballing'!$AC$2:$AC$281,"CONSTRUCTION &gt; Practical Considerations")</f>
        <v>0</v>
      </c>
      <c r="AD37" s="17">
        <f>COUNTIFS('Prácticas_Revisiones'!$S$2:$S$282,"T029",'Prácticas_Revisiones'!$T$2:$T$282,"CONSTRUCTION &gt; Construction Technologies")+COUNTIFS('Prácticas_Snowballing'!$AB$2:$AB$281,"T029",'Prácticas_Snowballing'!$AC$2:$AC$281,"CONSTRUCTION &gt; Construction Technologies")</f>
        <v>0</v>
      </c>
      <c r="AE37" s="17">
        <f>COUNTIFS('Prácticas_Revisiones'!$S$2:$S$282,"T029",'Prácticas_Revisiones'!$T$2:$T$282,"CONSTRUCTION &gt; Software Construction Tools")+COUNTIFS('Prácticas_Snowballing'!$AB$2:$AB$281,"T029",'Prácticas_Snowballing'!$AC$2:$AC$281,"CONSTRUCTION &gt; Software Construction Tools")</f>
        <v>0</v>
      </c>
      <c r="AF37" s="17">
        <f>COUNTIFS('Prácticas_Revisiones'!$S$2:$S$282,"T029",'Prácticas_Revisiones'!$T$2:$T$282,"CONSTRUCTION &gt; Subárea no determinable")+COUNTIFS('Prácticas_Snowballing'!$AB$2:$AB$281,"T029",'Prácticas_Snowballing'!$AC$2:$AC$281,"CONSTRUCTION &gt; Subárea no determinable")</f>
        <v>0</v>
      </c>
      <c r="AG37" s="29">
        <f t="shared" si="21"/>
        <v>0</v>
      </c>
      <c r="AH37" s="17">
        <f>COUNTIFS('Prácticas_Revisiones'!$S$2:$S$282,"T029",'Prácticas_Revisiones'!$T$2:$T$282,"SOFTWARE TESTING &gt; Software Testing Fundamentals")+COUNTIFS('Prácticas_Snowballing'!$AB$2:$AB$281,"T029",'Prácticas_Snowballing'!$AC$2:$AC$281,"SOFTWARE TESTING &gt; Software Testing Fundamentals")</f>
        <v>0</v>
      </c>
      <c r="AI37" s="17">
        <f>COUNTIFS('Prácticas_Revisiones'!$S$2:$S$282,"T029",'Prácticas_Revisiones'!$T$2:$T$282,"SOFTWARE TESTING &gt; Test Levels")+COUNTIFS('Prácticas_Snowballing'!$AB$2:$AB$281,"T029",'Prácticas_Snowballing'!$AC$2:$AC$281,"SOFTWARE TESTING &gt; Test Levels")</f>
        <v>0</v>
      </c>
      <c r="AJ37" s="17">
        <f>COUNTIFS('Prácticas_Revisiones'!$S$2:$S$282,"T029",'Prácticas_Revisiones'!$T$2:$T$282,"SOFTWARE TESTING &gt; Test Techniques")+COUNTIFS('Prácticas_Snowballing'!$AB$2:$AB$281,"T029",'Prácticas_Snowballing'!$AC$2:$AC$281,"SOFTWARE TESTING &gt; Test Techniques")</f>
        <v>0</v>
      </c>
      <c r="AK37" s="17">
        <f>COUNTIFS('Prácticas_Revisiones'!$S$2:$S$282,"T029",'Prácticas_Revisiones'!$T$2:$T$282,"SOFTWARE TESTING &gt; Test-Related Measures")+COUNTIFS('Prácticas_Snowballing'!$AB$2:$AB$281,"T029",'Prácticas_Snowballing'!$AC$2:$AC$281,"SOFTWARE TESTING &gt; Test-Related Measures")</f>
        <v>0</v>
      </c>
      <c r="AL37" s="17">
        <f>COUNTIFS('Prácticas_Revisiones'!$S$2:$S$282,"T029",'Prácticas_Revisiones'!$T$2:$T$282,"SOFTWARE TESTING &gt; Test Process")+COUNTIFS('Prácticas_Snowballing'!$AB$2:$AB$281,"T029",'Prácticas_Snowballing'!$AC$2:$AC$281,"SOFTWARE TESTING &gt; Test Process")</f>
        <v>0</v>
      </c>
      <c r="AM37" s="17">
        <f>COUNTIFS('Prácticas_Revisiones'!$S$2:$S$282,"T029",'Prácticas_Revisiones'!$T$2:$T$282,"SOFTWARE TESTING &gt; Software Testing in the Development Processes...")+COUNTIFS('Prácticas_Snowballing'!$AB$2:$AB$281,"T029",'Prácticas_Snowballing'!$AC$2:$AC$281,"SOFTWARE TESTING &gt; Software Testing in the Development Processes...")</f>
        <v>0</v>
      </c>
      <c r="AN37" s="17">
        <f>COUNTIFS('Prácticas_Revisiones'!$S$2:$S$282,"T029",'Prácticas_Revisiones'!$T$2:$T$282,"SOFTWARE TESTING &gt; Testing of and Testing Through Emerging Tech...")+COUNTIFS('Prácticas_Snowballing'!$AB$2:$AB$281,"T029",'Prácticas_Snowballing'!$AC$2:$AC$281,"SOFTWARE TESTING &gt; Testing of and Testing Through Emerging Tech...")</f>
        <v>0</v>
      </c>
      <c r="AO37" s="17">
        <f>COUNTIFS('Prácticas_Revisiones'!$S$2:$S$282,"T029",'Prácticas_Revisiones'!$T$2:$T$282,"SOFTWARE TESTING &gt; Software Testing Tools")+COUNTIFS('Prácticas_Snowballing'!$AB$2:$AB$281,"T029",'Prácticas_Snowballing'!$AC$2:$AC$281,"SOFTWARE TESTING &gt; Software Testing Tools")</f>
        <v>0</v>
      </c>
      <c r="AP37" s="17">
        <f>COUNTIFS('Prácticas_Revisiones'!$S$2:$S$282,"T029",'Prácticas_Revisiones'!$T$2:$T$282,"SOFTWARE TESTING &gt; Subárea no determinable")+COUNTIFS('Prácticas_Snowballing'!$AB$2:$AB$281,"T029",'Prácticas_Snowballing'!$AC$2:$AC$281,"SOFTWARE TESTING &gt; Subárea no determinable")</f>
        <v>0</v>
      </c>
      <c r="AQ37" s="29">
        <f t="shared" si="22"/>
        <v>0</v>
      </c>
      <c r="AR37" s="17">
        <f>COUNTIFS('Prácticas_Revisiones'!$S$2:$S$282,"T029",'Prácticas_Revisiones'!$T$2:$T$282,"SOFTWARE ENG. OPERATIONS &gt; Software Engineering Operations Fundamentals")+COUNTIFS('Prácticas_Snowballing'!$AB$2:$AB$281,"T029",'Prácticas_Snowballing'!$AC$2:$AC$281,"SOFTWARE ENG. OPERATIONS &gt; Software Engineering Operations Fundamentals")</f>
        <v>0</v>
      </c>
      <c r="AS37" s="17">
        <f>COUNTIFS('Prácticas_Revisiones'!$S$2:$S$282,"T029",'Prácticas_Revisiones'!$T$2:$T$282,"SOFTWARE ENG. OPERATIONS &gt; Software Engineering Operations Planning")+COUNTIFS('Prácticas_Snowballing'!$AB$2:$AB$281,"T029",'Prácticas_Snowballing'!$AC$2:$AC$281,"SOFTWARE ENG. OPERATIONS &gt; Software Engineering Operations Planning")</f>
        <v>0</v>
      </c>
      <c r="AT37" s="17">
        <f>COUNTIFS('Prácticas_Revisiones'!$S$2:$S$282,"T029",'Prácticas_Revisiones'!$T$2:$T$282,"SOFTWARE ENG. OPERATIONS &gt; Software Engineering Operations Delivery")+COUNTIFS('Prácticas_Snowballing'!$AB$2:$AB$281,"T029",'Prácticas_Snowballing'!$AC$2:$AC$281,"SOFTWARE ENG. OPERATIONS &gt; Software Engineering Operations Delivery")</f>
        <v>0</v>
      </c>
      <c r="AU37" s="17">
        <f>COUNTIFS('Prácticas_Revisiones'!$S$2:$S$282,"T029",'Prácticas_Revisiones'!$T$2:$T$282,"SOFTWARE ENG. OPERATIONS &gt; Software Engineering Operations Control")+COUNTIFS('Prácticas_Snowballing'!$AB$2:$AB$281,"T029",'Prácticas_Snowballing'!$AC$2:$AC$281,"SOFTWARE ENG. OPERATIONS &gt; Software Engineering Operations Control")</f>
        <v>0</v>
      </c>
      <c r="AV37" s="17">
        <f>COUNTIFS('Prácticas_Revisiones'!$S$2:$S$282,"T029",'Prácticas_Revisiones'!$T$2:$T$282,"SOFTWARE ENG. OPERATIONS &gt; Practical Considerations")+COUNTIFS('Prácticas_Snowballing'!$AB$2:$AB$281,"T029",'Prácticas_Snowballing'!$AC$2:$AC$281,"SOFTWARE ENG. OPERATIONS &gt; Practical Considerations")</f>
        <v>0</v>
      </c>
      <c r="AW37" s="17">
        <f>COUNTIFS('Prácticas_Revisiones'!$S$2:$S$282,"T029",'Prácticas_Revisiones'!$T$2:$T$282,"SOFTWARE ENG. OPERATIONS &gt; Software Engineering Operations Tools")+COUNTIFS('Prácticas_Snowballing'!$AB$2:$AB$281,"T029",'Prácticas_Snowballing'!$AC$2:$AC$281,"SOFTWARE ENG. OPERATIONS &gt; Software Engineering Operations Tools")</f>
        <v>0</v>
      </c>
      <c r="AX37" s="17">
        <f>COUNTIFS('Prácticas_Revisiones'!$S$2:$S$282,"T029",'Prácticas_Revisiones'!$T$2:$T$282,"SOFTWARE ENG. OPERATIONS &gt; Subárea no determinable")+COUNTIFS('Prácticas_Snowballing'!$AB$2:$AB$281,"T029",'Prácticas_Snowballing'!$AC$2:$AC$281,"SOFTWARE ENG. OPERATIONS &gt; Subárea no determinable")</f>
        <v>0</v>
      </c>
      <c r="AY37" s="29">
        <f t="shared" si="23"/>
        <v>0</v>
      </c>
      <c r="AZ37" s="17">
        <f>COUNTIFS('Prácticas_Revisiones'!$S$2:$S$282,"T029",'Prácticas_Revisiones'!$T$2:$T$282,"MAINTENANCE &gt; Software Maintenance Fundamentals")+COUNTIFS('Prácticas_Snowballing'!$AB$2:$AB$281,"T029",'Prácticas_Snowballing'!$AC$2:$AC$281,"MAINTENANCE &gt; Software Maintenance Fundamentals")</f>
        <v>0</v>
      </c>
      <c r="BA37" s="17">
        <f>COUNTIFS('Prácticas_Revisiones'!$S$2:$S$282,"T029",'Prácticas_Revisiones'!$T$2:$T$282,"MAINTENANCE &gt; Key Issues in Software Maintenance")+COUNTIFS('Prácticas_Snowballing'!$AB$2:$AB$281,"T029",'Prácticas_Snowballing'!$AC$2:$AC$281,"MAINTENANCE &gt; Key Issues in Software Maintenance")</f>
        <v>0</v>
      </c>
      <c r="BB37" s="17">
        <f>COUNTIFS('Prácticas_Revisiones'!$S$2:$S$282,"T029",'Prácticas_Revisiones'!$T$2:$T$282,"MAINTENANCE &gt; Software Maintenance Processes")+COUNTIFS('Prácticas_Snowballing'!$AB$2:$AB$281,"T029",'Prácticas_Snowballing'!$AC$2:$AC$281,"MAINTENANCE &gt; Software Maintenance Processes")</f>
        <v>0</v>
      </c>
      <c r="BC37" s="17">
        <f>COUNTIFS('Prácticas_Revisiones'!$S$2:$S$282,"T029",'Prácticas_Revisiones'!$T$2:$T$282,"MAINTENANCE &gt; Software Maintenance Techniques")+COUNTIFS('Prácticas_Snowballing'!$AB$2:$AB$281,"T029",'Prácticas_Snowballing'!$AC$2:$AC$281,"MAINTENANCE &gt; Software Maintenance Techniques")</f>
        <v>0</v>
      </c>
      <c r="BD37" s="17">
        <f>COUNTIFS('Prácticas_Revisiones'!$S$2:$S$282,"T029",'Prácticas_Revisiones'!$T$2:$T$282,"MAINTENANCE &gt; Software Maintenance Tools")+COUNTIFS('Prácticas_Snowballing'!$AB$2:$AB$281,"T029",'Prácticas_Snowballing'!$AC$2:$AC$281,"MAINTENANCE &gt; Software Maintenance Tools")</f>
        <v>0</v>
      </c>
      <c r="BE37" s="17">
        <f>COUNTIFS('Prácticas_Revisiones'!$S$2:$S$282,"T029",'Prácticas_Revisiones'!$T$2:$T$282,"MAINTENANCE &gt; Subárea no determinable")+COUNTIFS('Prácticas_Snowballing'!$AB$2:$AB$281,"T029",'Prácticas_Snowballing'!$AC$2:$AC$281,"MAINTENANCE &gt; Subárea no determinable")</f>
        <v>0</v>
      </c>
      <c r="BF37" s="29">
        <f t="shared" si="24"/>
        <v>0</v>
      </c>
      <c r="BG37" s="17">
        <f>COUNTIFS('Prácticas_Revisiones'!$S$2:$S$282,"T029",'Prácticas_Revisiones'!$T$2:$T$282,"SOFTWARE CONFIG. MGMT. &gt; Management of the SCM Process")+COUNTIFS('Prácticas_Snowballing'!$AB$2:$AB$281,"T029",'Prácticas_Snowballing'!$AC$2:$AC$281,"SOFTWARE CONFIG. MGMT. &gt; Management of the SCM Process")</f>
        <v>0</v>
      </c>
      <c r="BH37" s="17">
        <f>COUNTIFS('Prácticas_Revisiones'!$S$2:$S$282,"T029",'Prácticas_Revisiones'!$T$2:$T$282,"SOFTWARE CONFIG. MGMT. &gt; Software Configuration Identification")+COUNTIFS('Prácticas_Snowballing'!$AB$2:$AB$281,"T029",'Prácticas_Snowballing'!$AC$2:$AC$281,"SOFTWARE CONFIG. MGMT. &gt; Software Configuration Identification")</f>
        <v>0</v>
      </c>
      <c r="BI37" s="17">
        <f>COUNTIFS('Prácticas_Revisiones'!$S$2:$S$282,"T029",'Prácticas_Revisiones'!$T$2:$T$282,"SOFTWARE CONFIG. MGMT. &gt; Software Configuration Change Control")+COUNTIFS('Prácticas_Snowballing'!$AB$2:$AB$281,"T029",'Prácticas_Snowballing'!$AC$2:$AC$281,"SOFTWARE CONFIG. MGMT. &gt; Software Configuration Change Control")</f>
        <v>0</v>
      </c>
      <c r="BJ37" s="17">
        <f>COUNTIFS('Prácticas_Revisiones'!$S$2:$S$282,"T029",'Prácticas_Revisiones'!$T$2:$T$282,"SOFTWARE CONFIG. MGMT. &gt; Software Configuration Status Accounting")+COUNTIFS('Prácticas_Snowballing'!$AB$2:$AB$281,"T029",'Prácticas_Snowballing'!$AC$2:$AC$281,"SOFTWARE CONFIG. MGMT. &gt; Software Configuration Status Accounting")</f>
        <v>0</v>
      </c>
      <c r="BK37" s="17">
        <f>COUNTIFS('Prácticas_Revisiones'!$S$2:$S$282,"T029",'Prácticas_Revisiones'!$T$2:$T$282,"SOFTWARE CONFIG. MGMT. &gt; Software Configuration Auditing")+COUNTIFS('Prácticas_Snowballing'!$AB$2:$AB$281,"T029",'Prácticas_Snowballing'!$AC$2:$AC$281,"SOFTWARE CONFIG. MGMT. &gt; Software Configuration Auditing")</f>
        <v>0</v>
      </c>
      <c r="BL37" s="17">
        <f>COUNTIFS('Prácticas_Revisiones'!$S$2:$S$282,"T029",'Prácticas_Revisiones'!$T$2:$T$282,"SOFTWARE CONFIG. MGMT. &gt; Software Release Management and Delivery")+COUNTIFS('Prácticas_Snowballing'!$AB$2:$AB$281,"T029",'Prácticas_Snowballing'!$AC$2:$AC$281,"SOFTWARE CONFIG. MGMT. &gt; Software Release Management and Delivery")</f>
        <v>0</v>
      </c>
      <c r="BM37" s="17">
        <f>COUNTIFS('Prácticas_Revisiones'!$S$2:$S$282,"T029",'Prácticas_Revisiones'!$T$2:$T$282,"SOFTWARE CONFIG. MGMT. &gt; Software Configuration Management Tools")+COUNTIFS('Prácticas_Snowballing'!$AB$2:$AB$281,"T029",'Prácticas_Snowballing'!$AC$2:$AC$281,"SOFTWARE CONFIG. MGMT. &gt; Software Configuration Management Tools")</f>
        <v>0</v>
      </c>
      <c r="BN37" s="17">
        <f>COUNTIFS('Prácticas_Revisiones'!$S$2:$S$282,"T029",'Prácticas_Revisiones'!$T$2:$T$282,"SOFTWARE CONFIG. MGMT. &gt; Subárea no determinable")+COUNTIFS('Prácticas_Snowballing'!$AB$2:$AB$281,"T029",'Prácticas_Snowballing'!$AC$2:$AC$281,"SOFTWARE CONFIG. MGMT. &gt; Subárea no determinable")</f>
        <v>0</v>
      </c>
      <c r="BO37" s="29">
        <f t="shared" si="25"/>
        <v>0</v>
      </c>
      <c r="BP37" s="17">
        <f>COUNTIFS('Prácticas_Revisiones'!$S$2:$S$282,"T029",'Prácticas_Revisiones'!$T$2:$T$282,"SOFTWARE ENG. PROCESS &gt; Software Engineering Process Fundamentals")+COUNTIFS('Prácticas_Snowballing'!$AB$2:$AB$281,"T029",'Prácticas_Snowballing'!$AC$2:$AC$281,"SOFTWARE ENG. PROCESS &gt; Software Engineering Process Fundamentals")</f>
        <v>0</v>
      </c>
      <c r="BQ37" s="17">
        <f>COUNTIFS('Prácticas_Revisiones'!$S$2:$S$282,"T029",'Prácticas_Revisiones'!$T$2:$T$282,"SOFTWARE ENG. PROCESS &gt; Life Cycles")+COUNTIFS('Prácticas_Snowballing'!$AB$2:$AB$281,"T029",'Prácticas_Snowballing'!$AC$2:$AC$281,"SOFTWARE ENG. PROCESS &gt; Life Cycles")</f>
        <v>0</v>
      </c>
      <c r="BR37" s="17">
        <f>COUNTIFS('Prácticas_Revisiones'!$S$2:$S$282,"T029",'Prácticas_Revisiones'!$T$2:$T$282,"SOFTWARE ENG. PROCESS &gt; Software Process Assessment and Improvement")+COUNTIFS('Prácticas_Snowballing'!$AB$2:$AB$281,"T029",'Prácticas_Snowballing'!$AC$2:$AC$281,"SOFTWARE ENG. PROCESS &gt; Software Process Assessment and Improvement")</f>
        <v>0</v>
      </c>
      <c r="BS37" s="17">
        <f>COUNTIFS('Prácticas_Revisiones'!$S$2:$S$282,"T029",'Prácticas_Revisiones'!$T$2:$T$282,"SOFTWARE ENG. PROCESS &gt; Subárea no determinable")+COUNTIFS('Prácticas_Snowballing'!$AB$2:$AB$281,"T029",'Prácticas_Snowballing'!$AC$2:$AC$281,"SOFTWARE ENG. PROCESS &gt; Subárea no determinable")</f>
        <v>0</v>
      </c>
      <c r="BT37" s="29">
        <f t="shared" si="26"/>
        <v>0</v>
      </c>
      <c r="BU37" s="17">
        <f>COUNTIFS('Prácticas_Revisiones'!$S$2:$S$282,"T029",'Prácticas_Revisiones'!$T$2:$T$282,"SOFTWARE ENG. MODELS/METH. &gt; Modeling")+COUNTIFS('Prácticas_Snowballing'!$AB$2:$AB$281,"T029",'Prácticas_Snowballing'!$AC$2:$AC$281,"SOFTWARE ENG. MODELS/METH. &gt; Modeling")</f>
        <v>0</v>
      </c>
      <c r="BV37" s="17">
        <f>COUNTIFS('Prácticas_Revisiones'!$S$2:$S$282,"T029",'Prácticas_Revisiones'!$T$2:$T$282,"SOFTWARE ENG. MODELS/METH. &gt; Types of Models")+COUNTIFS('Prácticas_Snowballing'!$AB$2:$AB$281,"T029",'Prácticas_Snowballing'!$AC$2:$AC$281,"SOFTWARE ENG. MODELS/METH. &gt; Types of Models")</f>
        <v>0</v>
      </c>
      <c r="BW37" s="17">
        <f>COUNTIFS('Prácticas_Revisiones'!$S$2:$S$282,"T029",'Prácticas_Revisiones'!$T$2:$T$282,"SOFTWARE ENG. MODELS/METH. &gt; Analysis of Models")+COUNTIFS('Prácticas_Snowballing'!$AB$2:$AB$281,"T029",'Prácticas_Snowballing'!$AC$2:$AC$281,"SOFTWARE ENG. MODELS/METH. &gt; Analysis of Models")</f>
        <v>0</v>
      </c>
      <c r="BX37" s="17">
        <f>COUNTIFS('Prácticas_Revisiones'!$S$2:$S$282,"T029",'Prácticas_Revisiones'!$T$2:$T$282,"SOFTWARE ENG. MODELS/METH. &gt; Software Engineering Methods")+COUNTIFS('Prácticas_Snowballing'!$AB$2:$AB$281,"T029",'Prácticas_Snowballing'!$AC$2:$AC$281,"SOFTWARE ENG. MODELS/METH. &gt; Software Engineering Methods")</f>
        <v>0</v>
      </c>
      <c r="BY37" s="17">
        <f>COUNTIFS('Prácticas_Revisiones'!$S$2:$S$282,"T029",'Prácticas_Revisiones'!$T$2:$T$282,"SOFTWARE ENG. MODELS/METH. &gt; Subárea no determinable")+COUNTIFS('Prácticas_Snowballing'!$AB$2:$AB$281,"T029",'Prácticas_Snowballing'!$AC$2:$AC$281,"SOFTWARE ENG. MODELS/METH. &gt; Subárea no determinable")</f>
        <v>0</v>
      </c>
      <c r="BZ37" s="29">
        <f t="shared" si="27"/>
        <v>0</v>
      </c>
      <c r="CA37" s="17">
        <f>COUNTIFS('Prácticas_Revisiones'!$S$2:$S$282,"T029",'Prácticas_Revisiones'!$T$2:$T$282,"SOFTWARE QUALITY &gt; Software Quality Fundamentals")+COUNTIFS('Prácticas_Snowballing'!$AB$2:$AB$281,"T029",'Prácticas_Snowballing'!$AC$2:$AC$281,"SOFTWARE QUALITY &gt; Software Quality Fundamentals")</f>
        <v>0</v>
      </c>
      <c r="CB37" s="17">
        <f>COUNTIFS('Prácticas_Revisiones'!$S$2:$S$282,"T029",'Prácticas_Revisiones'!$T$2:$T$282,"SOFTWARE QUALITY &gt; Software Quality Management Process")+COUNTIFS('Prácticas_Snowballing'!$AB$2:$AB$281,"T029",'Prácticas_Snowballing'!$AC$2:$AC$281,"SOFTWARE QUALITY &gt; Software Quality Management Process")</f>
        <v>0</v>
      </c>
      <c r="CC37" s="17">
        <f>COUNTIFS('Prácticas_Revisiones'!$S$2:$S$282,"T029",'Prácticas_Revisiones'!$T$2:$T$282,"SOFTWARE QUALITY &gt; Software Quality Assurance Process")+COUNTIFS('Prácticas_Snowballing'!$AB$2:$AB$281,"T029",'Prácticas_Snowballing'!$AC$2:$AC$281,"SOFTWARE QUALITY &gt; Software Quality Assurance Process")</f>
        <v>0</v>
      </c>
      <c r="CD37" s="17">
        <f>COUNTIFS('Prácticas_Revisiones'!$S$2:$S$282,"T029",'Prácticas_Revisiones'!$T$2:$T$282,"SOFTWARE QUALITY &gt; Software Quality Tools")+COUNTIFS('Prácticas_Snowballing'!$AB$2:$AB$281,"T029",'Prácticas_Snowballing'!$AC$2:$AC$281,"SOFTWARE QUALITY &gt; Software Quality Tools")</f>
        <v>0</v>
      </c>
      <c r="CE37" s="17">
        <f>COUNTIFS('Prácticas_Revisiones'!$S$2:$S$282,"T029",'Prácticas_Revisiones'!$T$2:$T$282,"SOFTWARE QUALITY &gt; Subárea no determinable")+COUNTIFS('Prácticas_Snowballing'!$AB$2:$AB$281,"T029",'Prácticas_Snowballing'!$AC$2:$AC$281,"SOFTWARE QUALITY &gt; Subárea no determinable")</f>
        <v>0</v>
      </c>
      <c r="CF37" s="29">
        <f t="shared" si="28"/>
        <v>0</v>
      </c>
      <c r="CG37" s="17">
        <f>COUNTIFS('Prácticas_Revisiones'!$S$2:$S$282,"T029",'Prácticas_Revisiones'!$T$2:$T$282,"SOFTWARE SECURITY &gt; Software Security Fundamentals")+COUNTIFS('Prácticas_Snowballing'!$AB$2:$AB$281,"T029",'Prácticas_Snowballing'!$AC$2:$AC$281,"SOFTWARE SECURITY &gt; Software Security Fundamentals")</f>
        <v>0</v>
      </c>
      <c r="CH37" s="17">
        <f>COUNTIFS('Prácticas_Revisiones'!$S$2:$S$282,"T029",'Prácticas_Revisiones'!$T$2:$T$282,"SOFTWARE SECURITY &gt; Security Management and Organization")+COUNTIFS('Prácticas_Snowballing'!$AB$2:$AB$281,"T029",'Prácticas_Snowballing'!$AC$2:$AC$281,"SOFTWARE SECURITY &gt; Security Management and Organization")</f>
        <v>0</v>
      </c>
      <c r="CI37" s="17">
        <f>COUNTIFS('Prácticas_Revisiones'!$S$2:$S$282,"T029",'Prácticas_Revisiones'!$T$2:$T$282,"SOFTWARE SECURITY &gt; Software Security Engineering and Process")+COUNTIFS('Prácticas_Snowballing'!$AB$2:$AB$281,"T029",'Prácticas_Snowballing'!$AC$2:$AC$281,"SOFTWARE SECURITY &gt; Software Security Engineering and Process")</f>
        <v>0</v>
      </c>
      <c r="CJ37" s="17">
        <f>COUNTIFS('Prácticas_Revisiones'!$S$2:$S$282,"T029",'Prácticas_Revisiones'!$T$2:$T$282,"SOFTWARE SECURITY &gt; Security Engineering for Software Systems")+COUNTIFS('Prácticas_Snowballing'!$AB$2:$AB$281,"T029",'Prácticas_Snowballing'!$AC$2:$AC$281,"SOFTWARE SECURITY &gt; Security Engineering for Software Systems")</f>
        <v>0</v>
      </c>
      <c r="CK37" s="17">
        <f>COUNTIFS('Prácticas_Revisiones'!$S$2:$S$282,"T029",'Prácticas_Revisiones'!$T$2:$T$282,"SOFTWARE SECURITY &gt; Software Security Tools")+COUNTIFS('Prácticas_Snowballing'!$AB$2:$AB$281,"T029",'Prácticas_Snowballing'!$AC$2:$AC$281,"SOFTWARE SECURITY &gt; Software Security Tools")</f>
        <v>0</v>
      </c>
      <c r="CL37" s="17">
        <f>COUNTIFS('Prácticas_Revisiones'!$S$2:$S$282,"T029",'Prácticas_Revisiones'!$T$2:$T$282,"SOFTWARE SECURITY &gt; Domain Specific Software Security")+COUNTIFS('Prácticas_Snowballing'!$AB$2:$AB$281,"T029",'Prácticas_Snowballing'!$AC$2:$AC$281,"SOFTWARE SECURITY &gt; Domain Specific Software Security")</f>
        <v>0</v>
      </c>
      <c r="CM37" s="17">
        <f>COUNTIFS('Prácticas_Revisiones'!$S$2:$S$282,"T029",'Prácticas_Revisiones'!$T$2:$T$282,"SOFTWARE SECURITY &gt; Subárea no determinable")+COUNTIFS('Prácticas_Snowballing'!$AB$2:$AB$281,"T029",'Prácticas_Snowballing'!$AC$2:$AC$281,"SOFTWARE SECURITY &gt; Subárea no determinable")</f>
        <v>0</v>
      </c>
      <c r="CN37" s="29">
        <f t="shared" si="29"/>
        <v>0</v>
      </c>
      <c r="CO37" s="17">
        <f>COUNTIFS('Prácticas_Revisiones'!$S$2:$S$282,"T029",'Prácticas_Revisiones'!$T$2:$T$282,"PROFESSIONAL PRACTICE &gt; Professionalism")+COUNTIFS('Prácticas_Snowballing'!$AB$2:$AB$281,"T029",'Prácticas_Snowballing'!$AC$2:$AC$281,"PROFESSIONAL PRACTICE &gt; Professionalism")</f>
        <v>0</v>
      </c>
      <c r="CP37" s="17">
        <f>COUNTIFS('Prácticas_Revisiones'!$S$2:$S$282,"T029",'Prácticas_Revisiones'!$T$2:$T$282,"PROFESSIONAL PRACTICE &gt; Group Dynamics and Psychology")+COUNTIFS('Prácticas_Snowballing'!$AB$2:$AB$281,"T029",'Prácticas_Snowballing'!$AC$2:$AC$281,"PROFESSIONAL PRACTICE &gt; Group Dynamics and Psychology")</f>
        <v>0</v>
      </c>
      <c r="CQ37" s="17">
        <f>COUNTIFS('Prácticas_Revisiones'!$S$2:$S$282,"T029",'Prácticas_Revisiones'!$T$2:$T$282,"PROFESSIONAL PRACTICE &gt; Communication Skills")+COUNTIFS('Prácticas_Snowballing'!$AB$2:$AB$281,"T029",'Prácticas_Snowballing'!$AC$2:$AC$281,"PROFESSIONAL PRACTICE &gt; Communication Skills")</f>
        <v>0</v>
      </c>
      <c r="CR37" s="17">
        <f>COUNTIFS('Prácticas_Revisiones'!$S$2:$S$282,"T029",'Prácticas_Revisiones'!$T$2:$T$282,"PROFESSIONAL PRACTICE &gt; Subárea no determinable")+COUNTIFS('Prácticas_Snowballing'!$AB$2:$AB$281,"T029",'Prácticas_Snowballing'!$AC$2:$AC$281,"PROFESSIONAL PRACTICE &gt; Subárea no determinable")</f>
        <v>0</v>
      </c>
      <c r="CS37" s="29">
        <f t="shared" si="30"/>
        <v>0</v>
      </c>
      <c r="CT37" s="17">
        <f>COUNTIFS('Prácticas_Revisiones'!$S$2:$S$282,"T029",'Prácticas_Revisiones'!$T$2:$T$282,"SOFTWARE ENG. ECONOMICS &gt; Software Engineering Economics Fundamentals")+COUNTIFS('Prácticas_Snowballing'!$AB$2:$AB$281,"T029",'Prácticas_Snowballing'!$AC$2:$AC$281,"SOFTWARE ENG. ECONOMICS &gt; Software Engineering Economics Fundamentals")</f>
        <v>0</v>
      </c>
      <c r="CU37" s="17">
        <f>COUNTIFS('Prácticas_Revisiones'!$S$2:$S$282,"T029",'Prácticas_Revisiones'!$T$2:$T$282,"SOFTWARE ENG. ECONOMICS &gt; The Engineering Decision-Making Process")+COUNTIFS('Prácticas_Snowballing'!$AB$2:$AB$281,"T029",'Prácticas_Snowballing'!$AC$2:$AC$281,"SOFTWARE ENG. ECONOMICS &gt; The Engineering Decision-Making Process")</f>
        <v>0</v>
      </c>
      <c r="CV37" s="17">
        <f>COUNTIFS('Prácticas_Revisiones'!$S$2:$S$282,"T029",'Prácticas_Revisiones'!$T$2:$T$282,"SOFTWARE ENG. ECONOMICS &gt; For-Profit Decision-Making")+COUNTIFS('Prácticas_Snowballing'!$AB$2:$AB$281,"T029",'Prácticas_Snowballing'!$AC$2:$AC$281,"SOFTWARE ENG. ECONOMICS &gt; For-Profit Decision-Making")</f>
        <v>0</v>
      </c>
      <c r="CW37" s="17">
        <f>COUNTIFS('Prácticas_Revisiones'!$S$2:$S$282,"T029",'Prácticas_Revisiones'!$T$2:$T$282,"SOFTWARE ENG. ECONOMICS &gt; Nonprofit Decision-Making")+COUNTIFS('Prácticas_Snowballing'!$AB$2:$AB$281,"T029",'Prácticas_Snowballing'!$AC$2:$AC$281,"SOFTWARE ENG. ECONOMICS &gt; Nonprofit Decision-Making")</f>
        <v>0</v>
      </c>
      <c r="CX37" s="17">
        <f>COUNTIFS('Prácticas_Revisiones'!$S$2:$S$282,"T029",'Prácticas_Revisiones'!$T$2:$T$282,"SOFTWARE ENG. ECONOMICS &gt; Present Economy Decision-Making")+COUNTIFS('Prácticas_Snowballing'!$AB$2:$AB$281,"T029",'Prácticas_Snowballing'!$AC$2:$AC$281,"SOFTWARE ENG. ECONOMICS &gt; Present Economy Decision-Making")</f>
        <v>0</v>
      </c>
      <c r="CY37" s="17">
        <f>COUNTIFS('Prácticas_Revisiones'!$S$2:$S$282,"T029",'Prácticas_Revisiones'!$T$2:$T$282,"SOFTWARE ENG. ECONOMICS &gt; Multiple-Attribute Decision-Making")+COUNTIFS('Prácticas_Snowballing'!$AB$2:$AB$281,"T029",'Prácticas_Snowballing'!$AC$2:$AC$281,"SOFTWARE ENG. ECONOMICS &gt; Multiple-Attribute Decision-Making")</f>
        <v>0</v>
      </c>
      <c r="CZ37" s="17">
        <f>COUNTIFS('Prácticas_Revisiones'!$S$2:$S$282,"T029",'Prácticas_Revisiones'!$T$2:$T$282,"SOFTWARE ENG. ECONOMICS &gt; Identifying and Characterizing Intangible Assets")+COUNTIFS('Prácticas_Snowballing'!$AB$2:$AB$281,"T029",'Prácticas_Snowballing'!$AC$2:$AC$281,"SOFTWARE ENG. ECONOMICS &gt; Identifying and Characterizing Intangible Assets")</f>
        <v>0</v>
      </c>
      <c r="DA37" s="17">
        <f>COUNTIFS('Prácticas_Revisiones'!$S$2:$S$282,"T029",'Prácticas_Revisiones'!$T$2:$T$282,"SOFTWARE ENG. ECONOMICS &gt; Estimation")+COUNTIFS('Prácticas_Snowballing'!$AB$2:$AB$281,"T029",'Prácticas_Snowballing'!$AC$2:$AC$281,"SOFTWARE ENG. ECONOMICS &gt; Estimation")</f>
        <v>0</v>
      </c>
      <c r="DB37" s="17">
        <f>COUNTIFS('Prácticas_Revisiones'!$S$2:$S$282,"T029",'Prácticas_Revisiones'!$T$2:$T$282,"SOFTWARE ENG. ECONOMICS &gt; Practical Considerations")+COUNTIFS('Prácticas_Snowballing'!$AB$2:$AB$281,"T029",'Prácticas_Snowballing'!$AC$2:$AC$281,"SOFTWARE ENG. ECONOMICS &gt; Practical Considerations")</f>
        <v>0</v>
      </c>
      <c r="DC37" s="17">
        <f>COUNTIFS('Prácticas_Revisiones'!$S$2:$S$282,"T029",'Prácticas_Revisiones'!$T$2:$T$282,"SOFTWARE ENG. ECONOMICS &gt; Related Concepts")+COUNTIFS('Prácticas_Snowballing'!$AB$2:$AB$281,"T029",'Prácticas_Snowballing'!$AC$2:$AC$281,"SOFTWARE ENG. ECONOMICS &gt; Related Concepts")</f>
        <v>0</v>
      </c>
      <c r="DD37" s="17">
        <f>COUNTIFS('Prácticas_Revisiones'!$S$2:$S$282,"T029",'Prácticas_Revisiones'!$T$2:$T$282,"SOFTWARE ENG. ECONOMICS &gt; Subárea no determinable")+COUNTIFS('Prácticas_Snowballing'!$AB$2:$AB$281,"T029",'Prácticas_Snowballing'!$AC$2:$AC$281,"SOFTWARE ENG. ECONOMICS &gt; Subárea no determinable")</f>
        <v>0</v>
      </c>
      <c r="DE37" s="29">
        <f t="shared" si="31"/>
        <v>0</v>
      </c>
      <c r="DF37" s="17">
        <f>COUNTIFS('Prácticas_Revisiones'!$S$2:$S$282,"T029",'Prácticas_Revisiones'!$T$2:$T$282,"SOFTWARE ENG. MANAGEMENT &gt; Software Engineering Management Fundamentals")+COUNTIFS('Prácticas_Snowballing'!$AB$2:$AB$281,"T029",'Prácticas_Snowballing'!$AC$2:$AC$281,"SOFTWARE ENG. MANAGEMENT &gt; Software Engineering Management Fundamentals")</f>
        <v>0</v>
      </c>
      <c r="DG37" s="17">
        <f>COUNTIFS('Prácticas_Revisiones'!$S$2:$S$282,"T029",'Prácticas_Revisiones'!$T$2:$T$282,"SOFTWARE ENG. MANAGEMENT &gt; Initiation and Scope Definition")+COUNTIFS('Prácticas_Snowballing'!$AB$2:$AB$281,"T029",'Prácticas_Snowballing'!$AC$2:$AC$281,"SOFTWARE ENG. MANAGEMENT &gt; Initiation and Scope Definition")</f>
        <v>0</v>
      </c>
      <c r="DH37" s="17">
        <f>COUNTIFS('Prácticas_Revisiones'!$S$2:$S$282,"T029",'Prácticas_Revisiones'!$T$2:$T$282,"SOFTWARE ENG. MANAGEMENT &gt; Software Project Planning")+COUNTIFS('Prácticas_Snowballing'!$AB$2:$AB$281,"T029",'Prácticas_Snowballing'!$AC$2:$AC$281,"SOFTWARE ENG. MANAGEMENT &gt; Software Project Planning")</f>
        <v>0</v>
      </c>
      <c r="DI37" s="17">
        <f>COUNTIFS('Prácticas_Revisiones'!$S$2:$S$282,"T029",'Prácticas_Revisiones'!$T$2:$T$282,"SOFTWARE ENG. MANAGEMENT &gt; Software Project Enactment")+COUNTIFS('Prácticas_Snowballing'!$AB$2:$AB$281,"T029",'Prácticas_Snowballing'!$AC$2:$AC$281,"SOFTWARE ENG. MANAGEMENT &gt; Software Project Enactment")</f>
        <v>0</v>
      </c>
      <c r="DJ37" s="17">
        <f>COUNTIFS('Prácticas_Revisiones'!$S$2:$S$282,"T029",'Prácticas_Revisiones'!$T$2:$T$282,"SOFTWARE ENG. MANAGEMENT &gt; Review and Evaluation")+COUNTIFS('Prácticas_Snowballing'!$AB$2:$AB$281,"T029",'Prácticas_Snowballing'!$AC$2:$AC$281,"SOFTWARE ENG. MANAGEMENT &gt; Review and Evaluation")</f>
        <v>0</v>
      </c>
      <c r="DK37" s="17">
        <f>COUNTIFS('Prácticas_Revisiones'!$S$2:$S$282,"T029",'Prácticas_Revisiones'!$T$2:$T$282,"SOFTWARE ENG. MANAGEMENT &gt; Closure")+COUNTIFS('Prácticas_Snowballing'!$AB$2:$AB$281,"T029",'Prácticas_Snowballing'!$AC$2:$AC$281,"SOFTWARE ENG. MANAGEMENT &gt; Closure")</f>
        <v>0</v>
      </c>
      <c r="DL37" s="17">
        <f>COUNTIFS('Prácticas_Revisiones'!$S$2:$S$282,"T029",'Prácticas_Revisiones'!$T$2:$T$282,"SOFTWARE ENG. MANAGEMENT &gt; Software Engineering Management Tools")+COUNTIFS('Prácticas_Snowballing'!$AB$2:$AB$281,"T029",'Prácticas_Snowballing'!$AC$2:$AC$281,"SOFTWARE ENG. MANAGEMENT &gt; Software Engineering Management Tools")</f>
        <v>0</v>
      </c>
      <c r="DM37" s="17">
        <f>COUNTIFS('Prácticas_Revisiones'!$S$2:$S$282,"T029",'Prácticas_Revisiones'!$T$2:$T$282,"SOFTWARE ENG. MANAGEMENT &gt; Subárea no determinable")+COUNTIFS('Prácticas_Snowballing'!$AB$2:$AB$281,"T029",'Prácticas_Snowballing'!$AC$2:$AC$281,"SOFTWARE ENG. MANAGEMENT &gt; Subárea no determinable")</f>
        <v>0</v>
      </c>
      <c r="DN37" s="29">
        <f t="shared" si="32"/>
        <v>0</v>
      </c>
      <c r="DO37" s="17">
        <f>COUNTIFS('Prácticas_Revisiones'!$S$2:$S$282,"T029",'Prácticas_Revisiones'!$T$2:$T$282,"Sin área SWEBOK")+COUNTIFS('Prácticas_Snowballing'!$AB$2:$AB$281,"T029",'Prácticas_Snowballing'!$AC$2:$AC$281,"Sin área SWEBOK")</f>
        <v>1</v>
      </c>
      <c r="DP37" s="27">
        <f t="shared" si="33"/>
        <v>1</v>
      </c>
    </row>
    <row r="38" ht="15.75" customHeight="1">
      <c r="A38" s="28"/>
      <c r="B38" s="16" t="s">
        <v>2762</v>
      </c>
      <c r="C38" s="17">
        <f>COUNTIFS('Prácticas_Revisiones'!$S$2:$S$282,"T030",'Prácticas_Revisiones'!$T$2:$T$282,"REQUIREMENTS &gt; Software Requirements Fundamentals")+COUNTIFS('Prácticas_Snowballing'!$AB$2:$AB$281,"T030",'Prácticas_Snowballing'!$AC$2:$AC$281,"REQUIREMENTS &gt; Software Requirements Fundamentals")</f>
        <v>0</v>
      </c>
      <c r="D38" s="17">
        <f>COUNTIFS('Prácticas_Revisiones'!$S$2:$S$282,"T030",'Prácticas_Revisiones'!$T$2:$T$282,"REQUIREMENTS &gt; Requirements Elicitation")+COUNTIFS('Prácticas_Snowballing'!$AB$2:$AB$281,"T030",'Prácticas_Snowballing'!$AC$2:$AC$281,"REQUIREMENTS &gt; Requirements Elicitation")</f>
        <v>0</v>
      </c>
      <c r="E38" s="17">
        <f>COUNTIFS('Prácticas_Revisiones'!$S$2:$S$282,"T030",'Prácticas_Revisiones'!$T$2:$T$282,"REQUIREMENTS &gt; Requirements Analysis")+COUNTIFS('Prácticas_Snowballing'!$AB$2:$AB$281,"T030",'Prácticas_Snowballing'!$AC$2:$AC$281,"REQUIREMENTS &gt; Requirements Analysis")</f>
        <v>0</v>
      </c>
      <c r="F38" s="17">
        <f>COUNTIFS('Prácticas_Revisiones'!$S$2:$S$282,"T030",'Prácticas_Revisiones'!$T$2:$T$282,"REQUIREMENTS &gt; Requirements Specification")+COUNTIFS('Prácticas_Snowballing'!$AB$2:$AB$281,"T030",'Prácticas_Snowballing'!$AC$2:$AC$281,"REQUIREMENTS &gt; Requirements Specification")</f>
        <v>0</v>
      </c>
      <c r="G38" s="17">
        <f>COUNTIFS('Prácticas_Revisiones'!$S$2:$S$282,"T030",'Prácticas_Revisiones'!$T$2:$T$282,"REQUIREMENTS &gt; Requirements Validation")+COUNTIFS('Prácticas_Snowballing'!$AB$2:$AB$281,"T030",'Prácticas_Snowballing'!$AC$2:$AC$281,"REQUIREMENTS &gt; Requirements Validation")</f>
        <v>0</v>
      </c>
      <c r="H38" s="17">
        <f>COUNTIFS('Prácticas_Revisiones'!$S$2:$S$282,"T030",'Prácticas_Revisiones'!$T$2:$T$282,"REQUIREMENTS &gt; Requirements Management Activities")+COUNTIFS('Prácticas_Snowballing'!$AB$2:$AB$281,"T030",'Prácticas_Snowballing'!$AC$2:$AC$281,"REQUIREMENTS &gt; Requirements Management Activities")</f>
        <v>0</v>
      </c>
      <c r="I38" s="17">
        <f>COUNTIFS('Prácticas_Revisiones'!$S$2:$S$282,"T030",'Prácticas_Revisiones'!$T$2:$T$282,"REQUIREMENTS &gt; Practical Considerations")+COUNTIFS('Prácticas_Snowballing'!$AB$2:$AB$281,"T030",'Prácticas_Snowballing'!$AC$2:$AC$281,"REQUIREMENTS &gt; Practical Considerations")</f>
        <v>0</v>
      </c>
      <c r="J38" s="17">
        <f>COUNTIFS('Prácticas_Revisiones'!$S$2:$S$282,"T030",'Prácticas_Revisiones'!$T$2:$T$282,"REQUIREMENTS &gt; Software Requirements Tools")+COUNTIFS('Prácticas_Snowballing'!$AB$2:$AB$281,"T030",'Prácticas_Snowballing'!$AC$2:$AC$281,"REQUIREMENTS &gt; Software Requirements Tools")</f>
        <v>0</v>
      </c>
      <c r="K38" s="17">
        <f>COUNTIFS('Prácticas_Revisiones'!$S$2:$S$282,"T030",'Prácticas_Revisiones'!$T$2:$T$282,"REQUIREMENTS &gt; Subárea no determinable")+COUNTIFS('Prácticas_Snowballing'!$AB$2:$AB$281,"T030",'Prácticas_Snowballing'!$AC$2:$AC$281,"REQUIREMENTS &gt; Subárea no determinable")</f>
        <v>0</v>
      </c>
      <c r="L38" s="29">
        <f t="shared" si="18"/>
        <v>0</v>
      </c>
      <c r="M38" s="17">
        <f>COUNTIFS('Prácticas_Revisiones'!$S$2:$S$282,"T030",'Prácticas_Revisiones'!$T$2:$T$282,"ARCHITECTURE &gt; Software Architecture Fundamentals")+COUNTIFS('Prácticas_Snowballing'!$AB$2:$AB$281,"T030",'Prácticas_Snowballing'!$AC$2:$AC$281,"ARCHITECTURE &gt; Software Architecture Fundamentals")</f>
        <v>0</v>
      </c>
      <c r="N38" s="17">
        <f>COUNTIFS('Prácticas_Revisiones'!$S$2:$S$282,"T030",'Prácticas_Revisiones'!$T$2:$T$282,"ARCHITECTURE &gt; Software Architecture Description")+COUNTIFS('Prácticas_Snowballing'!$AB$2:$AB$281,"T030",'Prácticas_Snowballing'!$AC$2:$AC$281,"ARCHITECTURE &gt; Software Architecture Description")</f>
        <v>0</v>
      </c>
      <c r="O38" s="17">
        <f>COUNTIFS('Prácticas_Revisiones'!$S$2:$S$282,"T030",'Prácticas_Revisiones'!$T$2:$T$282,"ARCHITECTURE &gt; Software Architecture Process")+COUNTIFS('Prácticas_Snowballing'!$AB$2:$AB$281,"T030",'Prácticas_Snowballing'!$AC$2:$AC$281,"ARCHITECTURE &gt; Software Architecture Process")</f>
        <v>0</v>
      </c>
      <c r="P38" s="17">
        <f>COUNTIFS('Prácticas_Revisiones'!$S$2:$S$282,"T030",'Prácticas_Revisiones'!$T$2:$T$282,"ARCHITECTURE &gt; Software Architecture Evaluation")+COUNTIFS('Prácticas_Snowballing'!$AB$2:$AB$281,"T030",'Prácticas_Snowballing'!$AC$2:$AC$281,"ARCHITECTURE &gt; Software Architecture Evaluation")</f>
        <v>0</v>
      </c>
      <c r="Q38" s="17">
        <f>COUNTIFS('Prácticas_Revisiones'!$S$2:$S$282,"T030",'Prácticas_Revisiones'!$T$2:$T$282,"ARCHITECTURE &gt; Subárea no determinable")+COUNTIFS('Prácticas_Snowballing'!$AB$2:$AB$281,"T030",'Prácticas_Snowballing'!$AC$2:$AC$281,"ARCHITECTURE &gt; Subárea no determinable")</f>
        <v>0</v>
      </c>
      <c r="R38" s="29">
        <f t="shared" si="19"/>
        <v>0</v>
      </c>
      <c r="S38" s="17">
        <f>COUNTIFS('Prácticas_Revisiones'!$S$2:$S$282,"T030",'Prácticas_Revisiones'!$T$2:$T$282,"DESIGN &gt; Software Design Fundamentals")+COUNTIFS('Prácticas_Snowballing'!$AB$2:$AB$281,"T030",'Prácticas_Snowballing'!$AC$2:$AC$281,"DESIGN &gt; Software Design Fundamentals")</f>
        <v>0</v>
      </c>
      <c r="T38" s="17">
        <f>COUNTIFS('Prácticas_Revisiones'!$S$2:$S$282,"T030",'Prácticas_Revisiones'!$T$2:$T$282,"DESIGN &gt; Software Design Processes")+COUNTIFS('Prácticas_Snowballing'!$AB$2:$AB$281,"T030",'Prácticas_Snowballing'!$AC$2:$AC$281,"DESIGN &gt; Software Design Processes")</f>
        <v>0</v>
      </c>
      <c r="U38" s="17">
        <f>COUNTIFS('Prácticas_Revisiones'!$S$2:$S$282,"T030",'Prácticas_Revisiones'!$T$2:$T$282,"DESIGN &gt; Software Design Qualities")+COUNTIFS('Prácticas_Snowballing'!$AB$2:$AB$281,"T030",'Prácticas_Snowballing'!$AC$2:$AC$281,"DESIGN &gt; Software Design Qualities")</f>
        <v>0</v>
      </c>
      <c r="V38" s="17">
        <f>COUNTIFS('Prácticas_Revisiones'!$S$2:$S$282,"T030",'Prácticas_Revisiones'!$T$2:$T$282,"DESIGN &gt; Recording Software Design")+COUNTIFS('Prácticas_Snowballing'!$AB$2:$AB$281,"T030",'Prácticas_Snowballing'!$AC$2:$AC$281,"DESIGN &gt; Recording Software Design")</f>
        <v>0</v>
      </c>
      <c r="W38" s="17">
        <f>COUNTIFS('Prácticas_Revisiones'!$S$2:$S$282,"T030",'Prácticas_Revisiones'!$T$2:$T$282,"DESIGN &gt; Software Design Strategies and Methods")+COUNTIFS('Prácticas_Snowballing'!$AB$2:$AB$281,"T030",'Prácticas_Snowballing'!$AC$2:$AC$281,"DESIGN &gt; Software Design Strategies and Methods")</f>
        <v>0</v>
      </c>
      <c r="X38" s="17">
        <f>COUNTIFS('Prácticas_Revisiones'!$S$2:$S$282,"T030",'Prácticas_Revisiones'!$T$2:$T$282,"DESIGN &gt; Software Design Analysis and Evaluations")+COUNTIFS('Prácticas_Snowballing'!$AB$2:$AB$281,"T030",'Prácticas_Snowballing'!$AC$2:$AC$281,"DESIGN &gt; Software Design Analysis and Evaluations")</f>
        <v>0</v>
      </c>
      <c r="Y38" s="17">
        <f>COUNTIFS('Prácticas_Revisiones'!$S$2:$S$282,"T030",'Prácticas_Revisiones'!$T$2:$T$282,"DESIGN &gt; Subárea no determinable")+COUNTIFS('Prácticas_Snowballing'!$AB$2:$AB$281,"T030",'Prácticas_Snowballing'!$AC$2:$AC$281,"DESIGN &gt; Subárea no determinable")</f>
        <v>0</v>
      </c>
      <c r="Z38" s="29">
        <f t="shared" si="20"/>
        <v>0</v>
      </c>
      <c r="AA38" s="17">
        <f>COUNTIFS('Prácticas_Revisiones'!$S$2:$S$282,"T030",'Prácticas_Revisiones'!$T$2:$T$282,"CONSTRUCTION &gt; Software Construction Fundamentals")+COUNTIFS('Prácticas_Snowballing'!$AB$2:$AB$281,"T030",'Prácticas_Snowballing'!$AC$2:$AC$281,"CONSTRUCTION &gt; Software Construction Fundamentals")</f>
        <v>0</v>
      </c>
      <c r="AB38" s="17">
        <f>COUNTIFS('Prácticas_Revisiones'!$S$2:$S$282,"T030",'Prácticas_Revisiones'!$T$2:$T$282,"CONSTRUCTION &gt; Managing Construction")+COUNTIFS('Prácticas_Snowballing'!$AB$2:$AB$281,"T030",'Prácticas_Snowballing'!$AC$2:$AC$281,"CONSTRUCTION &gt; Managing Construction")</f>
        <v>0</v>
      </c>
      <c r="AC38" s="17">
        <f>COUNTIFS('Prácticas_Revisiones'!$S$2:$S$282,"T030",'Prácticas_Revisiones'!$T$2:$T$282,"CONSTRUCTION &gt; Practical Considerations")+COUNTIFS('Prácticas_Snowballing'!$AB$2:$AB$281,"T030",'Prácticas_Snowballing'!$AC$2:$AC$281,"CONSTRUCTION &gt; Practical Considerations")</f>
        <v>0</v>
      </c>
      <c r="AD38" s="17">
        <f>COUNTIFS('Prácticas_Revisiones'!$S$2:$S$282,"T030",'Prácticas_Revisiones'!$T$2:$T$282,"CONSTRUCTION &gt; Construction Technologies")+COUNTIFS('Prácticas_Snowballing'!$AB$2:$AB$281,"T030",'Prácticas_Snowballing'!$AC$2:$AC$281,"CONSTRUCTION &gt; Construction Technologies")</f>
        <v>0</v>
      </c>
      <c r="AE38" s="17">
        <f>COUNTIFS('Prácticas_Revisiones'!$S$2:$S$282,"T030",'Prácticas_Revisiones'!$T$2:$T$282,"CONSTRUCTION &gt; Software Construction Tools")+COUNTIFS('Prácticas_Snowballing'!$AB$2:$AB$281,"T030",'Prácticas_Snowballing'!$AC$2:$AC$281,"CONSTRUCTION &gt; Software Construction Tools")</f>
        <v>0</v>
      </c>
      <c r="AF38" s="17">
        <f>COUNTIFS('Prácticas_Revisiones'!$S$2:$S$282,"T030",'Prácticas_Revisiones'!$T$2:$T$282,"CONSTRUCTION &gt; Subárea no determinable")+COUNTIFS('Prácticas_Snowballing'!$AB$2:$AB$281,"T030",'Prácticas_Snowballing'!$AC$2:$AC$281,"CONSTRUCTION &gt; Subárea no determinable")</f>
        <v>0</v>
      </c>
      <c r="AG38" s="29">
        <f t="shared" si="21"/>
        <v>0</v>
      </c>
      <c r="AH38" s="17">
        <f>COUNTIFS('Prácticas_Revisiones'!$S$2:$S$282,"T030",'Prácticas_Revisiones'!$T$2:$T$282,"SOFTWARE TESTING &gt; Software Testing Fundamentals")+COUNTIFS('Prácticas_Snowballing'!$AB$2:$AB$281,"T030",'Prácticas_Snowballing'!$AC$2:$AC$281,"SOFTWARE TESTING &gt; Software Testing Fundamentals")</f>
        <v>0</v>
      </c>
      <c r="AI38" s="17">
        <f>COUNTIFS('Prácticas_Revisiones'!$S$2:$S$282,"T030",'Prácticas_Revisiones'!$T$2:$T$282,"SOFTWARE TESTING &gt; Test Levels")+COUNTIFS('Prácticas_Snowballing'!$AB$2:$AB$281,"T030",'Prácticas_Snowballing'!$AC$2:$AC$281,"SOFTWARE TESTING &gt; Test Levels")</f>
        <v>0</v>
      </c>
      <c r="AJ38" s="17">
        <f>COUNTIFS('Prácticas_Revisiones'!$S$2:$S$282,"T030",'Prácticas_Revisiones'!$T$2:$T$282,"SOFTWARE TESTING &gt; Test Techniques")+COUNTIFS('Prácticas_Snowballing'!$AB$2:$AB$281,"T030",'Prácticas_Snowballing'!$AC$2:$AC$281,"SOFTWARE TESTING &gt; Test Techniques")</f>
        <v>0</v>
      </c>
      <c r="AK38" s="17">
        <f>COUNTIFS('Prácticas_Revisiones'!$S$2:$S$282,"T030",'Prácticas_Revisiones'!$T$2:$T$282,"SOFTWARE TESTING &gt; Test-Related Measures")+COUNTIFS('Prácticas_Snowballing'!$AB$2:$AB$281,"T030",'Prácticas_Snowballing'!$AC$2:$AC$281,"SOFTWARE TESTING &gt; Test-Related Measures")</f>
        <v>0</v>
      </c>
      <c r="AL38" s="17">
        <f>COUNTIFS('Prácticas_Revisiones'!$S$2:$S$282,"T030",'Prácticas_Revisiones'!$T$2:$T$282,"SOFTWARE TESTING &gt; Test Process")+COUNTIFS('Prácticas_Snowballing'!$AB$2:$AB$281,"T030",'Prácticas_Snowballing'!$AC$2:$AC$281,"SOFTWARE TESTING &gt; Test Process")</f>
        <v>0</v>
      </c>
      <c r="AM38" s="17">
        <f>COUNTIFS('Prácticas_Revisiones'!$S$2:$S$282,"T030",'Prácticas_Revisiones'!$T$2:$T$282,"SOFTWARE TESTING &gt; Software Testing in the Development Processes...")+COUNTIFS('Prácticas_Snowballing'!$AB$2:$AB$281,"T030",'Prácticas_Snowballing'!$AC$2:$AC$281,"SOFTWARE TESTING &gt; Software Testing in the Development Processes...")</f>
        <v>0</v>
      </c>
      <c r="AN38" s="17">
        <f>COUNTIFS('Prácticas_Revisiones'!$S$2:$S$282,"T030",'Prácticas_Revisiones'!$T$2:$T$282,"SOFTWARE TESTING &gt; Testing of and Testing Through Emerging Tech...")+COUNTIFS('Prácticas_Snowballing'!$AB$2:$AB$281,"T030",'Prácticas_Snowballing'!$AC$2:$AC$281,"SOFTWARE TESTING &gt; Testing of and Testing Through Emerging Tech...")</f>
        <v>0</v>
      </c>
      <c r="AO38" s="17">
        <f>COUNTIFS('Prácticas_Revisiones'!$S$2:$S$282,"T030",'Prácticas_Revisiones'!$T$2:$T$282,"SOFTWARE TESTING &gt; Software Testing Tools")+COUNTIFS('Prácticas_Snowballing'!$AB$2:$AB$281,"T030",'Prácticas_Snowballing'!$AC$2:$AC$281,"SOFTWARE TESTING &gt; Software Testing Tools")</f>
        <v>0</v>
      </c>
      <c r="AP38" s="17">
        <f>COUNTIFS('Prácticas_Revisiones'!$S$2:$S$282,"T030",'Prácticas_Revisiones'!$T$2:$T$282,"SOFTWARE TESTING &gt; Subárea no determinable")+COUNTIFS('Prácticas_Snowballing'!$AB$2:$AB$281,"T030",'Prácticas_Snowballing'!$AC$2:$AC$281,"SOFTWARE TESTING &gt; Subárea no determinable")</f>
        <v>0</v>
      </c>
      <c r="AQ38" s="29">
        <f t="shared" si="22"/>
        <v>0</v>
      </c>
      <c r="AR38" s="17">
        <f>COUNTIFS('Prácticas_Revisiones'!$S$2:$S$282,"T030",'Prácticas_Revisiones'!$T$2:$T$282,"SOFTWARE ENG. OPERATIONS &gt; Software Engineering Operations Fundamentals")+COUNTIFS('Prácticas_Snowballing'!$AB$2:$AB$281,"T030",'Prácticas_Snowballing'!$AC$2:$AC$281,"SOFTWARE ENG. OPERATIONS &gt; Software Engineering Operations Fundamentals")</f>
        <v>0</v>
      </c>
      <c r="AS38" s="17">
        <f>COUNTIFS('Prácticas_Revisiones'!$S$2:$S$282,"T030",'Prácticas_Revisiones'!$T$2:$T$282,"SOFTWARE ENG. OPERATIONS &gt; Software Engineering Operations Planning")+COUNTIFS('Prácticas_Snowballing'!$AB$2:$AB$281,"T030",'Prácticas_Snowballing'!$AC$2:$AC$281,"SOFTWARE ENG. OPERATIONS &gt; Software Engineering Operations Planning")</f>
        <v>0</v>
      </c>
      <c r="AT38" s="17">
        <f>COUNTIFS('Prácticas_Revisiones'!$S$2:$S$282,"T030",'Prácticas_Revisiones'!$T$2:$T$282,"SOFTWARE ENG. OPERATIONS &gt; Software Engineering Operations Delivery")+COUNTIFS('Prácticas_Snowballing'!$AB$2:$AB$281,"T030",'Prácticas_Snowballing'!$AC$2:$AC$281,"SOFTWARE ENG. OPERATIONS &gt; Software Engineering Operations Delivery")</f>
        <v>0</v>
      </c>
      <c r="AU38" s="17">
        <f>COUNTIFS('Prácticas_Revisiones'!$S$2:$S$282,"T030",'Prácticas_Revisiones'!$T$2:$T$282,"SOFTWARE ENG. OPERATIONS &gt; Software Engineering Operations Control")+COUNTIFS('Prácticas_Snowballing'!$AB$2:$AB$281,"T030",'Prácticas_Snowballing'!$AC$2:$AC$281,"SOFTWARE ENG. OPERATIONS &gt; Software Engineering Operations Control")</f>
        <v>0</v>
      </c>
      <c r="AV38" s="17">
        <f>COUNTIFS('Prácticas_Revisiones'!$S$2:$S$282,"T030",'Prácticas_Revisiones'!$T$2:$T$282,"SOFTWARE ENG. OPERATIONS &gt; Practical Considerations")+COUNTIFS('Prácticas_Snowballing'!$AB$2:$AB$281,"T030",'Prácticas_Snowballing'!$AC$2:$AC$281,"SOFTWARE ENG. OPERATIONS &gt; Practical Considerations")</f>
        <v>0</v>
      </c>
      <c r="AW38" s="17">
        <f>COUNTIFS('Prácticas_Revisiones'!$S$2:$S$282,"T030",'Prácticas_Revisiones'!$T$2:$T$282,"SOFTWARE ENG. OPERATIONS &gt; Software Engineering Operations Tools")+COUNTIFS('Prácticas_Snowballing'!$AB$2:$AB$281,"T030",'Prácticas_Snowballing'!$AC$2:$AC$281,"SOFTWARE ENG. OPERATIONS &gt; Software Engineering Operations Tools")</f>
        <v>0</v>
      </c>
      <c r="AX38" s="17">
        <f>COUNTIFS('Prácticas_Revisiones'!$S$2:$S$282,"T030",'Prácticas_Revisiones'!$T$2:$T$282,"SOFTWARE ENG. OPERATIONS &gt; Subárea no determinable")+COUNTIFS('Prácticas_Snowballing'!$AB$2:$AB$281,"T030",'Prácticas_Snowballing'!$AC$2:$AC$281,"SOFTWARE ENG. OPERATIONS &gt; Subárea no determinable")</f>
        <v>0</v>
      </c>
      <c r="AY38" s="29">
        <f t="shared" si="23"/>
        <v>0</v>
      </c>
      <c r="AZ38" s="17">
        <f>COUNTIFS('Prácticas_Revisiones'!$S$2:$S$282,"T030",'Prácticas_Revisiones'!$T$2:$T$282,"MAINTENANCE &gt; Software Maintenance Fundamentals")+COUNTIFS('Prácticas_Snowballing'!$AB$2:$AB$281,"T030",'Prácticas_Snowballing'!$AC$2:$AC$281,"MAINTENANCE &gt; Software Maintenance Fundamentals")</f>
        <v>0</v>
      </c>
      <c r="BA38" s="17">
        <f>COUNTIFS('Prácticas_Revisiones'!$S$2:$S$282,"T030",'Prácticas_Revisiones'!$T$2:$T$282,"MAINTENANCE &gt; Key Issues in Software Maintenance")+COUNTIFS('Prácticas_Snowballing'!$AB$2:$AB$281,"T030",'Prácticas_Snowballing'!$AC$2:$AC$281,"MAINTENANCE &gt; Key Issues in Software Maintenance")</f>
        <v>0</v>
      </c>
      <c r="BB38" s="17">
        <f>COUNTIFS('Prácticas_Revisiones'!$S$2:$S$282,"T030",'Prácticas_Revisiones'!$T$2:$T$282,"MAINTENANCE &gt; Software Maintenance Processes")+COUNTIFS('Prácticas_Snowballing'!$AB$2:$AB$281,"T030",'Prácticas_Snowballing'!$AC$2:$AC$281,"MAINTENANCE &gt; Software Maintenance Processes")</f>
        <v>0</v>
      </c>
      <c r="BC38" s="17">
        <f>COUNTIFS('Prácticas_Revisiones'!$S$2:$S$282,"T030",'Prácticas_Revisiones'!$T$2:$T$282,"MAINTENANCE &gt; Software Maintenance Techniques")+COUNTIFS('Prácticas_Snowballing'!$AB$2:$AB$281,"T030",'Prácticas_Snowballing'!$AC$2:$AC$281,"MAINTENANCE &gt; Software Maintenance Techniques")</f>
        <v>0</v>
      </c>
      <c r="BD38" s="17">
        <f>COUNTIFS('Prácticas_Revisiones'!$S$2:$S$282,"T030",'Prácticas_Revisiones'!$T$2:$T$282,"MAINTENANCE &gt; Software Maintenance Tools")+COUNTIFS('Prácticas_Snowballing'!$AB$2:$AB$281,"T030",'Prácticas_Snowballing'!$AC$2:$AC$281,"MAINTENANCE &gt; Software Maintenance Tools")</f>
        <v>0</v>
      </c>
      <c r="BE38" s="17">
        <f>COUNTIFS('Prácticas_Revisiones'!$S$2:$S$282,"T030",'Prácticas_Revisiones'!$T$2:$T$282,"MAINTENANCE &gt; Subárea no determinable")+COUNTIFS('Prácticas_Snowballing'!$AB$2:$AB$281,"T030",'Prácticas_Snowballing'!$AC$2:$AC$281,"MAINTENANCE &gt; Subárea no determinable")</f>
        <v>0</v>
      </c>
      <c r="BF38" s="29">
        <f t="shared" si="24"/>
        <v>0</v>
      </c>
      <c r="BG38" s="17">
        <f>COUNTIFS('Prácticas_Revisiones'!$S$2:$S$282,"T030",'Prácticas_Revisiones'!$T$2:$T$282,"SOFTWARE CONFIG. MGMT. &gt; Management of the SCM Process")+COUNTIFS('Prácticas_Snowballing'!$AB$2:$AB$281,"T030",'Prácticas_Snowballing'!$AC$2:$AC$281,"SOFTWARE CONFIG. MGMT. &gt; Management of the SCM Process")</f>
        <v>0</v>
      </c>
      <c r="BH38" s="17">
        <f>COUNTIFS('Prácticas_Revisiones'!$S$2:$S$282,"T030",'Prácticas_Revisiones'!$T$2:$T$282,"SOFTWARE CONFIG. MGMT. &gt; Software Configuration Identification")+COUNTIFS('Prácticas_Snowballing'!$AB$2:$AB$281,"T030",'Prácticas_Snowballing'!$AC$2:$AC$281,"SOFTWARE CONFIG. MGMT. &gt; Software Configuration Identification")</f>
        <v>0</v>
      </c>
      <c r="BI38" s="17">
        <f>COUNTIFS('Prácticas_Revisiones'!$S$2:$S$282,"T030",'Prácticas_Revisiones'!$T$2:$T$282,"SOFTWARE CONFIG. MGMT. &gt; Software Configuration Change Control")+COUNTIFS('Prácticas_Snowballing'!$AB$2:$AB$281,"T030",'Prácticas_Snowballing'!$AC$2:$AC$281,"SOFTWARE CONFIG. MGMT. &gt; Software Configuration Change Control")</f>
        <v>0</v>
      </c>
      <c r="BJ38" s="17">
        <f>COUNTIFS('Prácticas_Revisiones'!$S$2:$S$282,"T030",'Prácticas_Revisiones'!$T$2:$T$282,"SOFTWARE CONFIG. MGMT. &gt; Software Configuration Status Accounting")+COUNTIFS('Prácticas_Snowballing'!$AB$2:$AB$281,"T030",'Prácticas_Snowballing'!$AC$2:$AC$281,"SOFTWARE CONFIG. MGMT. &gt; Software Configuration Status Accounting")</f>
        <v>0</v>
      </c>
      <c r="BK38" s="17">
        <f>COUNTIFS('Prácticas_Revisiones'!$S$2:$S$282,"T030",'Prácticas_Revisiones'!$T$2:$T$282,"SOFTWARE CONFIG. MGMT. &gt; Software Configuration Auditing")+COUNTIFS('Prácticas_Snowballing'!$AB$2:$AB$281,"T030",'Prácticas_Snowballing'!$AC$2:$AC$281,"SOFTWARE CONFIG. MGMT. &gt; Software Configuration Auditing")</f>
        <v>0</v>
      </c>
      <c r="BL38" s="17">
        <f>COUNTIFS('Prácticas_Revisiones'!$S$2:$S$282,"T030",'Prácticas_Revisiones'!$T$2:$T$282,"SOFTWARE CONFIG. MGMT. &gt; Software Release Management and Delivery")+COUNTIFS('Prácticas_Snowballing'!$AB$2:$AB$281,"T030",'Prácticas_Snowballing'!$AC$2:$AC$281,"SOFTWARE CONFIG. MGMT. &gt; Software Release Management and Delivery")</f>
        <v>0</v>
      </c>
      <c r="BM38" s="17">
        <f>COUNTIFS('Prácticas_Revisiones'!$S$2:$S$282,"T030",'Prácticas_Revisiones'!$T$2:$T$282,"SOFTWARE CONFIG. MGMT. &gt; Software Configuration Management Tools")+COUNTIFS('Prácticas_Snowballing'!$AB$2:$AB$281,"T030",'Prácticas_Snowballing'!$AC$2:$AC$281,"SOFTWARE CONFIG. MGMT. &gt; Software Configuration Management Tools")</f>
        <v>0</v>
      </c>
      <c r="BN38" s="17">
        <f>COUNTIFS('Prácticas_Revisiones'!$S$2:$S$282,"T030",'Prácticas_Revisiones'!$T$2:$T$282,"SOFTWARE CONFIG. MGMT. &gt; Subárea no determinable")+COUNTIFS('Prácticas_Snowballing'!$AB$2:$AB$281,"T030",'Prácticas_Snowballing'!$AC$2:$AC$281,"SOFTWARE CONFIG. MGMT. &gt; Subárea no determinable")</f>
        <v>0</v>
      </c>
      <c r="BO38" s="29">
        <f t="shared" si="25"/>
        <v>0</v>
      </c>
      <c r="BP38" s="17">
        <f>COUNTIFS('Prácticas_Revisiones'!$S$2:$S$282,"T030",'Prácticas_Revisiones'!$T$2:$T$282,"SOFTWARE ENG. PROCESS &gt; Software Engineering Process Fundamentals")+COUNTIFS('Prácticas_Snowballing'!$AB$2:$AB$281,"T030",'Prácticas_Snowballing'!$AC$2:$AC$281,"SOFTWARE ENG. PROCESS &gt; Software Engineering Process Fundamentals")</f>
        <v>0</v>
      </c>
      <c r="BQ38" s="17">
        <f>COUNTIFS('Prácticas_Revisiones'!$S$2:$S$282,"T030",'Prácticas_Revisiones'!$T$2:$T$282,"SOFTWARE ENG. PROCESS &gt; Life Cycles")+COUNTIFS('Prácticas_Snowballing'!$AB$2:$AB$281,"T030",'Prácticas_Snowballing'!$AC$2:$AC$281,"SOFTWARE ENG. PROCESS &gt; Life Cycles")</f>
        <v>0</v>
      </c>
      <c r="BR38" s="17">
        <f>COUNTIFS('Prácticas_Revisiones'!$S$2:$S$282,"T030",'Prácticas_Revisiones'!$T$2:$T$282,"SOFTWARE ENG. PROCESS &gt; Software Process Assessment and Improvement")+COUNTIFS('Prácticas_Snowballing'!$AB$2:$AB$281,"T030",'Prácticas_Snowballing'!$AC$2:$AC$281,"SOFTWARE ENG. PROCESS &gt; Software Process Assessment and Improvement")</f>
        <v>0</v>
      </c>
      <c r="BS38" s="17">
        <f>COUNTIFS('Prácticas_Revisiones'!$S$2:$S$282,"T030",'Prácticas_Revisiones'!$T$2:$T$282,"SOFTWARE ENG. PROCESS &gt; Subárea no determinable")+COUNTIFS('Prácticas_Snowballing'!$AB$2:$AB$281,"T030",'Prácticas_Snowballing'!$AC$2:$AC$281,"SOFTWARE ENG. PROCESS &gt; Subárea no determinable")</f>
        <v>0</v>
      </c>
      <c r="BT38" s="29">
        <f t="shared" si="26"/>
        <v>0</v>
      </c>
      <c r="BU38" s="17">
        <f>COUNTIFS('Prácticas_Revisiones'!$S$2:$S$282,"T030",'Prácticas_Revisiones'!$T$2:$T$282,"SOFTWARE ENG. MODELS/METH. &gt; Modeling")+COUNTIFS('Prácticas_Snowballing'!$AB$2:$AB$281,"T030",'Prácticas_Snowballing'!$AC$2:$AC$281,"SOFTWARE ENG. MODELS/METH. &gt; Modeling")</f>
        <v>0</v>
      </c>
      <c r="BV38" s="17">
        <f>COUNTIFS('Prácticas_Revisiones'!$S$2:$S$282,"T030",'Prácticas_Revisiones'!$T$2:$T$282,"SOFTWARE ENG. MODELS/METH. &gt; Types of Models")+COUNTIFS('Prácticas_Snowballing'!$AB$2:$AB$281,"T030",'Prácticas_Snowballing'!$AC$2:$AC$281,"SOFTWARE ENG. MODELS/METH. &gt; Types of Models")</f>
        <v>0</v>
      </c>
      <c r="BW38" s="17">
        <f>COUNTIFS('Prácticas_Revisiones'!$S$2:$S$282,"T030",'Prácticas_Revisiones'!$T$2:$T$282,"SOFTWARE ENG. MODELS/METH. &gt; Analysis of Models")+COUNTIFS('Prácticas_Snowballing'!$AB$2:$AB$281,"T030",'Prácticas_Snowballing'!$AC$2:$AC$281,"SOFTWARE ENG. MODELS/METH. &gt; Analysis of Models")</f>
        <v>0</v>
      </c>
      <c r="BX38" s="17">
        <f>COUNTIFS('Prácticas_Revisiones'!$S$2:$S$282,"T030",'Prácticas_Revisiones'!$T$2:$T$282,"SOFTWARE ENG. MODELS/METH. &gt; Software Engineering Methods")+COUNTIFS('Prácticas_Snowballing'!$AB$2:$AB$281,"T030",'Prácticas_Snowballing'!$AC$2:$AC$281,"SOFTWARE ENG. MODELS/METH. &gt; Software Engineering Methods")</f>
        <v>0</v>
      </c>
      <c r="BY38" s="17">
        <f>COUNTIFS('Prácticas_Revisiones'!$S$2:$S$282,"T030",'Prácticas_Revisiones'!$T$2:$T$282,"SOFTWARE ENG. MODELS/METH. &gt; Subárea no determinable")+COUNTIFS('Prácticas_Snowballing'!$AB$2:$AB$281,"T030",'Prácticas_Snowballing'!$AC$2:$AC$281,"SOFTWARE ENG. MODELS/METH. &gt; Subárea no determinable")</f>
        <v>0</v>
      </c>
      <c r="BZ38" s="29">
        <f t="shared" si="27"/>
        <v>0</v>
      </c>
      <c r="CA38" s="17">
        <f>COUNTIFS('Prácticas_Revisiones'!$S$2:$S$282,"T030",'Prácticas_Revisiones'!$T$2:$T$282,"SOFTWARE QUALITY &gt; Software Quality Fundamentals")+COUNTIFS('Prácticas_Snowballing'!$AB$2:$AB$281,"T030",'Prácticas_Snowballing'!$AC$2:$AC$281,"SOFTWARE QUALITY &gt; Software Quality Fundamentals")</f>
        <v>0</v>
      </c>
      <c r="CB38" s="17">
        <f>COUNTIFS('Prácticas_Revisiones'!$S$2:$S$282,"T030",'Prácticas_Revisiones'!$T$2:$T$282,"SOFTWARE QUALITY &gt; Software Quality Management Process")+COUNTIFS('Prácticas_Snowballing'!$AB$2:$AB$281,"T030",'Prácticas_Snowballing'!$AC$2:$AC$281,"SOFTWARE QUALITY &gt; Software Quality Management Process")</f>
        <v>0</v>
      </c>
      <c r="CC38" s="17">
        <f>COUNTIFS('Prácticas_Revisiones'!$S$2:$S$282,"T030",'Prácticas_Revisiones'!$T$2:$T$282,"SOFTWARE QUALITY &gt; Software Quality Assurance Process")+COUNTIFS('Prácticas_Snowballing'!$AB$2:$AB$281,"T030",'Prácticas_Snowballing'!$AC$2:$AC$281,"SOFTWARE QUALITY &gt; Software Quality Assurance Process")</f>
        <v>0</v>
      </c>
      <c r="CD38" s="17">
        <f>COUNTIFS('Prácticas_Revisiones'!$S$2:$S$282,"T030",'Prácticas_Revisiones'!$T$2:$T$282,"SOFTWARE QUALITY &gt; Software Quality Tools")+COUNTIFS('Prácticas_Snowballing'!$AB$2:$AB$281,"T030",'Prácticas_Snowballing'!$AC$2:$AC$281,"SOFTWARE QUALITY &gt; Software Quality Tools")</f>
        <v>0</v>
      </c>
      <c r="CE38" s="17">
        <f>COUNTIFS('Prácticas_Revisiones'!$S$2:$S$282,"T030",'Prácticas_Revisiones'!$T$2:$T$282,"SOFTWARE QUALITY &gt; Subárea no determinable")+COUNTIFS('Prácticas_Snowballing'!$AB$2:$AB$281,"T030",'Prácticas_Snowballing'!$AC$2:$AC$281,"SOFTWARE QUALITY &gt; Subárea no determinable")</f>
        <v>0</v>
      </c>
      <c r="CF38" s="29">
        <f t="shared" si="28"/>
        <v>0</v>
      </c>
      <c r="CG38" s="17">
        <f>COUNTIFS('Prácticas_Revisiones'!$S$2:$S$282,"T030",'Prácticas_Revisiones'!$T$2:$T$282,"SOFTWARE SECURITY &gt; Software Security Fundamentals")+COUNTIFS('Prácticas_Snowballing'!$AB$2:$AB$281,"T030",'Prácticas_Snowballing'!$AC$2:$AC$281,"SOFTWARE SECURITY &gt; Software Security Fundamentals")</f>
        <v>0</v>
      </c>
      <c r="CH38" s="17">
        <f>COUNTIFS('Prácticas_Revisiones'!$S$2:$S$282,"T030",'Prácticas_Revisiones'!$T$2:$T$282,"SOFTWARE SECURITY &gt; Security Management and Organization")+COUNTIFS('Prácticas_Snowballing'!$AB$2:$AB$281,"T030",'Prácticas_Snowballing'!$AC$2:$AC$281,"SOFTWARE SECURITY &gt; Security Management and Organization")</f>
        <v>0</v>
      </c>
      <c r="CI38" s="17">
        <f>COUNTIFS('Prácticas_Revisiones'!$S$2:$S$282,"T030",'Prácticas_Revisiones'!$T$2:$T$282,"SOFTWARE SECURITY &gt; Software Security Engineering and Process")+COUNTIFS('Prácticas_Snowballing'!$AB$2:$AB$281,"T030",'Prácticas_Snowballing'!$AC$2:$AC$281,"SOFTWARE SECURITY &gt; Software Security Engineering and Process")</f>
        <v>0</v>
      </c>
      <c r="CJ38" s="17">
        <f>COUNTIFS('Prácticas_Revisiones'!$S$2:$S$282,"T030",'Prácticas_Revisiones'!$T$2:$T$282,"SOFTWARE SECURITY &gt; Security Engineering for Software Systems")+COUNTIFS('Prácticas_Snowballing'!$AB$2:$AB$281,"T030",'Prácticas_Snowballing'!$AC$2:$AC$281,"SOFTWARE SECURITY &gt; Security Engineering for Software Systems")</f>
        <v>0</v>
      </c>
      <c r="CK38" s="17">
        <f>COUNTIFS('Prácticas_Revisiones'!$S$2:$S$282,"T030",'Prácticas_Revisiones'!$T$2:$T$282,"SOFTWARE SECURITY &gt; Software Security Tools")+COUNTIFS('Prácticas_Snowballing'!$AB$2:$AB$281,"T030",'Prácticas_Snowballing'!$AC$2:$AC$281,"SOFTWARE SECURITY &gt; Software Security Tools")</f>
        <v>0</v>
      </c>
      <c r="CL38" s="17">
        <f>COUNTIFS('Prácticas_Revisiones'!$S$2:$S$282,"T030",'Prácticas_Revisiones'!$T$2:$T$282,"SOFTWARE SECURITY &gt; Domain Specific Software Security")+COUNTIFS('Prácticas_Snowballing'!$AB$2:$AB$281,"T030",'Prácticas_Snowballing'!$AC$2:$AC$281,"SOFTWARE SECURITY &gt; Domain Specific Software Security")</f>
        <v>0</v>
      </c>
      <c r="CM38" s="17">
        <f>COUNTIFS('Prácticas_Revisiones'!$S$2:$S$282,"T030",'Prácticas_Revisiones'!$T$2:$T$282,"SOFTWARE SECURITY &gt; Subárea no determinable")+COUNTIFS('Prácticas_Snowballing'!$AB$2:$AB$281,"T030",'Prácticas_Snowballing'!$AC$2:$AC$281,"SOFTWARE SECURITY &gt; Subárea no determinable")</f>
        <v>0</v>
      </c>
      <c r="CN38" s="29">
        <f t="shared" si="29"/>
        <v>0</v>
      </c>
      <c r="CO38" s="17">
        <f>COUNTIFS('Prácticas_Revisiones'!$S$2:$S$282,"T030",'Prácticas_Revisiones'!$T$2:$T$282,"PROFESSIONAL PRACTICE &gt; Professionalism")+COUNTIFS('Prácticas_Snowballing'!$AB$2:$AB$281,"T030",'Prácticas_Snowballing'!$AC$2:$AC$281,"PROFESSIONAL PRACTICE &gt; Professionalism")</f>
        <v>0</v>
      </c>
      <c r="CP38" s="17">
        <f>COUNTIFS('Prácticas_Revisiones'!$S$2:$S$282,"T030",'Prácticas_Revisiones'!$T$2:$T$282,"PROFESSIONAL PRACTICE &gt; Group Dynamics and Psychology")+COUNTIFS('Prácticas_Snowballing'!$AB$2:$AB$281,"T030",'Prácticas_Snowballing'!$AC$2:$AC$281,"PROFESSIONAL PRACTICE &gt; Group Dynamics and Psychology")</f>
        <v>0</v>
      </c>
      <c r="CQ38" s="17">
        <f>COUNTIFS('Prácticas_Revisiones'!$S$2:$S$282,"T030",'Prácticas_Revisiones'!$T$2:$T$282,"PROFESSIONAL PRACTICE &gt; Communication Skills")+COUNTIFS('Prácticas_Snowballing'!$AB$2:$AB$281,"T030",'Prácticas_Snowballing'!$AC$2:$AC$281,"PROFESSIONAL PRACTICE &gt; Communication Skills")</f>
        <v>0</v>
      </c>
      <c r="CR38" s="17">
        <f>COUNTIFS('Prácticas_Revisiones'!$S$2:$S$282,"T030",'Prácticas_Revisiones'!$T$2:$T$282,"PROFESSIONAL PRACTICE &gt; Subárea no determinable")+COUNTIFS('Prácticas_Snowballing'!$AB$2:$AB$281,"T030",'Prácticas_Snowballing'!$AC$2:$AC$281,"PROFESSIONAL PRACTICE &gt; Subárea no determinable")</f>
        <v>0</v>
      </c>
      <c r="CS38" s="29">
        <f t="shared" si="30"/>
        <v>0</v>
      </c>
      <c r="CT38" s="17">
        <f>COUNTIFS('Prácticas_Revisiones'!$S$2:$S$282,"T030",'Prácticas_Revisiones'!$T$2:$T$282,"SOFTWARE ENG. ECONOMICS &gt; Software Engineering Economics Fundamentals")+COUNTIFS('Prácticas_Snowballing'!$AB$2:$AB$281,"T030",'Prácticas_Snowballing'!$AC$2:$AC$281,"SOFTWARE ENG. ECONOMICS &gt; Software Engineering Economics Fundamentals")</f>
        <v>0</v>
      </c>
      <c r="CU38" s="17">
        <f>COUNTIFS('Prácticas_Revisiones'!$S$2:$S$282,"T030",'Prácticas_Revisiones'!$T$2:$T$282,"SOFTWARE ENG. ECONOMICS &gt; The Engineering Decision-Making Process")+COUNTIFS('Prácticas_Snowballing'!$AB$2:$AB$281,"T030",'Prácticas_Snowballing'!$AC$2:$AC$281,"SOFTWARE ENG. ECONOMICS &gt; The Engineering Decision-Making Process")</f>
        <v>0</v>
      </c>
      <c r="CV38" s="17">
        <f>COUNTIFS('Prácticas_Revisiones'!$S$2:$S$282,"T030",'Prácticas_Revisiones'!$T$2:$T$282,"SOFTWARE ENG. ECONOMICS &gt; For-Profit Decision-Making")+COUNTIFS('Prácticas_Snowballing'!$AB$2:$AB$281,"T030",'Prácticas_Snowballing'!$AC$2:$AC$281,"SOFTWARE ENG. ECONOMICS &gt; For-Profit Decision-Making")</f>
        <v>0</v>
      </c>
      <c r="CW38" s="17">
        <f>COUNTIFS('Prácticas_Revisiones'!$S$2:$S$282,"T030",'Prácticas_Revisiones'!$T$2:$T$282,"SOFTWARE ENG. ECONOMICS &gt; Nonprofit Decision-Making")+COUNTIFS('Prácticas_Snowballing'!$AB$2:$AB$281,"T030",'Prácticas_Snowballing'!$AC$2:$AC$281,"SOFTWARE ENG. ECONOMICS &gt; Nonprofit Decision-Making")</f>
        <v>0</v>
      </c>
      <c r="CX38" s="17">
        <f>COUNTIFS('Prácticas_Revisiones'!$S$2:$S$282,"T030",'Prácticas_Revisiones'!$T$2:$T$282,"SOFTWARE ENG. ECONOMICS &gt; Present Economy Decision-Making")+COUNTIFS('Prácticas_Snowballing'!$AB$2:$AB$281,"T030",'Prácticas_Snowballing'!$AC$2:$AC$281,"SOFTWARE ENG. ECONOMICS &gt; Present Economy Decision-Making")</f>
        <v>0</v>
      </c>
      <c r="CY38" s="17">
        <f>COUNTIFS('Prácticas_Revisiones'!$S$2:$S$282,"T030",'Prácticas_Revisiones'!$T$2:$T$282,"SOFTWARE ENG. ECONOMICS &gt; Multiple-Attribute Decision-Making")+COUNTIFS('Prácticas_Snowballing'!$AB$2:$AB$281,"T030",'Prácticas_Snowballing'!$AC$2:$AC$281,"SOFTWARE ENG. ECONOMICS &gt; Multiple-Attribute Decision-Making")</f>
        <v>0</v>
      </c>
      <c r="CZ38" s="17">
        <f>COUNTIFS('Prácticas_Revisiones'!$S$2:$S$282,"T030",'Prácticas_Revisiones'!$T$2:$T$282,"SOFTWARE ENG. ECONOMICS &gt; Identifying and Characterizing Intangible Assets")+COUNTIFS('Prácticas_Snowballing'!$AB$2:$AB$281,"T030",'Prácticas_Snowballing'!$AC$2:$AC$281,"SOFTWARE ENG. ECONOMICS &gt; Identifying and Characterizing Intangible Assets")</f>
        <v>0</v>
      </c>
      <c r="DA38" s="17">
        <f>COUNTIFS('Prácticas_Revisiones'!$S$2:$S$282,"T030",'Prácticas_Revisiones'!$T$2:$T$282,"SOFTWARE ENG. ECONOMICS &gt; Estimation")+COUNTIFS('Prácticas_Snowballing'!$AB$2:$AB$281,"T030",'Prácticas_Snowballing'!$AC$2:$AC$281,"SOFTWARE ENG. ECONOMICS &gt; Estimation")</f>
        <v>0</v>
      </c>
      <c r="DB38" s="17">
        <f>COUNTIFS('Prácticas_Revisiones'!$S$2:$S$282,"T030",'Prácticas_Revisiones'!$T$2:$T$282,"SOFTWARE ENG. ECONOMICS &gt; Practical Considerations")+COUNTIFS('Prácticas_Snowballing'!$AB$2:$AB$281,"T030",'Prácticas_Snowballing'!$AC$2:$AC$281,"SOFTWARE ENG. ECONOMICS &gt; Practical Considerations")</f>
        <v>0</v>
      </c>
      <c r="DC38" s="17">
        <f>COUNTIFS('Prácticas_Revisiones'!$S$2:$S$282,"T030",'Prácticas_Revisiones'!$T$2:$T$282,"SOFTWARE ENG. ECONOMICS &gt; Related Concepts")+COUNTIFS('Prácticas_Snowballing'!$AB$2:$AB$281,"T030",'Prácticas_Snowballing'!$AC$2:$AC$281,"SOFTWARE ENG. ECONOMICS &gt; Related Concepts")</f>
        <v>0</v>
      </c>
      <c r="DD38" s="17">
        <f>COUNTIFS('Prácticas_Revisiones'!$S$2:$S$282,"T030",'Prácticas_Revisiones'!$T$2:$T$282,"SOFTWARE ENG. ECONOMICS &gt; Subárea no determinable")+COUNTIFS('Prácticas_Snowballing'!$AB$2:$AB$281,"T030",'Prácticas_Snowballing'!$AC$2:$AC$281,"SOFTWARE ENG. ECONOMICS &gt; Subárea no determinable")</f>
        <v>0</v>
      </c>
      <c r="DE38" s="29">
        <f t="shared" si="31"/>
        <v>0</v>
      </c>
      <c r="DF38" s="17">
        <f>COUNTIFS('Prácticas_Revisiones'!$S$2:$S$282,"T030",'Prácticas_Revisiones'!$T$2:$T$282,"SOFTWARE ENG. MANAGEMENT &gt; Software Engineering Management Fundamentals")+COUNTIFS('Prácticas_Snowballing'!$AB$2:$AB$281,"T030",'Prácticas_Snowballing'!$AC$2:$AC$281,"SOFTWARE ENG. MANAGEMENT &gt; Software Engineering Management Fundamentals")</f>
        <v>0</v>
      </c>
      <c r="DG38" s="17">
        <f>COUNTIFS('Prácticas_Revisiones'!$S$2:$S$282,"T030",'Prácticas_Revisiones'!$T$2:$T$282,"SOFTWARE ENG. MANAGEMENT &gt; Initiation and Scope Definition")+COUNTIFS('Prácticas_Snowballing'!$AB$2:$AB$281,"T030",'Prácticas_Snowballing'!$AC$2:$AC$281,"SOFTWARE ENG. MANAGEMENT &gt; Initiation and Scope Definition")</f>
        <v>0</v>
      </c>
      <c r="DH38" s="17">
        <f>COUNTIFS('Prácticas_Revisiones'!$S$2:$S$282,"T030",'Prácticas_Revisiones'!$T$2:$T$282,"SOFTWARE ENG. MANAGEMENT &gt; Software Project Planning")+COUNTIFS('Prácticas_Snowballing'!$AB$2:$AB$281,"T030",'Prácticas_Snowballing'!$AC$2:$AC$281,"SOFTWARE ENG. MANAGEMENT &gt; Software Project Planning")</f>
        <v>0</v>
      </c>
      <c r="DI38" s="17">
        <f>COUNTIFS('Prácticas_Revisiones'!$S$2:$S$282,"T030",'Prácticas_Revisiones'!$T$2:$T$282,"SOFTWARE ENG. MANAGEMENT &gt; Software Project Enactment")+COUNTIFS('Prácticas_Snowballing'!$AB$2:$AB$281,"T030",'Prácticas_Snowballing'!$AC$2:$AC$281,"SOFTWARE ENG. MANAGEMENT &gt; Software Project Enactment")</f>
        <v>0</v>
      </c>
      <c r="DJ38" s="17">
        <f>COUNTIFS('Prácticas_Revisiones'!$S$2:$S$282,"T030",'Prácticas_Revisiones'!$T$2:$T$282,"SOFTWARE ENG. MANAGEMENT &gt; Review and Evaluation")+COUNTIFS('Prácticas_Snowballing'!$AB$2:$AB$281,"T030",'Prácticas_Snowballing'!$AC$2:$AC$281,"SOFTWARE ENG. MANAGEMENT &gt; Review and Evaluation")</f>
        <v>0</v>
      </c>
      <c r="DK38" s="17">
        <f>COUNTIFS('Prácticas_Revisiones'!$S$2:$S$282,"T030",'Prácticas_Revisiones'!$T$2:$T$282,"SOFTWARE ENG. MANAGEMENT &gt; Closure")+COUNTIFS('Prácticas_Snowballing'!$AB$2:$AB$281,"T030",'Prácticas_Snowballing'!$AC$2:$AC$281,"SOFTWARE ENG. MANAGEMENT &gt; Closure")</f>
        <v>0</v>
      </c>
      <c r="DL38" s="17">
        <f>COUNTIFS('Prácticas_Revisiones'!$S$2:$S$282,"T030",'Prácticas_Revisiones'!$T$2:$T$282,"SOFTWARE ENG. MANAGEMENT &gt; Software Engineering Management Tools")+COUNTIFS('Prácticas_Snowballing'!$AB$2:$AB$281,"T030",'Prácticas_Snowballing'!$AC$2:$AC$281,"SOFTWARE ENG. MANAGEMENT &gt; Software Engineering Management Tools")</f>
        <v>0</v>
      </c>
      <c r="DM38" s="17">
        <f>COUNTIFS('Prácticas_Revisiones'!$S$2:$S$282,"T030",'Prácticas_Revisiones'!$T$2:$T$282,"SOFTWARE ENG. MANAGEMENT &gt; Subárea no determinable")+COUNTIFS('Prácticas_Snowballing'!$AB$2:$AB$281,"T030",'Prácticas_Snowballing'!$AC$2:$AC$281,"SOFTWARE ENG. MANAGEMENT &gt; Subárea no determinable")</f>
        <v>0</v>
      </c>
      <c r="DN38" s="29">
        <f t="shared" si="32"/>
        <v>0</v>
      </c>
      <c r="DO38" s="17">
        <f>COUNTIFS('Prácticas_Revisiones'!$S$2:$S$282,"T030",'Prácticas_Revisiones'!$T$2:$T$282,"Sin área SWEBOK")+COUNTIFS('Prácticas_Snowballing'!$AB$2:$AB$281,"T030",'Prácticas_Snowballing'!$AC$2:$AC$281,"Sin área SWEBOK")</f>
        <v>0</v>
      </c>
      <c r="DP38" s="27">
        <f t="shared" si="33"/>
        <v>0</v>
      </c>
    </row>
    <row r="39" ht="15.75" customHeight="1">
      <c r="A39" s="23"/>
      <c r="B39" s="9" t="s">
        <v>2199</v>
      </c>
      <c r="C39" s="17">
        <f>COUNTIFS('Prácticas_Revisiones'!$S$2:$S$282,"Sin equivalente en catálogo (EXPLICAR)",'Prácticas_Revisiones'!$T$2:$T$282,"REQUIREMENTS &gt; Software Requirements Fundamentals")+COUNTIFS('Prácticas_Snowballing'!$AB$2:$AB$281,"Sin equivalente en catálogo (EXPLICAR)",'Prácticas_Snowballing'!$AC$2:$AC$281,"REQUIREMENTS &gt; Software Requirements Fundamentals")</f>
        <v>0</v>
      </c>
      <c r="D39" s="17">
        <f>COUNTIFS('Prácticas_Revisiones'!$S$2:$S$282,"Sin equivalente en catálogo (EXPLICAR)",'Prácticas_Revisiones'!$T$2:$T$282,"REQUIREMENTS &gt; Requirements Elicitation")+COUNTIFS('Prácticas_Snowballing'!$AB$2:$AB$281,"Sin equivalente en catálogo (EXPLICAR)",'Prácticas_Snowballing'!$AC$2:$AC$281,"REQUIREMENTS &gt; Requirements Elicitation")</f>
        <v>0</v>
      </c>
      <c r="E39" s="17">
        <f>COUNTIFS('Prácticas_Revisiones'!$S$2:$S$282,"Sin equivalente en catálogo (EXPLICAR)",'Prácticas_Revisiones'!$T$2:$T$282,"REQUIREMENTS &gt; Requirements Analysis")+COUNTIFS('Prácticas_Snowballing'!$AB$2:$AB$281,"Sin equivalente en catálogo (EXPLICAR)",'Prácticas_Snowballing'!$AC$2:$AC$281,"REQUIREMENTS &gt; Requirements Analysis")</f>
        <v>0</v>
      </c>
      <c r="F39" s="17">
        <f>COUNTIFS('Prácticas_Revisiones'!$S$2:$S$282,"Sin equivalente en catálogo (EXPLICAR)",'Prácticas_Revisiones'!$T$2:$T$282,"REQUIREMENTS &gt; Requirements Specification")+COUNTIFS('Prácticas_Snowballing'!$AB$2:$AB$281,"Sin equivalente en catálogo (EXPLICAR)",'Prácticas_Snowballing'!$AC$2:$AC$281,"REQUIREMENTS &gt; Requirements Specification")</f>
        <v>0</v>
      </c>
      <c r="G39" s="17">
        <f>COUNTIFS('Prácticas_Revisiones'!$S$2:$S$282,"Sin equivalente en catálogo (EXPLICAR)",'Prácticas_Revisiones'!$T$2:$T$282,"REQUIREMENTS &gt; Requirements Validation")+COUNTIFS('Prácticas_Snowballing'!$AB$2:$AB$281,"Sin equivalente en catálogo (EXPLICAR)",'Prácticas_Snowballing'!$AC$2:$AC$281,"REQUIREMENTS &gt; Requirements Validation")</f>
        <v>0</v>
      </c>
      <c r="H39" s="17">
        <f>COUNTIFS('Prácticas_Revisiones'!$S$2:$S$282,"Sin equivalente en catálogo (EXPLICAR)",'Prácticas_Revisiones'!$T$2:$T$282,"REQUIREMENTS &gt; Requirements Management Activities")+COUNTIFS('Prácticas_Snowballing'!$AB$2:$AB$281,"Sin equivalente en catálogo (EXPLICAR)",'Prácticas_Snowballing'!$AC$2:$AC$281,"REQUIREMENTS &gt; Requirements Management Activities")</f>
        <v>0</v>
      </c>
      <c r="I39" s="17">
        <f>COUNTIFS('Prácticas_Revisiones'!$S$2:$S$282,"Sin equivalente en catálogo (EXPLICAR)",'Prácticas_Revisiones'!$T$2:$T$282,"REQUIREMENTS &gt; Practical Considerations")+COUNTIFS('Prácticas_Snowballing'!$AB$2:$AB$281,"Sin equivalente en catálogo (EXPLICAR)",'Prácticas_Snowballing'!$AC$2:$AC$281,"REQUIREMENTS &gt; Practical Considerations")</f>
        <v>0</v>
      </c>
      <c r="J39" s="17">
        <f>COUNTIFS('Prácticas_Revisiones'!$S$2:$S$282,"Sin equivalente en catálogo (EXPLICAR)",'Prácticas_Revisiones'!$T$2:$T$282,"REQUIREMENTS &gt; Software Requirements Tools")+COUNTIFS('Prácticas_Snowballing'!$AB$2:$AB$281,"Sin equivalente en catálogo (EXPLICAR)",'Prácticas_Snowballing'!$AC$2:$AC$281,"REQUIREMENTS &gt; Software Requirements Tools")</f>
        <v>0</v>
      </c>
      <c r="K39" s="17">
        <f>COUNTIFS('Prácticas_Revisiones'!$S$2:$S$282,"Sin equivalente en catálogo (EXPLICAR)",'Prácticas_Revisiones'!$T$2:$T$282,"REQUIREMENTS &gt; Subárea no determinable")+COUNTIFS('Prácticas_Snowballing'!$AB$2:$AB$281,"Sin equivalente en catálogo (EXPLICAR)",'Prácticas_Snowballing'!$AC$2:$AC$281,"REQUIREMENTS &gt; Subárea no determinable")</f>
        <v>0</v>
      </c>
      <c r="L39" s="29">
        <f t="shared" si="18"/>
        <v>0</v>
      </c>
      <c r="M39" s="17">
        <f>COUNTIFS('Prácticas_Revisiones'!$S$2:$S$282,"Sin equivalente en catálogo (EXPLICAR)",'Prácticas_Revisiones'!$T$2:$T$282,"ARCHITECTURE &gt; Software Architecture Fundamentals")+COUNTIFS('Prácticas_Snowballing'!$AB$2:$AB$281,"Sin equivalente en catálogo (EXPLICAR)",'Prácticas_Snowballing'!$AC$2:$AC$281,"ARCHITECTURE &gt; Software Architecture Fundamentals")</f>
        <v>0</v>
      </c>
      <c r="N39" s="17">
        <f>COUNTIFS('Prácticas_Revisiones'!$S$2:$S$282,"Sin equivalente en catálogo (EXPLICAR)",'Prácticas_Revisiones'!$T$2:$T$282,"ARCHITECTURE &gt; Software Architecture Description")+COUNTIFS('Prácticas_Snowballing'!$AB$2:$AB$281,"Sin equivalente en catálogo (EXPLICAR)",'Prácticas_Snowballing'!$AC$2:$AC$281,"ARCHITECTURE &gt; Software Architecture Description")</f>
        <v>0</v>
      </c>
      <c r="O39" s="17">
        <f>COUNTIFS('Prácticas_Revisiones'!$S$2:$S$282,"Sin equivalente en catálogo (EXPLICAR)",'Prácticas_Revisiones'!$T$2:$T$282,"ARCHITECTURE &gt; Software Architecture Process")+COUNTIFS('Prácticas_Snowballing'!$AB$2:$AB$281,"Sin equivalente en catálogo (EXPLICAR)",'Prácticas_Snowballing'!$AC$2:$AC$281,"ARCHITECTURE &gt; Software Architecture Process")</f>
        <v>0</v>
      </c>
      <c r="P39" s="17">
        <f>COUNTIFS('Prácticas_Revisiones'!$S$2:$S$282,"Sin equivalente en catálogo (EXPLICAR)",'Prácticas_Revisiones'!$T$2:$T$282,"ARCHITECTURE &gt; Software Architecture Evaluation")+COUNTIFS('Prácticas_Snowballing'!$AB$2:$AB$281,"Sin equivalente en catálogo (EXPLICAR)",'Prácticas_Snowballing'!$AC$2:$AC$281,"ARCHITECTURE &gt; Software Architecture Evaluation")</f>
        <v>0</v>
      </c>
      <c r="Q39" s="17">
        <f>COUNTIFS('Prácticas_Revisiones'!$S$2:$S$282,"Sin equivalente en catálogo (EXPLICAR)",'Prácticas_Revisiones'!$T$2:$T$282,"ARCHITECTURE &gt; Subárea no determinable")+COUNTIFS('Prácticas_Snowballing'!$AB$2:$AB$281,"Sin equivalente en catálogo (EXPLICAR)",'Prácticas_Snowballing'!$AC$2:$AC$281,"ARCHITECTURE &gt; Subárea no determinable")</f>
        <v>0</v>
      </c>
      <c r="R39" s="29">
        <f t="shared" si="19"/>
        <v>0</v>
      </c>
      <c r="S39" s="17">
        <f>COUNTIFS('Prácticas_Revisiones'!$S$2:$S$282,"Sin equivalente en catálogo (EXPLICAR)",'Prácticas_Revisiones'!$T$2:$T$282,"DESIGN &gt; Software Design Fundamentals")+COUNTIFS('Prácticas_Snowballing'!$AB$2:$AB$281,"Sin equivalente en catálogo (EXPLICAR)",'Prácticas_Snowballing'!$AC$2:$AC$281,"DESIGN &gt; Software Design Fundamentals")</f>
        <v>0</v>
      </c>
      <c r="T39" s="17">
        <f>COUNTIFS('Prácticas_Revisiones'!$S$2:$S$282,"Sin equivalente en catálogo (EXPLICAR)",'Prácticas_Revisiones'!$T$2:$T$282,"DESIGN &gt; Software Design Processes")+COUNTIFS('Prácticas_Snowballing'!$AB$2:$AB$281,"Sin equivalente en catálogo (EXPLICAR)",'Prácticas_Snowballing'!$AC$2:$AC$281,"DESIGN &gt; Software Design Processes")</f>
        <v>0</v>
      </c>
      <c r="U39" s="17">
        <f>COUNTIFS('Prácticas_Revisiones'!$S$2:$S$282,"Sin equivalente en catálogo (EXPLICAR)",'Prácticas_Revisiones'!$T$2:$T$282,"DESIGN &gt; Software Design Qualities")+COUNTIFS('Prácticas_Snowballing'!$AB$2:$AB$281,"Sin equivalente en catálogo (EXPLICAR)",'Prácticas_Snowballing'!$AC$2:$AC$281,"DESIGN &gt; Software Design Qualities")</f>
        <v>0</v>
      </c>
      <c r="V39" s="17">
        <f>COUNTIFS('Prácticas_Revisiones'!$S$2:$S$282,"Sin equivalente en catálogo (EXPLICAR)",'Prácticas_Revisiones'!$T$2:$T$282,"DESIGN &gt; Recording Software Design")+COUNTIFS('Prácticas_Snowballing'!$AB$2:$AB$281,"Sin equivalente en catálogo (EXPLICAR)",'Prácticas_Snowballing'!$AC$2:$AC$281,"DESIGN &gt; Recording Software Design")</f>
        <v>0</v>
      </c>
      <c r="W39" s="17">
        <f>COUNTIFS('Prácticas_Revisiones'!$S$2:$S$282,"Sin equivalente en catálogo (EXPLICAR)",'Prácticas_Revisiones'!$T$2:$T$282,"DESIGN &gt; Software Design Strategies and Methods")+COUNTIFS('Prácticas_Snowballing'!$AB$2:$AB$281,"Sin equivalente en catálogo (EXPLICAR)",'Prácticas_Snowballing'!$AC$2:$AC$281,"DESIGN &gt; Software Design Strategies and Methods")</f>
        <v>0</v>
      </c>
      <c r="X39" s="17">
        <f>COUNTIFS('Prácticas_Revisiones'!$S$2:$S$282,"Sin equivalente en catálogo (EXPLICAR)",'Prácticas_Revisiones'!$T$2:$T$282,"DESIGN &gt; Software Design Analysis and Evaluations")+COUNTIFS('Prácticas_Snowballing'!$AB$2:$AB$281,"Sin equivalente en catálogo (EXPLICAR)",'Prácticas_Snowballing'!$AC$2:$AC$281,"DESIGN &gt; Software Design Analysis and Evaluations")</f>
        <v>0</v>
      </c>
      <c r="Y39" s="17">
        <f>COUNTIFS('Prácticas_Revisiones'!$S$2:$S$282,"Sin equivalente en catálogo (EXPLICAR)",'Prácticas_Revisiones'!$T$2:$T$282,"DESIGN &gt; Subárea no determinable")+COUNTIFS('Prácticas_Snowballing'!$AB$2:$AB$281,"Sin equivalente en catálogo (EXPLICAR)",'Prácticas_Snowballing'!$AC$2:$AC$281,"DESIGN &gt; Subárea no determinable")</f>
        <v>0</v>
      </c>
      <c r="Z39" s="29">
        <f t="shared" si="20"/>
        <v>0</v>
      </c>
      <c r="AA39" s="17">
        <f>COUNTIFS('Prácticas_Revisiones'!$S$2:$S$282,"Sin equivalente en catálogo (EXPLICAR)",'Prácticas_Revisiones'!$T$2:$T$282,"CONSTRUCTION &gt; Software Construction Fundamentals")+COUNTIFS('Prácticas_Snowballing'!$AB$2:$AB$281,"Sin equivalente en catálogo (EXPLICAR)",'Prácticas_Snowballing'!$AC$2:$AC$281,"CONSTRUCTION &gt; Software Construction Fundamentals")</f>
        <v>0</v>
      </c>
      <c r="AB39" s="17">
        <f>COUNTIFS('Prácticas_Revisiones'!$S$2:$S$282,"Sin equivalente en catálogo (EXPLICAR)",'Prácticas_Revisiones'!$T$2:$T$282,"CONSTRUCTION &gt; Managing Construction")+COUNTIFS('Prácticas_Snowballing'!$AB$2:$AB$281,"Sin equivalente en catálogo (EXPLICAR)",'Prácticas_Snowballing'!$AC$2:$AC$281,"CONSTRUCTION &gt; Managing Construction")</f>
        <v>0</v>
      </c>
      <c r="AC39" s="17">
        <f>COUNTIFS('Prácticas_Revisiones'!$S$2:$S$282,"Sin equivalente en catálogo (EXPLICAR)",'Prácticas_Revisiones'!$T$2:$T$282,"CONSTRUCTION &gt; Practical Considerations")+COUNTIFS('Prácticas_Snowballing'!$AB$2:$AB$281,"Sin equivalente en catálogo (EXPLICAR)",'Prácticas_Snowballing'!$AC$2:$AC$281,"CONSTRUCTION &gt; Practical Considerations")</f>
        <v>0</v>
      </c>
      <c r="AD39" s="17">
        <f>COUNTIFS('Prácticas_Revisiones'!$S$2:$S$282,"Sin equivalente en catálogo (EXPLICAR)",'Prácticas_Revisiones'!$T$2:$T$282,"CONSTRUCTION &gt; Construction Technologies")+COUNTIFS('Prácticas_Snowballing'!$AB$2:$AB$281,"Sin equivalente en catálogo (EXPLICAR)",'Prácticas_Snowballing'!$AC$2:$AC$281,"CONSTRUCTION &gt; Construction Technologies")</f>
        <v>0</v>
      </c>
      <c r="AE39" s="17">
        <f>COUNTIFS('Prácticas_Revisiones'!$S$2:$S$282,"Sin equivalente en catálogo (EXPLICAR)",'Prácticas_Revisiones'!$T$2:$T$282,"CONSTRUCTION &gt; Software Construction Tools")+COUNTIFS('Prácticas_Snowballing'!$AB$2:$AB$281,"Sin equivalente en catálogo (EXPLICAR)",'Prácticas_Snowballing'!$AC$2:$AC$281,"CONSTRUCTION &gt; Software Construction Tools")</f>
        <v>0</v>
      </c>
      <c r="AF39" s="17">
        <f>COUNTIFS('Prácticas_Revisiones'!$S$2:$S$282,"Sin equivalente en catálogo (EXPLICAR)",'Prácticas_Revisiones'!$T$2:$T$282,"CONSTRUCTION &gt; Subárea no determinable")+COUNTIFS('Prácticas_Snowballing'!$AB$2:$AB$281,"Sin equivalente en catálogo (EXPLICAR)",'Prácticas_Snowballing'!$AC$2:$AC$281,"CONSTRUCTION &gt; Subárea no determinable")</f>
        <v>0</v>
      </c>
      <c r="AG39" s="29">
        <f t="shared" si="21"/>
        <v>0</v>
      </c>
      <c r="AH39" s="17">
        <f>COUNTIFS('Prácticas_Revisiones'!$S$2:$S$282,"Sin equivalente en catálogo (EXPLICAR)",'Prácticas_Revisiones'!$T$2:$T$282,"SOFTWARE TESTING &gt; Software Testing Fundamentals")+COUNTIFS('Prácticas_Snowballing'!$AB$2:$AB$281,"Sin equivalente en catálogo (EXPLICAR)",'Prácticas_Snowballing'!$AC$2:$AC$281,"SOFTWARE TESTING &gt; Software Testing Fundamentals")</f>
        <v>0</v>
      </c>
      <c r="AI39" s="17">
        <f>COUNTIFS('Prácticas_Revisiones'!$S$2:$S$282,"Sin equivalente en catálogo (EXPLICAR)",'Prácticas_Revisiones'!$T$2:$T$282,"SOFTWARE TESTING &gt; Test Levels")+COUNTIFS('Prácticas_Snowballing'!$AB$2:$AB$281,"Sin equivalente en catálogo (EXPLICAR)",'Prácticas_Snowballing'!$AC$2:$AC$281,"SOFTWARE TESTING &gt; Test Levels")</f>
        <v>0</v>
      </c>
      <c r="AJ39" s="17">
        <f>COUNTIFS('Prácticas_Revisiones'!$S$2:$S$282,"Sin equivalente en catálogo (EXPLICAR)",'Prácticas_Revisiones'!$T$2:$T$282,"SOFTWARE TESTING &gt; Test Techniques")+COUNTIFS('Prácticas_Snowballing'!$AB$2:$AB$281,"Sin equivalente en catálogo (EXPLICAR)",'Prácticas_Snowballing'!$AC$2:$AC$281,"SOFTWARE TESTING &gt; Test Techniques")</f>
        <v>0</v>
      </c>
      <c r="AK39" s="17">
        <f>COUNTIFS('Prácticas_Revisiones'!$S$2:$S$282,"Sin equivalente en catálogo (EXPLICAR)",'Prácticas_Revisiones'!$T$2:$T$282,"SOFTWARE TESTING &gt; Test-Related Measures")+COUNTIFS('Prácticas_Snowballing'!$AB$2:$AB$281,"Sin equivalente en catálogo (EXPLICAR)",'Prácticas_Snowballing'!$AC$2:$AC$281,"SOFTWARE TESTING &gt; Test-Related Measures")</f>
        <v>0</v>
      </c>
      <c r="AL39" s="17">
        <f>COUNTIFS('Prácticas_Revisiones'!$S$2:$S$282,"Sin equivalente en catálogo (EXPLICAR)",'Prácticas_Revisiones'!$T$2:$T$282,"SOFTWARE TESTING &gt; Test Process")+COUNTIFS('Prácticas_Snowballing'!$AB$2:$AB$281,"Sin equivalente en catálogo (EXPLICAR)",'Prácticas_Snowballing'!$AC$2:$AC$281,"SOFTWARE TESTING &gt; Test Process")</f>
        <v>0</v>
      </c>
      <c r="AM39" s="17">
        <f>COUNTIFS('Prácticas_Revisiones'!$S$2:$S$282,"Sin equivalente en catálogo (EXPLICAR)",'Prácticas_Revisiones'!$T$2:$T$282,"SOFTWARE TESTING &gt; Software Testing in the Development Processes...")+COUNTIFS('Prácticas_Snowballing'!$AB$2:$AB$281,"Sin equivalente en catálogo (EXPLICAR)",'Prácticas_Snowballing'!$AC$2:$AC$281,"SOFTWARE TESTING &gt; Software Testing in the Development Processes...")</f>
        <v>0</v>
      </c>
      <c r="AN39" s="17">
        <f>COUNTIFS('Prácticas_Revisiones'!$S$2:$S$282,"Sin equivalente en catálogo (EXPLICAR)",'Prácticas_Revisiones'!$T$2:$T$282,"SOFTWARE TESTING &gt; Testing of and Testing Through Emerging Tech...")+COUNTIFS('Prácticas_Snowballing'!$AB$2:$AB$281,"Sin equivalente en catálogo (EXPLICAR)",'Prácticas_Snowballing'!$AC$2:$AC$281,"SOFTWARE TESTING &gt; Testing of and Testing Through Emerging Tech...")</f>
        <v>0</v>
      </c>
      <c r="AO39" s="17">
        <f>COUNTIFS('Prácticas_Revisiones'!$S$2:$S$282,"Sin equivalente en catálogo (EXPLICAR)",'Prácticas_Revisiones'!$T$2:$T$282,"SOFTWARE TESTING &gt; Software Testing Tools")+COUNTIFS('Prácticas_Snowballing'!$AB$2:$AB$281,"Sin equivalente en catálogo (EXPLICAR)",'Prácticas_Snowballing'!$AC$2:$AC$281,"SOFTWARE TESTING &gt; Software Testing Tools")</f>
        <v>0</v>
      </c>
      <c r="AP39" s="17">
        <f>COUNTIFS('Prácticas_Revisiones'!$S$2:$S$282,"Sin equivalente en catálogo (EXPLICAR)",'Prácticas_Revisiones'!$T$2:$T$282,"SOFTWARE TESTING &gt; Subárea no determinable")+COUNTIFS('Prácticas_Snowballing'!$AB$2:$AB$281,"Sin equivalente en catálogo (EXPLICAR)",'Prácticas_Snowballing'!$AC$2:$AC$281,"SOFTWARE TESTING &gt; Subárea no determinable")</f>
        <v>0</v>
      </c>
      <c r="AQ39" s="29">
        <f t="shared" si="22"/>
        <v>0</v>
      </c>
      <c r="AR39" s="17">
        <f>COUNTIFS('Prácticas_Revisiones'!$S$2:$S$282,"Sin equivalente en catálogo (EXPLICAR)",'Prácticas_Revisiones'!$T$2:$T$282,"SOFTWARE ENG. OPERATIONS &gt; Software Engineering Operations Fundamentals")+COUNTIFS('Prácticas_Snowballing'!$AB$2:$AB$281,"Sin equivalente en catálogo (EXPLICAR)",'Prácticas_Snowballing'!$AC$2:$AC$281,"SOFTWARE ENG. OPERATIONS &gt; Software Engineering Operations Fundamentals")</f>
        <v>0</v>
      </c>
      <c r="AS39" s="17">
        <f>COUNTIFS('Prácticas_Revisiones'!$S$2:$S$282,"Sin equivalente en catálogo (EXPLICAR)",'Prácticas_Revisiones'!$T$2:$T$282,"SOFTWARE ENG. OPERATIONS &gt; Software Engineering Operations Planning")+COUNTIFS('Prácticas_Snowballing'!$AB$2:$AB$281,"Sin equivalente en catálogo (EXPLICAR)",'Prácticas_Snowballing'!$AC$2:$AC$281,"SOFTWARE ENG. OPERATIONS &gt; Software Engineering Operations Planning")</f>
        <v>0</v>
      </c>
      <c r="AT39" s="17">
        <f>COUNTIFS('Prácticas_Revisiones'!$S$2:$S$282,"Sin equivalente en catálogo (EXPLICAR)",'Prácticas_Revisiones'!$T$2:$T$282,"SOFTWARE ENG. OPERATIONS &gt; Software Engineering Operations Delivery")+COUNTIFS('Prácticas_Snowballing'!$AB$2:$AB$281,"Sin equivalente en catálogo (EXPLICAR)",'Prácticas_Snowballing'!$AC$2:$AC$281,"SOFTWARE ENG. OPERATIONS &gt; Software Engineering Operations Delivery")</f>
        <v>0</v>
      </c>
      <c r="AU39" s="17">
        <f>COUNTIFS('Prácticas_Revisiones'!$S$2:$S$282,"Sin equivalente en catálogo (EXPLICAR)",'Prácticas_Revisiones'!$T$2:$T$282,"SOFTWARE ENG. OPERATIONS &gt; Software Engineering Operations Control")+COUNTIFS('Prácticas_Snowballing'!$AB$2:$AB$281,"Sin equivalente en catálogo (EXPLICAR)",'Prácticas_Snowballing'!$AC$2:$AC$281,"SOFTWARE ENG. OPERATIONS &gt; Software Engineering Operations Control")</f>
        <v>0</v>
      </c>
      <c r="AV39" s="17">
        <f>COUNTIFS('Prácticas_Revisiones'!$S$2:$S$282,"Sin equivalente en catálogo (EXPLICAR)",'Prácticas_Revisiones'!$T$2:$T$282,"SOFTWARE ENG. OPERATIONS &gt; Practical Considerations")+COUNTIFS('Prácticas_Snowballing'!$AB$2:$AB$281,"Sin equivalente en catálogo (EXPLICAR)",'Prácticas_Snowballing'!$AC$2:$AC$281,"SOFTWARE ENG. OPERATIONS &gt; Practical Considerations")</f>
        <v>0</v>
      </c>
      <c r="AW39" s="17">
        <f>COUNTIFS('Prácticas_Revisiones'!$S$2:$S$282,"Sin equivalente en catálogo (EXPLICAR)",'Prácticas_Revisiones'!$T$2:$T$282,"SOFTWARE ENG. OPERATIONS &gt; Software Engineering Operations Tools")+COUNTIFS('Prácticas_Snowballing'!$AB$2:$AB$281,"Sin equivalente en catálogo (EXPLICAR)",'Prácticas_Snowballing'!$AC$2:$AC$281,"SOFTWARE ENG. OPERATIONS &gt; Software Engineering Operations Tools")</f>
        <v>0</v>
      </c>
      <c r="AX39" s="17">
        <f>COUNTIFS('Prácticas_Revisiones'!$S$2:$S$282,"Sin equivalente en catálogo (EXPLICAR)",'Prácticas_Revisiones'!$T$2:$T$282,"SOFTWARE ENG. OPERATIONS &gt; Subárea no determinable")+COUNTIFS('Prácticas_Snowballing'!$AB$2:$AB$281,"Sin equivalente en catálogo (EXPLICAR)",'Prácticas_Snowballing'!$AC$2:$AC$281,"SOFTWARE ENG. OPERATIONS &gt; Subárea no determinable")</f>
        <v>0</v>
      </c>
      <c r="AY39" s="29">
        <f t="shared" si="23"/>
        <v>0</v>
      </c>
      <c r="AZ39" s="17">
        <f>COUNTIFS('Prácticas_Revisiones'!$S$2:$S$282,"Sin equivalente en catálogo (EXPLICAR)",'Prácticas_Revisiones'!$T$2:$T$282,"MAINTENANCE &gt; Software Maintenance Fundamentals")+COUNTIFS('Prácticas_Snowballing'!$AB$2:$AB$281,"Sin equivalente en catálogo (EXPLICAR)",'Prácticas_Snowballing'!$AC$2:$AC$281,"MAINTENANCE &gt; Software Maintenance Fundamentals")</f>
        <v>0</v>
      </c>
      <c r="BA39" s="17">
        <f>COUNTIFS('Prácticas_Revisiones'!$S$2:$S$282,"Sin equivalente en catálogo (EXPLICAR)",'Prácticas_Revisiones'!$T$2:$T$282,"MAINTENANCE &gt; Key Issues in Software Maintenance")+COUNTIFS('Prácticas_Snowballing'!$AB$2:$AB$281,"Sin equivalente en catálogo (EXPLICAR)",'Prácticas_Snowballing'!$AC$2:$AC$281,"MAINTENANCE &gt; Key Issues in Software Maintenance")</f>
        <v>0</v>
      </c>
      <c r="BB39" s="17">
        <f>COUNTIFS('Prácticas_Revisiones'!$S$2:$S$282,"Sin equivalente en catálogo (EXPLICAR)",'Prácticas_Revisiones'!$T$2:$T$282,"MAINTENANCE &gt; Software Maintenance Processes")+COUNTIFS('Prácticas_Snowballing'!$AB$2:$AB$281,"Sin equivalente en catálogo (EXPLICAR)",'Prácticas_Snowballing'!$AC$2:$AC$281,"MAINTENANCE &gt; Software Maintenance Processes")</f>
        <v>0</v>
      </c>
      <c r="BC39" s="17">
        <f>COUNTIFS('Prácticas_Revisiones'!$S$2:$S$282,"Sin equivalente en catálogo (EXPLICAR)",'Prácticas_Revisiones'!$T$2:$T$282,"MAINTENANCE &gt; Software Maintenance Techniques")+COUNTIFS('Prácticas_Snowballing'!$AB$2:$AB$281,"Sin equivalente en catálogo (EXPLICAR)",'Prácticas_Snowballing'!$AC$2:$AC$281,"MAINTENANCE &gt; Software Maintenance Techniques")</f>
        <v>0</v>
      </c>
      <c r="BD39" s="17">
        <f>COUNTIFS('Prácticas_Revisiones'!$S$2:$S$282,"Sin equivalente en catálogo (EXPLICAR)",'Prácticas_Revisiones'!$T$2:$T$282,"MAINTENANCE &gt; Software Maintenance Tools")+COUNTIFS('Prácticas_Snowballing'!$AB$2:$AB$281,"Sin equivalente en catálogo (EXPLICAR)",'Prácticas_Snowballing'!$AC$2:$AC$281,"MAINTENANCE &gt; Software Maintenance Tools")</f>
        <v>0</v>
      </c>
      <c r="BE39" s="17">
        <f>COUNTIFS('Prácticas_Revisiones'!$S$2:$S$282,"Sin equivalente en catálogo (EXPLICAR)",'Prácticas_Revisiones'!$T$2:$T$282,"MAINTENANCE &gt; Subárea no determinable")+COUNTIFS('Prácticas_Snowballing'!$AB$2:$AB$281,"Sin equivalente en catálogo (EXPLICAR)",'Prácticas_Snowballing'!$AC$2:$AC$281,"MAINTENANCE &gt; Subárea no determinable")</f>
        <v>0</v>
      </c>
      <c r="BF39" s="29">
        <f t="shared" si="24"/>
        <v>0</v>
      </c>
      <c r="BG39" s="17">
        <f>COUNTIFS('Prácticas_Revisiones'!$S$2:$S$282,"Sin equivalente en catálogo (EXPLICAR)",'Prácticas_Revisiones'!$T$2:$T$282,"SOFTWARE CONFIG. MGMT. &gt; Management of the SCM Process")+COUNTIFS('Prácticas_Snowballing'!$AB$2:$AB$281,"Sin equivalente en catálogo (EXPLICAR)",'Prácticas_Snowballing'!$AC$2:$AC$281,"SOFTWARE CONFIG. MGMT. &gt; Management of the SCM Process")</f>
        <v>0</v>
      </c>
      <c r="BH39" s="17">
        <f>COUNTIFS('Prácticas_Revisiones'!$S$2:$S$282,"Sin equivalente en catálogo (EXPLICAR)",'Prácticas_Revisiones'!$T$2:$T$282,"SOFTWARE CONFIG. MGMT. &gt; Software Configuration Identification")+COUNTIFS('Prácticas_Snowballing'!$AB$2:$AB$281,"Sin equivalente en catálogo (EXPLICAR)",'Prácticas_Snowballing'!$AC$2:$AC$281,"SOFTWARE CONFIG. MGMT. &gt; Software Configuration Identification")</f>
        <v>0</v>
      </c>
      <c r="BI39" s="17">
        <f>COUNTIFS('Prácticas_Revisiones'!$S$2:$S$282,"Sin equivalente en catálogo (EXPLICAR)",'Prácticas_Revisiones'!$T$2:$T$282,"SOFTWARE CONFIG. MGMT. &gt; Software Configuration Change Control")+COUNTIFS('Prácticas_Snowballing'!$AB$2:$AB$281,"Sin equivalente en catálogo (EXPLICAR)",'Prácticas_Snowballing'!$AC$2:$AC$281,"SOFTWARE CONFIG. MGMT. &gt; Software Configuration Change Control")</f>
        <v>0</v>
      </c>
      <c r="BJ39" s="17">
        <f>COUNTIFS('Prácticas_Revisiones'!$S$2:$S$282,"Sin equivalente en catálogo (EXPLICAR)",'Prácticas_Revisiones'!$T$2:$T$282,"SOFTWARE CONFIG. MGMT. &gt; Software Configuration Status Accounting")+COUNTIFS('Prácticas_Snowballing'!$AB$2:$AB$281,"Sin equivalente en catálogo (EXPLICAR)",'Prácticas_Snowballing'!$AC$2:$AC$281,"SOFTWARE CONFIG. MGMT. &gt; Software Configuration Status Accounting")</f>
        <v>0</v>
      </c>
      <c r="BK39" s="17">
        <f>COUNTIFS('Prácticas_Revisiones'!$S$2:$S$282,"Sin equivalente en catálogo (EXPLICAR)",'Prácticas_Revisiones'!$T$2:$T$282,"SOFTWARE CONFIG. MGMT. &gt; Software Configuration Auditing")+COUNTIFS('Prácticas_Snowballing'!$AB$2:$AB$281,"Sin equivalente en catálogo (EXPLICAR)",'Prácticas_Snowballing'!$AC$2:$AC$281,"SOFTWARE CONFIG. MGMT. &gt; Software Configuration Auditing")</f>
        <v>0</v>
      </c>
      <c r="BL39" s="17">
        <f>COUNTIFS('Prácticas_Revisiones'!$S$2:$S$282,"Sin equivalente en catálogo (EXPLICAR)",'Prácticas_Revisiones'!$T$2:$T$282,"SOFTWARE CONFIG. MGMT. &gt; Software Release Management and Delivery")+COUNTIFS('Prácticas_Snowballing'!$AB$2:$AB$281,"Sin equivalente en catálogo (EXPLICAR)",'Prácticas_Snowballing'!$AC$2:$AC$281,"SOFTWARE CONFIG. MGMT. &gt; Software Release Management and Delivery")</f>
        <v>0</v>
      </c>
      <c r="BM39" s="17">
        <f>COUNTIFS('Prácticas_Revisiones'!$S$2:$S$282,"Sin equivalente en catálogo (EXPLICAR)",'Prácticas_Revisiones'!$T$2:$T$282,"SOFTWARE CONFIG. MGMT. &gt; Software Configuration Management Tools")+COUNTIFS('Prácticas_Snowballing'!$AB$2:$AB$281,"Sin equivalente en catálogo (EXPLICAR)",'Prácticas_Snowballing'!$AC$2:$AC$281,"SOFTWARE CONFIG. MGMT. &gt; Software Configuration Management Tools")</f>
        <v>0</v>
      </c>
      <c r="BN39" s="17">
        <f>COUNTIFS('Prácticas_Revisiones'!$S$2:$S$282,"Sin equivalente en catálogo (EXPLICAR)",'Prácticas_Revisiones'!$T$2:$T$282,"SOFTWARE CONFIG. MGMT. &gt; Subárea no determinable")+COUNTIFS('Prácticas_Snowballing'!$AB$2:$AB$281,"Sin equivalente en catálogo (EXPLICAR)",'Prácticas_Snowballing'!$AC$2:$AC$281,"SOFTWARE CONFIG. MGMT. &gt; Subárea no determinable")</f>
        <v>0</v>
      </c>
      <c r="BO39" s="29">
        <f t="shared" si="25"/>
        <v>0</v>
      </c>
      <c r="BP39" s="17">
        <f>COUNTIFS('Prácticas_Revisiones'!$S$2:$S$282,"Sin equivalente en catálogo (EXPLICAR)",'Prácticas_Revisiones'!$T$2:$T$282,"SOFTWARE ENG. PROCESS &gt; Software Engineering Process Fundamentals")+COUNTIFS('Prácticas_Snowballing'!$AB$2:$AB$281,"Sin equivalente en catálogo (EXPLICAR)",'Prácticas_Snowballing'!$AC$2:$AC$281,"SOFTWARE ENG. PROCESS &gt; Software Engineering Process Fundamentals")</f>
        <v>0</v>
      </c>
      <c r="BQ39" s="17">
        <f>COUNTIFS('Prácticas_Revisiones'!$S$2:$S$282,"Sin equivalente en catálogo (EXPLICAR)",'Prácticas_Revisiones'!$T$2:$T$282,"SOFTWARE ENG. PROCESS &gt; Life Cycles")+COUNTIFS('Prácticas_Snowballing'!$AB$2:$AB$281,"Sin equivalente en catálogo (EXPLICAR)",'Prácticas_Snowballing'!$AC$2:$AC$281,"SOFTWARE ENG. PROCESS &gt; Life Cycles")</f>
        <v>0</v>
      </c>
      <c r="BR39" s="17">
        <f>COUNTIFS('Prácticas_Revisiones'!$S$2:$S$282,"Sin equivalente en catálogo (EXPLICAR)",'Prácticas_Revisiones'!$T$2:$T$282,"SOFTWARE ENG. PROCESS &gt; Software Process Assessment and Improvement")+COUNTIFS('Prácticas_Snowballing'!$AB$2:$AB$281,"Sin equivalente en catálogo (EXPLICAR)",'Prácticas_Snowballing'!$AC$2:$AC$281,"SOFTWARE ENG. PROCESS &gt; Software Process Assessment and Improvement")</f>
        <v>0</v>
      </c>
      <c r="BS39" s="17">
        <f>COUNTIFS('Prácticas_Revisiones'!$S$2:$S$282,"Sin equivalente en catálogo (EXPLICAR)",'Prácticas_Revisiones'!$T$2:$T$282,"SOFTWARE ENG. PROCESS &gt; Subárea no determinable")+COUNTIFS('Prácticas_Snowballing'!$AB$2:$AB$281,"Sin equivalente en catálogo (EXPLICAR)",'Prácticas_Snowballing'!$AC$2:$AC$281,"SOFTWARE ENG. PROCESS &gt; Subárea no determinable")</f>
        <v>0</v>
      </c>
      <c r="BT39" s="29">
        <f t="shared" si="26"/>
        <v>0</v>
      </c>
      <c r="BU39" s="17">
        <f>COUNTIFS('Prácticas_Revisiones'!$S$2:$S$282,"Sin equivalente en catálogo (EXPLICAR)",'Prácticas_Revisiones'!$T$2:$T$282,"SOFTWARE ENG. MODELS/METH. &gt; Modeling")+COUNTIFS('Prácticas_Snowballing'!$AB$2:$AB$281,"Sin equivalente en catálogo (EXPLICAR)",'Prácticas_Snowballing'!$AC$2:$AC$281,"SOFTWARE ENG. MODELS/METH. &gt; Modeling")</f>
        <v>0</v>
      </c>
      <c r="BV39" s="17">
        <f>COUNTIFS('Prácticas_Revisiones'!$S$2:$S$282,"Sin equivalente en catálogo (EXPLICAR)",'Prácticas_Revisiones'!$T$2:$T$282,"SOFTWARE ENG. MODELS/METH. &gt; Types of Models")+COUNTIFS('Prácticas_Snowballing'!$AB$2:$AB$281,"Sin equivalente en catálogo (EXPLICAR)",'Prácticas_Snowballing'!$AC$2:$AC$281,"SOFTWARE ENG. MODELS/METH. &gt; Types of Models")</f>
        <v>0</v>
      </c>
      <c r="BW39" s="17">
        <f>COUNTIFS('Prácticas_Revisiones'!$S$2:$S$282,"Sin equivalente en catálogo (EXPLICAR)",'Prácticas_Revisiones'!$T$2:$T$282,"SOFTWARE ENG. MODELS/METH. &gt; Analysis of Models")+COUNTIFS('Prácticas_Snowballing'!$AB$2:$AB$281,"Sin equivalente en catálogo (EXPLICAR)",'Prácticas_Snowballing'!$AC$2:$AC$281,"SOFTWARE ENG. MODELS/METH. &gt; Analysis of Models")</f>
        <v>0</v>
      </c>
      <c r="BX39" s="17">
        <f>COUNTIFS('Prácticas_Revisiones'!$S$2:$S$282,"Sin equivalente en catálogo (EXPLICAR)",'Prácticas_Revisiones'!$T$2:$T$282,"SOFTWARE ENG. MODELS/METH. &gt; Software Engineering Methods")+COUNTIFS('Prácticas_Snowballing'!$AB$2:$AB$281,"Sin equivalente en catálogo (EXPLICAR)",'Prácticas_Snowballing'!$AC$2:$AC$281,"SOFTWARE ENG. MODELS/METH. &gt; Software Engineering Methods")</f>
        <v>0</v>
      </c>
      <c r="BY39" s="17">
        <f>COUNTIFS('Prácticas_Revisiones'!$S$2:$S$282,"Sin equivalente en catálogo (EXPLICAR)",'Prácticas_Revisiones'!$T$2:$T$282,"SOFTWARE ENG. MODELS/METH. &gt; Subárea no determinable")+COUNTIFS('Prácticas_Snowballing'!$AB$2:$AB$281,"Sin equivalente en catálogo (EXPLICAR)",'Prácticas_Snowballing'!$AC$2:$AC$281,"SOFTWARE ENG. MODELS/METH. &gt; Subárea no determinable")</f>
        <v>0</v>
      </c>
      <c r="BZ39" s="29">
        <f t="shared" si="27"/>
        <v>0</v>
      </c>
      <c r="CA39" s="17">
        <f>COUNTIFS('Prácticas_Revisiones'!$S$2:$S$282,"Sin equivalente en catálogo (EXPLICAR)",'Prácticas_Revisiones'!$T$2:$T$282,"SOFTWARE QUALITY &gt; Software Quality Fundamentals")+COUNTIFS('Prácticas_Snowballing'!$AB$2:$AB$281,"Sin equivalente en catálogo (EXPLICAR)",'Prácticas_Snowballing'!$AC$2:$AC$281,"SOFTWARE QUALITY &gt; Software Quality Fundamentals")</f>
        <v>0</v>
      </c>
      <c r="CB39" s="17">
        <f>COUNTIFS('Prácticas_Revisiones'!$S$2:$S$282,"Sin equivalente en catálogo (EXPLICAR)",'Prácticas_Revisiones'!$T$2:$T$282,"SOFTWARE QUALITY &gt; Software Quality Management Process")+COUNTIFS('Prácticas_Snowballing'!$AB$2:$AB$281,"Sin equivalente en catálogo (EXPLICAR)",'Prácticas_Snowballing'!$AC$2:$AC$281,"SOFTWARE QUALITY &gt; Software Quality Management Process")</f>
        <v>0</v>
      </c>
      <c r="CC39" s="17">
        <f>COUNTIFS('Prácticas_Revisiones'!$S$2:$S$282,"Sin equivalente en catálogo (EXPLICAR)",'Prácticas_Revisiones'!$T$2:$T$282,"SOFTWARE QUALITY &gt; Software Quality Assurance Process")+COUNTIFS('Prácticas_Snowballing'!$AB$2:$AB$281,"Sin equivalente en catálogo (EXPLICAR)",'Prácticas_Snowballing'!$AC$2:$AC$281,"SOFTWARE QUALITY &gt; Software Quality Assurance Process")</f>
        <v>0</v>
      </c>
      <c r="CD39" s="17">
        <f>COUNTIFS('Prácticas_Revisiones'!$S$2:$S$282,"Sin equivalente en catálogo (EXPLICAR)",'Prácticas_Revisiones'!$T$2:$T$282,"SOFTWARE QUALITY &gt; Software Quality Tools")+COUNTIFS('Prácticas_Snowballing'!$AB$2:$AB$281,"Sin equivalente en catálogo (EXPLICAR)",'Prácticas_Snowballing'!$AC$2:$AC$281,"SOFTWARE QUALITY &gt; Software Quality Tools")</f>
        <v>0</v>
      </c>
      <c r="CE39" s="17">
        <f>COUNTIFS('Prácticas_Revisiones'!$S$2:$S$282,"Sin equivalente en catálogo (EXPLICAR)",'Prácticas_Revisiones'!$T$2:$T$282,"SOFTWARE QUALITY &gt; Subárea no determinable")+COUNTIFS('Prácticas_Snowballing'!$AB$2:$AB$281,"Sin equivalente en catálogo (EXPLICAR)",'Prácticas_Snowballing'!$AC$2:$AC$281,"SOFTWARE QUALITY &gt; Subárea no determinable")</f>
        <v>0</v>
      </c>
      <c r="CF39" s="29">
        <f t="shared" si="28"/>
        <v>0</v>
      </c>
      <c r="CG39" s="17">
        <f>COUNTIFS('Prácticas_Revisiones'!$S$2:$S$282,"Sin equivalente en catálogo (EXPLICAR)",'Prácticas_Revisiones'!$T$2:$T$282,"SOFTWARE SECURITY &gt; Software Security Fundamentals")+COUNTIFS('Prácticas_Snowballing'!$AB$2:$AB$281,"Sin equivalente en catálogo (EXPLICAR)",'Prácticas_Snowballing'!$AC$2:$AC$281,"SOFTWARE SECURITY &gt; Software Security Fundamentals")</f>
        <v>0</v>
      </c>
      <c r="CH39" s="17">
        <f>COUNTIFS('Prácticas_Revisiones'!$S$2:$S$282,"Sin equivalente en catálogo (EXPLICAR)",'Prácticas_Revisiones'!$T$2:$T$282,"SOFTWARE SECURITY &gt; Security Management and Organization")+COUNTIFS('Prácticas_Snowballing'!$AB$2:$AB$281,"Sin equivalente en catálogo (EXPLICAR)",'Prácticas_Snowballing'!$AC$2:$AC$281,"SOFTWARE SECURITY &gt; Security Management and Organization")</f>
        <v>0</v>
      </c>
      <c r="CI39" s="17">
        <f>COUNTIFS('Prácticas_Revisiones'!$S$2:$S$282,"Sin equivalente en catálogo (EXPLICAR)",'Prácticas_Revisiones'!$T$2:$T$282,"SOFTWARE SECURITY &gt; Software Security Engineering and Process")+COUNTIFS('Prácticas_Snowballing'!$AB$2:$AB$281,"Sin equivalente en catálogo (EXPLICAR)",'Prácticas_Snowballing'!$AC$2:$AC$281,"SOFTWARE SECURITY &gt; Software Security Engineering and Process")</f>
        <v>0</v>
      </c>
      <c r="CJ39" s="17">
        <f>COUNTIFS('Prácticas_Revisiones'!$S$2:$S$282,"Sin equivalente en catálogo (EXPLICAR)",'Prácticas_Revisiones'!$T$2:$T$282,"SOFTWARE SECURITY &gt; Security Engineering for Software Systems")+COUNTIFS('Prácticas_Snowballing'!$AB$2:$AB$281,"Sin equivalente en catálogo (EXPLICAR)",'Prácticas_Snowballing'!$AC$2:$AC$281,"SOFTWARE SECURITY &gt; Security Engineering for Software Systems")</f>
        <v>0</v>
      </c>
      <c r="CK39" s="17">
        <f>COUNTIFS('Prácticas_Revisiones'!$S$2:$S$282,"Sin equivalente en catálogo (EXPLICAR)",'Prácticas_Revisiones'!$T$2:$T$282,"SOFTWARE SECURITY &gt; Software Security Tools")+COUNTIFS('Prácticas_Snowballing'!$AB$2:$AB$281,"Sin equivalente en catálogo (EXPLICAR)",'Prácticas_Snowballing'!$AC$2:$AC$281,"SOFTWARE SECURITY &gt; Software Security Tools")</f>
        <v>0</v>
      </c>
      <c r="CL39" s="17">
        <f>COUNTIFS('Prácticas_Revisiones'!$S$2:$S$282,"Sin equivalente en catálogo (EXPLICAR)",'Prácticas_Revisiones'!$T$2:$T$282,"SOFTWARE SECURITY &gt; Domain Specific Software Security")+COUNTIFS('Prácticas_Snowballing'!$AB$2:$AB$281,"Sin equivalente en catálogo (EXPLICAR)",'Prácticas_Snowballing'!$AC$2:$AC$281,"SOFTWARE SECURITY &gt; Domain Specific Software Security")</f>
        <v>0</v>
      </c>
      <c r="CM39" s="17">
        <f>COUNTIFS('Prácticas_Revisiones'!$S$2:$S$282,"Sin equivalente en catálogo (EXPLICAR)",'Prácticas_Revisiones'!$T$2:$T$282,"SOFTWARE SECURITY &gt; Subárea no determinable")+COUNTIFS('Prácticas_Snowballing'!$AB$2:$AB$281,"Sin equivalente en catálogo (EXPLICAR)",'Prácticas_Snowballing'!$AC$2:$AC$281,"SOFTWARE SECURITY &gt; Subárea no determinable")</f>
        <v>0</v>
      </c>
      <c r="CN39" s="29">
        <f t="shared" si="29"/>
        <v>0</v>
      </c>
      <c r="CO39" s="17">
        <f>COUNTIFS('Prácticas_Revisiones'!$S$2:$S$282,"Sin equivalente en catálogo (EXPLICAR)",'Prácticas_Revisiones'!$T$2:$T$282,"PROFESSIONAL PRACTICE &gt; Professionalism")+COUNTIFS('Prácticas_Snowballing'!$AB$2:$AB$281,"Sin equivalente en catálogo (EXPLICAR)",'Prácticas_Snowballing'!$AC$2:$AC$281,"PROFESSIONAL PRACTICE &gt; Professionalism")</f>
        <v>0</v>
      </c>
      <c r="CP39" s="17">
        <f>COUNTIFS('Prácticas_Revisiones'!$S$2:$S$282,"Sin equivalente en catálogo (EXPLICAR)",'Prácticas_Revisiones'!$T$2:$T$282,"PROFESSIONAL PRACTICE &gt; Group Dynamics and Psychology")+COUNTIFS('Prácticas_Snowballing'!$AB$2:$AB$281,"Sin equivalente en catálogo (EXPLICAR)",'Prácticas_Snowballing'!$AC$2:$AC$281,"PROFESSIONAL PRACTICE &gt; Group Dynamics and Psychology")</f>
        <v>0</v>
      </c>
      <c r="CQ39" s="17">
        <f>COUNTIFS('Prácticas_Revisiones'!$S$2:$S$282,"Sin equivalente en catálogo (EXPLICAR)",'Prácticas_Revisiones'!$T$2:$T$282,"PROFESSIONAL PRACTICE &gt; Communication Skills")+COUNTIFS('Prácticas_Snowballing'!$AB$2:$AB$281,"Sin equivalente en catálogo (EXPLICAR)",'Prácticas_Snowballing'!$AC$2:$AC$281,"PROFESSIONAL PRACTICE &gt; Communication Skills")</f>
        <v>0</v>
      </c>
      <c r="CR39" s="17">
        <f>COUNTIFS('Prácticas_Revisiones'!$S$2:$S$282,"Sin equivalente en catálogo (EXPLICAR)",'Prácticas_Revisiones'!$T$2:$T$282,"PROFESSIONAL PRACTICE &gt; Subárea no determinable")+COUNTIFS('Prácticas_Snowballing'!$AB$2:$AB$281,"Sin equivalente en catálogo (EXPLICAR)",'Prácticas_Snowballing'!$AC$2:$AC$281,"PROFESSIONAL PRACTICE &gt; Subárea no determinable")</f>
        <v>0</v>
      </c>
      <c r="CS39" s="29">
        <f t="shared" si="30"/>
        <v>0</v>
      </c>
      <c r="CT39" s="17">
        <f>COUNTIFS('Prácticas_Revisiones'!$S$2:$S$282,"Sin equivalente en catálogo (EXPLICAR)",'Prácticas_Revisiones'!$T$2:$T$282,"SOFTWARE ENG. ECONOMICS &gt; Software Engineering Economics Fundamentals")+COUNTIFS('Prácticas_Snowballing'!$AB$2:$AB$281,"Sin equivalente en catálogo (EXPLICAR)",'Prácticas_Snowballing'!$AC$2:$AC$281,"SOFTWARE ENG. ECONOMICS &gt; Software Engineering Economics Fundamentals")</f>
        <v>0</v>
      </c>
      <c r="CU39" s="17">
        <f>COUNTIFS('Prácticas_Revisiones'!$S$2:$S$282,"Sin equivalente en catálogo (EXPLICAR)",'Prácticas_Revisiones'!$T$2:$T$282,"SOFTWARE ENG. ECONOMICS &gt; The Engineering Decision-Making Process")+COUNTIFS('Prácticas_Snowballing'!$AB$2:$AB$281,"Sin equivalente en catálogo (EXPLICAR)",'Prácticas_Snowballing'!$AC$2:$AC$281,"SOFTWARE ENG. ECONOMICS &gt; The Engineering Decision-Making Process")</f>
        <v>0</v>
      </c>
      <c r="CV39" s="17">
        <f>COUNTIFS('Prácticas_Revisiones'!$S$2:$S$282,"Sin equivalente en catálogo (EXPLICAR)",'Prácticas_Revisiones'!$T$2:$T$282,"SOFTWARE ENG. ECONOMICS &gt; For-Profit Decision-Making")+COUNTIFS('Prácticas_Snowballing'!$AB$2:$AB$281,"Sin equivalente en catálogo (EXPLICAR)",'Prácticas_Snowballing'!$AC$2:$AC$281,"SOFTWARE ENG. ECONOMICS &gt; For-Profit Decision-Making")</f>
        <v>0</v>
      </c>
      <c r="CW39" s="17">
        <f>COUNTIFS('Prácticas_Revisiones'!$S$2:$S$282,"Sin equivalente en catálogo (EXPLICAR)",'Prácticas_Revisiones'!$T$2:$T$282,"SOFTWARE ENG. ECONOMICS &gt; Nonprofit Decision-Making")+COUNTIFS('Prácticas_Snowballing'!$AB$2:$AB$281,"Sin equivalente en catálogo (EXPLICAR)",'Prácticas_Snowballing'!$AC$2:$AC$281,"SOFTWARE ENG. ECONOMICS &gt; Nonprofit Decision-Making")</f>
        <v>0</v>
      </c>
      <c r="CX39" s="17">
        <f>COUNTIFS('Prácticas_Revisiones'!$S$2:$S$282,"Sin equivalente en catálogo (EXPLICAR)",'Prácticas_Revisiones'!$T$2:$T$282,"SOFTWARE ENG. ECONOMICS &gt; Present Economy Decision-Making")+COUNTIFS('Prácticas_Snowballing'!$AB$2:$AB$281,"Sin equivalente en catálogo (EXPLICAR)",'Prácticas_Snowballing'!$AC$2:$AC$281,"SOFTWARE ENG. ECONOMICS &gt; Present Economy Decision-Making")</f>
        <v>0</v>
      </c>
      <c r="CY39" s="17">
        <f>COUNTIFS('Prácticas_Revisiones'!$S$2:$S$282,"Sin equivalente en catálogo (EXPLICAR)",'Prácticas_Revisiones'!$T$2:$T$282,"SOFTWARE ENG. ECONOMICS &gt; Multiple-Attribute Decision-Making")+COUNTIFS('Prácticas_Snowballing'!$AB$2:$AB$281,"Sin equivalente en catálogo (EXPLICAR)",'Prácticas_Snowballing'!$AC$2:$AC$281,"SOFTWARE ENG. ECONOMICS &gt; Multiple-Attribute Decision-Making")</f>
        <v>0</v>
      </c>
      <c r="CZ39" s="17">
        <f>COUNTIFS('Prácticas_Revisiones'!$S$2:$S$282,"Sin equivalente en catálogo (EXPLICAR)",'Prácticas_Revisiones'!$T$2:$T$282,"SOFTWARE ENG. ECONOMICS &gt; Identifying and Characterizing Intangible Assets")+COUNTIFS('Prácticas_Snowballing'!$AB$2:$AB$281,"Sin equivalente en catálogo (EXPLICAR)",'Prácticas_Snowballing'!$AC$2:$AC$281,"SOFTWARE ENG. ECONOMICS &gt; Identifying and Characterizing Intangible Assets")</f>
        <v>0</v>
      </c>
      <c r="DA39" s="17">
        <f>COUNTIFS('Prácticas_Revisiones'!$S$2:$S$282,"Sin equivalente en catálogo (EXPLICAR)",'Prácticas_Revisiones'!$T$2:$T$282,"SOFTWARE ENG. ECONOMICS &gt; Estimation")+COUNTIFS('Prácticas_Snowballing'!$AB$2:$AB$281,"Sin equivalente en catálogo (EXPLICAR)",'Prácticas_Snowballing'!$AC$2:$AC$281,"SOFTWARE ENG. ECONOMICS &gt; Estimation")</f>
        <v>0</v>
      </c>
      <c r="DB39" s="17">
        <f>COUNTIFS('Prácticas_Revisiones'!$S$2:$S$282,"Sin equivalente en catálogo (EXPLICAR)",'Prácticas_Revisiones'!$T$2:$T$282,"SOFTWARE ENG. ECONOMICS &gt; Practical Considerations")+COUNTIFS('Prácticas_Snowballing'!$AB$2:$AB$281,"Sin equivalente en catálogo (EXPLICAR)",'Prácticas_Snowballing'!$AC$2:$AC$281,"SOFTWARE ENG. ECONOMICS &gt; Practical Considerations")</f>
        <v>0</v>
      </c>
      <c r="DC39" s="17">
        <f>COUNTIFS('Prácticas_Revisiones'!$S$2:$S$282,"Sin equivalente en catálogo (EXPLICAR)",'Prácticas_Revisiones'!$T$2:$T$282,"SOFTWARE ENG. ECONOMICS &gt; Related Concepts")+COUNTIFS('Prácticas_Snowballing'!$AB$2:$AB$281,"Sin equivalente en catálogo (EXPLICAR)",'Prácticas_Snowballing'!$AC$2:$AC$281,"SOFTWARE ENG. ECONOMICS &gt; Related Concepts")</f>
        <v>0</v>
      </c>
      <c r="DD39" s="17">
        <f>COUNTIFS('Prácticas_Revisiones'!$S$2:$S$282,"Sin equivalente en catálogo (EXPLICAR)",'Prácticas_Revisiones'!$T$2:$T$282,"SOFTWARE ENG. ECONOMICS &gt; Subárea no determinable")+COUNTIFS('Prácticas_Snowballing'!$AB$2:$AB$281,"Sin equivalente en catálogo (EXPLICAR)",'Prácticas_Snowballing'!$AC$2:$AC$281,"SOFTWARE ENG. ECONOMICS &gt; Subárea no determinable")</f>
        <v>0</v>
      </c>
      <c r="DE39" s="29">
        <f t="shared" si="31"/>
        <v>0</v>
      </c>
      <c r="DF39" s="17">
        <f>COUNTIFS('Prácticas_Revisiones'!$S$2:$S$282,"Sin equivalente en catálogo (EXPLICAR)",'Prácticas_Revisiones'!$T$2:$T$282,"SOFTWARE ENG. MANAGEMENT &gt; Software Engineering Management Fundamentals")+COUNTIFS('Prácticas_Snowballing'!$AB$2:$AB$281,"Sin equivalente en catálogo (EXPLICAR)",'Prácticas_Snowballing'!$AC$2:$AC$281,"SOFTWARE ENG. MANAGEMENT &gt; Software Engineering Management Fundamentals")</f>
        <v>0</v>
      </c>
      <c r="DG39" s="17">
        <f>COUNTIFS('Prácticas_Revisiones'!$S$2:$S$282,"Sin equivalente en catálogo (EXPLICAR)",'Prácticas_Revisiones'!$T$2:$T$282,"SOFTWARE ENG. MANAGEMENT &gt; Initiation and Scope Definition")+COUNTIFS('Prácticas_Snowballing'!$AB$2:$AB$281,"Sin equivalente en catálogo (EXPLICAR)",'Prácticas_Snowballing'!$AC$2:$AC$281,"SOFTWARE ENG. MANAGEMENT &gt; Initiation and Scope Definition")</f>
        <v>0</v>
      </c>
      <c r="DH39" s="17">
        <f>COUNTIFS('Prácticas_Revisiones'!$S$2:$S$282,"Sin equivalente en catálogo (EXPLICAR)",'Prácticas_Revisiones'!$T$2:$T$282,"SOFTWARE ENG. MANAGEMENT &gt; Software Project Planning")+COUNTIFS('Prácticas_Snowballing'!$AB$2:$AB$281,"Sin equivalente en catálogo (EXPLICAR)",'Prácticas_Snowballing'!$AC$2:$AC$281,"SOFTWARE ENG. MANAGEMENT &gt; Software Project Planning")</f>
        <v>0</v>
      </c>
      <c r="DI39" s="17">
        <f>COUNTIFS('Prácticas_Revisiones'!$S$2:$S$282,"Sin equivalente en catálogo (EXPLICAR)",'Prácticas_Revisiones'!$T$2:$T$282,"SOFTWARE ENG. MANAGEMENT &gt; Software Project Enactment")+COUNTIFS('Prácticas_Snowballing'!$AB$2:$AB$281,"Sin equivalente en catálogo (EXPLICAR)",'Prácticas_Snowballing'!$AC$2:$AC$281,"SOFTWARE ENG. MANAGEMENT &gt; Software Project Enactment")</f>
        <v>0</v>
      </c>
      <c r="DJ39" s="17">
        <f>COUNTIFS('Prácticas_Revisiones'!$S$2:$S$282,"Sin equivalente en catálogo (EXPLICAR)",'Prácticas_Revisiones'!$T$2:$T$282,"SOFTWARE ENG. MANAGEMENT &gt; Review and Evaluation")+COUNTIFS('Prácticas_Snowballing'!$AB$2:$AB$281,"Sin equivalente en catálogo (EXPLICAR)",'Prácticas_Snowballing'!$AC$2:$AC$281,"SOFTWARE ENG. MANAGEMENT &gt; Review and Evaluation")</f>
        <v>0</v>
      </c>
      <c r="DK39" s="17">
        <f>COUNTIFS('Prácticas_Revisiones'!$S$2:$S$282,"Sin equivalente en catálogo (EXPLICAR)",'Prácticas_Revisiones'!$T$2:$T$282,"SOFTWARE ENG. MANAGEMENT &gt; Closure")+COUNTIFS('Prácticas_Snowballing'!$AB$2:$AB$281,"Sin equivalente en catálogo (EXPLICAR)",'Prácticas_Snowballing'!$AC$2:$AC$281,"SOFTWARE ENG. MANAGEMENT &gt; Closure")</f>
        <v>0</v>
      </c>
      <c r="DL39" s="17">
        <f>COUNTIFS('Prácticas_Revisiones'!$S$2:$S$282,"Sin equivalente en catálogo (EXPLICAR)",'Prácticas_Revisiones'!$T$2:$T$282,"SOFTWARE ENG. MANAGEMENT &gt; Software Engineering Management Tools")+COUNTIFS('Prácticas_Snowballing'!$AB$2:$AB$281,"Sin equivalente en catálogo (EXPLICAR)",'Prácticas_Snowballing'!$AC$2:$AC$281,"SOFTWARE ENG. MANAGEMENT &gt; Software Engineering Management Tools")</f>
        <v>0</v>
      </c>
      <c r="DM39" s="17">
        <f>COUNTIFS('Prácticas_Revisiones'!$S$2:$S$282,"Sin equivalente en catálogo (EXPLICAR)",'Prácticas_Revisiones'!$T$2:$T$282,"SOFTWARE ENG. MANAGEMENT &gt; Subárea no determinable")+COUNTIFS('Prácticas_Snowballing'!$AB$2:$AB$281,"Sin equivalente en catálogo (EXPLICAR)",'Prácticas_Snowballing'!$AC$2:$AC$281,"SOFTWARE ENG. MANAGEMENT &gt; Subárea no determinable")</f>
        <v>0</v>
      </c>
      <c r="DN39" s="29">
        <f t="shared" si="32"/>
        <v>0</v>
      </c>
      <c r="DO39" s="17">
        <f>COUNTIFS('Prácticas_Revisiones'!$S$2:$S$282,"Sin equivalente en catálogo (EXPLICAR)",'Prácticas_Revisiones'!$T$2:$T$282,"Sin área SWEBOK")+COUNTIFS('Prácticas_Snowballing'!$AB$2:$AB$281,"Sin equivalente en catálogo (EXPLICAR)",'Prácticas_Snowballing'!$AC$2:$AC$281,"Sin área SWEBOK")</f>
        <v>0</v>
      </c>
      <c r="DP39" s="27">
        <f t="shared" si="33"/>
        <v>0</v>
      </c>
    </row>
    <row r="40" ht="15.75" customHeight="1">
      <c r="A40" s="35" t="s">
        <v>2870</v>
      </c>
      <c r="B40" s="20"/>
      <c r="C40" s="29">
        <f t="shared" ref="C40:DP40" si="34">SUM(C20:C39)</f>
        <v>0</v>
      </c>
      <c r="D40" s="29">
        <f t="shared" si="34"/>
        <v>0</v>
      </c>
      <c r="E40" s="29">
        <f t="shared" si="34"/>
        <v>0</v>
      </c>
      <c r="F40" s="29">
        <f t="shared" si="34"/>
        <v>0</v>
      </c>
      <c r="G40" s="29">
        <f t="shared" si="34"/>
        <v>0</v>
      </c>
      <c r="H40" s="29">
        <f t="shared" si="34"/>
        <v>0</v>
      </c>
      <c r="I40" s="29">
        <f t="shared" si="34"/>
        <v>0</v>
      </c>
      <c r="J40" s="29">
        <f t="shared" si="34"/>
        <v>0</v>
      </c>
      <c r="K40" s="29">
        <f t="shared" si="34"/>
        <v>0</v>
      </c>
      <c r="L40" s="29">
        <f t="shared" si="34"/>
        <v>0</v>
      </c>
      <c r="M40" s="29">
        <f t="shared" si="34"/>
        <v>0</v>
      </c>
      <c r="N40" s="29">
        <f t="shared" si="34"/>
        <v>0</v>
      </c>
      <c r="O40" s="29">
        <f t="shared" si="34"/>
        <v>0</v>
      </c>
      <c r="P40" s="29">
        <f t="shared" si="34"/>
        <v>0</v>
      </c>
      <c r="Q40" s="29">
        <f t="shared" si="34"/>
        <v>0</v>
      </c>
      <c r="R40" s="29">
        <f t="shared" si="34"/>
        <v>0</v>
      </c>
      <c r="S40" s="29">
        <f t="shared" si="34"/>
        <v>1</v>
      </c>
      <c r="T40" s="29">
        <f t="shared" si="34"/>
        <v>1</v>
      </c>
      <c r="U40" s="29">
        <f t="shared" si="34"/>
        <v>0</v>
      </c>
      <c r="V40" s="29">
        <f t="shared" si="34"/>
        <v>0</v>
      </c>
      <c r="W40" s="29">
        <f t="shared" si="34"/>
        <v>2</v>
      </c>
      <c r="X40" s="29">
        <f t="shared" si="34"/>
        <v>0</v>
      </c>
      <c r="Y40" s="29">
        <f t="shared" si="34"/>
        <v>0</v>
      </c>
      <c r="Z40" s="29">
        <f t="shared" si="34"/>
        <v>4</v>
      </c>
      <c r="AA40" s="29">
        <f t="shared" si="34"/>
        <v>21</v>
      </c>
      <c r="AB40" s="29">
        <f t="shared" si="34"/>
        <v>0</v>
      </c>
      <c r="AC40" s="29">
        <f t="shared" si="34"/>
        <v>11</v>
      </c>
      <c r="AD40" s="29">
        <f t="shared" si="34"/>
        <v>6</v>
      </c>
      <c r="AE40" s="29">
        <f t="shared" si="34"/>
        <v>1</v>
      </c>
      <c r="AF40" s="29">
        <f t="shared" si="34"/>
        <v>0</v>
      </c>
      <c r="AG40" s="29">
        <f t="shared" si="34"/>
        <v>39</v>
      </c>
      <c r="AH40" s="29">
        <f t="shared" si="34"/>
        <v>0</v>
      </c>
      <c r="AI40" s="29">
        <f t="shared" si="34"/>
        <v>0</v>
      </c>
      <c r="AJ40" s="29">
        <f t="shared" si="34"/>
        <v>0</v>
      </c>
      <c r="AK40" s="29">
        <f t="shared" si="34"/>
        <v>0</v>
      </c>
      <c r="AL40" s="29">
        <f t="shared" si="34"/>
        <v>0</v>
      </c>
      <c r="AM40" s="29">
        <f t="shared" si="34"/>
        <v>0</v>
      </c>
      <c r="AN40" s="29">
        <f t="shared" si="34"/>
        <v>0</v>
      </c>
      <c r="AO40" s="29">
        <f t="shared" si="34"/>
        <v>0</v>
      </c>
      <c r="AP40" s="29">
        <f t="shared" si="34"/>
        <v>0</v>
      </c>
      <c r="AQ40" s="29">
        <f t="shared" si="34"/>
        <v>0</v>
      </c>
      <c r="AR40" s="29">
        <f t="shared" si="34"/>
        <v>0</v>
      </c>
      <c r="AS40" s="29">
        <f t="shared" si="34"/>
        <v>0</v>
      </c>
      <c r="AT40" s="29">
        <f t="shared" si="34"/>
        <v>0</v>
      </c>
      <c r="AU40" s="29">
        <f t="shared" si="34"/>
        <v>0</v>
      </c>
      <c r="AV40" s="29">
        <f t="shared" si="34"/>
        <v>0</v>
      </c>
      <c r="AW40" s="29">
        <f t="shared" si="34"/>
        <v>0</v>
      </c>
      <c r="AX40" s="29">
        <f t="shared" si="34"/>
        <v>0</v>
      </c>
      <c r="AY40" s="29">
        <f t="shared" si="34"/>
        <v>0</v>
      </c>
      <c r="AZ40" s="29">
        <f t="shared" si="34"/>
        <v>0</v>
      </c>
      <c r="BA40" s="29">
        <f t="shared" si="34"/>
        <v>1</v>
      </c>
      <c r="BB40" s="29">
        <f t="shared" si="34"/>
        <v>0</v>
      </c>
      <c r="BC40" s="29">
        <f t="shared" si="34"/>
        <v>0</v>
      </c>
      <c r="BD40" s="29">
        <f t="shared" si="34"/>
        <v>0</v>
      </c>
      <c r="BE40" s="29">
        <f t="shared" si="34"/>
        <v>0</v>
      </c>
      <c r="BF40" s="29">
        <f t="shared" si="34"/>
        <v>1</v>
      </c>
      <c r="BG40" s="29">
        <f t="shared" si="34"/>
        <v>0</v>
      </c>
      <c r="BH40" s="29">
        <f t="shared" si="34"/>
        <v>0</v>
      </c>
      <c r="BI40" s="29">
        <f t="shared" si="34"/>
        <v>0</v>
      </c>
      <c r="BJ40" s="29">
        <f t="shared" si="34"/>
        <v>0</v>
      </c>
      <c r="BK40" s="29">
        <f t="shared" si="34"/>
        <v>0</v>
      </c>
      <c r="BL40" s="29">
        <f t="shared" si="34"/>
        <v>0</v>
      </c>
      <c r="BM40" s="29">
        <f t="shared" si="34"/>
        <v>0</v>
      </c>
      <c r="BN40" s="29">
        <f t="shared" si="34"/>
        <v>0</v>
      </c>
      <c r="BO40" s="29">
        <f t="shared" si="34"/>
        <v>0</v>
      </c>
      <c r="BP40" s="29">
        <f t="shared" si="34"/>
        <v>0</v>
      </c>
      <c r="BQ40" s="29">
        <f t="shared" si="34"/>
        <v>0</v>
      </c>
      <c r="BR40" s="29">
        <f t="shared" si="34"/>
        <v>0</v>
      </c>
      <c r="BS40" s="29">
        <f t="shared" si="34"/>
        <v>0</v>
      </c>
      <c r="BT40" s="29">
        <f t="shared" si="34"/>
        <v>0</v>
      </c>
      <c r="BU40" s="29">
        <f t="shared" si="34"/>
        <v>0</v>
      </c>
      <c r="BV40" s="29">
        <f t="shared" si="34"/>
        <v>0</v>
      </c>
      <c r="BW40" s="29">
        <f t="shared" si="34"/>
        <v>0</v>
      </c>
      <c r="BX40" s="29">
        <f t="shared" si="34"/>
        <v>0</v>
      </c>
      <c r="BY40" s="29">
        <f t="shared" si="34"/>
        <v>0</v>
      </c>
      <c r="BZ40" s="29">
        <f t="shared" si="34"/>
        <v>0</v>
      </c>
      <c r="CA40" s="29">
        <f t="shared" si="34"/>
        <v>1</v>
      </c>
      <c r="CB40" s="29">
        <f t="shared" si="34"/>
        <v>0</v>
      </c>
      <c r="CC40" s="29">
        <f t="shared" si="34"/>
        <v>0</v>
      </c>
      <c r="CD40" s="29">
        <f t="shared" si="34"/>
        <v>0</v>
      </c>
      <c r="CE40" s="29">
        <f t="shared" si="34"/>
        <v>0</v>
      </c>
      <c r="CF40" s="29">
        <f t="shared" si="34"/>
        <v>1</v>
      </c>
      <c r="CG40" s="29">
        <f t="shared" si="34"/>
        <v>0</v>
      </c>
      <c r="CH40" s="29">
        <f t="shared" si="34"/>
        <v>0</v>
      </c>
      <c r="CI40" s="29">
        <f t="shared" si="34"/>
        <v>0</v>
      </c>
      <c r="CJ40" s="29">
        <f t="shared" si="34"/>
        <v>0</v>
      </c>
      <c r="CK40" s="29">
        <f t="shared" si="34"/>
        <v>0</v>
      </c>
      <c r="CL40" s="29">
        <f t="shared" si="34"/>
        <v>0</v>
      </c>
      <c r="CM40" s="29">
        <f t="shared" si="34"/>
        <v>0</v>
      </c>
      <c r="CN40" s="29">
        <f t="shared" si="34"/>
        <v>0</v>
      </c>
      <c r="CO40" s="29">
        <f t="shared" si="34"/>
        <v>0</v>
      </c>
      <c r="CP40" s="29">
        <f t="shared" si="34"/>
        <v>0</v>
      </c>
      <c r="CQ40" s="29">
        <f t="shared" si="34"/>
        <v>0</v>
      </c>
      <c r="CR40" s="29">
        <f t="shared" si="34"/>
        <v>0</v>
      </c>
      <c r="CS40" s="29">
        <f t="shared" si="34"/>
        <v>0</v>
      </c>
      <c r="CT40" s="29">
        <f t="shared" si="34"/>
        <v>0</v>
      </c>
      <c r="CU40" s="29">
        <f t="shared" si="34"/>
        <v>0</v>
      </c>
      <c r="CV40" s="29">
        <f t="shared" si="34"/>
        <v>0</v>
      </c>
      <c r="CW40" s="29">
        <f t="shared" si="34"/>
        <v>0</v>
      </c>
      <c r="CX40" s="29">
        <f t="shared" si="34"/>
        <v>0</v>
      </c>
      <c r="CY40" s="29">
        <f t="shared" si="34"/>
        <v>0</v>
      </c>
      <c r="CZ40" s="29">
        <f t="shared" si="34"/>
        <v>0</v>
      </c>
      <c r="DA40" s="29">
        <f t="shared" si="34"/>
        <v>0</v>
      </c>
      <c r="DB40" s="29">
        <f t="shared" si="34"/>
        <v>0</v>
      </c>
      <c r="DC40" s="29">
        <f t="shared" si="34"/>
        <v>0</v>
      </c>
      <c r="DD40" s="29">
        <f t="shared" si="34"/>
        <v>0</v>
      </c>
      <c r="DE40" s="29">
        <f t="shared" si="34"/>
        <v>0</v>
      </c>
      <c r="DF40" s="29">
        <f t="shared" si="34"/>
        <v>0</v>
      </c>
      <c r="DG40" s="29">
        <f t="shared" si="34"/>
        <v>0</v>
      </c>
      <c r="DH40" s="29">
        <f t="shared" si="34"/>
        <v>0</v>
      </c>
      <c r="DI40" s="29">
        <f t="shared" si="34"/>
        <v>0</v>
      </c>
      <c r="DJ40" s="29">
        <f t="shared" si="34"/>
        <v>0</v>
      </c>
      <c r="DK40" s="29">
        <f t="shared" si="34"/>
        <v>0</v>
      </c>
      <c r="DL40" s="29">
        <f t="shared" si="34"/>
        <v>0</v>
      </c>
      <c r="DM40" s="29">
        <f t="shared" si="34"/>
        <v>0</v>
      </c>
      <c r="DN40" s="29">
        <f t="shared" si="34"/>
        <v>0</v>
      </c>
      <c r="DO40" s="29">
        <f t="shared" si="34"/>
        <v>3</v>
      </c>
      <c r="DP40" s="29">
        <f t="shared" si="34"/>
        <v>48</v>
      </c>
    </row>
    <row r="41" ht="15.75" customHeight="1">
      <c r="A41" s="15" t="s">
        <v>33</v>
      </c>
      <c r="B41" s="16" t="s">
        <v>2765</v>
      </c>
      <c r="C41" s="17">
        <f>COUNTIFS('Prácticas_Revisiones'!$S$2:$S$282,"T031",'Prácticas_Revisiones'!$T$2:$T$282,"REQUIREMENTS &gt; Software Requirements Fundamentals")+COUNTIFS('Prácticas_Snowballing'!$AB$2:$AB$281,"T031",'Prácticas_Snowballing'!$AC$2:$AC$281,"REQUIREMENTS &gt; Software Requirements Fundamentals")</f>
        <v>0</v>
      </c>
      <c r="D41" s="17">
        <f>COUNTIFS('Prácticas_Revisiones'!$S$2:$S$282,"T031",'Prácticas_Revisiones'!$T$2:$T$282,"REQUIREMENTS &gt; Requirements Elicitation")+COUNTIFS('Prácticas_Snowballing'!$AB$2:$AB$281,"T031",'Prácticas_Snowballing'!$AC$2:$AC$281,"REQUIREMENTS &gt; Requirements Elicitation")</f>
        <v>0</v>
      </c>
      <c r="E41" s="17">
        <f>COUNTIFS('Prácticas_Revisiones'!$S$2:$S$282,"T031",'Prácticas_Revisiones'!$T$2:$T$282,"REQUIREMENTS &gt; Requirements Analysis")+COUNTIFS('Prácticas_Snowballing'!$AB$2:$AB$281,"T031",'Prácticas_Snowballing'!$AC$2:$AC$281,"REQUIREMENTS &gt; Requirements Analysis")</f>
        <v>0</v>
      </c>
      <c r="F41" s="17">
        <f>COUNTIFS('Prácticas_Revisiones'!$S$2:$S$282,"T031",'Prácticas_Revisiones'!$T$2:$T$282,"REQUIREMENTS &gt; Requirements Specification")+COUNTIFS('Prácticas_Snowballing'!$AB$2:$AB$281,"T031",'Prácticas_Snowballing'!$AC$2:$AC$281,"REQUIREMENTS &gt; Requirements Specification")</f>
        <v>0</v>
      </c>
      <c r="G41" s="17">
        <f>COUNTIFS('Prácticas_Revisiones'!$S$2:$S$282,"T031",'Prácticas_Revisiones'!$T$2:$T$282,"REQUIREMENTS &gt; Requirements Validation")+COUNTIFS('Prácticas_Snowballing'!$AB$2:$AB$281,"T031",'Prácticas_Snowballing'!$AC$2:$AC$281,"REQUIREMENTS &gt; Requirements Validation")</f>
        <v>0</v>
      </c>
      <c r="H41" s="17">
        <f>COUNTIFS('Prácticas_Revisiones'!$S$2:$S$282,"T031",'Prácticas_Revisiones'!$T$2:$T$282,"REQUIREMENTS &gt; Requirements Management Activities")+COUNTIFS('Prácticas_Snowballing'!$AB$2:$AB$281,"T031",'Prácticas_Snowballing'!$AC$2:$AC$281,"REQUIREMENTS &gt; Requirements Management Activities")</f>
        <v>0</v>
      </c>
      <c r="I41" s="17">
        <f>COUNTIFS('Prácticas_Revisiones'!$S$2:$S$282,"T031",'Prácticas_Revisiones'!$T$2:$T$282,"REQUIREMENTS &gt; Practical Considerations")+COUNTIFS('Prácticas_Snowballing'!$AB$2:$AB$281,"T031",'Prácticas_Snowballing'!$AC$2:$AC$281,"REQUIREMENTS &gt; Practical Considerations")</f>
        <v>0</v>
      </c>
      <c r="J41" s="17">
        <f>COUNTIFS('Prácticas_Revisiones'!$S$2:$S$282,"T031",'Prácticas_Revisiones'!$T$2:$T$282,"REQUIREMENTS &gt; Software Requirements Tools")+COUNTIFS('Prácticas_Snowballing'!$AB$2:$AB$281,"T031",'Prácticas_Snowballing'!$AC$2:$AC$281,"REQUIREMENTS &gt; Software Requirements Tools")</f>
        <v>0</v>
      </c>
      <c r="K41" s="17">
        <f>COUNTIFS('Prácticas_Revisiones'!$S$2:$S$282,"T031",'Prácticas_Revisiones'!$T$2:$T$282,"REQUIREMENTS &gt; Subárea no determinable")+COUNTIFS('Prácticas_Snowballing'!$AB$2:$AB$281,"T031",'Prácticas_Snowballing'!$AC$2:$AC$281,"REQUIREMENTS &gt; Subárea no determinable")</f>
        <v>0</v>
      </c>
      <c r="L41" s="29">
        <f t="shared" ref="L41:L68" si="35">SUM(C41:K41)</f>
        <v>0</v>
      </c>
      <c r="M41" s="17">
        <f>COUNTIFS('Prácticas_Revisiones'!$S$2:$S$282,"T031",'Prácticas_Revisiones'!$T$2:$T$282,"ARCHITECTURE &gt; Software Architecture Fundamentals")+COUNTIFS('Prácticas_Snowballing'!$AB$2:$AB$281,"T031",'Prácticas_Snowballing'!$AC$2:$AC$281,"ARCHITECTURE &gt; Software Architecture Fundamentals")</f>
        <v>0</v>
      </c>
      <c r="N41" s="17">
        <f>COUNTIFS('Prácticas_Revisiones'!$S$2:$S$282,"T031",'Prácticas_Revisiones'!$T$2:$T$282,"ARCHITECTURE &gt; Software Architecture Description")+COUNTIFS('Prácticas_Snowballing'!$AB$2:$AB$281,"T031",'Prácticas_Snowballing'!$AC$2:$AC$281,"ARCHITECTURE &gt; Software Architecture Description")</f>
        <v>0</v>
      </c>
      <c r="O41" s="17">
        <f>COUNTIFS('Prácticas_Revisiones'!$S$2:$S$282,"T031",'Prácticas_Revisiones'!$T$2:$T$282,"ARCHITECTURE &gt; Software Architecture Process")+COUNTIFS('Prácticas_Snowballing'!$AB$2:$AB$281,"T031",'Prácticas_Snowballing'!$AC$2:$AC$281,"ARCHITECTURE &gt; Software Architecture Process")</f>
        <v>0</v>
      </c>
      <c r="P41" s="17">
        <f>COUNTIFS('Prácticas_Revisiones'!$S$2:$S$282,"T031",'Prácticas_Revisiones'!$T$2:$T$282,"ARCHITECTURE &gt; Software Architecture Evaluation")+COUNTIFS('Prácticas_Snowballing'!$AB$2:$AB$281,"T031",'Prácticas_Snowballing'!$AC$2:$AC$281,"ARCHITECTURE &gt; Software Architecture Evaluation")</f>
        <v>0</v>
      </c>
      <c r="Q41" s="17">
        <f>COUNTIFS('Prácticas_Revisiones'!$S$2:$S$282,"T031",'Prácticas_Revisiones'!$T$2:$T$282,"ARCHITECTURE &gt; Subárea no determinable")+COUNTIFS('Prácticas_Snowballing'!$AB$2:$AB$281,"T031",'Prácticas_Snowballing'!$AC$2:$AC$281,"ARCHITECTURE &gt; Subárea no determinable")</f>
        <v>0</v>
      </c>
      <c r="R41" s="29">
        <f t="shared" ref="R41:R68" si="36">SUM(M41:Q41)</f>
        <v>0</v>
      </c>
      <c r="S41" s="17">
        <f>COUNTIFS('Prácticas_Revisiones'!$S$2:$S$282,"T031",'Prácticas_Revisiones'!$T$2:$T$282,"DESIGN &gt; Software Design Fundamentals")+COUNTIFS('Prácticas_Snowballing'!$AB$2:$AB$281,"T031",'Prácticas_Snowballing'!$AC$2:$AC$281,"DESIGN &gt; Software Design Fundamentals")</f>
        <v>0</v>
      </c>
      <c r="T41" s="17">
        <f>COUNTIFS('Prácticas_Revisiones'!$S$2:$S$282,"T031",'Prácticas_Revisiones'!$T$2:$T$282,"DESIGN &gt; Software Design Processes")+COUNTIFS('Prácticas_Snowballing'!$AB$2:$AB$281,"T031",'Prácticas_Snowballing'!$AC$2:$AC$281,"DESIGN &gt; Software Design Processes")</f>
        <v>0</v>
      </c>
      <c r="U41" s="17">
        <f>COUNTIFS('Prácticas_Revisiones'!$S$2:$S$282,"T031",'Prácticas_Revisiones'!$T$2:$T$282,"DESIGN &gt; Software Design Qualities")+COUNTIFS('Prácticas_Snowballing'!$AB$2:$AB$281,"T031",'Prácticas_Snowballing'!$AC$2:$AC$281,"DESIGN &gt; Software Design Qualities")</f>
        <v>0</v>
      </c>
      <c r="V41" s="17">
        <f>COUNTIFS('Prácticas_Revisiones'!$S$2:$S$282,"T031",'Prácticas_Revisiones'!$T$2:$T$282,"DESIGN &gt; Recording Software Design")+COUNTIFS('Prácticas_Snowballing'!$AB$2:$AB$281,"T031",'Prácticas_Snowballing'!$AC$2:$AC$281,"DESIGN &gt; Recording Software Design")</f>
        <v>0</v>
      </c>
      <c r="W41" s="17">
        <f>COUNTIFS('Prácticas_Revisiones'!$S$2:$S$282,"T031",'Prácticas_Revisiones'!$T$2:$T$282,"DESIGN &gt; Software Design Strategies and Methods")+COUNTIFS('Prácticas_Snowballing'!$AB$2:$AB$281,"T031",'Prácticas_Snowballing'!$AC$2:$AC$281,"DESIGN &gt; Software Design Strategies and Methods")</f>
        <v>0</v>
      </c>
      <c r="X41" s="17">
        <f>COUNTIFS('Prácticas_Revisiones'!$S$2:$S$282,"T031",'Prácticas_Revisiones'!$T$2:$T$282,"DESIGN &gt; Software Design Analysis and Evaluations")+COUNTIFS('Prácticas_Snowballing'!$AB$2:$AB$281,"T031",'Prácticas_Snowballing'!$AC$2:$AC$281,"DESIGN &gt; Software Design Analysis and Evaluations")</f>
        <v>0</v>
      </c>
      <c r="Y41" s="17">
        <f>COUNTIFS('Prácticas_Revisiones'!$S$2:$S$282,"T031",'Prácticas_Revisiones'!$T$2:$T$282,"DESIGN &gt; Subárea no determinable")+COUNTIFS('Prácticas_Snowballing'!$AB$2:$AB$281,"T031",'Prácticas_Snowballing'!$AC$2:$AC$281,"DESIGN &gt; Subárea no determinable")</f>
        <v>0</v>
      </c>
      <c r="Z41" s="29">
        <f t="shared" ref="Z41:Z68" si="37">SUM(S41:Y41)</f>
        <v>0</v>
      </c>
      <c r="AA41" s="17">
        <f>COUNTIFS('Prácticas_Revisiones'!$S$2:$S$282,"T031",'Prácticas_Revisiones'!$T$2:$T$282,"CONSTRUCTION &gt; Software Construction Fundamentals")+COUNTIFS('Prácticas_Snowballing'!$AB$2:$AB$281,"T031",'Prácticas_Snowballing'!$AC$2:$AC$281,"CONSTRUCTION &gt; Software Construction Fundamentals")</f>
        <v>0</v>
      </c>
      <c r="AB41" s="17">
        <f>COUNTIFS('Prácticas_Revisiones'!$S$2:$S$282,"T031",'Prácticas_Revisiones'!$T$2:$T$282,"CONSTRUCTION &gt; Managing Construction")+COUNTIFS('Prácticas_Snowballing'!$AB$2:$AB$281,"T031",'Prácticas_Snowballing'!$AC$2:$AC$281,"CONSTRUCTION &gt; Managing Construction")</f>
        <v>0</v>
      </c>
      <c r="AC41" s="17">
        <f>COUNTIFS('Prácticas_Revisiones'!$S$2:$S$282,"T031",'Prácticas_Revisiones'!$T$2:$T$282,"CONSTRUCTION &gt; Practical Considerations")+COUNTIFS('Prácticas_Snowballing'!$AB$2:$AB$281,"T031",'Prácticas_Snowballing'!$AC$2:$AC$281,"CONSTRUCTION &gt; Practical Considerations")</f>
        <v>0</v>
      </c>
      <c r="AD41" s="17">
        <f>COUNTIFS('Prácticas_Revisiones'!$S$2:$S$282,"T031",'Prácticas_Revisiones'!$T$2:$T$282,"CONSTRUCTION &gt; Construction Technologies")+COUNTIFS('Prácticas_Snowballing'!$AB$2:$AB$281,"T031",'Prácticas_Snowballing'!$AC$2:$AC$281,"CONSTRUCTION &gt; Construction Technologies")</f>
        <v>0</v>
      </c>
      <c r="AE41" s="17">
        <f>COUNTIFS('Prácticas_Revisiones'!$S$2:$S$282,"T031",'Prácticas_Revisiones'!$T$2:$T$282,"CONSTRUCTION &gt; Software Construction Tools")+COUNTIFS('Prácticas_Snowballing'!$AB$2:$AB$281,"T031",'Prácticas_Snowballing'!$AC$2:$AC$281,"CONSTRUCTION &gt; Software Construction Tools")</f>
        <v>0</v>
      </c>
      <c r="AF41" s="17">
        <f>COUNTIFS('Prácticas_Revisiones'!$S$2:$S$282,"T031",'Prácticas_Revisiones'!$T$2:$T$282,"CONSTRUCTION &gt; Subárea no determinable")+COUNTIFS('Prácticas_Snowballing'!$AB$2:$AB$281,"T031",'Prácticas_Snowballing'!$AC$2:$AC$281,"CONSTRUCTION &gt; Subárea no determinable")</f>
        <v>0</v>
      </c>
      <c r="AG41" s="29">
        <f t="shared" ref="AG41:AG68" si="38">SUM(AA41:AF41)</f>
        <v>0</v>
      </c>
      <c r="AH41" s="17">
        <f>COUNTIFS('Prácticas_Revisiones'!$S$2:$S$282,"T031",'Prácticas_Revisiones'!$T$2:$T$282,"SOFTWARE TESTING &gt; Software Testing Fundamentals")+COUNTIFS('Prácticas_Snowballing'!$AB$2:$AB$281,"T031",'Prácticas_Snowballing'!$AC$2:$AC$281,"SOFTWARE TESTING &gt; Software Testing Fundamentals")</f>
        <v>0</v>
      </c>
      <c r="AI41" s="17">
        <f>COUNTIFS('Prácticas_Revisiones'!$S$2:$S$282,"T031",'Prácticas_Revisiones'!$T$2:$T$282,"SOFTWARE TESTING &gt; Test Levels")+COUNTIFS('Prácticas_Snowballing'!$AB$2:$AB$281,"T031",'Prácticas_Snowballing'!$AC$2:$AC$281,"SOFTWARE TESTING &gt; Test Levels")</f>
        <v>0</v>
      </c>
      <c r="AJ41" s="17">
        <f>COUNTIFS('Prácticas_Revisiones'!$S$2:$S$282,"T031",'Prácticas_Revisiones'!$T$2:$T$282,"SOFTWARE TESTING &gt; Test Techniques")+COUNTIFS('Prácticas_Snowballing'!$AB$2:$AB$281,"T031",'Prácticas_Snowballing'!$AC$2:$AC$281,"SOFTWARE TESTING &gt; Test Techniques")</f>
        <v>0</v>
      </c>
      <c r="AK41" s="17">
        <f>COUNTIFS('Prácticas_Revisiones'!$S$2:$S$282,"T031",'Prácticas_Revisiones'!$T$2:$T$282,"SOFTWARE TESTING &gt; Test-Related Measures")+COUNTIFS('Prácticas_Snowballing'!$AB$2:$AB$281,"T031",'Prácticas_Snowballing'!$AC$2:$AC$281,"SOFTWARE TESTING &gt; Test-Related Measures")</f>
        <v>0</v>
      </c>
      <c r="AL41" s="17">
        <f>COUNTIFS('Prácticas_Revisiones'!$S$2:$S$282,"T031",'Prácticas_Revisiones'!$T$2:$T$282,"SOFTWARE TESTING &gt; Test Process")+COUNTIFS('Prácticas_Snowballing'!$AB$2:$AB$281,"T031",'Prácticas_Snowballing'!$AC$2:$AC$281,"SOFTWARE TESTING &gt; Test Process")</f>
        <v>0</v>
      </c>
      <c r="AM41" s="17">
        <f>COUNTIFS('Prácticas_Revisiones'!$S$2:$S$282,"T031",'Prácticas_Revisiones'!$T$2:$T$282,"SOFTWARE TESTING &gt; Software Testing in the Development Processes...")+COUNTIFS('Prácticas_Snowballing'!$AB$2:$AB$281,"T031",'Prácticas_Snowballing'!$AC$2:$AC$281,"SOFTWARE TESTING &gt; Software Testing in the Development Processes...")</f>
        <v>0</v>
      </c>
      <c r="AN41" s="17">
        <f>COUNTIFS('Prácticas_Revisiones'!$S$2:$S$282,"T031",'Prácticas_Revisiones'!$T$2:$T$282,"SOFTWARE TESTING &gt; Testing of and Testing Through Emerging Tech...")+COUNTIFS('Prácticas_Snowballing'!$AB$2:$AB$281,"T031",'Prácticas_Snowballing'!$AC$2:$AC$281,"SOFTWARE TESTING &gt; Testing of and Testing Through Emerging Tech...")</f>
        <v>0</v>
      </c>
      <c r="AO41" s="17">
        <f>COUNTIFS('Prácticas_Revisiones'!$S$2:$S$282,"T031",'Prácticas_Revisiones'!$T$2:$T$282,"SOFTWARE TESTING &gt; Software Testing Tools")+COUNTIFS('Prácticas_Snowballing'!$AB$2:$AB$281,"T031",'Prácticas_Snowballing'!$AC$2:$AC$281,"SOFTWARE TESTING &gt; Software Testing Tools")</f>
        <v>0</v>
      </c>
      <c r="AP41" s="17">
        <f>COUNTIFS('Prácticas_Revisiones'!$S$2:$S$282,"T031",'Prácticas_Revisiones'!$T$2:$T$282,"SOFTWARE TESTING &gt; Subárea no determinable")+COUNTIFS('Prácticas_Snowballing'!$AB$2:$AB$281,"T031",'Prácticas_Snowballing'!$AC$2:$AC$281,"SOFTWARE TESTING &gt; Subárea no determinable")</f>
        <v>0</v>
      </c>
      <c r="AQ41" s="29">
        <f t="shared" ref="AQ41:AQ68" si="39">SUM(AH41:AP41)</f>
        <v>0</v>
      </c>
      <c r="AR41" s="17">
        <f>COUNTIFS('Prácticas_Revisiones'!$S$2:$S$282,"T031",'Prácticas_Revisiones'!$T$2:$T$282,"SOFTWARE ENG. OPERATIONS &gt; Software Engineering Operations Fundamentals")+COUNTIFS('Prácticas_Snowballing'!$AB$2:$AB$281,"T031",'Prácticas_Snowballing'!$AC$2:$AC$281,"SOFTWARE ENG. OPERATIONS &gt; Software Engineering Operations Fundamentals")</f>
        <v>0</v>
      </c>
      <c r="AS41" s="17">
        <f>COUNTIFS('Prácticas_Revisiones'!$S$2:$S$282,"T031",'Prácticas_Revisiones'!$T$2:$T$282,"SOFTWARE ENG. OPERATIONS &gt; Software Engineering Operations Planning")+COUNTIFS('Prácticas_Snowballing'!$AB$2:$AB$281,"T031",'Prácticas_Snowballing'!$AC$2:$AC$281,"SOFTWARE ENG. OPERATIONS &gt; Software Engineering Operations Planning")</f>
        <v>0</v>
      </c>
      <c r="AT41" s="17">
        <f>COUNTIFS('Prácticas_Revisiones'!$S$2:$S$282,"T031",'Prácticas_Revisiones'!$T$2:$T$282,"SOFTWARE ENG. OPERATIONS &gt; Software Engineering Operations Delivery")+COUNTIFS('Prácticas_Snowballing'!$AB$2:$AB$281,"T031",'Prácticas_Snowballing'!$AC$2:$AC$281,"SOFTWARE ENG. OPERATIONS &gt; Software Engineering Operations Delivery")</f>
        <v>0</v>
      </c>
      <c r="AU41" s="17">
        <f>COUNTIFS('Prácticas_Revisiones'!$S$2:$S$282,"T031",'Prácticas_Revisiones'!$T$2:$T$282,"SOFTWARE ENG. OPERATIONS &gt; Software Engineering Operations Control")+COUNTIFS('Prácticas_Snowballing'!$AB$2:$AB$281,"T031",'Prácticas_Snowballing'!$AC$2:$AC$281,"SOFTWARE ENG. OPERATIONS &gt; Software Engineering Operations Control")</f>
        <v>0</v>
      </c>
      <c r="AV41" s="17">
        <f>COUNTIFS('Prácticas_Revisiones'!$S$2:$S$282,"T031",'Prácticas_Revisiones'!$T$2:$T$282,"SOFTWARE ENG. OPERATIONS &gt; Practical Considerations")+COUNTIFS('Prácticas_Snowballing'!$AB$2:$AB$281,"T031",'Prácticas_Snowballing'!$AC$2:$AC$281,"SOFTWARE ENG. OPERATIONS &gt; Practical Considerations")</f>
        <v>0</v>
      </c>
      <c r="AW41" s="17">
        <f>COUNTIFS('Prácticas_Revisiones'!$S$2:$S$282,"T031",'Prácticas_Revisiones'!$T$2:$T$282,"SOFTWARE ENG. OPERATIONS &gt; Software Engineering Operations Tools")+COUNTIFS('Prácticas_Snowballing'!$AB$2:$AB$281,"T031",'Prácticas_Snowballing'!$AC$2:$AC$281,"SOFTWARE ENG. OPERATIONS &gt; Software Engineering Operations Tools")</f>
        <v>0</v>
      </c>
      <c r="AX41" s="17">
        <f>COUNTIFS('Prácticas_Revisiones'!$S$2:$S$282,"T031",'Prácticas_Revisiones'!$T$2:$T$282,"SOFTWARE ENG. OPERATIONS &gt; Subárea no determinable")+COUNTIFS('Prácticas_Snowballing'!$AB$2:$AB$281,"T031",'Prácticas_Snowballing'!$AC$2:$AC$281,"SOFTWARE ENG. OPERATIONS &gt; Subárea no determinable")</f>
        <v>0</v>
      </c>
      <c r="AY41" s="29">
        <f t="shared" ref="AY41:AY68" si="40">SUM(AR41:AX41)</f>
        <v>0</v>
      </c>
      <c r="AZ41" s="17">
        <f>COUNTIFS('Prácticas_Revisiones'!$S$2:$S$282,"T031",'Prácticas_Revisiones'!$T$2:$T$282,"MAINTENANCE &gt; Software Maintenance Fundamentals")+COUNTIFS('Prácticas_Snowballing'!$AB$2:$AB$281,"T031",'Prácticas_Snowballing'!$AC$2:$AC$281,"MAINTENANCE &gt; Software Maintenance Fundamentals")</f>
        <v>0</v>
      </c>
      <c r="BA41" s="17">
        <f>COUNTIFS('Prácticas_Revisiones'!$S$2:$S$282,"T031",'Prácticas_Revisiones'!$T$2:$T$282,"MAINTENANCE &gt; Key Issues in Software Maintenance")+COUNTIFS('Prácticas_Snowballing'!$AB$2:$AB$281,"T031",'Prácticas_Snowballing'!$AC$2:$AC$281,"MAINTENANCE &gt; Key Issues in Software Maintenance")</f>
        <v>0</v>
      </c>
      <c r="BB41" s="17">
        <f>COUNTIFS('Prácticas_Revisiones'!$S$2:$S$282,"T031",'Prácticas_Revisiones'!$T$2:$T$282,"MAINTENANCE &gt; Software Maintenance Processes")+COUNTIFS('Prácticas_Snowballing'!$AB$2:$AB$281,"T031",'Prácticas_Snowballing'!$AC$2:$AC$281,"MAINTENANCE &gt; Software Maintenance Processes")</f>
        <v>0</v>
      </c>
      <c r="BC41" s="17">
        <f>COUNTIFS('Prácticas_Revisiones'!$S$2:$S$282,"T031",'Prácticas_Revisiones'!$T$2:$T$282,"MAINTENANCE &gt; Software Maintenance Techniques")+COUNTIFS('Prácticas_Snowballing'!$AB$2:$AB$281,"T031",'Prácticas_Snowballing'!$AC$2:$AC$281,"MAINTENANCE &gt; Software Maintenance Techniques")</f>
        <v>0</v>
      </c>
      <c r="BD41" s="17">
        <f>COUNTIFS('Prácticas_Revisiones'!$S$2:$S$282,"T031",'Prácticas_Revisiones'!$T$2:$T$282,"MAINTENANCE &gt; Software Maintenance Tools")+COUNTIFS('Prácticas_Snowballing'!$AB$2:$AB$281,"T031",'Prácticas_Snowballing'!$AC$2:$AC$281,"MAINTENANCE &gt; Software Maintenance Tools")</f>
        <v>0</v>
      </c>
      <c r="BE41" s="17">
        <f>COUNTIFS('Prácticas_Revisiones'!$S$2:$S$282,"T031",'Prácticas_Revisiones'!$T$2:$T$282,"MAINTENANCE &gt; Subárea no determinable")+COUNTIFS('Prácticas_Snowballing'!$AB$2:$AB$281,"T031",'Prácticas_Snowballing'!$AC$2:$AC$281,"MAINTENANCE &gt; Subárea no determinable")</f>
        <v>0</v>
      </c>
      <c r="BF41" s="29">
        <f t="shared" ref="BF41:BF68" si="41">SUM(AZ41:BE41)</f>
        <v>0</v>
      </c>
      <c r="BG41" s="17">
        <f>COUNTIFS('Prácticas_Revisiones'!$S$2:$S$282,"T031",'Prácticas_Revisiones'!$T$2:$T$282,"SOFTWARE CONFIG. MGMT. &gt; Management of the SCM Process")+COUNTIFS('Prácticas_Snowballing'!$AB$2:$AB$281,"T031",'Prácticas_Snowballing'!$AC$2:$AC$281,"SOFTWARE CONFIG. MGMT. &gt; Management of the SCM Process")</f>
        <v>0</v>
      </c>
      <c r="BH41" s="17">
        <f>COUNTIFS('Prácticas_Revisiones'!$S$2:$S$282,"T031",'Prácticas_Revisiones'!$T$2:$T$282,"SOFTWARE CONFIG. MGMT. &gt; Software Configuration Identification")+COUNTIFS('Prácticas_Snowballing'!$AB$2:$AB$281,"T031",'Prácticas_Snowballing'!$AC$2:$AC$281,"SOFTWARE CONFIG. MGMT. &gt; Software Configuration Identification")</f>
        <v>0</v>
      </c>
      <c r="BI41" s="17">
        <f>COUNTIFS('Prácticas_Revisiones'!$S$2:$S$282,"T031",'Prácticas_Revisiones'!$T$2:$T$282,"SOFTWARE CONFIG. MGMT. &gt; Software Configuration Change Control")+COUNTIFS('Prácticas_Snowballing'!$AB$2:$AB$281,"T031",'Prácticas_Snowballing'!$AC$2:$AC$281,"SOFTWARE CONFIG. MGMT. &gt; Software Configuration Change Control")</f>
        <v>0</v>
      </c>
      <c r="BJ41" s="17">
        <f>COUNTIFS('Prácticas_Revisiones'!$S$2:$S$282,"T031",'Prácticas_Revisiones'!$T$2:$T$282,"SOFTWARE CONFIG. MGMT. &gt; Software Configuration Status Accounting")+COUNTIFS('Prácticas_Snowballing'!$AB$2:$AB$281,"T031",'Prácticas_Snowballing'!$AC$2:$AC$281,"SOFTWARE CONFIG. MGMT. &gt; Software Configuration Status Accounting")</f>
        <v>0</v>
      </c>
      <c r="BK41" s="17">
        <f>COUNTIFS('Prácticas_Revisiones'!$S$2:$S$282,"T031",'Prácticas_Revisiones'!$T$2:$T$282,"SOFTWARE CONFIG. MGMT. &gt; Software Configuration Auditing")+COUNTIFS('Prácticas_Snowballing'!$AB$2:$AB$281,"T031",'Prácticas_Snowballing'!$AC$2:$AC$281,"SOFTWARE CONFIG. MGMT. &gt; Software Configuration Auditing")</f>
        <v>0</v>
      </c>
      <c r="BL41" s="17">
        <f>COUNTIFS('Prácticas_Revisiones'!$S$2:$S$282,"T031",'Prácticas_Revisiones'!$T$2:$T$282,"SOFTWARE CONFIG. MGMT. &gt; Software Release Management and Delivery")+COUNTIFS('Prácticas_Snowballing'!$AB$2:$AB$281,"T031",'Prácticas_Snowballing'!$AC$2:$AC$281,"SOFTWARE CONFIG. MGMT. &gt; Software Release Management and Delivery")</f>
        <v>0</v>
      </c>
      <c r="BM41" s="17">
        <f>COUNTIFS('Prácticas_Revisiones'!$S$2:$S$282,"T031",'Prácticas_Revisiones'!$T$2:$T$282,"SOFTWARE CONFIG. MGMT. &gt; Software Configuration Management Tools")+COUNTIFS('Prácticas_Snowballing'!$AB$2:$AB$281,"T031",'Prácticas_Snowballing'!$AC$2:$AC$281,"SOFTWARE CONFIG. MGMT. &gt; Software Configuration Management Tools")</f>
        <v>0</v>
      </c>
      <c r="BN41" s="17">
        <f>COUNTIFS('Prácticas_Revisiones'!$S$2:$S$282,"T031",'Prácticas_Revisiones'!$T$2:$T$282,"SOFTWARE CONFIG. MGMT. &gt; Subárea no determinable")+COUNTIFS('Prácticas_Snowballing'!$AB$2:$AB$281,"T031",'Prácticas_Snowballing'!$AC$2:$AC$281,"SOFTWARE CONFIG. MGMT. &gt; Subárea no determinable")</f>
        <v>0</v>
      </c>
      <c r="BO41" s="29">
        <f t="shared" ref="BO41:BO68" si="42">SUM(BG41:BN41)</f>
        <v>0</v>
      </c>
      <c r="BP41" s="17">
        <f>COUNTIFS('Prácticas_Revisiones'!$S$2:$S$282,"T031",'Prácticas_Revisiones'!$T$2:$T$282,"SOFTWARE ENG. PROCESS &gt; Software Engineering Process Fundamentals")+COUNTIFS('Prácticas_Snowballing'!$AB$2:$AB$281,"T031",'Prácticas_Snowballing'!$AC$2:$AC$281,"SOFTWARE ENG. PROCESS &gt; Software Engineering Process Fundamentals")</f>
        <v>0</v>
      </c>
      <c r="BQ41" s="17">
        <f>COUNTIFS('Prácticas_Revisiones'!$S$2:$S$282,"T031",'Prácticas_Revisiones'!$T$2:$T$282,"SOFTWARE ENG. PROCESS &gt; Life Cycles")+COUNTIFS('Prácticas_Snowballing'!$AB$2:$AB$281,"T031",'Prácticas_Snowballing'!$AC$2:$AC$281,"SOFTWARE ENG. PROCESS &gt; Life Cycles")</f>
        <v>0</v>
      </c>
      <c r="BR41" s="17">
        <f>COUNTIFS('Prácticas_Revisiones'!$S$2:$S$282,"T031",'Prácticas_Revisiones'!$T$2:$T$282,"SOFTWARE ENG. PROCESS &gt; Software Process Assessment and Improvement")+COUNTIFS('Prácticas_Snowballing'!$AB$2:$AB$281,"T031",'Prácticas_Snowballing'!$AC$2:$AC$281,"SOFTWARE ENG. PROCESS &gt; Software Process Assessment and Improvement")</f>
        <v>0</v>
      </c>
      <c r="BS41" s="17">
        <f>COUNTIFS('Prácticas_Revisiones'!$S$2:$S$282,"T031",'Prácticas_Revisiones'!$T$2:$T$282,"SOFTWARE ENG. PROCESS &gt; Subárea no determinable")+COUNTIFS('Prácticas_Snowballing'!$AB$2:$AB$281,"T031",'Prácticas_Snowballing'!$AC$2:$AC$281,"SOFTWARE ENG. PROCESS &gt; Subárea no determinable")</f>
        <v>0</v>
      </c>
      <c r="BT41" s="29">
        <f t="shared" ref="BT41:BT68" si="43">SUM(BP41:BS41)</f>
        <v>0</v>
      </c>
      <c r="BU41" s="17">
        <f>COUNTIFS('Prácticas_Revisiones'!$S$2:$S$282,"T031",'Prácticas_Revisiones'!$T$2:$T$282,"SOFTWARE ENG. MODELS/METH. &gt; Modeling")+COUNTIFS('Prácticas_Snowballing'!$AB$2:$AB$281,"T031",'Prácticas_Snowballing'!$AC$2:$AC$281,"SOFTWARE ENG. MODELS/METH. &gt; Modeling")</f>
        <v>0</v>
      </c>
      <c r="BV41" s="17">
        <f>COUNTIFS('Prácticas_Revisiones'!$S$2:$S$282,"T031",'Prácticas_Revisiones'!$T$2:$T$282,"SOFTWARE ENG. MODELS/METH. &gt; Types of Models")+COUNTIFS('Prácticas_Snowballing'!$AB$2:$AB$281,"T031",'Prácticas_Snowballing'!$AC$2:$AC$281,"SOFTWARE ENG. MODELS/METH. &gt; Types of Models")</f>
        <v>0</v>
      </c>
      <c r="BW41" s="17">
        <f>COUNTIFS('Prácticas_Revisiones'!$S$2:$S$282,"T031",'Prácticas_Revisiones'!$T$2:$T$282,"SOFTWARE ENG. MODELS/METH. &gt; Analysis of Models")+COUNTIFS('Prácticas_Snowballing'!$AB$2:$AB$281,"T031",'Prácticas_Snowballing'!$AC$2:$AC$281,"SOFTWARE ENG. MODELS/METH. &gt; Analysis of Models")</f>
        <v>0</v>
      </c>
      <c r="BX41" s="17">
        <f>COUNTIFS('Prácticas_Revisiones'!$S$2:$S$282,"T031",'Prácticas_Revisiones'!$T$2:$T$282,"SOFTWARE ENG. MODELS/METH. &gt; Software Engineering Methods")+COUNTIFS('Prácticas_Snowballing'!$AB$2:$AB$281,"T031",'Prácticas_Snowballing'!$AC$2:$AC$281,"SOFTWARE ENG. MODELS/METH. &gt; Software Engineering Methods")</f>
        <v>0</v>
      </c>
      <c r="BY41" s="17">
        <f>COUNTIFS('Prácticas_Revisiones'!$S$2:$S$282,"T031",'Prácticas_Revisiones'!$T$2:$T$282,"SOFTWARE ENG. MODELS/METH. &gt; Subárea no determinable")+COUNTIFS('Prácticas_Snowballing'!$AB$2:$AB$281,"T031",'Prácticas_Snowballing'!$AC$2:$AC$281,"SOFTWARE ENG. MODELS/METH. &gt; Subárea no determinable")</f>
        <v>0</v>
      </c>
      <c r="BZ41" s="29">
        <f t="shared" ref="BZ41:BZ68" si="44">SUM(BU41:BY41)</f>
        <v>0</v>
      </c>
      <c r="CA41" s="17">
        <f>COUNTIFS('Prácticas_Revisiones'!$S$2:$S$282,"T031",'Prácticas_Revisiones'!$T$2:$T$282,"SOFTWARE QUALITY &gt; Software Quality Fundamentals")+COUNTIFS('Prácticas_Snowballing'!$AB$2:$AB$281,"T031",'Prácticas_Snowballing'!$AC$2:$AC$281,"SOFTWARE QUALITY &gt; Software Quality Fundamentals")</f>
        <v>0</v>
      </c>
      <c r="CB41" s="17">
        <f>COUNTIFS('Prácticas_Revisiones'!$S$2:$S$282,"T031",'Prácticas_Revisiones'!$T$2:$T$282,"SOFTWARE QUALITY &gt; Software Quality Management Process")+COUNTIFS('Prácticas_Snowballing'!$AB$2:$AB$281,"T031",'Prácticas_Snowballing'!$AC$2:$AC$281,"SOFTWARE QUALITY &gt; Software Quality Management Process")</f>
        <v>0</v>
      </c>
      <c r="CC41" s="17">
        <f>COUNTIFS('Prácticas_Revisiones'!$S$2:$S$282,"T031",'Prácticas_Revisiones'!$T$2:$T$282,"SOFTWARE QUALITY &gt; Software Quality Assurance Process")+COUNTIFS('Prácticas_Snowballing'!$AB$2:$AB$281,"T031",'Prácticas_Snowballing'!$AC$2:$AC$281,"SOFTWARE QUALITY &gt; Software Quality Assurance Process")</f>
        <v>0</v>
      </c>
      <c r="CD41" s="17">
        <f>COUNTIFS('Prácticas_Revisiones'!$S$2:$S$282,"T031",'Prácticas_Revisiones'!$T$2:$T$282,"SOFTWARE QUALITY &gt; Software Quality Tools")+COUNTIFS('Prácticas_Snowballing'!$AB$2:$AB$281,"T031",'Prácticas_Snowballing'!$AC$2:$AC$281,"SOFTWARE QUALITY &gt; Software Quality Tools")</f>
        <v>0</v>
      </c>
      <c r="CE41" s="17">
        <f>COUNTIFS('Prácticas_Revisiones'!$S$2:$S$282,"T031",'Prácticas_Revisiones'!$T$2:$T$282,"SOFTWARE QUALITY &gt; Subárea no determinable")+COUNTIFS('Prácticas_Snowballing'!$AB$2:$AB$281,"T031",'Prácticas_Snowballing'!$AC$2:$AC$281,"SOFTWARE QUALITY &gt; Subárea no determinable")</f>
        <v>0</v>
      </c>
      <c r="CF41" s="29">
        <f t="shared" ref="CF41:CF68" si="45">SUM(CA41:CE41)</f>
        <v>0</v>
      </c>
      <c r="CG41" s="17">
        <f>COUNTIFS('Prácticas_Revisiones'!$S$2:$S$282,"T031",'Prácticas_Revisiones'!$T$2:$T$282,"SOFTWARE SECURITY &gt; Software Security Fundamentals")+COUNTIFS('Prácticas_Snowballing'!$AB$2:$AB$281,"T031",'Prácticas_Snowballing'!$AC$2:$AC$281,"SOFTWARE SECURITY &gt; Software Security Fundamentals")</f>
        <v>0</v>
      </c>
      <c r="CH41" s="17">
        <f>COUNTIFS('Prácticas_Revisiones'!$S$2:$S$282,"T031",'Prácticas_Revisiones'!$T$2:$T$282,"SOFTWARE SECURITY &gt; Security Management and Organization")+COUNTIFS('Prácticas_Snowballing'!$AB$2:$AB$281,"T031",'Prácticas_Snowballing'!$AC$2:$AC$281,"SOFTWARE SECURITY &gt; Security Management and Organization")</f>
        <v>0</v>
      </c>
      <c r="CI41" s="17">
        <f>COUNTIFS('Prácticas_Revisiones'!$S$2:$S$282,"T031",'Prácticas_Revisiones'!$T$2:$T$282,"SOFTWARE SECURITY &gt; Software Security Engineering and Process")+COUNTIFS('Prácticas_Snowballing'!$AB$2:$AB$281,"T031",'Prácticas_Snowballing'!$AC$2:$AC$281,"SOFTWARE SECURITY &gt; Software Security Engineering and Process")</f>
        <v>0</v>
      </c>
      <c r="CJ41" s="17">
        <f>COUNTIFS('Prácticas_Revisiones'!$S$2:$S$282,"T031",'Prácticas_Revisiones'!$T$2:$T$282,"SOFTWARE SECURITY &gt; Security Engineering for Software Systems")+COUNTIFS('Prácticas_Snowballing'!$AB$2:$AB$281,"T031",'Prácticas_Snowballing'!$AC$2:$AC$281,"SOFTWARE SECURITY &gt; Security Engineering for Software Systems")</f>
        <v>0</v>
      </c>
      <c r="CK41" s="17">
        <f>COUNTIFS('Prácticas_Revisiones'!$S$2:$S$282,"T031",'Prácticas_Revisiones'!$T$2:$T$282,"SOFTWARE SECURITY &gt; Software Security Tools")+COUNTIFS('Prácticas_Snowballing'!$AB$2:$AB$281,"T031",'Prácticas_Snowballing'!$AC$2:$AC$281,"SOFTWARE SECURITY &gt; Software Security Tools")</f>
        <v>0</v>
      </c>
      <c r="CL41" s="17">
        <f>COUNTIFS('Prácticas_Revisiones'!$S$2:$S$282,"T031",'Prácticas_Revisiones'!$T$2:$T$282,"SOFTWARE SECURITY &gt; Domain Specific Software Security")+COUNTIFS('Prácticas_Snowballing'!$AB$2:$AB$281,"T031",'Prácticas_Snowballing'!$AC$2:$AC$281,"SOFTWARE SECURITY &gt; Domain Specific Software Security")</f>
        <v>0</v>
      </c>
      <c r="CM41" s="17">
        <f>COUNTIFS('Prácticas_Revisiones'!$S$2:$S$282,"T031",'Prácticas_Revisiones'!$T$2:$T$282,"SOFTWARE SECURITY &gt; Subárea no determinable")+COUNTIFS('Prácticas_Snowballing'!$AB$2:$AB$281,"T031",'Prácticas_Snowballing'!$AC$2:$AC$281,"SOFTWARE SECURITY &gt; Subárea no determinable")</f>
        <v>0</v>
      </c>
      <c r="CN41" s="29">
        <f t="shared" ref="CN41:CN68" si="46">SUM(CG41:CM41)</f>
        <v>0</v>
      </c>
      <c r="CO41" s="17">
        <f>COUNTIFS('Prácticas_Revisiones'!$S$2:$S$282,"T031",'Prácticas_Revisiones'!$T$2:$T$282,"PROFESSIONAL PRACTICE &gt; Professionalism")+COUNTIFS('Prácticas_Snowballing'!$AB$2:$AB$281,"T031",'Prácticas_Snowballing'!$AC$2:$AC$281,"PROFESSIONAL PRACTICE &gt; Professionalism")</f>
        <v>0</v>
      </c>
      <c r="CP41" s="17">
        <f>COUNTIFS('Prácticas_Revisiones'!$S$2:$S$282,"T031",'Prácticas_Revisiones'!$T$2:$T$282,"PROFESSIONAL PRACTICE &gt; Group Dynamics and Psychology")+COUNTIFS('Prácticas_Snowballing'!$AB$2:$AB$281,"T031",'Prácticas_Snowballing'!$AC$2:$AC$281,"PROFESSIONAL PRACTICE &gt; Group Dynamics and Psychology")</f>
        <v>0</v>
      </c>
      <c r="CQ41" s="17">
        <f>COUNTIFS('Prácticas_Revisiones'!$S$2:$S$282,"T031",'Prácticas_Revisiones'!$T$2:$T$282,"PROFESSIONAL PRACTICE &gt; Communication Skills")+COUNTIFS('Prácticas_Snowballing'!$AB$2:$AB$281,"T031",'Prácticas_Snowballing'!$AC$2:$AC$281,"PROFESSIONAL PRACTICE &gt; Communication Skills")</f>
        <v>0</v>
      </c>
      <c r="CR41" s="17">
        <f>COUNTIFS('Prácticas_Revisiones'!$S$2:$S$282,"T031",'Prácticas_Revisiones'!$T$2:$T$282,"PROFESSIONAL PRACTICE &gt; Subárea no determinable")+COUNTIFS('Prácticas_Snowballing'!$AB$2:$AB$281,"T031",'Prácticas_Snowballing'!$AC$2:$AC$281,"PROFESSIONAL PRACTICE &gt; Subárea no determinable")</f>
        <v>0</v>
      </c>
      <c r="CS41" s="29">
        <f t="shared" ref="CS41:CS68" si="47">SUM(CO41:CR41)</f>
        <v>0</v>
      </c>
      <c r="CT41" s="17">
        <f>COUNTIFS('Prácticas_Revisiones'!$S$2:$S$282,"T031",'Prácticas_Revisiones'!$T$2:$T$282,"SOFTWARE ENG. ECONOMICS &gt; Software Engineering Economics Fundamentals")+COUNTIFS('Prácticas_Snowballing'!$AB$2:$AB$281,"T031",'Prácticas_Snowballing'!$AC$2:$AC$281,"SOFTWARE ENG. ECONOMICS &gt; Software Engineering Economics Fundamentals")</f>
        <v>0</v>
      </c>
      <c r="CU41" s="17">
        <f>COUNTIFS('Prácticas_Revisiones'!$S$2:$S$282,"T031",'Prácticas_Revisiones'!$T$2:$T$282,"SOFTWARE ENG. ECONOMICS &gt; The Engineering Decision-Making Process")+COUNTIFS('Prácticas_Snowballing'!$AB$2:$AB$281,"T031",'Prácticas_Snowballing'!$AC$2:$AC$281,"SOFTWARE ENG. ECONOMICS &gt; The Engineering Decision-Making Process")</f>
        <v>0</v>
      </c>
      <c r="CV41" s="17">
        <f>COUNTIFS('Prácticas_Revisiones'!$S$2:$S$282,"T031",'Prácticas_Revisiones'!$T$2:$T$282,"SOFTWARE ENG. ECONOMICS &gt; For-Profit Decision-Making")+COUNTIFS('Prácticas_Snowballing'!$AB$2:$AB$281,"T031",'Prácticas_Snowballing'!$AC$2:$AC$281,"SOFTWARE ENG. ECONOMICS &gt; For-Profit Decision-Making")</f>
        <v>0</v>
      </c>
      <c r="CW41" s="17">
        <f>COUNTIFS('Prácticas_Revisiones'!$S$2:$S$282,"T031",'Prácticas_Revisiones'!$T$2:$T$282,"SOFTWARE ENG. ECONOMICS &gt; Nonprofit Decision-Making")+COUNTIFS('Prácticas_Snowballing'!$AB$2:$AB$281,"T031",'Prácticas_Snowballing'!$AC$2:$AC$281,"SOFTWARE ENG. ECONOMICS &gt; Nonprofit Decision-Making")</f>
        <v>0</v>
      </c>
      <c r="CX41" s="17">
        <f>COUNTIFS('Prácticas_Revisiones'!$S$2:$S$282,"T031",'Prácticas_Revisiones'!$T$2:$T$282,"SOFTWARE ENG. ECONOMICS &gt; Present Economy Decision-Making")+COUNTIFS('Prácticas_Snowballing'!$AB$2:$AB$281,"T031",'Prácticas_Snowballing'!$AC$2:$AC$281,"SOFTWARE ENG. ECONOMICS &gt; Present Economy Decision-Making")</f>
        <v>0</v>
      </c>
      <c r="CY41" s="17">
        <f>COUNTIFS('Prácticas_Revisiones'!$S$2:$S$282,"T031",'Prácticas_Revisiones'!$T$2:$T$282,"SOFTWARE ENG. ECONOMICS &gt; Multiple-Attribute Decision-Making")+COUNTIFS('Prácticas_Snowballing'!$AB$2:$AB$281,"T031",'Prácticas_Snowballing'!$AC$2:$AC$281,"SOFTWARE ENG. ECONOMICS &gt; Multiple-Attribute Decision-Making")</f>
        <v>0</v>
      </c>
      <c r="CZ41" s="17">
        <f>COUNTIFS('Prácticas_Revisiones'!$S$2:$S$282,"T031",'Prácticas_Revisiones'!$T$2:$T$282,"SOFTWARE ENG. ECONOMICS &gt; Identifying and Characterizing Intangible Assets")+COUNTIFS('Prácticas_Snowballing'!$AB$2:$AB$281,"T031",'Prácticas_Snowballing'!$AC$2:$AC$281,"SOFTWARE ENG. ECONOMICS &gt; Identifying and Characterizing Intangible Assets")</f>
        <v>0</v>
      </c>
      <c r="DA41" s="17">
        <f>COUNTIFS('Prácticas_Revisiones'!$S$2:$S$282,"T031",'Prácticas_Revisiones'!$T$2:$T$282,"SOFTWARE ENG. ECONOMICS &gt; Estimation")+COUNTIFS('Prácticas_Snowballing'!$AB$2:$AB$281,"T031",'Prácticas_Snowballing'!$AC$2:$AC$281,"SOFTWARE ENG. ECONOMICS &gt; Estimation")</f>
        <v>0</v>
      </c>
      <c r="DB41" s="17">
        <f>COUNTIFS('Prácticas_Revisiones'!$S$2:$S$282,"T031",'Prácticas_Revisiones'!$T$2:$T$282,"SOFTWARE ENG. ECONOMICS &gt; Practical Considerations")+COUNTIFS('Prácticas_Snowballing'!$AB$2:$AB$281,"T031",'Prácticas_Snowballing'!$AC$2:$AC$281,"SOFTWARE ENG. ECONOMICS &gt; Practical Considerations")</f>
        <v>0</v>
      </c>
      <c r="DC41" s="17">
        <f>COUNTIFS('Prácticas_Revisiones'!$S$2:$S$282,"T031",'Prácticas_Revisiones'!$T$2:$T$282,"SOFTWARE ENG. ECONOMICS &gt; Related Concepts")+COUNTIFS('Prácticas_Snowballing'!$AB$2:$AB$281,"T031",'Prácticas_Snowballing'!$AC$2:$AC$281,"SOFTWARE ENG. ECONOMICS &gt; Related Concepts")</f>
        <v>0</v>
      </c>
      <c r="DD41" s="17">
        <f>COUNTIFS('Prácticas_Revisiones'!$S$2:$S$282,"T031",'Prácticas_Revisiones'!$T$2:$T$282,"SOFTWARE ENG. ECONOMICS &gt; Subárea no determinable")+COUNTIFS('Prácticas_Snowballing'!$AB$2:$AB$281,"T031",'Prácticas_Snowballing'!$AC$2:$AC$281,"SOFTWARE ENG. ECONOMICS &gt; Subárea no determinable")</f>
        <v>0</v>
      </c>
      <c r="DE41" s="29">
        <f t="shared" ref="DE41:DE68" si="48">SUM(CT41:DD41)</f>
        <v>0</v>
      </c>
      <c r="DF41" s="17">
        <f>COUNTIFS('Prácticas_Revisiones'!$S$2:$S$282,"T031",'Prácticas_Revisiones'!$T$2:$T$282,"SOFTWARE ENG. MANAGEMENT &gt; Software Engineering Management Fundamentals")+COUNTIFS('Prácticas_Snowballing'!$AB$2:$AB$281,"T031",'Prácticas_Snowballing'!$AC$2:$AC$281,"SOFTWARE ENG. MANAGEMENT &gt; Software Engineering Management Fundamentals")</f>
        <v>0</v>
      </c>
      <c r="DG41" s="17">
        <f>COUNTIFS('Prácticas_Revisiones'!$S$2:$S$282,"T031",'Prácticas_Revisiones'!$T$2:$T$282,"SOFTWARE ENG. MANAGEMENT &gt; Initiation and Scope Definition")+COUNTIFS('Prácticas_Snowballing'!$AB$2:$AB$281,"T031",'Prácticas_Snowballing'!$AC$2:$AC$281,"SOFTWARE ENG. MANAGEMENT &gt; Initiation and Scope Definition")</f>
        <v>0</v>
      </c>
      <c r="DH41" s="17">
        <f>COUNTIFS('Prácticas_Revisiones'!$S$2:$S$282,"T031",'Prácticas_Revisiones'!$T$2:$T$282,"SOFTWARE ENG. MANAGEMENT &gt; Software Project Planning")+COUNTIFS('Prácticas_Snowballing'!$AB$2:$AB$281,"T031",'Prácticas_Snowballing'!$AC$2:$AC$281,"SOFTWARE ENG. MANAGEMENT &gt; Software Project Planning")</f>
        <v>0</v>
      </c>
      <c r="DI41" s="17">
        <f>COUNTIFS('Prácticas_Revisiones'!$S$2:$S$282,"T031",'Prácticas_Revisiones'!$T$2:$T$282,"SOFTWARE ENG. MANAGEMENT &gt; Software Project Enactment")+COUNTIFS('Prácticas_Snowballing'!$AB$2:$AB$281,"T031",'Prácticas_Snowballing'!$AC$2:$AC$281,"SOFTWARE ENG. MANAGEMENT &gt; Software Project Enactment")</f>
        <v>0</v>
      </c>
      <c r="DJ41" s="17">
        <f>COUNTIFS('Prácticas_Revisiones'!$S$2:$S$282,"T031",'Prácticas_Revisiones'!$T$2:$T$282,"SOFTWARE ENG. MANAGEMENT &gt; Review and Evaluation")+COUNTIFS('Prácticas_Snowballing'!$AB$2:$AB$281,"T031",'Prácticas_Snowballing'!$AC$2:$AC$281,"SOFTWARE ENG. MANAGEMENT &gt; Review and Evaluation")</f>
        <v>0</v>
      </c>
      <c r="DK41" s="17">
        <f>COUNTIFS('Prácticas_Revisiones'!$S$2:$S$282,"T031",'Prácticas_Revisiones'!$T$2:$T$282,"SOFTWARE ENG. MANAGEMENT &gt; Closure")+COUNTIFS('Prácticas_Snowballing'!$AB$2:$AB$281,"T031",'Prácticas_Snowballing'!$AC$2:$AC$281,"SOFTWARE ENG. MANAGEMENT &gt; Closure")</f>
        <v>0</v>
      </c>
      <c r="DL41" s="17">
        <f>COUNTIFS('Prácticas_Revisiones'!$S$2:$S$282,"T031",'Prácticas_Revisiones'!$T$2:$T$282,"SOFTWARE ENG. MANAGEMENT &gt; Software Engineering Management Tools")+COUNTIFS('Prácticas_Snowballing'!$AB$2:$AB$281,"T031",'Prácticas_Snowballing'!$AC$2:$AC$281,"SOFTWARE ENG. MANAGEMENT &gt; Software Engineering Management Tools")</f>
        <v>0</v>
      </c>
      <c r="DM41" s="17">
        <f>COUNTIFS('Prácticas_Revisiones'!$S$2:$S$282,"T031",'Prácticas_Revisiones'!$T$2:$T$282,"SOFTWARE ENG. MANAGEMENT &gt; Subárea no determinable")+COUNTIFS('Prácticas_Snowballing'!$AB$2:$AB$281,"T031",'Prácticas_Snowballing'!$AC$2:$AC$281,"SOFTWARE ENG. MANAGEMENT &gt; Subárea no determinable")</f>
        <v>0</v>
      </c>
      <c r="DN41" s="29">
        <f t="shared" ref="DN41:DN68" si="49">SUM(DF41:DM41)</f>
        <v>0</v>
      </c>
      <c r="DO41" s="17">
        <f>COUNTIFS('Prácticas_Revisiones'!$S$2:$S$282,"T031",'Prácticas_Revisiones'!$T$2:$T$282,"Sin área SWEBOK")+COUNTIFS('Prácticas_Snowballing'!$AB$2:$AB$281,"T031",'Prácticas_Snowballing'!$AC$2:$AC$281,"Sin área SWEBOK")</f>
        <v>0</v>
      </c>
      <c r="DP41" s="27">
        <f t="shared" ref="DP41:DP68" si="50">SUM(C41:K41,M41:Q41,S41:Y41,AA41:AF41,AH41:AP41,AR41:AX41,AZ41:BE41,BG41:BN41,BP41:BS41,BU41:BY41,CA41:CE41,CG41:CM41,CO41:CR41,CT41:DD41,DF41:DM41,DO41)</f>
        <v>0</v>
      </c>
    </row>
    <row r="42" ht="15.75" customHeight="1">
      <c r="A42" s="28"/>
      <c r="B42" s="16" t="s">
        <v>2768</v>
      </c>
      <c r="C42" s="17">
        <f>COUNTIFS('Prácticas_Revisiones'!$S$2:$S$282,"T032",'Prácticas_Revisiones'!$T$2:$T$282,"REQUIREMENTS &gt; Software Requirements Fundamentals")+COUNTIFS('Prácticas_Snowballing'!$AB$2:$AB$281,"T032",'Prácticas_Snowballing'!$AC$2:$AC$281,"REQUIREMENTS &gt; Software Requirements Fundamentals")</f>
        <v>0</v>
      </c>
      <c r="D42" s="17">
        <f>COUNTIFS('Prácticas_Revisiones'!$S$2:$S$282,"T032",'Prácticas_Revisiones'!$T$2:$T$282,"REQUIREMENTS &gt; Requirements Elicitation")+COUNTIFS('Prácticas_Snowballing'!$AB$2:$AB$281,"T032",'Prácticas_Snowballing'!$AC$2:$AC$281,"REQUIREMENTS &gt; Requirements Elicitation")</f>
        <v>0</v>
      </c>
      <c r="E42" s="17">
        <f>COUNTIFS('Prácticas_Revisiones'!$S$2:$S$282,"T032",'Prácticas_Revisiones'!$T$2:$T$282,"REQUIREMENTS &gt; Requirements Analysis")+COUNTIFS('Prácticas_Snowballing'!$AB$2:$AB$281,"T032",'Prácticas_Snowballing'!$AC$2:$AC$281,"REQUIREMENTS &gt; Requirements Analysis")</f>
        <v>0</v>
      </c>
      <c r="F42" s="17">
        <f>COUNTIFS('Prácticas_Revisiones'!$S$2:$S$282,"T032",'Prácticas_Revisiones'!$T$2:$T$282,"REQUIREMENTS &gt; Requirements Specification")+COUNTIFS('Prácticas_Snowballing'!$AB$2:$AB$281,"T032",'Prácticas_Snowballing'!$AC$2:$AC$281,"REQUIREMENTS &gt; Requirements Specification")</f>
        <v>0</v>
      </c>
      <c r="G42" s="17">
        <f>COUNTIFS('Prácticas_Revisiones'!$S$2:$S$282,"T032",'Prácticas_Revisiones'!$T$2:$T$282,"REQUIREMENTS &gt; Requirements Validation")+COUNTIFS('Prácticas_Snowballing'!$AB$2:$AB$281,"T032",'Prácticas_Snowballing'!$AC$2:$AC$281,"REQUIREMENTS &gt; Requirements Validation")</f>
        <v>0</v>
      </c>
      <c r="H42" s="17">
        <f>COUNTIFS('Prácticas_Revisiones'!$S$2:$S$282,"T032",'Prácticas_Revisiones'!$T$2:$T$282,"REQUIREMENTS &gt; Requirements Management Activities")+COUNTIFS('Prácticas_Snowballing'!$AB$2:$AB$281,"T032",'Prácticas_Snowballing'!$AC$2:$AC$281,"REQUIREMENTS &gt; Requirements Management Activities")</f>
        <v>0</v>
      </c>
      <c r="I42" s="17">
        <f>COUNTIFS('Prácticas_Revisiones'!$S$2:$S$282,"T032",'Prácticas_Revisiones'!$T$2:$T$282,"REQUIREMENTS &gt; Practical Considerations")+COUNTIFS('Prácticas_Snowballing'!$AB$2:$AB$281,"T032",'Prácticas_Snowballing'!$AC$2:$AC$281,"REQUIREMENTS &gt; Practical Considerations")</f>
        <v>0</v>
      </c>
      <c r="J42" s="17">
        <f>COUNTIFS('Prácticas_Revisiones'!$S$2:$S$282,"T032",'Prácticas_Revisiones'!$T$2:$T$282,"REQUIREMENTS &gt; Software Requirements Tools")+COUNTIFS('Prácticas_Snowballing'!$AB$2:$AB$281,"T032",'Prácticas_Snowballing'!$AC$2:$AC$281,"REQUIREMENTS &gt; Software Requirements Tools")</f>
        <v>0</v>
      </c>
      <c r="K42" s="17">
        <f>COUNTIFS('Prácticas_Revisiones'!$S$2:$S$282,"T032",'Prácticas_Revisiones'!$T$2:$T$282,"REQUIREMENTS &gt; Subárea no determinable")+COUNTIFS('Prácticas_Snowballing'!$AB$2:$AB$281,"T032",'Prácticas_Snowballing'!$AC$2:$AC$281,"REQUIREMENTS &gt; Subárea no determinable")</f>
        <v>0</v>
      </c>
      <c r="L42" s="29">
        <f t="shared" si="35"/>
        <v>0</v>
      </c>
      <c r="M42" s="17">
        <f>COUNTIFS('Prácticas_Revisiones'!$S$2:$S$282,"T032",'Prácticas_Revisiones'!$T$2:$T$282,"ARCHITECTURE &gt; Software Architecture Fundamentals")+COUNTIFS('Prácticas_Snowballing'!$AB$2:$AB$281,"T032",'Prácticas_Snowballing'!$AC$2:$AC$281,"ARCHITECTURE &gt; Software Architecture Fundamentals")</f>
        <v>0</v>
      </c>
      <c r="N42" s="17">
        <f>COUNTIFS('Prácticas_Revisiones'!$S$2:$S$282,"T032",'Prácticas_Revisiones'!$T$2:$T$282,"ARCHITECTURE &gt; Software Architecture Description")+COUNTIFS('Prácticas_Snowballing'!$AB$2:$AB$281,"T032",'Prácticas_Snowballing'!$AC$2:$AC$281,"ARCHITECTURE &gt; Software Architecture Description")</f>
        <v>0</v>
      </c>
      <c r="O42" s="17">
        <f>COUNTIFS('Prácticas_Revisiones'!$S$2:$S$282,"T032",'Prácticas_Revisiones'!$T$2:$T$282,"ARCHITECTURE &gt; Software Architecture Process")+COUNTIFS('Prácticas_Snowballing'!$AB$2:$AB$281,"T032",'Prácticas_Snowballing'!$AC$2:$AC$281,"ARCHITECTURE &gt; Software Architecture Process")</f>
        <v>0</v>
      </c>
      <c r="P42" s="17">
        <f>COUNTIFS('Prácticas_Revisiones'!$S$2:$S$282,"T032",'Prácticas_Revisiones'!$T$2:$T$282,"ARCHITECTURE &gt; Software Architecture Evaluation")+COUNTIFS('Prácticas_Snowballing'!$AB$2:$AB$281,"T032",'Prácticas_Snowballing'!$AC$2:$AC$281,"ARCHITECTURE &gt; Software Architecture Evaluation")</f>
        <v>0</v>
      </c>
      <c r="Q42" s="17">
        <f>COUNTIFS('Prácticas_Revisiones'!$S$2:$S$282,"T032",'Prácticas_Revisiones'!$T$2:$T$282,"ARCHITECTURE &gt; Subárea no determinable")+COUNTIFS('Prácticas_Snowballing'!$AB$2:$AB$281,"T032",'Prácticas_Snowballing'!$AC$2:$AC$281,"ARCHITECTURE &gt; Subárea no determinable")</f>
        <v>0</v>
      </c>
      <c r="R42" s="29">
        <f t="shared" si="36"/>
        <v>0</v>
      </c>
      <c r="S42" s="17">
        <f>COUNTIFS('Prácticas_Revisiones'!$S$2:$S$282,"T032",'Prácticas_Revisiones'!$T$2:$T$282,"DESIGN &gt; Software Design Fundamentals")+COUNTIFS('Prácticas_Snowballing'!$AB$2:$AB$281,"T032",'Prácticas_Snowballing'!$AC$2:$AC$281,"DESIGN &gt; Software Design Fundamentals")</f>
        <v>0</v>
      </c>
      <c r="T42" s="17">
        <f>COUNTIFS('Prácticas_Revisiones'!$S$2:$S$282,"T032",'Prácticas_Revisiones'!$T$2:$T$282,"DESIGN &gt; Software Design Processes")+COUNTIFS('Prácticas_Snowballing'!$AB$2:$AB$281,"T032",'Prácticas_Snowballing'!$AC$2:$AC$281,"DESIGN &gt; Software Design Processes")</f>
        <v>0</v>
      </c>
      <c r="U42" s="17">
        <f>COUNTIFS('Prácticas_Revisiones'!$S$2:$S$282,"T032",'Prácticas_Revisiones'!$T$2:$T$282,"DESIGN &gt; Software Design Qualities")+COUNTIFS('Prácticas_Snowballing'!$AB$2:$AB$281,"T032",'Prácticas_Snowballing'!$AC$2:$AC$281,"DESIGN &gt; Software Design Qualities")</f>
        <v>0</v>
      </c>
      <c r="V42" s="17">
        <f>COUNTIFS('Prácticas_Revisiones'!$S$2:$S$282,"T032",'Prácticas_Revisiones'!$T$2:$T$282,"DESIGN &gt; Recording Software Design")+COUNTIFS('Prácticas_Snowballing'!$AB$2:$AB$281,"T032",'Prácticas_Snowballing'!$AC$2:$AC$281,"DESIGN &gt; Recording Software Design")</f>
        <v>0</v>
      </c>
      <c r="W42" s="17">
        <f>COUNTIFS('Prácticas_Revisiones'!$S$2:$S$282,"T032",'Prácticas_Revisiones'!$T$2:$T$282,"DESIGN &gt; Software Design Strategies and Methods")+COUNTIFS('Prácticas_Snowballing'!$AB$2:$AB$281,"T032",'Prácticas_Snowballing'!$AC$2:$AC$281,"DESIGN &gt; Software Design Strategies and Methods")</f>
        <v>0</v>
      </c>
      <c r="X42" s="17">
        <f>COUNTIFS('Prácticas_Revisiones'!$S$2:$S$282,"T032",'Prácticas_Revisiones'!$T$2:$T$282,"DESIGN &gt; Software Design Analysis and Evaluations")+COUNTIFS('Prácticas_Snowballing'!$AB$2:$AB$281,"T032",'Prácticas_Snowballing'!$AC$2:$AC$281,"DESIGN &gt; Software Design Analysis and Evaluations")</f>
        <v>0</v>
      </c>
      <c r="Y42" s="17">
        <f>COUNTIFS('Prácticas_Revisiones'!$S$2:$S$282,"T032",'Prácticas_Revisiones'!$T$2:$T$282,"DESIGN &gt; Subárea no determinable")+COUNTIFS('Prácticas_Snowballing'!$AB$2:$AB$281,"T032",'Prácticas_Snowballing'!$AC$2:$AC$281,"DESIGN &gt; Subárea no determinable")</f>
        <v>0</v>
      </c>
      <c r="Z42" s="29">
        <f t="shared" si="37"/>
        <v>0</v>
      </c>
      <c r="AA42" s="17">
        <f>COUNTIFS('Prácticas_Revisiones'!$S$2:$S$282,"T032",'Prácticas_Revisiones'!$T$2:$T$282,"CONSTRUCTION &gt; Software Construction Fundamentals")+COUNTIFS('Prácticas_Snowballing'!$AB$2:$AB$281,"T032",'Prácticas_Snowballing'!$AC$2:$AC$281,"CONSTRUCTION &gt; Software Construction Fundamentals")</f>
        <v>7</v>
      </c>
      <c r="AB42" s="17">
        <f>COUNTIFS('Prácticas_Revisiones'!$S$2:$S$282,"T032",'Prácticas_Revisiones'!$T$2:$T$282,"CONSTRUCTION &gt; Managing Construction")+COUNTIFS('Prácticas_Snowballing'!$AB$2:$AB$281,"T032",'Prácticas_Snowballing'!$AC$2:$AC$281,"CONSTRUCTION &gt; Managing Construction")</f>
        <v>0</v>
      </c>
      <c r="AC42" s="17">
        <f>COUNTIFS('Prácticas_Revisiones'!$S$2:$S$282,"T032",'Prácticas_Revisiones'!$T$2:$T$282,"CONSTRUCTION &gt; Practical Considerations")+COUNTIFS('Prácticas_Snowballing'!$AB$2:$AB$281,"T032",'Prácticas_Snowballing'!$AC$2:$AC$281,"CONSTRUCTION &gt; Practical Considerations")</f>
        <v>1</v>
      </c>
      <c r="AD42" s="17">
        <f>COUNTIFS('Prácticas_Revisiones'!$S$2:$S$282,"T032",'Prácticas_Revisiones'!$T$2:$T$282,"CONSTRUCTION &gt; Construction Technologies")+COUNTIFS('Prácticas_Snowballing'!$AB$2:$AB$281,"T032",'Prácticas_Snowballing'!$AC$2:$AC$281,"CONSTRUCTION &gt; Construction Technologies")</f>
        <v>0</v>
      </c>
      <c r="AE42" s="17">
        <f>COUNTIFS('Prácticas_Revisiones'!$S$2:$S$282,"T032",'Prácticas_Revisiones'!$T$2:$T$282,"CONSTRUCTION &gt; Software Construction Tools")+COUNTIFS('Prácticas_Snowballing'!$AB$2:$AB$281,"T032",'Prácticas_Snowballing'!$AC$2:$AC$281,"CONSTRUCTION &gt; Software Construction Tools")</f>
        <v>0</v>
      </c>
      <c r="AF42" s="17">
        <f>COUNTIFS('Prácticas_Revisiones'!$S$2:$S$282,"T032",'Prácticas_Revisiones'!$T$2:$T$282,"CONSTRUCTION &gt; Subárea no determinable")+COUNTIFS('Prácticas_Snowballing'!$AB$2:$AB$281,"T032",'Prácticas_Snowballing'!$AC$2:$AC$281,"CONSTRUCTION &gt; Subárea no determinable")</f>
        <v>2</v>
      </c>
      <c r="AG42" s="29">
        <f t="shared" si="38"/>
        <v>10</v>
      </c>
      <c r="AH42" s="17">
        <f>COUNTIFS('Prácticas_Revisiones'!$S$2:$S$282,"T032",'Prácticas_Revisiones'!$T$2:$T$282,"SOFTWARE TESTING &gt; Software Testing Fundamentals")+COUNTIFS('Prácticas_Snowballing'!$AB$2:$AB$281,"T032",'Prácticas_Snowballing'!$AC$2:$AC$281,"SOFTWARE TESTING &gt; Software Testing Fundamentals")</f>
        <v>0</v>
      </c>
      <c r="AI42" s="17">
        <f>COUNTIFS('Prácticas_Revisiones'!$S$2:$S$282,"T032",'Prácticas_Revisiones'!$T$2:$T$282,"SOFTWARE TESTING &gt; Test Levels")+COUNTIFS('Prácticas_Snowballing'!$AB$2:$AB$281,"T032",'Prácticas_Snowballing'!$AC$2:$AC$281,"SOFTWARE TESTING &gt; Test Levels")</f>
        <v>0</v>
      </c>
      <c r="AJ42" s="17">
        <f>COUNTIFS('Prácticas_Revisiones'!$S$2:$S$282,"T032",'Prácticas_Revisiones'!$T$2:$T$282,"SOFTWARE TESTING &gt; Test Techniques")+COUNTIFS('Prácticas_Snowballing'!$AB$2:$AB$281,"T032",'Prácticas_Snowballing'!$AC$2:$AC$281,"SOFTWARE TESTING &gt; Test Techniques")</f>
        <v>0</v>
      </c>
      <c r="AK42" s="17">
        <f>COUNTIFS('Prácticas_Revisiones'!$S$2:$S$282,"T032",'Prácticas_Revisiones'!$T$2:$T$282,"SOFTWARE TESTING &gt; Test-Related Measures")+COUNTIFS('Prácticas_Snowballing'!$AB$2:$AB$281,"T032",'Prácticas_Snowballing'!$AC$2:$AC$281,"SOFTWARE TESTING &gt; Test-Related Measures")</f>
        <v>0</v>
      </c>
      <c r="AL42" s="17">
        <f>COUNTIFS('Prácticas_Revisiones'!$S$2:$S$282,"T032",'Prácticas_Revisiones'!$T$2:$T$282,"SOFTWARE TESTING &gt; Test Process")+COUNTIFS('Prácticas_Snowballing'!$AB$2:$AB$281,"T032",'Prácticas_Snowballing'!$AC$2:$AC$281,"SOFTWARE TESTING &gt; Test Process")</f>
        <v>0</v>
      </c>
      <c r="AM42" s="17">
        <f>COUNTIFS('Prácticas_Revisiones'!$S$2:$S$282,"T032",'Prácticas_Revisiones'!$T$2:$T$282,"SOFTWARE TESTING &gt; Software Testing in the Development Processes...")+COUNTIFS('Prácticas_Snowballing'!$AB$2:$AB$281,"T032",'Prácticas_Snowballing'!$AC$2:$AC$281,"SOFTWARE TESTING &gt; Software Testing in the Development Processes...")</f>
        <v>0</v>
      </c>
      <c r="AN42" s="17">
        <f>COUNTIFS('Prácticas_Revisiones'!$S$2:$S$282,"T032",'Prácticas_Revisiones'!$T$2:$T$282,"SOFTWARE TESTING &gt; Testing of and Testing Through Emerging Tech...")+COUNTIFS('Prácticas_Snowballing'!$AB$2:$AB$281,"T032",'Prácticas_Snowballing'!$AC$2:$AC$281,"SOFTWARE TESTING &gt; Testing of and Testing Through Emerging Tech...")</f>
        <v>0</v>
      </c>
      <c r="AO42" s="17">
        <f>COUNTIFS('Prácticas_Revisiones'!$S$2:$S$282,"T032",'Prácticas_Revisiones'!$T$2:$T$282,"SOFTWARE TESTING &gt; Software Testing Tools")+COUNTIFS('Prácticas_Snowballing'!$AB$2:$AB$281,"T032",'Prácticas_Snowballing'!$AC$2:$AC$281,"SOFTWARE TESTING &gt; Software Testing Tools")</f>
        <v>0</v>
      </c>
      <c r="AP42" s="17">
        <f>COUNTIFS('Prácticas_Revisiones'!$S$2:$S$282,"T032",'Prácticas_Revisiones'!$T$2:$T$282,"SOFTWARE TESTING &gt; Subárea no determinable")+COUNTIFS('Prácticas_Snowballing'!$AB$2:$AB$281,"T032",'Prácticas_Snowballing'!$AC$2:$AC$281,"SOFTWARE TESTING &gt; Subárea no determinable")</f>
        <v>0</v>
      </c>
      <c r="AQ42" s="29">
        <f t="shared" si="39"/>
        <v>0</v>
      </c>
      <c r="AR42" s="17">
        <f>COUNTIFS('Prácticas_Revisiones'!$S$2:$S$282,"T032",'Prácticas_Revisiones'!$T$2:$T$282,"SOFTWARE ENG. OPERATIONS &gt; Software Engineering Operations Fundamentals")+COUNTIFS('Prácticas_Snowballing'!$AB$2:$AB$281,"T032",'Prácticas_Snowballing'!$AC$2:$AC$281,"SOFTWARE ENG. OPERATIONS &gt; Software Engineering Operations Fundamentals")</f>
        <v>0</v>
      </c>
      <c r="AS42" s="17">
        <f>COUNTIFS('Prácticas_Revisiones'!$S$2:$S$282,"T032",'Prácticas_Revisiones'!$T$2:$T$282,"SOFTWARE ENG. OPERATIONS &gt; Software Engineering Operations Planning")+COUNTIFS('Prácticas_Snowballing'!$AB$2:$AB$281,"T032",'Prácticas_Snowballing'!$AC$2:$AC$281,"SOFTWARE ENG. OPERATIONS &gt; Software Engineering Operations Planning")</f>
        <v>0</v>
      </c>
      <c r="AT42" s="17">
        <f>COUNTIFS('Prácticas_Revisiones'!$S$2:$S$282,"T032",'Prácticas_Revisiones'!$T$2:$T$282,"SOFTWARE ENG. OPERATIONS &gt; Software Engineering Operations Delivery")+COUNTIFS('Prácticas_Snowballing'!$AB$2:$AB$281,"T032",'Prácticas_Snowballing'!$AC$2:$AC$281,"SOFTWARE ENG. OPERATIONS &gt; Software Engineering Operations Delivery")</f>
        <v>0</v>
      </c>
      <c r="AU42" s="17">
        <f>COUNTIFS('Prácticas_Revisiones'!$S$2:$S$282,"T032",'Prácticas_Revisiones'!$T$2:$T$282,"SOFTWARE ENG. OPERATIONS &gt; Software Engineering Operations Control")+COUNTIFS('Prácticas_Snowballing'!$AB$2:$AB$281,"T032",'Prácticas_Snowballing'!$AC$2:$AC$281,"SOFTWARE ENG. OPERATIONS &gt; Software Engineering Operations Control")</f>
        <v>0</v>
      </c>
      <c r="AV42" s="17">
        <f>COUNTIFS('Prácticas_Revisiones'!$S$2:$S$282,"T032",'Prácticas_Revisiones'!$T$2:$T$282,"SOFTWARE ENG. OPERATIONS &gt; Practical Considerations")+COUNTIFS('Prácticas_Snowballing'!$AB$2:$AB$281,"T032",'Prácticas_Snowballing'!$AC$2:$AC$281,"SOFTWARE ENG. OPERATIONS &gt; Practical Considerations")</f>
        <v>0</v>
      </c>
      <c r="AW42" s="17">
        <f>COUNTIFS('Prácticas_Revisiones'!$S$2:$S$282,"T032",'Prácticas_Revisiones'!$T$2:$T$282,"SOFTWARE ENG. OPERATIONS &gt; Software Engineering Operations Tools")+COUNTIFS('Prácticas_Snowballing'!$AB$2:$AB$281,"T032",'Prácticas_Snowballing'!$AC$2:$AC$281,"SOFTWARE ENG. OPERATIONS &gt; Software Engineering Operations Tools")</f>
        <v>0</v>
      </c>
      <c r="AX42" s="17">
        <f>COUNTIFS('Prácticas_Revisiones'!$S$2:$S$282,"T032",'Prácticas_Revisiones'!$T$2:$T$282,"SOFTWARE ENG. OPERATIONS &gt; Subárea no determinable")+COUNTIFS('Prácticas_Snowballing'!$AB$2:$AB$281,"T032",'Prácticas_Snowballing'!$AC$2:$AC$281,"SOFTWARE ENG. OPERATIONS &gt; Subárea no determinable")</f>
        <v>0</v>
      </c>
      <c r="AY42" s="29">
        <f t="shared" si="40"/>
        <v>0</v>
      </c>
      <c r="AZ42" s="17">
        <f>COUNTIFS('Prácticas_Revisiones'!$S$2:$S$282,"T032",'Prácticas_Revisiones'!$T$2:$T$282,"MAINTENANCE &gt; Software Maintenance Fundamentals")+COUNTIFS('Prácticas_Snowballing'!$AB$2:$AB$281,"T032",'Prácticas_Snowballing'!$AC$2:$AC$281,"MAINTENANCE &gt; Software Maintenance Fundamentals")</f>
        <v>0</v>
      </c>
      <c r="BA42" s="17">
        <f>COUNTIFS('Prácticas_Revisiones'!$S$2:$S$282,"T032",'Prácticas_Revisiones'!$T$2:$T$282,"MAINTENANCE &gt; Key Issues in Software Maintenance")+COUNTIFS('Prácticas_Snowballing'!$AB$2:$AB$281,"T032",'Prácticas_Snowballing'!$AC$2:$AC$281,"MAINTENANCE &gt; Key Issues in Software Maintenance")</f>
        <v>0</v>
      </c>
      <c r="BB42" s="17">
        <f>COUNTIFS('Prácticas_Revisiones'!$S$2:$S$282,"T032",'Prácticas_Revisiones'!$T$2:$T$282,"MAINTENANCE &gt; Software Maintenance Processes")+COUNTIFS('Prácticas_Snowballing'!$AB$2:$AB$281,"T032",'Prácticas_Snowballing'!$AC$2:$AC$281,"MAINTENANCE &gt; Software Maintenance Processes")</f>
        <v>0</v>
      </c>
      <c r="BC42" s="17">
        <f>COUNTIFS('Prácticas_Revisiones'!$S$2:$S$282,"T032",'Prácticas_Revisiones'!$T$2:$T$282,"MAINTENANCE &gt; Software Maintenance Techniques")+COUNTIFS('Prácticas_Snowballing'!$AB$2:$AB$281,"T032",'Prácticas_Snowballing'!$AC$2:$AC$281,"MAINTENANCE &gt; Software Maintenance Techniques")</f>
        <v>0</v>
      </c>
      <c r="BD42" s="17">
        <f>COUNTIFS('Prácticas_Revisiones'!$S$2:$S$282,"T032",'Prácticas_Revisiones'!$T$2:$T$282,"MAINTENANCE &gt; Software Maintenance Tools")+COUNTIFS('Prácticas_Snowballing'!$AB$2:$AB$281,"T032",'Prácticas_Snowballing'!$AC$2:$AC$281,"MAINTENANCE &gt; Software Maintenance Tools")</f>
        <v>0</v>
      </c>
      <c r="BE42" s="17">
        <f>COUNTIFS('Prácticas_Revisiones'!$S$2:$S$282,"T032",'Prácticas_Revisiones'!$T$2:$T$282,"MAINTENANCE &gt; Subárea no determinable")+COUNTIFS('Prácticas_Snowballing'!$AB$2:$AB$281,"T032",'Prácticas_Snowballing'!$AC$2:$AC$281,"MAINTENANCE &gt; Subárea no determinable")</f>
        <v>0</v>
      </c>
      <c r="BF42" s="29">
        <f t="shared" si="41"/>
        <v>0</v>
      </c>
      <c r="BG42" s="17">
        <f>COUNTIFS('Prácticas_Revisiones'!$S$2:$S$282,"T032",'Prácticas_Revisiones'!$T$2:$T$282,"SOFTWARE CONFIG. MGMT. &gt; Management of the SCM Process")+COUNTIFS('Prácticas_Snowballing'!$AB$2:$AB$281,"T032",'Prácticas_Snowballing'!$AC$2:$AC$281,"SOFTWARE CONFIG. MGMT. &gt; Management of the SCM Process")</f>
        <v>0</v>
      </c>
      <c r="BH42" s="17">
        <f>COUNTIFS('Prácticas_Revisiones'!$S$2:$S$282,"T032",'Prácticas_Revisiones'!$T$2:$T$282,"SOFTWARE CONFIG. MGMT. &gt; Software Configuration Identification")+COUNTIFS('Prácticas_Snowballing'!$AB$2:$AB$281,"T032",'Prácticas_Snowballing'!$AC$2:$AC$281,"SOFTWARE CONFIG. MGMT. &gt; Software Configuration Identification")</f>
        <v>0</v>
      </c>
      <c r="BI42" s="17">
        <f>COUNTIFS('Prácticas_Revisiones'!$S$2:$S$282,"T032",'Prácticas_Revisiones'!$T$2:$T$282,"SOFTWARE CONFIG. MGMT. &gt; Software Configuration Change Control")+COUNTIFS('Prácticas_Snowballing'!$AB$2:$AB$281,"T032",'Prácticas_Snowballing'!$AC$2:$AC$281,"SOFTWARE CONFIG. MGMT. &gt; Software Configuration Change Control")</f>
        <v>0</v>
      </c>
      <c r="BJ42" s="17">
        <f>COUNTIFS('Prácticas_Revisiones'!$S$2:$S$282,"T032",'Prácticas_Revisiones'!$T$2:$T$282,"SOFTWARE CONFIG. MGMT. &gt; Software Configuration Status Accounting")+COUNTIFS('Prácticas_Snowballing'!$AB$2:$AB$281,"T032",'Prácticas_Snowballing'!$AC$2:$AC$281,"SOFTWARE CONFIG. MGMT. &gt; Software Configuration Status Accounting")</f>
        <v>0</v>
      </c>
      <c r="BK42" s="17">
        <f>COUNTIFS('Prácticas_Revisiones'!$S$2:$S$282,"T032",'Prácticas_Revisiones'!$T$2:$T$282,"SOFTWARE CONFIG. MGMT. &gt; Software Configuration Auditing")+COUNTIFS('Prácticas_Snowballing'!$AB$2:$AB$281,"T032",'Prácticas_Snowballing'!$AC$2:$AC$281,"SOFTWARE CONFIG. MGMT. &gt; Software Configuration Auditing")</f>
        <v>0</v>
      </c>
      <c r="BL42" s="17">
        <f>COUNTIFS('Prácticas_Revisiones'!$S$2:$S$282,"T032",'Prácticas_Revisiones'!$T$2:$T$282,"SOFTWARE CONFIG. MGMT. &gt; Software Release Management and Delivery")+COUNTIFS('Prácticas_Snowballing'!$AB$2:$AB$281,"T032",'Prácticas_Snowballing'!$AC$2:$AC$281,"SOFTWARE CONFIG. MGMT. &gt; Software Release Management and Delivery")</f>
        <v>0</v>
      </c>
      <c r="BM42" s="17">
        <f>COUNTIFS('Prácticas_Revisiones'!$S$2:$S$282,"T032",'Prácticas_Revisiones'!$T$2:$T$282,"SOFTWARE CONFIG. MGMT. &gt; Software Configuration Management Tools")+COUNTIFS('Prácticas_Snowballing'!$AB$2:$AB$281,"T032",'Prácticas_Snowballing'!$AC$2:$AC$281,"SOFTWARE CONFIG. MGMT. &gt; Software Configuration Management Tools")</f>
        <v>0</v>
      </c>
      <c r="BN42" s="17">
        <f>COUNTIFS('Prácticas_Revisiones'!$S$2:$S$282,"T032",'Prácticas_Revisiones'!$T$2:$T$282,"SOFTWARE CONFIG. MGMT. &gt; Subárea no determinable")+COUNTIFS('Prácticas_Snowballing'!$AB$2:$AB$281,"T032",'Prácticas_Snowballing'!$AC$2:$AC$281,"SOFTWARE CONFIG. MGMT. &gt; Subárea no determinable")</f>
        <v>0</v>
      </c>
      <c r="BO42" s="29">
        <f t="shared" si="42"/>
        <v>0</v>
      </c>
      <c r="BP42" s="17">
        <f>COUNTIFS('Prácticas_Revisiones'!$S$2:$S$282,"T032",'Prácticas_Revisiones'!$T$2:$T$282,"SOFTWARE ENG. PROCESS &gt; Software Engineering Process Fundamentals")+COUNTIFS('Prácticas_Snowballing'!$AB$2:$AB$281,"T032",'Prácticas_Snowballing'!$AC$2:$AC$281,"SOFTWARE ENG. PROCESS &gt; Software Engineering Process Fundamentals")</f>
        <v>0</v>
      </c>
      <c r="BQ42" s="17">
        <f>COUNTIFS('Prácticas_Revisiones'!$S$2:$S$282,"T032",'Prácticas_Revisiones'!$T$2:$T$282,"SOFTWARE ENG. PROCESS &gt; Life Cycles")+COUNTIFS('Prácticas_Snowballing'!$AB$2:$AB$281,"T032",'Prácticas_Snowballing'!$AC$2:$AC$281,"SOFTWARE ENG. PROCESS &gt; Life Cycles")</f>
        <v>0</v>
      </c>
      <c r="BR42" s="17">
        <f>COUNTIFS('Prácticas_Revisiones'!$S$2:$S$282,"T032",'Prácticas_Revisiones'!$T$2:$T$282,"SOFTWARE ENG. PROCESS &gt; Software Process Assessment and Improvement")+COUNTIFS('Prácticas_Snowballing'!$AB$2:$AB$281,"T032",'Prácticas_Snowballing'!$AC$2:$AC$281,"SOFTWARE ENG. PROCESS &gt; Software Process Assessment and Improvement")</f>
        <v>0</v>
      </c>
      <c r="BS42" s="17">
        <f>COUNTIFS('Prácticas_Revisiones'!$S$2:$S$282,"T032",'Prácticas_Revisiones'!$T$2:$T$282,"SOFTWARE ENG. PROCESS &gt; Subárea no determinable")+COUNTIFS('Prácticas_Snowballing'!$AB$2:$AB$281,"T032",'Prácticas_Snowballing'!$AC$2:$AC$281,"SOFTWARE ENG. PROCESS &gt; Subárea no determinable")</f>
        <v>0</v>
      </c>
      <c r="BT42" s="29">
        <f t="shared" si="43"/>
        <v>0</v>
      </c>
      <c r="BU42" s="17">
        <f>COUNTIFS('Prácticas_Revisiones'!$S$2:$S$282,"T032",'Prácticas_Revisiones'!$T$2:$T$282,"SOFTWARE ENG. MODELS/METH. &gt; Modeling")+COUNTIFS('Prácticas_Snowballing'!$AB$2:$AB$281,"T032",'Prácticas_Snowballing'!$AC$2:$AC$281,"SOFTWARE ENG. MODELS/METH. &gt; Modeling")</f>
        <v>0</v>
      </c>
      <c r="BV42" s="17">
        <f>COUNTIFS('Prácticas_Revisiones'!$S$2:$S$282,"T032",'Prácticas_Revisiones'!$T$2:$T$282,"SOFTWARE ENG. MODELS/METH. &gt; Types of Models")+COUNTIFS('Prácticas_Snowballing'!$AB$2:$AB$281,"T032",'Prácticas_Snowballing'!$AC$2:$AC$281,"SOFTWARE ENG. MODELS/METH. &gt; Types of Models")</f>
        <v>0</v>
      </c>
      <c r="BW42" s="17">
        <f>COUNTIFS('Prácticas_Revisiones'!$S$2:$S$282,"T032",'Prácticas_Revisiones'!$T$2:$T$282,"SOFTWARE ENG. MODELS/METH. &gt; Analysis of Models")+COUNTIFS('Prácticas_Snowballing'!$AB$2:$AB$281,"T032",'Prácticas_Snowballing'!$AC$2:$AC$281,"SOFTWARE ENG. MODELS/METH. &gt; Analysis of Models")</f>
        <v>0</v>
      </c>
      <c r="BX42" s="17">
        <f>COUNTIFS('Prácticas_Revisiones'!$S$2:$S$282,"T032",'Prácticas_Revisiones'!$T$2:$T$282,"SOFTWARE ENG. MODELS/METH. &gt; Software Engineering Methods")+COUNTIFS('Prácticas_Snowballing'!$AB$2:$AB$281,"T032",'Prácticas_Snowballing'!$AC$2:$AC$281,"SOFTWARE ENG. MODELS/METH. &gt; Software Engineering Methods")</f>
        <v>0</v>
      </c>
      <c r="BY42" s="17">
        <f>COUNTIFS('Prácticas_Revisiones'!$S$2:$S$282,"T032",'Prácticas_Revisiones'!$T$2:$T$282,"SOFTWARE ENG. MODELS/METH. &gt; Subárea no determinable")+COUNTIFS('Prácticas_Snowballing'!$AB$2:$AB$281,"T032",'Prácticas_Snowballing'!$AC$2:$AC$281,"SOFTWARE ENG. MODELS/METH. &gt; Subárea no determinable")</f>
        <v>0</v>
      </c>
      <c r="BZ42" s="29">
        <f t="shared" si="44"/>
        <v>0</v>
      </c>
      <c r="CA42" s="17">
        <f>COUNTIFS('Prácticas_Revisiones'!$S$2:$S$282,"T032",'Prácticas_Revisiones'!$T$2:$T$282,"SOFTWARE QUALITY &gt; Software Quality Fundamentals")+COUNTIFS('Prácticas_Snowballing'!$AB$2:$AB$281,"T032",'Prácticas_Snowballing'!$AC$2:$AC$281,"SOFTWARE QUALITY &gt; Software Quality Fundamentals")</f>
        <v>0</v>
      </c>
      <c r="CB42" s="17">
        <f>COUNTIFS('Prácticas_Revisiones'!$S$2:$S$282,"T032",'Prácticas_Revisiones'!$T$2:$T$282,"SOFTWARE QUALITY &gt; Software Quality Management Process")+COUNTIFS('Prácticas_Snowballing'!$AB$2:$AB$281,"T032",'Prácticas_Snowballing'!$AC$2:$AC$281,"SOFTWARE QUALITY &gt; Software Quality Management Process")</f>
        <v>0</v>
      </c>
      <c r="CC42" s="17">
        <f>COUNTIFS('Prácticas_Revisiones'!$S$2:$S$282,"T032",'Prácticas_Revisiones'!$T$2:$T$282,"SOFTWARE QUALITY &gt; Software Quality Assurance Process")+COUNTIFS('Prácticas_Snowballing'!$AB$2:$AB$281,"T032",'Prácticas_Snowballing'!$AC$2:$AC$281,"SOFTWARE QUALITY &gt; Software Quality Assurance Process")</f>
        <v>0</v>
      </c>
      <c r="CD42" s="17">
        <f>COUNTIFS('Prácticas_Revisiones'!$S$2:$S$282,"T032",'Prácticas_Revisiones'!$T$2:$T$282,"SOFTWARE QUALITY &gt; Software Quality Tools")+COUNTIFS('Prácticas_Snowballing'!$AB$2:$AB$281,"T032",'Prácticas_Snowballing'!$AC$2:$AC$281,"SOFTWARE QUALITY &gt; Software Quality Tools")</f>
        <v>0</v>
      </c>
      <c r="CE42" s="17">
        <f>COUNTIFS('Prácticas_Revisiones'!$S$2:$S$282,"T032",'Prácticas_Revisiones'!$T$2:$T$282,"SOFTWARE QUALITY &gt; Subárea no determinable")+COUNTIFS('Prácticas_Snowballing'!$AB$2:$AB$281,"T032",'Prácticas_Snowballing'!$AC$2:$AC$281,"SOFTWARE QUALITY &gt; Subárea no determinable")</f>
        <v>0</v>
      </c>
      <c r="CF42" s="29">
        <f t="shared" si="45"/>
        <v>0</v>
      </c>
      <c r="CG42" s="17">
        <f>COUNTIFS('Prácticas_Revisiones'!$S$2:$S$282,"T032",'Prácticas_Revisiones'!$T$2:$T$282,"SOFTWARE SECURITY &gt; Software Security Fundamentals")+COUNTIFS('Prácticas_Snowballing'!$AB$2:$AB$281,"T032",'Prácticas_Snowballing'!$AC$2:$AC$281,"SOFTWARE SECURITY &gt; Software Security Fundamentals")</f>
        <v>0</v>
      </c>
      <c r="CH42" s="17">
        <f>COUNTIFS('Prácticas_Revisiones'!$S$2:$S$282,"T032",'Prácticas_Revisiones'!$T$2:$T$282,"SOFTWARE SECURITY &gt; Security Management and Organization")+COUNTIFS('Prácticas_Snowballing'!$AB$2:$AB$281,"T032",'Prácticas_Snowballing'!$AC$2:$AC$281,"SOFTWARE SECURITY &gt; Security Management and Organization")</f>
        <v>0</v>
      </c>
      <c r="CI42" s="17">
        <f>COUNTIFS('Prácticas_Revisiones'!$S$2:$S$282,"T032",'Prácticas_Revisiones'!$T$2:$T$282,"SOFTWARE SECURITY &gt; Software Security Engineering and Process")+COUNTIFS('Prácticas_Snowballing'!$AB$2:$AB$281,"T032",'Prácticas_Snowballing'!$AC$2:$AC$281,"SOFTWARE SECURITY &gt; Software Security Engineering and Process")</f>
        <v>0</v>
      </c>
      <c r="CJ42" s="17">
        <f>COUNTIFS('Prácticas_Revisiones'!$S$2:$S$282,"T032",'Prácticas_Revisiones'!$T$2:$T$282,"SOFTWARE SECURITY &gt; Security Engineering for Software Systems")+COUNTIFS('Prácticas_Snowballing'!$AB$2:$AB$281,"T032",'Prácticas_Snowballing'!$AC$2:$AC$281,"SOFTWARE SECURITY &gt; Security Engineering for Software Systems")</f>
        <v>0</v>
      </c>
      <c r="CK42" s="17">
        <f>COUNTIFS('Prácticas_Revisiones'!$S$2:$S$282,"T032",'Prácticas_Revisiones'!$T$2:$T$282,"SOFTWARE SECURITY &gt; Software Security Tools")+COUNTIFS('Prácticas_Snowballing'!$AB$2:$AB$281,"T032",'Prácticas_Snowballing'!$AC$2:$AC$281,"SOFTWARE SECURITY &gt; Software Security Tools")</f>
        <v>0</v>
      </c>
      <c r="CL42" s="17">
        <f>COUNTIFS('Prácticas_Revisiones'!$S$2:$S$282,"T032",'Prácticas_Revisiones'!$T$2:$T$282,"SOFTWARE SECURITY &gt; Domain Specific Software Security")+COUNTIFS('Prácticas_Snowballing'!$AB$2:$AB$281,"T032",'Prácticas_Snowballing'!$AC$2:$AC$281,"SOFTWARE SECURITY &gt; Domain Specific Software Security")</f>
        <v>0</v>
      </c>
      <c r="CM42" s="17">
        <f>COUNTIFS('Prácticas_Revisiones'!$S$2:$S$282,"T032",'Prácticas_Revisiones'!$T$2:$T$282,"SOFTWARE SECURITY &gt; Subárea no determinable")+COUNTIFS('Prácticas_Snowballing'!$AB$2:$AB$281,"T032",'Prácticas_Snowballing'!$AC$2:$AC$281,"SOFTWARE SECURITY &gt; Subárea no determinable")</f>
        <v>0</v>
      </c>
      <c r="CN42" s="29">
        <f t="shared" si="46"/>
        <v>0</v>
      </c>
      <c r="CO42" s="17">
        <f>COUNTIFS('Prácticas_Revisiones'!$S$2:$S$282,"T032",'Prácticas_Revisiones'!$T$2:$T$282,"PROFESSIONAL PRACTICE &gt; Professionalism")+COUNTIFS('Prácticas_Snowballing'!$AB$2:$AB$281,"T032",'Prácticas_Snowballing'!$AC$2:$AC$281,"PROFESSIONAL PRACTICE &gt; Professionalism")</f>
        <v>0</v>
      </c>
      <c r="CP42" s="17">
        <f>COUNTIFS('Prácticas_Revisiones'!$S$2:$S$282,"T032",'Prácticas_Revisiones'!$T$2:$T$282,"PROFESSIONAL PRACTICE &gt; Group Dynamics and Psychology")+COUNTIFS('Prácticas_Snowballing'!$AB$2:$AB$281,"T032",'Prácticas_Snowballing'!$AC$2:$AC$281,"PROFESSIONAL PRACTICE &gt; Group Dynamics and Psychology")</f>
        <v>0</v>
      </c>
      <c r="CQ42" s="17">
        <f>COUNTIFS('Prácticas_Revisiones'!$S$2:$S$282,"T032",'Prácticas_Revisiones'!$T$2:$T$282,"PROFESSIONAL PRACTICE &gt; Communication Skills")+COUNTIFS('Prácticas_Snowballing'!$AB$2:$AB$281,"T032",'Prácticas_Snowballing'!$AC$2:$AC$281,"PROFESSIONAL PRACTICE &gt; Communication Skills")</f>
        <v>0</v>
      </c>
      <c r="CR42" s="17">
        <f>COUNTIFS('Prácticas_Revisiones'!$S$2:$S$282,"T032",'Prácticas_Revisiones'!$T$2:$T$282,"PROFESSIONAL PRACTICE &gt; Subárea no determinable")+COUNTIFS('Prácticas_Snowballing'!$AB$2:$AB$281,"T032",'Prácticas_Snowballing'!$AC$2:$AC$281,"PROFESSIONAL PRACTICE &gt; Subárea no determinable")</f>
        <v>0</v>
      </c>
      <c r="CS42" s="29">
        <f t="shared" si="47"/>
        <v>0</v>
      </c>
      <c r="CT42" s="17">
        <f>COUNTIFS('Prácticas_Revisiones'!$S$2:$S$282,"T032",'Prácticas_Revisiones'!$T$2:$T$282,"SOFTWARE ENG. ECONOMICS &gt; Software Engineering Economics Fundamentals")+COUNTIFS('Prácticas_Snowballing'!$AB$2:$AB$281,"T032",'Prácticas_Snowballing'!$AC$2:$AC$281,"SOFTWARE ENG. ECONOMICS &gt; Software Engineering Economics Fundamentals")</f>
        <v>0</v>
      </c>
      <c r="CU42" s="17">
        <f>COUNTIFS('Prácticas_Revisiones'!$S$2:$S$282,"T032",'Prácticas_Revisiones'!$T$2:$T$282,"SOFTWARE ENG. ECONOMICS &gt; The Engineering Decision-Making Process")+COUNTIFS('Prácticas_Snowballing'!$AB$2:$AB$281,"T032",'Prácticas_Snowballing'!$AC$2:$AC$281,"SOFTWARE ENG. ECONOMICS &gt; The Engineering Decision-Making Process")</f>
        <v>0</v>
      </c>
      <c r="CV42" s="17">
        <f>COUNTIFS('Prácticas_Revisiones'!$S$2:$S$282,"T032",'Prácticas_Revisiones'!$T$2:$T$282,"SOFTWARE ENG. ECONOMICS &gt; For-Profit Decision-Making")+COUNTIFS('Prácticas_Snowballing'!$AB$2:$AB$281,"T032",'Prácticas_Snowballing'!$AC$2:$AC$281,"SOFTWARE ENG. ECONOMICS &gt; For-Profit Decision-Making")</f>
        <v>0</v>
      </c>
      <c r="CW42" s="17">
        <f>COUNTIFS('Prácticas_Revisiones'!$S$2:$S$282,"T032",'Prácticas_Revisiones'!$T$2:$T$282,"SOFTWARE ENG. ECONOMICS &gt; Nonprofit Decision-Making")+COUNTIFS('Prácticas_Snowballing'!$AB$2:$AB$281,"T032",'Prácticas_Snowballing'!$AC$2:$AC$281,"SOFTWARE ENG. ECONOMICS &gt; Nonprofit Decision-Making")</f>
        <v>0</v>
      </c>
      <c r="CX42" s="17">
        <f>COUNTIFS('Prácticas_Revisiones'!$S$2:$S$282,"T032",'Prácticas_Revisiones'!$T$2:$T$282,"SOFTWARE ENG. ECONOMICS &gt; Present Economy Decision-Making")+COUNTIFS('Prácticas_Snowballing'!$AB$2:$AB$281,"T032",'Prácticas_Snowballing'!$AC$2:$AC$281,"SOFTWARE ENG. ECONOMICS &gt; Present Economy Decision-Making")</f>
        <v>0</v>
      </c>
      <c r="CY42" s="17">
        <f>COUNTIFS('Prácticas_Revisiones'!$S$2:$S$282,"T032",'Prácticas_Revisiones'!$T$2:$T$282,"SOFTWARE ENG. ECONOMICS &gt; Multiple-Attribute Decision-Making")+COUNTIFS('Prácticas_Snowballing'!$AB$2:$AB$281,"T032",'Prácticas_Snowballing'!$AC$2:$AC$281,"SOFTWARE ENG. ECONOMICS &gt; Multiple-Attribute Decision-Making")</f>
        <v>0</v>
      </c>
      <c r="CZ42" s="17">
        <f>COUNTIFS('Prácticas_Revisiones'!$S$2:$S$282,"T032",'Prácticas_Revisiones'!$T$2:$T$282,"SOFTWARE ENG. ECONOMICS &gt; Identifying and Characterizing Intangible Assets")+COUNTIFS('Prácticas_Snowballing'!$AB$2:$AB$281,"T032",'Prácticas_Snowballing'!$AC$2:$AC$281,"SOFTWARE ENG. ECONOMICS &gt; Identifying and Characterizing Intangible Assets")</f>
        <v>0</v>
      </c>
      <c r="DA42" s="17">
        <f>COUNTIFS('Prácticas_Revisiones'!$S$2:$S$282,"T032",'Prácticas_Revisiones'!$T$2:$T$282,"SOFTWARE ENG. ECONOMICS &gt; Estimation")+COUNTIFS('Prácticas_Snowballing'!$AB$2:$AB$281,"T032",'Prácticas_Snowballing'!$AC$2:$AC$281,"SOFTWARE ENG. ECONOMICS &gt; Estimation")</f>
        <v>0</v>
      </c>
      <c r="DB42" s="17">
        <f>COUNTIFS('Prácticas_Revisiones'!$S$2:$S$282,"T032",'Prácticas_Revisiones'!$T$2:$T$282,"SOFTWARE ENG. ECONOMICS &gt; Practical Considerations")+COUNTIFS('Prácticas_Snowballing'!$AB$2:$AB$281,"T032",'Prácticas_Snowballing'!$AC$2:$AC$281,"SOFTWARE ENG. ECONOMICS &gt; Practical Considerations")</f>
        <v>0</v>
      </c>
      <c r="DC42" s="17">
        <f>COUNTIFS('Prácticas_Revisiones'!$S$2:$S$282,"T032",'Prácticas_Revisiones'!$T$2:$T$282,"SOFTWARE ENG. ECONOMICS &gt; Related Concepts")+COUNTIFS('Prácticas_Snowballing'!$AB$2:$AB$281,"T032",'Prácticas_Snowballing'!$AC$2:$AC$281,"SOFTWARE ENG. ECONOMICS &gt; Related Concepts")</f>
        <v>0</v>
      </c>
      <c r="DD42" s="17">
        <f>COUNTIFS('Prácticas_Revisiones'!$S$2:$S$282,"T032",'Prácticas_Revisiones'!$T$2:$T$282,"SOFTWARE ENG. ECONOMICS &gt; Subárea no determinable")+COUNTIFS('Prácticas_Snowballing'!$AB$2:$AB$281,"T032",'Prácticas_Snowballing'!$AC$2:$AC$281,"SOFTWARE ENG. ECONOMICS &gt; Subárea no determinable")</f>
        <v>0</v>
      </c>
      <c r="DE42" s="29">
        <f t="shared" si="48"/>
        <v>0</v>
      </c>
      <c r="DF42" s="17">
        <f>COUNTIFS('Prácticas_Revisiones'!$S$2:$S$282,"T032",'Prácticas_Revisiones'!$T$2:$T$282,"SOFTWARE ENG. MANAGEMENT &gt; Software Engineering Management Fundamentals")+COUNTIFS('Prácticas_Snowballing'!$AB$2:$AB$281,"T032",'Prácticas_Snowballing'!$AC$2:$AC$281,"SOFTWARE ENG. MANAGEMENT &gt; Software Engineering Management Fundamentals")</f>
        <v>0</v>
      </c>
      <c r="DG42" s="17">
        <f>COUNTIFS('Prácticas_Revisiones'!$S$2:$S$282,"T032",'Prácticas_Revisiones'!$T$2:$T$282,"SOFTWARE ENG. MANAGEMENT &gt; Initiation and Scope Definition")+COUNTIFS('Prácticas_Snowballing'!$AB$2:$AB$281,"T032",'Prácticas_Snowballing'!$AC$2:$AC$281,"SOFTWARE ENG. MANAGEMENT &gt; Initiation and Scope Definition")</f>
        <v>0</v>
      </c>
      <c r="DH42" s="17">
        <f>COUNTIFS('Prácticas_Revisiones'!$S$2:$S$282,"T032",'Prácticas_Revisiones'!$T$2:$T$282,"SOFTWARE ENG. MANAGEMENT &gt; Software Project Planning")+COUNTIFS('Prácticas_Snowballing'!$AB$2:$AB$281,"T032",'Prácticas_Snowballing'!$AC$2:$AC$281,"SOFTWARE ENG. MANAGEMENT &gt; Software Project Planning")</f>
        <v>0</v>
      </c>
      <c r="DI42" s="17">
        <f>COUNTIFS('Prácticas_Revisiones'!$S$2:$S$282,"T032",'Prácticas_Revisiones'!$T$2:$T$282,"SOFTWARE ENG. MANAGEMENT &gt; Software Project Enactment")+COUNTIFS('Prácticas_Snowballing'!$AB$2:$AB$281,"T032",'Prácticas_Snowballing'!$AC$2:$AC$281,"SOFTWARE ENG. MANAGEMENT &gt; Software Project Enactment")</f>
        <v>0</v>
      </c>
      <c r="DJ42" s="17">
        <f>COUNTIFS('Prácticas_Revisiones'!$S$2:$S$282,"T032",'Prácticas_Revisiones'!$T$2:$T$282,"SOFTWARE ENG. MANAGEMENT &gt; Review and Evaluation")+COUNTIFS('Prácticas_Snowballing'!$AB$2:$AB$281,"T032",'Prácticas_Snowballing'!$AC$2:$AC$281,"SOFTWARE ENG. MANAGEMENT &gt; Review and Evaluation")</f>
        <v>0</v>
      </c>
      <c r="DK42" s="17">
        <f>COUNTIFS('Prácticas_Revisiones'!$S$2:$S$282,"T032",'Prácticas_Revisiones'!$T$2:$T$282,"SOFTWARE ENG. MANAGEMENT &gt; Closure")+COUNTIFS('Prácticas_Snowballing'!$AB$2:$AB$281,"T032",'Prácticas_Snowballing'!$AC$2:$AC$281,"SOFTWARE ENG. MANAGEMENT &gt; Closure")</f>
        <v>0</v>
      </c>
      <c r="DL42" s="17">
        <f>COUNTIFS('Prácticas_Revisiones'!$S$2:$S$282,"T032",'Prácticas_Revisiones'!$T$2:$T$282,"SOFTWARE ENG. MANAGEMENT &gt; Software Engineering Management Tools")+COUNTIFS('Prácticas_Snowballing'!$AB$2:$AB$281,"T032",'Prácticas_Snowballing'!$AC$2:$AC$281,"SOFTWARE ENG. MANAGEMENT &gt; Software Engineering Management Tools")</f>
        <v>0</v>
      </c>
      <c r="DM42" s="17">
        <f>COUNTIFS('Prácticas_Revisiones'!$S$2:$S$282,"T032",'Prácticas_Revisiones'!$T$2:$T$282,"SOFTWARE ENG. MANAGEMENT &gt; Subárea no determinable")+COUNTIFS('Prácticas_Snowballing'!$AB$2:$AB$281,"T032",'Prácticas_Snowballing'!$AC$2:$AC$281,"SOFTWARE ENG. MANAGEMENT &gt; Subárea no determinable")</f>
        <v>0</v>
      </c>
      <c r="DN42" s="29">
        <f t="shared" si="49"/>
        <v>0</v>
      </c>
      <c r="DO42" s="17">
        <f>COUNTIFS('Prácticas_Revisiones'!$S$2:$S$282,"T032",'Prácticas_Revisiones'!$T$2:$T$282,"Sin área SWEBOK")+COUNTIFS('Prácticas_Snowballing'!$AB$2:$AB$281,"T032",'Prácticas_Snowballing'!$AC$2:$AC$281,"Sin área SWEBOK")</f>
        <v>1</v>
      </c>
      <c r="DP42" s="27">
        <f t="shared" si="50"/>
        <v>11</v>
      </c>
    </row>
    <row r="43" ht="15.75" customHeight="1">
      <c r="A43" s="28"/>
      <c r="B43" s="16" t="s">
        <v>2770</v>
      </c>
      <c r="C43" s="17">
        <f>COUNTIFS('Prácticas_Revisiones'!$S$2:$S$282,"T033",'Prácticas_Revisiones'!$T$2:$T$282,"REQUIREMENTS &gt; Software Requirements Fundamentals")+COUNTIFS('Prácticas_Snowballing'!$AB$2:$AB$281,"T033",'Prácticas_Snowballing'!$AC$2:$AC$281,"REQUIREMENTS &gt; Software Requirements Fundamentals")</f>
        <v>0</v>
      </c>
      <c r="D43" s="17">
        <f>COUNTIFS('Prácticas_Revisiones'!$S$2:$S$282,"T033",'Prácticas_Revisiones'!$T$2:$T$282,"REQUIREMENTS &gt; Requirements Elicitation")+COUNTIFS('Prácticas_Snowballing'!$AB$2:$AB$281,"T033",'Prácticas_Snowballing'!$AC$2:$AC$281,"REQUIREMENTS &gt; Requirements Elicitation")</f>
        <v>0</v>
      </c>
      <c r="E43" s="17">
        <f>COUNTIFS('Prácticas_Revisiones'!$S$2:$S$282,"T033",'Prácticas_Revisiones'!$T$2:$T$282,"REQUIREMENTS &gt; Requirements Analysis")+COUNTIFS('Prácticas_Snowballing'!$AB$2:$AB$281,"T033",'Prácticas_Snowballing'!$AC$2:$AC$281,"REQUIREMENTS &gt; Requirements Analysis")</f>
        <v>0</v>
      </c>
      <c r="F43" s="17">
        <f>COUNTIFS('Prácticas_Revisiones'!$S$2:$S$282,"T033",'Prácticas_Revisiones'!$T$2:$T$282,"REQUIREMENTS &gt; Requirements Specification")+COUNTIFS('Prácticas_Snowballing'!$AB$2:$AB$281,"T033",'Prácticas_Snowballing'!$AC$2:$AC$281,"REQUIREMENTS &gt; Requirements Specification")</f>
        <v>0</v>
      </c>
      <c r="G43" s="17">
        <f>COUNTIFS('Prácticas_Revisiones'!$S$2:$S$282,"T033",'Prácticas_Revisiones'!$T$2:$T$282,"REQUIREMENTS &gt; Requirements Validation")+COUNTIFS('Prácticas_Snowballing'!$AB$2:$AB$281,"T033",'Prácticas_Snowballing'!$AC$2:$AC$281,"REQUIREMENTS &gt; Requirements Validation")</f>
        <v>0</v>
      </c>
      <c r="H43" s="17">
        <f>COUNTIFS('Prácticas_Revisiones'!$S$2:$S$282,"T033",'Prácticas_Revisiones'!$T$2:$T$282,"REQUIREMENTS &gt; Requirements Management Activities")+COUNTIFS('Prácticas_Snowballing'!$AB$2:$AB$281,"T033",'Prácticas_Snowballing'!$AC$2:$AC$281,"REQUIREMENTS &gt; Requirements Management Activities")</f>
        <v>0</v>
      </c>
      <c r="I43" s="17">
        <f>COUNTIFS('Prácticas_Revisiones'!$S$2:$S$282,"T033",'Prácticas_Revisiones'!$T$2:$T$282,"REQUIREMENTS &gt; Practical Considerations")+COUNTIFS('Prácticas_Snowballing'!$AB$2:$AB$281,"T033",'Prácticas_Snowballing'!$AC$2:$AC$281,"REQUIREMENTS &gt; Practical Considerations")</f>
        <v>0</v>
      </c>
      <c r="J43" s="17">
        <f>COUNTIFS('Prácticas_Revisiones'!$S$2:$S$282,"T033",'Prácticas_Revisiones'!$T$2:$T$282,"REQUIREMENTS &gt; Software Requirements Tools")+COUNTIFS('Prácticas_Snowballing'!$AB$2:$AB$281,"T033",'Prácticas_Snowballing'!$AC$2:$AC$281,"REQUIREMENTS &gt; Software Requirements Tools")</f>
        <v>0</v>
      </c>
      <c r="K43" s="17">
        <f>COUNTIFS('Prácticas_Revisiones'!$S$2:$S$282,"T033",'Prácticas_Revisiones'!$T$2:$T$282,"REQUIREMENTS &gt; Subárea no determinable")+COUNTIFS('Prácticas_Snowballing'!$AB$2:$AB$281,"T033",'Prácticas_Snowballing'!$AC$2:$AC$281,"REQUIREMENTS &gt; Subárea no determinable")</f>
        <v>0</v>
      </c>
      <c r="L43" s="29">
        <f t="shared" si="35"/>
        <v>0</v>
      </c>
      <c r="M43" s="17">
        <f>COUNTIFS('Prácticas_Revisiones'!$S$2:$S$282,"T033",'Prácticas_Revisiones'!$T$2:$T$282,"ARCHITECTURE &gt; Software Architecture Fundamentals")+COUNTIFS('Prácticas_Snowballing'!$AB$2:$AB$281,"T033",'Prácticas_Snowballing'!$AC$2:$AC$281,"ARCHITECTURE &gt; Software Architecture Fundamentals")</f>
        <v>0</v>
      </c>
      <c r="N43" s="17">
        <f>COUNTIFS('Prácticas_Revisiones'!$S$2:$S$282,"T033",'Prácticas_Revisiones'!$T$2:$T$282,"ARCHITECTURE &gt; Software Architecture Description")+COUNTIFS('Prácticas_Snowballing'!$AB$2:$AB$281,"T033",'Prácticas_Snowballing'!$AC$2:$AC$281,"ARCHITECTURE &gt; Software Architecture Description")</f>
        <v>0</v>
      </c>
      <c r="O43" s="17">
        <f>COUNTIFS('Prácticas_Revisiones'!$S$2:$S$282,"T033",'Prácticas_Revisiones'!$T$2:$T$282,"ARCHITECTURE &gt; Software Architecture Process")+COUNTIFS('Prácticas_Snowballing'!$AB$2:$AB$281,"T033",'Prácticas_Snowballing'!$AC$2:$AC$281,"ARCHITECTURE &gt; Software Architecture Process")</f>
        <v>0</v>
      </c>
      <c r="P43" s="17">
        <f>COUNTIFS('Prácticas_Revisiones'!$S$2:$S$282,"T033",'Prácticas_Revisiones'!$T$2:$T$282,"ARCHITECTURE &gt; Software Architecture Evaluation")+COUNTIFS('Prácticas_Snowballing'!$AB$2:$AB$281,"T033",'Prácticas_Snowballing'!$AC$2:$AC$281,"ARCHITECTURE &gt; Software Architecture Evaluation")</f>
        <v>0</v>
      </c>
      <c r="Q43" s="17">
        <f>COUNTIFS('Prácticas_Revisiones'!$S$2:$S$282,"T033",'Prácticas_Revisiones'!$T$2:$T$282,"ARCHITECTURE &gt; Subárea no determinable")+COUNTIFS('Prácticas_Snowballing'!$AB$2:$AB$281,"T033",'Prácticas_Snowballing'!$AC$2:$AC$281,"ARCHITECTURE &gt; Subárea no determinable")</f>
        <v>0</v>
      </c>
      <c r="R43" s="29">
        <f t="shared" si="36"/>
        <v>0</v>
      </c>
      <c r="S43" s="17">
        <f>COUNTIFS('Prácticas_Revisiones'!$S$2:$S$282,"T033",'Prácticas_Revisiones'!$T$2:$T$282,"DESIGN &gt; Software Design Fundamentals")+COUNTIFS('Prácticas_Snowballing'!$AB$2:$AB$281,"T033",'Prácticas_Snowballing'!$AC$2:$AC$281,"DESIGN &gt; Software Design Fundamentals")</f>
        <v>0</v>
      </c>
      <c r="T43" s="17">
        <f>COUNTIFS('Prácticas_Revisiones'!$S$2:$S$282,"T033",'Prácticas_Revisiones'!$T$2:$T$282,"DESIGN &gt; Software Design Processes")+COUNTIFS('Prácticas_Snowballing'!$AB$2:$AB$281,"T033",'Prácticas_Snowballing'!$AC$2:$AC$281,"DESIGN &gt; Software Design Processes")</f>
        <v>0</v>
      </c>
      <c r="U43" s="17">
        <f>COUNTIFS('Prácticas_Revisiones'!$S$2:$S$282,"T033",'Prácticas_Revisiones'!$T$2:$T$282,"DESIGN &gt; Software Design Qualities")+COUNTIFS('Prácticas_Snowballing'!$AB$2:$AB$281,"T033",'Prácticas_Snowballing'!$AC$2:$AC$281,"DESIGN &gt; Software Design Qualities")</f>
        <v>0</v>
      </c>
      <c r="V43" s="17">
        <f>COUNTIFS('Prácticas_Revisiones'!$S$2:$S$282,"T033",'Prácticas_Revisiones'!$T$2:$T$282,"DESIGN &gt; Recording Software Design")+COUNTIFS('Prácticas_Snowballing'!$AB$2:$AB$281,"T033",'Prácticas_Snowballing'!$AC$2:$AC$281,"DESIGN &gt; Recording Software Design")</f>
        <v>0</v>
      </c>
      <c r="W43" s="17">
        <f>COUNTIFS('Prácticas_Revisiones'!$S$2:$S$282,"T033",'Prácticas_Revisiones'!$T$2:$T$282,"DESIGN &gt; Software Design Strategies and Methods")+COUNTIFS('Prácticas_Snowballing'!$AB$2:$AB$281,"T033",'Prácticas_Snowballing'!$AC$2:$AC$281,"DESIGN &gt; Software Design Strategies and Methods")</f>
        <v>0</v>
      </c>
      <c r="X43" s="17">
        <f>COUNTIFS('Prácticas_Revisiones'!$S$2:$S$282,"T033",'Prácticas_Revisiones'!$T$2:$T$282,"DESIGN &gt; Software Design Analysis and Evaluations")+COUNTIFS('Prácticas_Snowballing'!$AB$2:$AB$281,"T033",'Prácticas_Snowballing'!$AC$2:$AC$281,"DESIGN &gt; Software Design Analysis and Evaluations")</f>
        <v>0</v>
      </c>
      <c r="Y43" s="17">
        <f>COUNTIFS('Prácticas_Revisiones'!$S$2:$S$282,"T033",'Prácticas_Revisiones'!$T$2:$T$282,"DESIGN &gt; Subárea no determinable")+COUNTIFS('Prácticas_Snowballing'!$AB$2:$AB$281,"T033",'Prácticas_Snowballing'!$AC$2:$AC$281,"DESIGN &gt; Subárea no determinable")</f>
        <v>0</v>
      </c>
      <c r="Z43" s="29">
        <f t="shared" si="37"/>
        <v>0</v>
      </c>
      <c r="AA43" s="17">
        <f>COUNTIFS('Prácticas_Revisiones'!$S$2:$S$282,"T033",'Prácticas_Revisiones'!$T$2:$T$282,"CONSTRUCTION &gt; Software Construction Fundamentals")+COUNTIFS('Prácticas_Snowballing'!$AB$2:$AB$281,"T033",'Prácticas_Snowballing'!$AC$2:$AC$281,"CONSTRUCTION &gt; Software Construction Fundamentals")</f>
        <v>1</v>
      </c>
      <c r="AB43" s="17">
        <f>COUNTIFS('Prácticas_Revisiones'!$S$2:$S$282,"T033",'Prácticas_Revisiones'!$T$2:$T$282,"CONSTRUCTION &gt; Managing Construction")+COUNTIFS('Prácticas_Snowballing'!$AB$2:$AB$281,"T033",'Prácticas_Snowballing'!$AC$2:$AC$281,"CONSTRUCTION &gt; Managing Construction")</f>
        <v>0</v>
      </c>
      <c r="AC43" s="17">
        <f>COUNTIFS('Prácticas_Revisiones'!$S$2:$S$282,"T033",'Prácticas_Revisiones'!$T$2:$T$282,"CONSTRUCTION &gt; Practical Considerations")+COUNTIFS('Prácticas_Snowballing'!$AB$2:$AB$281,"T033",'Prácticas_Snowballing'!$AC$2:$AC$281,"CONSTRUCTION &gt; Practical Considerations")</f>
        <v>0</v>
      </c>
      <c r="AD43" s="17">
        <f>COUNTIFS('Prácticas_Revisiones'!$S$2:$S$282,"T033",'Prácticas_Revisiones'!$T$2:$T$282,"CONSTRUCTION &gt; Construction Technologies")+COUNTIFS('Prácticas_Snowballing'!$AB$2:$AB$281,"T033",'Prácticas_Snowballing'!$AC$2:$AC$281,"CONSTRUCTION &gt; Construction Technologies")</f>
        <v>0</v>
      </c>
      <c r="AE43" s="17">
        <f>COUNTIFS('Prácticas_Revisiones'!$S$2:$S$282,"T033",'Prácticas_Revisiones'!$T$2:$T$282,"CONSTRUCTION &gt; Software Construction Tools")+COUNTIFS('Prácticas_Snowballing'!$AB$2:$AB$281,"T033",'Prácticas_Snowballing'!$AC$2:$AC$281,"CONSTRUCTION &gt; Software Construction Tools")</f>
        <v>0</v>
      </c>
      <c r="AF43" s="17">
        <f>COUNTIFS('Prácticas_Revisiones'!$S$2:$S$282,"T033",'Prácticas_Revisiones'!$T$2:$T$282,"CONSTRUCTION &gt; Subárea no determinable")+COUNTIFS('Prácticas_Snowballing'!$AB$2:$AB$281,"T033",'Prácticas_Snowballing'!$AC$2:$AC$281,"CONSTRUCTION &gt; Subárea no determinable")</f>
        <v>0</v>
      </c>
      <c r="AG43" s="29">
        <f t="shared" si="38"/>
        <v>1</v>
      </c>
      <c r="AH43" s="17">
        <f>COUNTIFS('Prácticas_Revisiones'!$S$2:$S$282,"T033",'Prácticas_Revisiones'!$T$2:$T$282,"SOFTWARE TESTING &gt; Software Testing Fundamentals")+COUNTIFS('Prácticas_Snowballing'!$AB$2:$AB$281,"T033",'Prácticas_Snowballing'!$AC$2:$AC$281,"SOFTWARE TESTING &gt; Software Testing Fundamentals")</f>
        <v>0</v>
      </c>
      <c r="AI43" s="17">
        <f>COUNTIFS('Prácticas_Revisiones'!$S$2:$S$282,"T033",'Prácticas_Revisiones'!$T$2:$T$282,"SOFTWARE TESTING &gt; Test Levels")+COUNTIFS('Prácticas_Snowballing'!$AB$2:$AB$281,"T033",'Prácticas_Snowballing'!$AC$2:$AC$281,"SOFTWARE TESTING &gt; Test Levels")</f>
        <v>0</v>
      </c>
      <c r="AJ43" s="17">
        <f>COUNTIFS('Prácticas_Revisiones'!$S$2:$S$282,"T033",'Prácticas_Revisiones'!$T$2:$T$282,"SOFTWARE TESTING &gt; Test Techniques")+COUNTIFS('Prácticas_Snowballing'!$AB$2:$AB$281,"T033",'Prácticas_Snowballing'!$AC$2:$AC$281,"SOFTWARE TESTING &gt; Test Techniques")</f>
        <v>0</v>
      </c>
      <c r="AK43" s="17">
        <f>COUNTIFS('Prácticas_Revisiones'!$S$2:$S$282,"T033",'Prácticas_Revisiones'!$T$2:$T$282,"SOFTWARE TESTING &gt; Test-Related Measures")+COUNTIFS('Prácticas_Snowballing'!$AB$2:$AB$281,"T033",'Prácticas_Snowballing'!$AC$2:$AC$281,"SOFTWARE TESTING &gt; Test-Related Measures")</f>
        <v>0</v>
      </c>
      <c r="AL43" s="17">
        <f>COUNTIFS('Prácticas_Revisiones'!$S$2:$S$282,"T033",'Prácticas_Revisiones'!$T$2:$T$282,"SOFTWARE TESTING &gt; Test Process")+COUNTIFS('Prácticas_Snowballing'!$AB$2:$AB$281,"T033",'Prácticas_Snowballing'!$AC$2:$AC$281,"SOFTWARE TESTING &gt; Test Process")</f>
        <v>0</v>
      </c>
      <c r="AM43" s="17">
        <f>COUNTIFS('Prácticas_Revisiones'!$S$2:$S$282,"T033",'Prácticas_Revisiones'!$T$2:$T$282,"SOFTWARE TESTING &gt; Software Testing in the Development Processes...")+COUNTIFS('Prácticas_Snowballing'!$AB$2:$AB$281,"T033",'Prácticas_Snowballing'!$AC$2:$AC$281,"SOFTWARE TESTING &gt; Software Testing in the Development Processes...")</f>
        <v>0</v>
      </c>
      <c r="AN43" s="17">
        <f>COUNTIFS('Prácticas_Revisiones'!$S$2:$S$282,"T033",'Prácticas_Revisiones'!$T$2:$T$282,"SOFTWARE TESTING &gt; Testing of and Testing Through Emerging Tech...")+COUNTIFS('Prácticas_Snowballing'!$AB$2:$AB$281,"T033",'Prácticas_Snowballing'!$AC$2:$AC$281,"SOFTWARE TESTING &gt; Testing of and Testing Through Emerging Tech...")</f>
        <v>0</v>
      </c>
      <c r="AO43" s="17">
        <f>COUNTIFS('Prácticas_Revisiones'!$S$2:$S$282,"T033",'Prácticas_Revisiones'!$T$2:$T$282,"SOFTWARE TESTING &gt; Software Testing Tools")+COUNTIFS('Prácticas_Snowballing'!$AB$2:$AB$281,"T033",'Prácticas_Snowballing'!$AC$2:$AC$281,"SOFTWARE TESTING &gt; Software Testing Tools")</f>
        <v>0</v>
      </c>
      <c r="AP43" s="17">
        <f>COUNTIFS('Prácticas_Revisiones'!$S$2:$S$282,"T033",'Prácticas_Revisiones'!$T$2:$T$282,"SOFTWARE TESTING &gt; Subárea no determinable")+COUNTIFS('Prácticas_Snowballing'!$AB$2:$AB$281,"T033",'Prácticas_Snowballing'!$AC$2:$AC$281,"SOFTWARE TESTING &gt; Subárea no determinable")</f>
        <v>0</v>
      </c>
      <c r="AQ43" s="29">
        <f t="shared" si="39"/>
        <v>0</v>
      </c>
      <c r="AR43" s="17">
        <f>COUNTIFS('Prácticas_Revisiones'!$S$2:$S$282,"T033",'Prácticas_Revisiones'!$T$2:$T$282,"SOFTWARE ENG. OPERATIONS &gt; Software Engineering Operations Fundamentals")+COUNTIFS('Prácticas_Snowballing'!$AB$2:$AB$281,"T033",'Prácticas_Snowballing'!$AC$2:$AC$281,"SOFTWARE ENG. OPERATIONS &gt; Software Engineering Operations Fundamentals")</f>
        <v>0</v>
      </c>
      <c r="AS43" s="17">
        <f>COUNTIFS('Prácticas_Revisiones'!$S$2:$S$282,"T033",'Prácticas_Revisiones'!$T$2:$T$282,"SOFTWARE ENG. OPERATIONS &gt; Software Engineering Operations Planning")+COUNTIFS('Prácticas_Snowballing'!$AB$2:$AB$281,"T033",'Prácticas_Snowballing'!$AC$2:$AC$281,"SOFTWARE ENG. OPERATIONS &gt; Software Engineering Operations Planning")</f>
        <v>0</v>
      </c>
      <c r="AT43" s="17">
        <f>COUNTIFS('Prácticas_Revisiones'!$S$2:$S$282,"T033",'Prácticas_Revisiones'!$T$2:$T$282,"SOFTWARE ENG. OPERATIONS &gt; Software Engineering Operations Delivery")+COUNTIFS('Prácticas_Snowballing'!$AB$2:$AB$281,"T033",'Prácticas_Snowballing'!$AC$2:$AC$281,"SOFTWARE ENG. OPERATIONS &gt; Software Engineering Operations Delivery")</f>
        <v>0</v>
      </c>
      <c r="AU43" s="17">
        <f>COUNTIFS('Prácticas_Revisiones'!$S$2:$S$282,"T033",'Prácticas_Revisiones'!$T$2:$T$282,"SOFTWARE ENG. OPERATIONS &gt; Software Engineering Operations Control")+COUNTIFS('Prácticas_Snowballing'!$AB$2:$AB$281,"T033",'Prácticas_Snowballing'!$AC$2:$AC$281,"SOFTWARE ENG. OPERATIONS &gt; Software Engineering Operations Control")</f>
        <v>0</v>
      </c>
      <c r="AV43" s="17">
        <f>COUNTIFS('Prácticas_Revisiones'!$S$2:$S$282,"T033",'Prácticas_Revisiones'!$T$2:$T$282,"SOFTWARE ENG. OPERATIONS &gt; Practical Considerations")+COUNTIFS('Prácticas_Snowballing'!$AB$2:$AB$281,"T033",'Prácticas_Snowballing'!$AC$2:$AC$281,"SOFTWARE ENG. OPERATIONS &gt; Practical Considerations")</f>
        <v>0</v>
      </c>
      <c r="AW43" s="17">
        <f>COUNTIFS('Prácticas_Revisiones'!$S$2:$S$282,"T033",'Prácticas_Revisiones'!$T$2:$T$282,"SOFTWARE ENG. OPERATIONS &gt; Software Engineering Operations Tools")+COUNTIFS('Prácticas_Snowballing'!$AB$2:$AB$281,"T033",'Prácticas_Snowballing'!$AC$2:$AC$281,"SOFTWARE ENG. OPERATIONS &gt; Software Engineering Operations Tools")</f>
        <v>0</v>
      </c>
      <c r="AX43" s="17">
        <f>COUNTIFS('Prácticas_Revisiones'!$S$2:$S$282,"T033",'Prácticas_Revisiones'!$T$2:$T$282,"SOFTWARE ENG. OPERATIONS &gt; Subárea no determinable")+COUNTIFS('Prácticas_Snowballing'!$AB$2:$AB$281,"T033",'Prácticas_Snowballing'!$AC$2:$AC$281,"SOFTWARE ENG. OPERATIONS &gt; Subárea no determinable")</f>
        <v>0</v>
      </c>
      <c r="AY43" s="29">
        <f t="shared" si="40"/>
        <v>0</v>
      </c>
      <c r="AZ43" s="17">
        <f>COUNTIFS('Prácticas_Revisiones'!$S$2:$S$282,"T033",'Prácticas_Revisiones'!$T$2:$T$282,"MAINTENANCE &gt; Software Maintenance Fundamentals")+COUNTIFS('Prácticas_Snowballing'!$AB$2:$AB$281,"T033",'Prácticas_Snowballing'!$AC$2:$AC$281,"MAINTENANCE &gt; Software Maintenance Fundamentals")</f>
        <v>0</v>
      </c>
      <c r="BA43" s="17">
        <f>COUNTIFS('Prácticas_Revisiones'!$S$2:$S$282,"T033",'Prácticas_Revisiones'!$T$2:$T$282,"MAINTENANCE &gt; Key Issues in Software Maintenance")+COUNTIFS('Prácticas_Snowballing'!$AB$2:$AB$281,"T033",'Prácticas_Snowballing'!$AC$2:$AC$281,"MAINTENANCE &gt; Key Issues in Software Maintenance")</f>
        <v>0</v>
      </c>
      <c r="BB43" s="17">
        <f>COUNTIFS('Prácticas_Revisiones'!$S$2:$S$282,"T033",'Prácticas_Revisiones'!$T$2:$T$282,"MAINTENANCE &gt; Software Maintenance Processes")+COUNTIFS('Prácticas_Snowballing'!$AB$2:$AB$281,"T033",'Prácticas_Snowballing'!$AC$2:$AC$281,"MAINTENANCE &gt; Software Maintenance Processes")</f>
        <v>0</v>
      </c>
      <c r="BC43" s="17">
        <f>COUNTIFS('Prácticas_Revisiones'!$S$2:$S$282,"T033",'Prácticas_Revisiones'!$T$2:$T$282,"MAINTENANCE &gt; Software Maintenance Techniques")+COUNTIFS('Prácticas_Snowballing'!$AB$2:$AB$281,"T033",'Prácticas_Snowballing'!$AC$2:$AC$281,"MAINTENANCE &gt; Software Maintenance Techniques")</f>
        <v>0</v>
      </c>
      <c r="BD43" s="17">
        <f>COUNTIFS('Prácticas_Revisiones'!$S$2:$S$282,"T033",'Prácticas_Revisiones'!$T$2:$T$282,"MAINTENANCE &gt; Software Maintenance Tools")+COUNTIFS('Prácticas_Snowballing'!$AB$2:$AB$281,"T033",'Prácticas_Snowballing'!$AC$2:$AC$281,"MAINTENANCE &gt; Software Maintenance Tools")</f>
        <v>0</v>
      </c>
      <c r="BE43" s="17">
        <f>COUNTIFS('Prácticas_Revisiones'!$S$2:$S$282,"T033",'Prácticas_Revisiones'!$T$2:$T$282,"MAINTENANCE &gt; Subárea no determinable")+COUNTIFS('Prácticas_Snowballing'!$AB$2:$AB$281,"T033",'Prácticas_Snowballing'!$AC$2:$AC$281,"MAINTENANCE &gt; Subárea no determinable")</f>
        <v>0</v>
      </c>
      <c r="BF43" s="29">
        <f t="shared" si="41"/>
        <v>0</v>
      </c>
      <c r="BG43" s="17">
        <f>COUNTIFS('Prácticas_Revisiones'!$S$2:$S$282,"T033",'Prácticas_Revisiones'!$T$2:$T$282,"SOFTWARE CONFIG. MGMT. &gt; Management of the SCM Process")+COUNTIFS('Prácticas_Snowballing'!$AB$2:$AB$281,"T033",'Prácticas_Snowballing'!$AC$2:$AC$281,"SOFTWARE CONFIG. MGMT. &gt; Management of the SCM Process")</f>
        <v>0</v>
      </c>
      <c r="BH43" s="17">
        <f>COUNTIFS('Prácticas_Revisiones'!$S$2:$S$282,"T033",'Prácticas_Revisiones'!$T$2:$T$282,"SOFTWARE CONFIG. MGMT. &gt; Software Configuration Identification")+COUNTIFS('Prácticas_Snowballing'!$AB$2:$AB$281,"T033",'Prácticas_Snowballing'!$AC$2:$AC$281,"SOFTWARE CONFIG. MGMT. &gt; Software Configuration Identification")</f>
        <v>0</v>
      </c>
      <c r="BI43" s="17">
        <f>COUNTIFS('Prácticas_Revisiones'!$S$2:$S$282,"T033",'Prácticas_Revisiones'!$T$2:$T$282,"SOFTWARE CONFIG. MGMT. &gt; Software Configuration Change Control")+COUNTIFS('Prácticas_Snowballing'!$AB$2:$AB$281,"T033",'Prácticas_Snowballing'!$AC$2:$AC$281,"SOFTWARE CONFIG. MGMT. &gt; Software Configuration Change Control")</f>
        <v>0</v>
      </c>
      <c r="BJ43" s="17">
        <f>COUNTIFS('Prácticas_Revisiones'!$S$2:$S$282,"T033",'Prácticas_Revisiones'!$T$2:$T$282,"SOFTWARE CONFIG. MGMT. &gt; Software Configuration Status Accounting")+COUNTIFS('Prácticas_Snowballing'!$AB$2:$AB$281,"T033",'Prácticas_Snowballing'!$AC$2:$AC$281,"SOFTWARE CONFIG. MGMT. &gt; Software Configuration Status Accounting")</f>
        <v>0</v>
      </c>
      <c r="BK43" s="17">
        <f>COUNTIFS('Prácticas_Revisiones'!$S$2:$S$282,"T033",'Prácticas_Revisiones'!$T$2:$T$282,"SOFTWARE CONFIG. MGMT. &gt; Software Configuration Auditing")+COUNTIFS('Prácticas_Snowballing'!$AB$2:$AB$281,"T033",'Prácticas_Snowballing'!$AC$2:$AC$281,"SOFTWARE CONFIG. MGMT. &gt; Software Configuration Auditing")</f>
        <v>0</v>
      </c>
      <c r="BL43" s="17">
        <f>COUNTIFS('Prácticas_Revisiones'!$S$2:$S$282,"T033",'Prácticas_Revisiones'!$T$2:$T$282,"SOFTWARE CONFIG. MGMT. &gt; Software Release Management and Delivery")+COUNTIFS('Prácticas_Snowballing'!$AB$2:$AB$281,"T033",'Prácticas_Snowballing'!$AC$2:$AC$281,"SOFTWARE CONFIG. MGMT. &gt; Software Release Management and Delivery")</f>
        <v>0</v>
      </c>
      <c r="BM43" s="17">
        <f>COUNTIFS('Prácticas_Revisiones'!$S$2:$S$282,"T033",'Prácticas_Revisiones'!$T$2:$T$282,"SOFTWARE CONFIG. MGMT. &gt; Software Configuration Management Tools")+COUNTIFS('Prácticas_Snowballing'!$AB$2:$AB$281,"T033",'Prácticas_Snowballing'!$AC$2:$AC$281,"SOFTWARE CONFIG. MGMT. &gt; Software Configuration Management Tools")</f>
        <v>0</v>
      </c>
      <c r="BN43" s="17">
        <f>COUNTIFS('Prácticas_Revisiones'!$S$2:$S$282,"T033",'Prácticas_Revisiones'!$T$2:$T$282,"SOFTWARE CONFIG. MGMT. &gt; Subárea no determinable")+COUNTIFS('Prácticas_Snowballing'!$AB$2:$AB$281,"T033",'Prácticas_Snowballing'!$AC$2:$AC$281,"SOFTWARE CONFIG. MGMT. &gt; Subárea no determinable")</f>
        <v>0</v>
      </c>
      <c r="BO43" s="29">
        <f t="shared" si="42"/>
        <v>0</v>
      </c>
      <c r="BP43" s="17">
        <f>COUNTIFS('Prácticas_Revisiones'!$S$2:$S$282,"T033",'Prácticas_Revisiones'!$T$2:$T$282,"SOFTWARE ENG. PROCESS &gt; Software Engineering Process Fundamentals")+COUNTIFS('Prácticas_Snowballing'!$AB$2:$AB$281,"T033",'Prácticas_Snowballing'!$AC$2:$AC$281,"SOFTWARE ENG. PROCESS &gt; Software Engineering Process Fundamentals")</f>
        <v>0</v>
      </c>
      <c r="BQ43" s="17">
        <f>COUNTIFS('Prácticas_Revisiones'!$S$2:$S$282,"T033",'Prácticas_Revisiones'!$T$2:$T$282,"SOFTWARE ENG. PROCESS &gt; Life Cycles")+COUNTIFS('Prácticas_Snowballing'!$AB$2:$AB$281,"T033",'Prácticas_Snowballing'!$AC$2:$AC$281,"SOFTWARE ENG. PROCESS &gt; Life Cycles")</f>
        <v>0</v>
      </c>
      <c r="BR43" s="17">
        <f>COUNTIFS('Prácticas_Revisiones'!$S$2:$S$282,"T033",'Prácticas_Revisiones'!$T$2:$T$282,"SOFTWARE ENG. PROCESS &gt; Software Process Assessment and Improvement")+COUNTIFS('Prácticas_Snowballing'!$AB$2:$AB$281,"T033",'Prácticas_Snowballing'!$AC$2:$AC$281,"SOFTWARE ENG. PROCESS &gt; Software Process Assessment and Improvement")</f>
        <v>0</v>
      </c>
      <c r="BS43" s="17">
        <f>COUNTIFS('Prácticas_Revisiones'!$S$2:$S$282,"T033",'Prácticas_Revisiones'!$T$2:$T$282,"SOFTWARE ENG. PROCESS &gt; Subárea no determinable")+COUNTIFS('Prácticas_Snowballing'!$AB$2:$AB$281,"T033",'Prácticas_Snowballing'!$AC$2:$AC$281,"SOFTWARE ENG. PROCESS &gt; Subárea no determinable")</f>
        <v>0</v>
      </c>
      <c r="BT43" s="29">
        <f t="shared" si="43"/>
        <v>0</v>
      </c>
      <c r="BU43" s="17">
        <f>COUNTIFS('Prácticas_Revisiones'!$S$2:$S$282,"T033",'Prácticas_Revisiones'!$T$2:$T$282,"SOFTWARE ENG. MODELS/METH. &gt; Modeling")+COUNTIFS('Prácticas_Snowballing'!$AB$2:$AB$281,"T033",'Prácticas_Snowballing'!$AC$2:$AC$281,"SOFTWARE ENG. MODELS/METH. &gt; Modeling")</f>
        <v>0</v>
      </c>
      <c r="BV43" s="17">
        <f>COUNTIFS('Prácticas_Revisiones'!$S$2:$S$282,"T033",'Prácticas_Revisiones'!$T$2:$T$282,"SOFTWARE ENG. MODELS/METH. &gt; Types of Models")+COUNTIFS('Prácticas_Snowballing'!$AB$2:$AB$281,"T033",'Prácticas_Snowballing'!$AC$2:$AC$281,"SOFTWARE ENG. MODELS/METH. &gt; Types of Models")</f>
        <v>0</v>
      </c>
      <c r="BW43" s="17">
        <f>COUNTIFS('Prácticas_Revisiones'!$S$2:$S$282,"T033",'Prácticas_Revisiones'!$T$2:$T$282,"SOFTWARE ENG. MODELS/METH. &gt; Analysis of Models")+COUNTIFS('Prácticas_Snowballing'!$AB$2:$AB$281,"T033",'Prácticas_Snowballing'!$AC$2:$AC$281,"SOFTWARE ENG. MODELS/METH. &gt; Analysis of Models")</f>
        <v>0</v>
      </c>
      <c r="BX43" s="17">
        <f>COUNTIFS('Prácticas_Revisiones'!$S$2:$S$282,"T033",'Prácticas_Revisiones'!$T$2:$T$282,"SOFTWARE ENG. MODELS/METH. &gt; Software Engineering Methods")+COUNTIFS('Prácticas_Snowballing'!$AB$2:$AB$281,"T033",'Prácticas_Snowballing'!$AC$2:$AC$281,"SOFTWARE ENG. MODELS/METH. &gt; Software Engineering Methods")</f>
        <v>0</v>
      </c>
      <c r="BY43" s="17">
        <f>COUNTIFS('Prácticas_Revisiones'!$S$2:$S$282,"T033",'Prácticas_Revisiones'!$T$2:$T$282,"SOFTWARE ENG. MODELS/METH. &gt; Subárea no determinable")+COUNTIFS('Prácticas_Snowballing'!$AB$2:$AB$281,"T033",'Prácticas_Snowballing'!$AC$2:$AC$281,"SOFTWARE ENG. MODELS/METH. &gt; Subárea no determinable")</f>
        <v>0</v>
      </c>
      <c r="BZ43" s="29">
        <f t="shared" si="44"/>
        <v>0</v>
      </c>
      <c r="CA43" s="17">
        <f>COUNTIFS('Prácticas_Revisiones'!$S$2:$S$282,"T033",'Prácticas_Revisiones'!$T$2:$T$282,"SOFTWARE QUALITY &gt; Software Quality Fundamentals")+COUNTIFS('Prácticas_Snowballing'!$AB$2:$AB$281,"T033",'Prácticas_Snowballing'!$AC$2:$AC$281,"SOFTWARE QUALITY &gt; Software Quality Fundamentals")</f>
        <v>0</v>
      </c>
      <c r="CB43" s="17">
        <f>COUNTIFS('Prácticas_Revisiones'!$S$2:$S$282,"T033",'Prácticas_Revisiones'!$T$2:$T$282,"SOFTWARE QUALITY &gt; Software Quality Management Process")+COUNTIFS('Prácticas_Snowballing'!$AB$2:$AB$281,"T033",'Prácticas_Snowballing'!$AC$2:$AC$281,"SOFTWARE QUALITY &gt; Software Quality Management Process")</f>
        <v>0</v>
      </c>
      <c r="CC43" s="17">
        <f>COUNTIFS('Prácticas_Revisiones'!$S$2:$S$282,"T033",'Prácticas_Revisiones'!$T$2:$T$282,"SOFTWARE QUALITY &gt; Software Quality Assurance Process")+COUNTIFS('Prácticas_Snowballing'!$AB$2:$AB$281,"T033",'Prácticas_Snowballing'!$AC$2:$AC$281,"SOFTWARE QUALITY &gt; Software Quality Assurance Process")</f>
        <v>0</v>
      </c>
      <c r="CD43" s="17">
        <f>COUNTIFS('Prácticas_Revisiones'!$S$2:$S$282,"T033",'Prácticas_Revisiones'!$T$2:$T$282,"SOFTWARE QUALITY &gt; Software Quality Tools")+COUNTIFS('Prácticas_Snowballing'!$AB$2:$AB$281,"T033",'Prácticas_Snowballing'!$AC$2:$AC$281,"SOFTWARE QUALITY &gt; Software Quality Tools")</f>
        <v>0</v>
      </c>
      <c r="CE43" s="17">
        <f>COUNTIFS('Prácticas_Revisiones'!$S$2:$S$282,"T033",'Prácticas_Revisiones'!$T$2:$T$282,"SOFTWARE QUALITY &gt; Subárea no determinable")+COUNTIFS('Prácticas_Snowballing'!$AB$2:$AB$281,"T033",'Prácticas_Snowballing'!$AC$2:$AC$281,"SOFTWARE QUALITY &gt; Subárea no determinable")</f>
        <v>0</v>
      </c>
      <c r="CF43" s="29">
        <f t="shared" si="45"/>
        <v>0</v>
      </c>
      <c r="CG43" s="17">
        <f>COUNTIFS('Prácticas_Revisiones'!$S$2:$S$282,"T033",'Prácticas_Revisiones'!$T$2:$T$282,"SOFTWARE SECURITY &gt; Software Security Fundamentals")+COUNTIFS('Prácticas_Snowballing'!$AB$2:$AB$281,"T033",'Prácticas_Snowballing'!$AC$2:$AC$281,"SOFTWARE SECURITY &gt; Software Security Fundamentals")</f>
        <v>0</v>
      </c>
      <c r="CH43" s="17">
        <f>COUNTIFS('Prácticas_Revisiones'!$S$2:$S$282,"T033",'Prácticas_Revisiones'!$T$2:$T$282,"SOFTWARE SECURITY &gt; Security Management and Organization")+COUNTIFS('Prácticas_Snowballing'!$AB$2:$AB$281,"T033",'Prácticas_Snowballing'!$AC$2:$AC$281,"SOFTWARE SECURITY &gt; Security Management and Organization")</f>
        <v>0</v>
      </c>
      <c r="CI43" s="17">
        <f>COUNTIFS('Prácticas_Revisiones'!$S$2:$S$282,"T033",'Prácticas_Revisiones'!$T$2:$T$282,"SOFTWARE SECURITY &gt; Software Security Engineering and Process")+COUNTIFS('Prácticas_Snowballing'!$AB$2:$AB$281,"T033",'Prácticas_Snowballing'!$AC$2:$AC$281,"SOFTWARE SECURITY &gt; Software Security Engineering and Process")</f>
        <v>0</v>
      </c>
      <c r="CJ43" s="17">
        <f>COUNTIFS('Prácticas_Revisiones'!$S$2:$S$282,"T033",'Prácticas_Revisiones'!$T$2:$T$282,"SOFTWARE SECURITY &gt; Security Engineering for Software Systems")+COUNTIFS('Prácticas_Snowballing'!$AB$2:$AB$281,"T033",'Prácticas_Snowballing'!$AC$2:$AC$281,"SOFTWARE SECURITY &gt; Security Engineering for Software Systems")</f>
        <v>0</v>
      </c>
      <c r="CK43" s="17">
        <f>COUNTIFS('Prácticas_Revisiones'!$S$2:$S$282,"T033",'Prácticas_Revisiones'!$T$2:$T$282,"SOFTWARE SECURITY &gt; Software Security Tools")+COUNTIFS('Prácticas_Snowballing'!$AB$2:$AB$281,"T033",'Prácticas_Snowballing'!$AC$2:$AC$281,"SOFTWARE SECURITY &gt; Software Security Tools")</f>
        <v>0</v>
      </c>
      <c r="CL43" s="17">
        <f>COUNTIFS('Prácticas_Revisiones'!$S$2:$S$282,"T033",'Prácticas_Revisiones'!$T$2:$T$282,"SOFTWARE SECURITY &gt; Domain Specific Software Security")+COUNTIFS('Prácticas_Snowballing'!$AB$2:$AB$281,"T033",'Prácticas_Snowballing'!$AC$2:$AC$281,"SOFTWARE SECURITY &gt; Domain Specific Software Security")</f>
        <v>0</v>
      </c>
      <c r="CM43" s="17">
        <f>COUNTIFS('Prácticas_Revisiones'!$S$2:$S$282,"T033",'Prácticas_Revisiones'!$T$2:$T$282,"SOFTWARE SECURITY &gt; Subárea no determinable")+COUNTIFS('Prácticas_Snowballing'!$AB$2:$AB$281,"T033",'Prácticas_Snowballing'!$AC$2:$AC$281,"SOFTWARE SECURITY &gt; Subárea no determinable")</f>
        <v>0</v>
      </c>
      <c r="CN43" s="29">
        <f t="shared" si="46"/>
        <v>0</v>
      </c>
      <c r="CO43" s="17">
        <f>COUNTIFS('Prácticas_Revisiones'!$S$2:$S$282,"T033",'Prácticas_Revisiones'!$T$2:$T$282,"PROFESSIONAL PRACTICE &gt; Professionalism")+COUNTIFS('Prácticas_Snowballing'!$AB$2:$AB$281,"T033",'Prácticas_Snowballing'!$AC$2:$AC$281,"PROFESSIONAL PRACTICE &gt; Professionalism")</f>
        <v>0</v>
      </c>
      <c r="CP43" s="17">
        <f>COUNTIFS('Prácticas_Revisiones'!$S$2:$S$282,"T033",'Prácticas_Revisiones'!$T$2:$T$282,"PROFESSIONAL PRACTICE &gt; Group Dynamics and Psychology")+COUNTIFS('Prácticas_Snowballing'!$AB$2:$AB$281,"T033",'Prácticas_Snowballing'!$AC$2:$AC$281,"PROFESSIONAL PRACTICE &gt; Group Dynamics and Psychology")</f>
        <v>0</v>
      </c>
      <c r="CQ43" s="17">
        <f>COUNTIFS('Prácticas_Revisiones'!$S$2:$S$282,"T033",'Prácticas_Revisiones'!$T$2:$T$282,"PROFESSIONAL PRACTICE &gt; Communication Skills")+COUNTIFS('Prácticas_Snowballing'!$AB$2:$AB$281,"T033",'Prácticas_Snowballing'!$AC$2:$AC$281,"PROFESSIONAL PRACTICE &gt; Communication Skills")</f>
        <v>0</v>
      </c>
      <c r="CR43" s="17">
        <f>COUNTIFS('Prácticas_Revisiones'!$S$2:$S$282,"T033",'Prácticas_Revisiones'!$T$2:$T$282,"PROFESSIONAL PRACTICE &gt; Subárea no determinable")+COUNTIFS('Prácticas_Snowballing'!$AB$2:$AB$281,"T033",'Prácticas_Snowballing'!$AC$2:$AC$281,"PROFESSIONAL PRACTICE &gt; Subárea no determinable")</f>
        <v>0</v>
      </c>
      <c r="CS43" s="29">
        <f t="shared" si="47"/>
        <v>0</v>
      </c>
      <c r="CT43" s="17">
        <f>COUNTIFS('Prácticas_Revisiones'!$S$2:$S$282,"T033",'Prácticas_Revisiones'!$T$2:$T$282,"SOFTWARE ENG. ECONOMICS &gt; Software Engineering Economics Fundamentals")+COUNTIFS('Prácticas_Snowballing'!$AB$2:$AB$281,"T033",'Prácticas_Snowballing'!$AC$2:$AC$281,"SOFTWARE ENG. ECONOMICS &gt; Software Engineering Economics Fundamentals")</f>
        <v>0</v>
      </c>
      <c r="CU43" s="17">
        <f>COUNTIFS('Prácticas_Revisiones'!$S$2:$S$282,"T033",'Prácticas_Revisiones'!$T$2:$T$282,"SOFTWARE ENG. ECONOMICS &gt; The Engineering Decision-Making Process")+COUNTIFS('Prácticas_Snowballing'!$AB$2:$AB$281,"T033",'Prácticas_Snowballing'!$AC$2:$AC$281,"SOFTWARE ENG. ECONOMICS &gt; The Engineering Decision-Making Process")</f>
        <v>0</v>
      </c>
      <c r="CV43" s="17">
        <f>COUNTIFS('Prácticas_Revisiones'!$S$2:$S$282,"T033",'Prácticas_Revisiones'!$T$2:$T$282,"SOFTWARE ENG. ECONOMICS &gt; For-Profit Decision-Making")+COUNTIFS('Prácticas_Snowballing'!$AB$2:$AB$281,"T033",'Prácticas_Snowballing'!$AC$2:$AC$281,"SOFTWARE ENG. ECONOMICS &gt; For-Profit Decision-Making")</f>
        <v>0</v>
      </c>
      <c r="CW43" s="17">
        <f>COUNTIFS('Prácticas_Revisiones'!$S$2:$S$282,"T033",'Prácticas_Revisiones'!$T$2:$T$282,"SOFTWARE ENG. ECONOMICS &gt; Nonprofit Decision-Making")+COUNTIFS('Prácticas_Snowballing'!$AB$2:$AB$281,"T033",'Prácticas_Snowballing'!$AC$2:$AC$281,"SOFTWARE ENG. ECONOMICS &gt; Nonprofit Decision-Making")</f>
        <v>0</v>
      </c>
      <c r="CX43" s="17">
        <f>COUNTIFS('Prácticas_Revisiones'!$S$2:$S$282,"T033",'Prácticas_Revisiones'!$T$2:$T$282,"SOFTWARE ENG. ECONOMICS &gt; Present Economy Decision-Making")+COUNTIFS('Prácticas_Snowballing'!$AB$2:$AB$281,"T033",'Prácticas_Snowballing'!$AC$2:$AC$281,"SOFTWARE ENG. ECONOMICS &gt; Present Economy Decision-Making")</f>
        <v>0</v>
      </c>
      <c r="CY43" s="17">
        <f>COUNTIFS('Prácticas_Revisiones'!$S$2:$S$282,"T033",'Prácticas_Revisiones'!$T$2:$T$282,"SOFTWARE ENG. ECONOMICS &gt; Multiple-Attribute Decision-Making")+COUNTIFS('Prácticas_Snowballing'!$AB$2:$AB$281,"T033",'Prácticas_Snowballing'!$AC$2:$AC$281,"SOFTWARE ENG. ECONOMICS &gt; Multiple-Attribute Decision-Making")</f>
        <v>0</v>
      </c>
      <c r="CZ43" s="17">
        <f>COUNTIFS('Prácticas_Revisiones'!$S$2:$S$282,"T033",'Prácticas_Revisiones'!$T$2:$T$282,"SOFTWARE ENG. ECONOMICS &gt; Identifying and Characterizing Intangible Assets")+COUNTIFS('Prácticas_Snowballing'!$AB$2:$AB$281,"T033",'Prácticas_Snowballing'!$AC$2:$AC$281,"SOFTWARE ENG. ECONOMICS &gt; Identifying and Characterizing Intangible Assets")</f>
        <v>0</v>
      </c>
      <c r="DA43" s="17">
        <f>COUNTIFS('Prácticas_Revisiones'!$S$2:$S$282,"T033",'Prácticas_Revisiones'!$T$2:$T$282,"SOFTWARE ENG. ECONOMICS &gt; Estimation")+COUNTIFS('Prácticas_Snowballing'!$AB$2:$AB$281,"T033",'Prácticas_Snowballing'!$AC$2:$AC$281,"SOFTWARE ENG. ECONOMICS &gt; Estimation")</f>
        <v>0</v>
      </c>
      <c r="DB43" s="17">
        <f>COUNTIFS('Prácticas_Revisiones'!$S$2:$S$282,"T033",'Prácticas_Revisiones'!$T$2:$T$282,"SOFTWARE ENG. ECONOMICS &gt; Practical Considerations")+COUNTIFS('Prácticas_Snowballing'!$AB$2:$AB$281,"T033",'Prácticas_Snowballing'!$AC$2:$AC$281,"SOFTWARE ENG. ECONOMICS &gt; Practical Considerations")</f>
        <v>0</v>
      </c>
      <c r="DC43" s="17">
        <f>COUNTIFS('Prácticas_Revisiones'!$S$2:$S$282,"T033",'Prácticas_Revisiones'!$T$2:$T$282,"SOFTWARE ENG. ECONOMICS &gt; Related Concepts")+COUNTIFS('Prácticas_Snowballing'!$AB$2:$AB$281,"T033",'Prácticas_Snowballing'!$AC$2:$AC$281,"SOFTWARE ENG. ECONOMICS &gt; Related Concepts")</f>
        <v>0</v>
      </c>
      <c r="DD43" s="17">
        <f>COUNTIFS('Prácticas_Revisiones'!$S$2:$S$282,"T033",'Prácticas_Revisiones'!$T$2:$T$282,"SOFTWARE ENG. ECONOMICS &gt; Subárea no determinable")+COUNTIFS('Prácticas_Snowballing'!$AB$2:$AB$281,"T033",'Prácticas_Snowballing'!$AC$2:$AC$281,"SOFTWARE ENG. ECONOMICS &gt; Subárea no determinable")</f>
        <v>0</v>
      </c>
      <c r="DE43" s="29">
        <f t="shared" si="48"/>
        <v>0</v>
      </c>
      <c r="DF43" s="17">
        <f>COUNTIFS('Prácticas_Revisiones'!$S$2:$S$282,"T033",'Prácticas_Revisiones'!$T$2:$T$282,"SOFTWARE ENG. MANAGEMENT &gt; Software Engineering Management Fundamentals")+COUNTIFS('Prácticas_Snowballing'!$AB$2:$AB$281,"T033",'Prácticas_Snowballing'!$AC$2:$AC$281,"SOFTWARE ENG. MANAGEMENT &gt; Software Engineering Management Fundamentals")</f>
        <v>0</v>
      </c>
      <c r="DG43" s="17">
        <f>COUNTIFS('Prácticas_Revisiones'!$S$2:$S$282,"T033",'Prácticas_Revisiones'!$T$2:$T$282,"SOFTWARE ENG. MANAGEMENT &gt; Initiation and Scope Definition")+COUNTIFS('Prácticas_Snowballing'!$AB$2:$AB$281,"T033",'Prácticas_Snowballing'!$AC$2:$AC$281,"SOFTWARE ENG. MANAGEMENT &gt; Initiation and Scope Definition")</f>
        <v>0</v>
      </c>
      <c r="DH43" s="17">
        <f>COUNTIFS('Prácticas_Revisiones'!$S$2:$S$282,"T033",'Prácticas_Revisiones'!$T$2:$T$282,"SOFTWARE ENG. MANAGEMENT &gt; Software Project Planning")+COUNTIFS('Prácticas_Snowballing'!$AB$2:$AB$281,"T033",'Prácticas_Snowballing'!$AC$2:$AC$281,"SOFTWARE ENG. MANAGEMENT &gt; Software Project Planning")</f>
        <v>0</v>
      </c>
      <c r="DI43" s="17">
        <f>COUNTIFS('Prácticas_Revisiones'!$S$2:$S$282,"T033",'Prácticas_Revisiones'!$T$2:$T$282,"SOFTWARE ENG. MANAGEMENT &gt; Software Project Enactment")+COUNTIFS('Prácticas_Snowballing'!$AB$2:$AB$281,"T033",'Prácticas_Snowballing'!$AC$2:$AC$281,"SOFTWARE ENG. MANAGEMENT &gt; Software Project Enactment")</f>
        <v>0</v>
      </c>
      <c r="DJ43" s="17">
        <f>COUNTIFS('Prácticas_Revisiones'!$S$2:$S$282,"T033",'Prácticas_Revisiones'!$T$2:$T$282,"SOFTWARE ENG. MANAGEMENT &gt; Review and Evaluation")+COUNTIFS('Prácticas_Snowballing'!$AB$2:$AB$281,"T033",'Prácticas_Snowballing'!$AC$2:$AC$281,"SOFTWARE ENG. MANAGEMENT &gt; Review and Evaluation")</f>
        <v>0</v>
      </c>
      <c r="DK43" s="17">
        <f>COUNTIFS('Prácticas_Revisiones'!$S$2:$S$282,"T033",'Prácticas_Revisiones'!$T$2:$T$282,"SOFTWARE ENG. MANAGEMENT &gt; Closure")+COUNTIFS('Prácticas_Snowballing'!$AB$2:$AB$281,"T033",'Prácticas_Snowballing'!$AC$2:$AC$281,"SOFTWARE ENG. MANAGEMENT &gt; Closure")</f>
        <v>0</v>
      </c>
      <c r="DL43" s="17">
        <f>COUNTIFS('Prácticas_Revisiones'!$S$2:$S$282,"T033",'Prácticas_Revisiones'!$T$2:$T$282,"SOFTWARE ENG. MANAGEMENT &gt; Software Engineering Management Tools")+COUNTIFS('Prácticas_Snowballing'!$AB$2:$AB$281,"T033",'Prácticas_Snowballing'!$AC$2:$AC$281,"SOFTWARE ENG. MANAGEMENT &gt; Software Engineering Management Tools")</f>
        <v>0</v>
      </c>
      <c r="DM43" s="17">
        <f>COUNTIFS('Prácticas_Revisiones'!$S$2:$S$282,"T033",'Prácticas_Revisiones'!$T$2:$T$282,"SOFTWARE ENG. MANAGEMENT &gt; Subárea no determinable")+COUNTIFS('Prácticas_Snowballing'!$AB$2:$AB$281,"T033",'Prácticas_Snowballing'!$AC$2:$AC$281,"SOFTWARE ENG. MANAGEMENT &gt; Subárea no determinable")</f>
        <v>0</v>
      </c>
      <c r="DN43" s="29">
        <f t="shared" si="49"/>
        <v>0</v>
      </c>
      <c r="DO43" s="17">
        <f>COUNTIFS('Prácticas_Revisiones'!$S$2:$S$282,"T033",'Prácticas_Revisiones'!$T$2:$T$282,"Sin área SWEBOK")+COUNTIFS('Prácticas_Snowballing'!$AB$2:$AB$281,"T033",'Prácticas_Snowballing'!$AC$2:$AC$281,"Sin área SWEBOK")</f>
        <v>0</v>
      </c>
      <c r="DP43" s="27">
        <f t="shared" si="50"/>
        <v>1</v>
      </c>
    </row>
    <row r="44" ht="15.75" customHeight="1">
      <c r="A44" s="28"/>
      <c r="B44" s="16" t="s">
        <v>2772</v>
      </c>
      <c r="C44" s="17">
        <f>COUNTIFS('Prácticas_Revisiones'!$S$2:$S$282,"T034",'Prácticas_Revisiones'!$T$2:$T$282,"REQUIREMENTS &gt; Software Requirements Fundamentals")+COUNTIFS('Prácticas_Snowballing'!$AB$2:$AB$281,"T034",'Prácticas_Snowballing'!$AC$2:$AC$281,"REQUIREMENTS &gt; Software Requirements Fundamentals")</f>
        <v>0</v>
      </c>
      <c r="D44" s="17">
        <f>COUNTIFS('Prácticas_Revisiones'!$S$2:$S$282,"T034",'Prácticas_Revisiones'!$T$2:$T$282,"REQUIREMENTS &gt; Requirements Elicitation")+COUNTIFS('Prácticas_Snowballing'!$AB$2:$AB$281,"T034",'Prácticas_Snowballing'!$AC$2:$AC$281,"REQUIREMENTS &gt; Requirements Elicitation")</f>
        <v>0</v>
      </c>
      <c r="E44" s="17">
        <f>COUNTIFS('Prácticas_Revisiones'!$S$2:$S$282,"T034",'Prácticas_Revisiones'!$T$2:$T$282,"REQUIREMENTS &gt; Requirements Analysis")+COUNTIFS('Prácticas_Snowballing'!$AB$2:$AB$281,"T034",'Prácticas_Snowballing'!$AC$2:$AC$281,"REQUIREMENTS &gt; Requirements Analysis")</f>
        <v>0</v>
      </c>
      <c r="F44" s="17">
        <f>COUNTIFS('Prácticas_Revisiones'!$S$2:$S$282,"T034",'Prácticas_Revisiones'!$T$2:$T$282,"REQUIREMENTS &gt; Requirements Specification")+COUNTIFS('Prácticas_Snowballing'!$AB$2:$AB$281,"T034",'Prácticas_Snowballing'!$AC$2:$AC$281,"REQUIREMENTS &gt; Requirements Specification")</f>
        <v>0</v>
      </c>
      <c r="G44" s="17">
        <f>COUNTIFS('Prácticas_Revisiones'!$S$2:$S$282,"T034",'Prácticas_Revisiones'!$T$2:$T$282,"REQUIREMENTS &gt; Requirements Validation")+COUNTIFS('Prácticas_Snowballing'!$AB$2:$AB$281,"T034",'Prácticas_Snowballing'!$AC$2:$AC$281,"REQUIREMENTS &gt; Requirements Validation")</f>
        <v>0</v>
      </c>
      <c r="H44" s="17">
        <f>COUNTIFS('Prácticas_Revisiones'!$S$2:$S$282,"T034",'Prácticas_Revisiones'!$T$2:$T$282,"REQUIREMENTS &gt; Requirements Management Activities")+COUNTIFS('Prácticas_Snowballing'!$AB$2:$AB$281,"T034",'Prácticas_Snowballing'!$AC$2:$AC$281,"REQUIREMENTS &gt; Requirements Management Activities")</f>
        <v>0</v>
      </c>
      <c r="I44" s="17">
        <f>COUNTIFS('Prácticas_Revisiones'!$S$2:$S$282,"T034",'Prácticas_Revisiones'!$T$2:$T$282,"REQUIREMENTS &gt; Practical Considerations")+COUNTIFS('Prácticas_Snowballing'!$AB$2:$AB$281,"T034",'Prácticas_Snowballing'!$AC$2:$AC$281,"REQUIREMENTS &gt; Practical Considerations")</f>
        <v>0</v>
      </c>
      <c r="J44" s="17">
        <f>COUNTIFS('Prácticas_Revisiones'!$S$2:$S$282,"T034",'Prácticas_Revisiones'!$T$2:$T$282,"REQUIREMENTS &gt; Software Requirements Tools")+COUNTIFS('Prácticas_Snowballing'!$AB$2:$AB$281,"T034",'Prácticas_Snowballing'!$AC$2:$AC$281,"REQUIREMENTS &gt; Software Requirements Tools")</f>
        <v>0</v>
      </c>
      <c r="K44" s="17">
        <f>COUNTIFS('Prácticas_Revisiones'!$S$2:$S$282,"T034",'Prácticas_Revisiones'!$T$2:$T$282,"REQUIREMENTS &gt; Subárea no determinable")+COUNTIFS('Prácticas_Snowballing'!$AB$2:$AB$281,"T034",'Prácticas_Snowballing'!$AC$2:$AC$281,"REQUIREMENTS &gt; Subárea no determinable")</f>
        <v>0</v>
      </c>
      <c r="L44" s="29">
        <f t="shared" si="35"/>
        <v>0</v>
      </c>
      <c r="M44" s="17">
        <f>COUNTIFS('Prácticas_Revisiones'!$S$2:$S$282,"T034",'Prácticas_Revisiones'!$T$2:$T$282,"ARCHITECTURE &gt; Software Architecture Fundamentals")+COUNTIFS('Prácticas_Snowballing'!$AB$2:$AB$281,"T034",'Prácticas_Snowballing'!$AC$2:$AC$281,"ARCHITECTURE &gt; Software Architecture Fundamentals")</f>
        <v>0</v>
      </c>
      <c r="N44" s="17">
        <f>COUNTIFS('Prácticas_Revisiones'!$S$2:$S$282,"T034",'Prácticas_Revisiones'!$T$2:$T$282,"ARCHITECTURE &gt; Software Architecture Description")+COUNTIFS('Prácticas_Snowballing'!$AB$2:$AB$281,"T034",'Prácticas_Snowballing'!$AC$2:$AC$281,"ARCHITECTURE &gt; Software Architecture Description")</f>
        <v>0</v>
      </c>
      <c r="O44" s="17">
        <f>COUNTIFS('Prácticas_Revisiones'!$S$2:$S$282,"T034",'Prácticas_Revisiones'!$T$2:$T$282,"ARCHITECTURE &gt; Software Architecture Process")+COUNTIFS('Prácticas_Snowballing'!$AB$2:$AB$281,"T034",'Prácticas_Snowballing'!$AC$2:$AC$281,"ARCHITECTURE &gt; Software Architecture Process")</f>
        <v>0</v>
      </c>
      <c r="P44" s="17">
        <f>COUNTIFS('Prácticas_Revisiones'!$S$2:$S$282,"T034",'Prácticas_Revisiones'!$T$2:$T$282,"ARCHITECTURE &gt; Software Architecture Evaluation")+COUNTIFS('Prácticas_Snowballing'!$AB$2:$AB$281,"T034",'Prácticas_Snowballing'!$AC$2:$AC$281,"ARCHITECTURE &gt; Software Architecture Evaluation")</f>
        <v>0</v>
      </c>
      <c r="Q44" s="17">
        <f>COUNTIFS('Prácticas_Revisiones'!$S$2:$S$282,"T034",'Prácticas_Revisiones'!$T$2:$T$282,"ARCHITECTURE &gt; Subárea no determinable")+COUNTIFS('Prácticas_Snowballing'!$AB$2:$AB$281,"T034",'Prácticas_Snowballing'!$AC$2:$AC$281,"ARCHITECTURE &gt; Subárea no determinable")</f>
        <v>0</v>
      </c>
      <c r="R44" s="29">
        <f t="shared" si="36"/>
        <v>0</v>
      </c>
      <c r="S44" s="17">
        <f>COUNTIFS('Prácticas_Revisiones'!$S$2:$S$282,"T034",'Prácticas_Revisiones'!$T$2:$T$282,"DESIGN &gt; Software Design Fundamentals")+COUNTIFS('Prácticas_Snowballing'!$AB$2:$AB$281,"T034",'Prácticas_Snowballing'!$AC$2:$AC$281,"DESIGN &gt; Software Design Fundamentals")</f>
        <v>0</v>
      </c>
      <c r="T44" s="17">
        <f>COUNTIFS('Prácticas_Revisiones'!$S$2:$S$282,"T034",'Prácticas_Revisiones'!$T$2:$T$282,"DESIGN &gt; Software Design Processes")+COUNTIFS('Prácticas_Snowballing'!$AB$2:$AB$281,"T034",'Prácticas_Snowballing'!$AC$2:$AC$281,"DESIGN &gt; Software Design Processes")</f>
        <v>0</v>
      </c>
      <c r="U44" s="17">
        <f>COUNTIFS('Prácticas_Revisiones'!$S$2:$S$282,"T034",'Prácticas_Revisiones'!$T$2:$T$282,"DESIGN &gt; Software Design Qualities")+COUNTIFS('Prácticas_Snowballing'!$AB$2:$AB$281,"T034",'Prácticas_Snowballing'!$AC$2:$AC$281,"DESIGN &gt; Software Design Qualities")</f>
        <v>0</v>
      </c>
      <c r="V44" s="17">
        <f>COUNTIFS('Prácticas_Revisiones'!$S$2:$S$282,"T034",'Prácticas_Revisiones'!$T$2:$T$282,"DESIGN &gt; Recording Software Design")+COUNTIFS('Prácticas_Snowballing'!$AB$2:$AB$281,"T034",'Prácticas_Snowballing'!$AC$2:$AC$281,"DESIGN &gt; Recording Software Design")</f>
        <v>0</v>
      </c>
      <c r="W44" s="17">
        <f>COUNTIFS('Prácticas_Revisiones'!$S$2:$S$282,"T034",'Prácticas_Revisiones'!$T$2:$T$282,"DESIGN &gt; Software Design Strategies and Methods")+COUNTIFS('Prácticas_Snowballing'!$AB$2:$AB$281,"T034",'Prácticas_Snowballing'!$AC$2:$AC$281,"DESIGN &gt; Software Design Strategies and Methods")</f>
        <v>0</v>
      </c>
      <c r="X44" s="17">
        <f>COUNTIFS('Prácticas_Revisiones'!$S$2:$S$282,"T034",'Prácticas_Revisiones'!$T$2:$T$282,"DESIGN &gt; Software Design Analysis and Evaluations")+COUNTIFS('Prácticas_Snowballing'!$AB$2:$AB$281,"T034",'Prácticas_Snowballing'!$AC$2:$AC$281,"DESIGN &gt; Software Design Analysis and Evaluations")</f>
        <v>0</v>
      </c>
      <c r="Y44" s="17">
        <f>COUNTIFS('Prácticas_Revisiones'!$S$2:$S$282,"T034",'Prácticas_Revisiones'!$T$2:$T$282,"DESIGN &gt; Subárea no determinable")+COUNTIFS('Prácticas_Snowballing'!$AB$2:$AB$281,"T034",'Prácticas_Snowballing'!$AC$2:$AC$281,"DESIGN &gt; Subárea no determinable")</f>
        <v>0</v>
      </c>
      <c r="Z44" s="29">
        <f t="shared" si="37"/>
        <v>0</v>
      </c>
      <c r="AA44" s="17">
        <f>COUNTIFS('Prácticas_Revisiones'!$S$2:$S$282,"T034",'Prácticas_Revisiones'!$T$2:$T$282,"CONSTRUCTION &gt; Software Construction Fundamentals")+COUNTIFS('Prácticas_Snowballing'!$AB$2:$AB$281,"T034",'Prácticas_Snowballing'!$AC$2:$AC$281,"CONSTRUCTION &gt; Software Construction Fundamentals")</f>
        <v>0</v>
      </c>
      <c r="AB44" s="17">
        <f>COUNTIFS('Prácticas_Revisiones'!$S$2:$S$282,"T034",'Prácticas_Revisiones'!$T$2:$T$282,"CONSTRUCTION &gt; Managing Construction")+COUNTIFS('Prácticas_Snowballing'!$AB$2:$AB$281,"T034",'Prácticas_Snowballing'!$AC$2:$AC$281,"CONSTRUCTION &gt; Managing Construction")</f>
        <v>0</v>
      </c>
      <c r="AC44" s="17">
        <f>COUNTIFS('Prácticas_Revisiones'!$S$2:$S$282,"T034",'Prácticas_Revisiones'!$T$2:$T$282,"CONSTRUCTION &gt; Practical Considerations")+COUNTIFS('Prácticas_Snowballing'!$AB$2:$AB$281,"T034",'Prácticas_Snowballing'!$AC$2:$AC$281,"CONSTRUCTION &gt; Practical Considerations")</f>
        <v>0</v>
      </c>
      <c r="AD44" s="17">
        <f>COUNTIFS('Prácticas_Revisiones'!$S$2:$S$282,"T034",'Prácticas_Revisiones'!$T$2:$T$282,"CONSTRUCTION &gt; Construction Technologies")+COUNTIFS('Prácticas_Snowballing'!$AB$2:$AB$281,"T034",'Prácticas_Snowballing'!$AC$2:$AC$281,"CONSTRUCTION &gt; Construction Technologies")</f>
        <v>0</v>
      </c>
      <c r="AE44" s="17">
        <f>COUNTIFS('Prácticas_Revisiones'!$S$2:$S$282,"T034",'Prácticas_Revisiones'!$T$2:$T$282,"CONSTRUCTION &gt; Software Construction Tools")+COUNTIFS('Prácticas_Snowballing'!$AB$2:$AB$281,"T034",'Prácticas_Snowballing'!$AC$2:$AC$281,"CONSTRUCTION &gt; Software Construction Tools")</f>
        <v>0</v>
      </c>
      <c r="AF44" s="17">
        <f>COUNTIFS('Prácticas_Revisiones'!$S$2:$S$282,"T034",'Prácticas_Revisiones'!$T$2:$T$282,"CONSTRUCTION &gt; Subárea no determinable")+COUNTIFS('Prácticas_Snowballing'!$AB$2:$AB$281,"T034",'Prácticas_Snowballing'!$AC$2:$AC$281,"CONSTRUCTION &gt; Subárea no determinable")</f>
        <v>0</v>
      </c>
      <c r="AG44" s="29">
        <f t="shared" si="38"/>
        <v>0</v>
      </c>
      <c r="AH44" s="17">
        <f>COUNTIFS('Prácticas_Revisiones'!$S$2:$S$282,"T034",'Prácticas_Revisiones'!$T$2:$T$282,"SOFTWARE TESTING &gt; Software Testing Fundamentals")+COUNTIFS('Prácticas_Snowballing'!$AB$2:$AB$281,"T034",'Prácticas_Snowballing'!$AC$2:$AC$281,"SOFTWARE TESTING &gt; Software Testing Fundamentals")</f>
        <v>0</v>
      </c>
      <c r="AI44" s="17">
        <f>COUNTIFS('Prácticas_Revisiones'!$S$2:$S$282,"T034",'Prácticas_Revisiones'!$T$2:$T$282,"SOFTWARE TESTING &gt; Test Levels")+COUNTIFS('Prácticas_Snowballing'!$AB$2:$AB$281,"T034",'Prácticas_Snowballing'!$AC$2:$AC$281,"SOFTWARE TESTING &gt; Test Levels")</f>
        <v>0</v>
      </c>
      <c r="AJ44" s="17">
        <f>COUNTIFS('Prácticas_Revisiones'!$S$2:$S$282,"T034",'Prácticas_Revisiones'!$T$2:$T$282,"SOFTWARE TESTING &gt; Test Techniques")+COUNTIFS('Prácticas_Snowballing'!$AB$2:$AB$281,"T034",'Prácticas_Snowballing'!$AC$2:$AC$281,"SOFTWARE TESTING &gt; Test Techniques")</f>
        <v>0</v>
      </c>
      <c r="AK44" s="17">
        <f>COUNTIFS('Prácticas_Revisiones'!$S$2:$S$282,"T034",'Prácticas_Revisiones'!$T$2:$T$282,"SOFTWARE TESTING &gt; Test-Related Measures")+COUNTIFS('Prácticas_Snowballing'!$AB$2:$AB$281,"T034",'Prácticas_Snowballing'!$AC$2:$AC$281,"SOFTWARE TESTING &gt; Test-Related Measures")</f>
        <v>0</v>
      </c>
      <c r="AL44" s="17">
        <f>COUNTIFS('Prácticas_Revisiones'!$S$2:$S$282,"T034",'Prácticas_Revisiones'!$T$2:$T$282,"SOFTWARE TESTING &gt; Test Process")+COUNTIFS('Prácticas_Snowballing'!$AB$2:$AB$281,"T034",'Prácticas_Snowballing'!$AC$2:$AC$281,"SOFTWARE TESTING &gt; Test Process")</f>
        <v>0</v>
      </c>
      <c r="AM44" s="17">
        <f>COUNTIFS('Prácticas_Revisiones'!$S$2:$S$282,"T034",'Prácticas_Revisiones'!$T$2:$T$282,"SOFTWARE TESTING &gt; Software Testing in the Development Processes...")+COUNTIFS('Prácticas_Snowballing'!$AB$2:$AB$281,"T034",'Prácticas_Snowballing'!$AC$2:$AC$281,"SOFTWARE TESTING &gt; Software Testing in the Development Processes...")</f>
        <v>0</v>
      </c>
      <c r="AN44" s="17">
        <f>COUNTIFS('Prácticas_Revisiones'!$S$2:$S$282,"T034",'Prácticas_Revisiones'!$T$2:$T$282,"SOFTWARE TESTING &gt; Testing of and Testing Through Emerging Tech...")+COUNTIFS('Prácticas_Snowballing'!$AB$2:$AB$281,"T034",'Prácticas_Snowballing'!$AC$2:$AC$281,"SOFTWARE TESTING &gt; Testing of and Testing Through Emerging Tech...")</f>
        <v>0</v>
      </c>
      <c r="AO44" s="17">
        <f>COUNTIFS('Prácticas_Revisiones'!$S$2:$S$282,"T034",'Prácticas_Revisiones'!$T$2:$T$282,"SOFTWARE TESTING &gt; Software Testing Tools")+COUNTIFS('Prácticas_Snowballing'!$AB$2:$AB$281,"T034",'Prácticas_Snowballing'!$AC$2:$AC$281,"SOFTWARE TESTING &gt; Software Testing Tools")</f>
        <v>0</v>
      </c>
      <c r="AP44" s="17">
        <f>COUNTIFS('Prácticas_Revisiones'!$S$2:$S$282,"T034",'Prácticas_Revisiones'!$T$2:$T$282,"SOFTWARE TESTING &gt; Subárea no determinable")+COUNTIFS('Prácticas_Snowballing'!$AB$2:$AB$281,"T034",'Prácticas_Snowballing'!$AC$2:$AC$281,"SOFTWARE TESTING &gt; Subárea no determinable")</f>
        <v>0</v>
      </c>
      <c r="AQ44" s="29">
        <f t="shared" si="39"/>
        <v>0</v>
      </c>
      <c r="AR44" s="17">
        <f>COUNTIFS('Prácticas_Revisiones'!$S$2:$S$282,"T034",'Prácticas_Revisiones'!$T$2:$T$282,"SOFTWARE ENG. OPERATIONS &gt; Software Engineering Operations Fundamentals")+COUNTIFS('Prácticas_Snowballing'!$AB$2:$AB$281,"T034",'Prácticas_Snowballing'!$AC$2:$AC$281,"SOFTWARE ENG. OPERATIONS &gt; Software Engineering Operations Fundamentals")</f>
        <v>0</v>
      </c>
      <c r="AS44" s="17">
        <f>COUNTIFS('Prácticas_Revisiones'!$S$2:$S$282,"T034",'Prácticas_Revisiones'!$T$2:$T$282,"SOFTWARE ENG. OPERATIONS &gt; Software Engineering Operations Planning")+COUNTIFS('Prácticas_Snowballing'!$AB$2:$AB$281,"T034",'Prácticas_Snowballing'!$AC$2:$AC$281,"SOFTWARE ENG. OPERATIONS &gt; Software Engineering Operations Planning")</f>
        <v>0</v>
      </c>
      <c r="AT44" s="17">
        <f>COUNTIFS('Prácticas_Revisiones'!$S$2:$S$282,"T034",'Prácticas_Revisiones'!$T$2:$T$282,"SOFTWARE ENG. OPERATIONS &gt; Software Engineering Operations Delivery")+COUNTIFS('Prácticas_Snowballing'!$AB$2:$AB$281,"T034",'Prácticas_Snowballing'!$AC$2:$AC$281,"SOFTWARE ENG. OPERATIONS &gt; Software Engineering Operations Delivery")</f>
        <v>0</v>
      </c>
      <c r="AU44" s="17">
        <f>COUNTIFS('Prácticas_Revisiones'!$S$2:$S$282,"T034",'Prácticas_Revisiones'!$T$2:$T$282,"SOFTWARE ENG. OPERATIONS &gt; Software Engineering Operations Control")+COUNTIFS('Prácticas_Snowballing'!$AB$2:$AB$281,"T034",'Prácticas_Snowballing'!$AC$2:$AC$281,"SOFTWARE ENG. OPERATIONS &gt; Software Engineering Operations Control")</f>
        <v>0</v>
      </c>
      <c r="AV44" s="17">
        <f>COUNTIFS('Prácticas_Revisiones'!$S$2:$S$282,"T034",'Prácticas_Revisiones'!$T$2:$T$282,"SOFTWARE ENG. OPERATIONS &gt; Practical Considerations")+COUNTIFS('Prácticas_Snowballing'!$AB$2:$AB$281,"T034",'Prácticas_Snowballing'!$AC$2:$AC$281,"SOFTWARE ENG. OPERATIONS &gt; Practical Considerations")</f>
        <v>0</v>
      </c>
      <c r="AW44" s="17">
        <f>COUNTIFS('Prácticas_Revisiones'!$S$2:$S$282,"T034",'Prácticas_Revisiones'!$T$2:$T$282,"SOFTWARE ENG. OPERATIONS &gt; Software Engineering Operations Tools")+COUNTIFS('Prácticas_Snowballing'!$AB$2:$AB$281,"T034",'Prácticas_Snowballing'!$AC$2:$AC$281,"SOFTWARE ENG. OPERATIONS &gt; Software Engineering Operations Tools")</f>
        <v>0</v>
      </c>
      <c r="AX44" s="17">
        <f>COUNTIFS('Prácticas_Revisiones'!$S$2:$S$282,"T034",'Prácticas_Revisiones'!$T$2:$T$282,"SOFTWARE ENG. OPERATIONS &gt; Subárea no determinable")+COUNTIFS('Prácticas_Snowballing'!$AB$2:$AB$281,"T034",'Prácticas_Snowballing'!$AC$2:$AC$281,"SOFTWARE ENG. OPERATIONS &gt; Subárea no determinable")</f>
        <v>0</v>
      </c>
      <c r="AY44" s="29">
        <f t="shared" si="40"/>
        <v>0</v>
      </c>
      <c r="AZ44" s="17">
        <f>COUNTIFS('Prácticas_Revisiones'!$S$2:$S$282,"T034",'Prácticas_Revisiones'!$T$2:$T$282,"MAINTENANCE &gt; Software Maintenance Fundamentals")+COUNTIFS('Prácticas_Snowballing'!$AB$2:$AB$281,"T034",'Prácticas_Snowballing'!$AC$2:$AC$281,"MAINTENANCE &gt; Software Maintenance Fundamentals")</f>
        <v>0</v>
      </c>
      <c r="BA44" s="17">
        <f>COUNTIFS('Prácticas_Revisiones'!$S$2:$S$282,"T034",'Prácticas_Revisiones'!$T$2:$T$282,"MAINTENANCE &gt; Key Issues in Software Maintenance")+COUNTIFS('Prácticas_Snowballing'!$AB$2:$AB$281,"T034",'Prácticas_Snowballing'!$AC$2:$AC$281,"MAINTENANCE &gt; Key Issues in Software Maintenance")</f>
        <v>0</v>
      </c>
      <c r="BB44" s="17">
        <f>COUNTIFS('Prácticas_Revisiones'!$S$2:$S$282,"T034",'Prácticas_Revisiones'!$T$2:$T$282,"MAINTENANCE &gt; Software Maintenance Processes")+COUNTIFS('Prácticas_Snowballing'!$AB$2:$AB$281,"T034",'Prácticas_Snowballing'!$AC$2:$AC$281,"MAINTENANCE &gt; Software Maintenance Processes")</f>
        <v>0</v>
      </c>
      <c r="BC44" s="17">
        <f>COUNTIFS('Prácticas_Revisiones'!$S$2:$S$282,"T034",'Prácticas_Revisiones'!$T$2:$T$282,"MAINTENANCE &gt; Software Maintenance Techniques")+COUNTIFS('Prácticas_Snowballing'!$AB$2:$AB$281,"T034",'Prácticas_Snowballing'!$AC$2:$AC$281,"MAINTENANCE &gt; Software Maintenance Techniques")</f>
        <v>0</v>
      </c>
      <c r="BD44" s="17">
        <f>COUNTIFS('Prácticas_Revisiones'!$S$2:$S$282,"T034",'Prácticas_Revisiones'!$T$2:$T$282,"MAINTENANCE &gt; Software Maintenance Tools")+COUNTIFS('Prácticas_Snowballing'!$AB$2:$AB$281,"T034",'Prácticas_Snowballing'!$AC$2:$AC$281,"MAINTENANCE &gt; Software Maintenance Tools")</f>
        <v>0</v>
      </c>
      <c r="BE44" s="17">
        <f>COUNTIFS('Prácticas_Revisiones'!$S$2:$S$282,"T034",'Prácticas_Revisiones'!$T$2:$T$282,"MAINTENANCE &gt; Subárea no determinable")+COUNTIFS('Prácticas_Snowballing'!$AB$2:$AB$281,"T034",'Prácticas_Snowballing'!$AC$2:$AC$281,"MAINTENANCE &gt; Subárea no determinable")</f>
        <v>0</v>
      </c>
      <c r="BF44" s="29">
        <f t="shared" si="41"/>
        <v>0</v>
      </c>
      <c r="BG44" s="17">
        <f>COUNTIFS('Prácticas_Revisiones'!$S$2:$S$282,"T034",'Prácticas_Revisiones'!$T$2:$T$282,"SOFTWARE CONFIG. MGMT. &gt; Management of the SCM Process")+COUNTIFS('Prácticas_Snowballing'!$AB$2:$AB$281,"T034",'Prácticas_Snowballing'!$AC$2:$AC$281,"SOFTWARE CONFIG. MGMT. &gt; Management of the SCM Process")</f>
        <v>0</v>
      </c>
      <c r="BH44" s="17">
        <f>COUNTIFS('Prácticas_Revisiones'!$S$2:$S$282,"T034",'Prácticas_Revisiones'!$T$2:$T$282,"SOFTWARE CONFIG. MGMT. &gt; Software Configuration Identification")+COUNTIFS('Prácticas_Snowballing'!$AB$2:$AB$281,"T034",'Prácticas_Snowballing'!$AC$2:$AC$281,"SOFTWARE CONFIG. MGMT. &gt; Software Configuration Identification")</f>
        <v>0</v>
      </c>
      <c r="BI44" s="17">
        <f>COUNTIFS('Prácticas_Revisiones'!$S$2:$S$282,"T034",'Prácticas_Revisiones'!$T$2:$T$282,"SOFTWARE CONFIG. MGMT. &gt; Software Configuration Change Control")+COUNTIFS('Prácticas_Snowballing'!$AB$2:$AB$281,"T034",'Prácticas_Snowballing'!$AC$2:$AC$281,"SOFTWARE CONFIG. MGMT. &gt; Software Configuration Change Control")</f>
        <v>0</v>
      </c>
      <c r="BJ44" s="17">
        <f>COUNTIFS('Prácticas_Revisiones'!$S$2:$S$282,"T034",'Prácticas_Revisiones'!$T$2:$T$282,"SOFTWARE CONFIG. MGMT. &gt; Software Configuration Status Accounting")+COUNTIFS('Prácticas_Snowballing'!$AB$2:$AB$281,"T034",'Prácticas_Snowballing'!$AC$2:$AC$281,"SOFTWARE CONFIG. MGMT. &gt; Software Configuration Status Accounting")</f>
        <v>0</v>
      </c>
      <c r="BK44" s="17">
        <f>COUNTIFS('Prácticas_Revisiones'!$S$2:$S$282,"T034",'Prácticas_Revisiones'!$T$2:$T$282,"SOFTWARE CONFIG. MGMT. &gt; Software Configuration Auditing")+COUNTIFS('Prácticas_Snowballing'!$AB$2:$AB$281,"T034",'Prácticas_Snowballing'!$AC$2:$AC$281,"SOFTWARE CONFIG. MGMT. &gt; Software Configuration Auditing")</f>
        <v>0</v>
      </c>
      <c r="BL44" s="17">
        <f>COUNTIFS('Prácticas_Revisiones'!$S$2:$S$282,"T034",'Prácticas_Revisiones'!$T$2:$T$282,"SOFTWARE CONFIG. MGMT. &gt; Software Release Management and Delivery")+COUNTIFS('Prácticas_Snowballing'!$AB$2:$AB$281,"T034",'Prácticas_Snowballing'!$AC$2:$AC$281,"SOFTWARE CONFIG. MGMT. &gt; Software Release Management and Delivery")</f>
        <v>0</v>
      </c>
      <c r="BM44" s="17">
        <f>COUNTIFS('Prácticas_Revisiones'!$S$2:$S$282,"T034",'Prácticas_Revisiones'!$T$2:$T$282,"SOFTWARE CONFIG. MGMT. &gt; Software Configuration Management Tools")+COUNTIFS('Prácticas_Snowballing'!$AB$2:$AB$281,"T034",'Prácticas_Snowballing'!$AC$2:$AC$281,"SOFTWARE CONFIG. MGMT. &gt; Software Configuration Management Tools")</f>
        <v>0</v>
      </c>
      <c r="BN44" s="17">
        <f>COUNTIFS('Prácticas_Revisiones'!$S$2:$S$282,"T034",'Prácticas_Revisiones'!$T$2:$T$282,"SOFTWARE CONFIG. MGMT. &gt; Subárea no determinable")+COUNTIFS('Prácticas_Snowballing'!$AB$2:$AB$281,"T034",'Prácticas_Snowballing'!$AC$2:$AC$281,"SOFTWARE CONFIG. MGMT. &gt; Subárea no determinable")</f>
        <v>0</v>
      </c>
      <c r="BO44" s="29">
        <f t="shared" si="42"/>
        <v>0</v>
      </c>
      <c r="BP44" s="17">
        <f>COUNTIFS('Prácticas_Revisiones'!$S$2:$S$282,"T034",'Prácticas_Revisiones'!$T$2:$T$282,"SOFTWARE ENG. PROCESS &gt; Software Engineering Process Fundamentals")+COUNTIFS('Prácticas_Snowballing'!$AB$2:$AB$281,"T034",'Prácticas_Snowballing'!$AC$2:$AC$281,"SOFTWARE ENG. PROCESS &gt; Software Engineering Process Fundamentals")</f>
        <v>0</v>
      </c>
      <c r="BQ44" s="17">
        <f>COUNTIFS('Prácticas_Revisiones'!$S$2:$S$282,"T034",'Prácticas_Revisiones'!$T$2:$T$282,"SOFTWARE ENG. PROCESS &gt; Life Cycles")+COUNTIFS('Prácticas_Snowballing'!$AB$2:$AB$281,"T034",'Prácticas_Snowballing'!$AC$2:$AC$281,"SOFTWARE ENG. PROCESS &gt; Life Cycles")</f>
        <v>0</v>
      </c>
      <c r="BR44" s="17">
        <f>COUNTIFS('Prácticas_Revisiones'!$S$2:$S$282,"T034",'Prácticas_Revisiones'!$T$2:$T$282,"SOFTWARE ENG. PROCESS &gt; Software Process Assessment and Improvement")+COUNTIFS('Prácticas_Snowballing'!$AB$2:$AB$281,"T034",'Prácticas_Snowballing'!$AC$2:$AC$281,"SOFTWARE ENG. PROCESS &gt; Software Process Assessment and Improvement")</f>
        <v>0</v>
      </c>
      <c r="BS44" s="17">
        <f>COUNTIFS('Prácticas_Revisiones'!$S$2:$S$282,"T034",'Prácticas_Revisiones'!$T$2:$T$282,"SOFTWARE ENG. PROCESS &gt; Subárea no determinable")+COUNTIFS('Prácticas_Snowballing'!$AB$2:$AB$281,"T034",'Prácticas_Snowballing'!$AC$2:$AC$281,"SOFTWARE ENG. PROCESS &gt; Subárea no determinable")</f>
        <v>0</v>
      </c>
      <c r="BT44" s="29">
        <f t="shared" si="43"/>
        <v>0</v>
      </c>
      <c r="BU44" s="17">
        <f>COUNTIFS('Prácticas_Revisiones'!$S$2:$S$282,"T034",'Prácticas_Revisiones'!$T$2:$T$282,"SOFTWARE ENG. MODELS/METH. &gt; Modeling")+COUNTIFS('Prácticas_Snowballing'!$AB$2:$AB$281,"T034",'Prácticas_Snowballing'!$AC$2:$AC$281,"SOFTWARE ENG. MODELS/METH. &gt; Modeling")</f>
        <v>0</v>
      </c>
      <c r="BV44" s="17">
        <f>COUNTIFS('Prácticas_Revisiones'!$S$2:$S$282,"T034",'Prácticas_Revisiones'!$T$2:$T$282,"SOFTWARE ENG. MODELS/METH. &gt; Types of Models")+COUNTIFS('Prácticas_Snowballing'!$AB$2:$AB$281,"T034",'Prácticas_Snowballing'!$AC$2:$AC$281,"SOFTWARE ENG. MODELS/METH. &gt; Types of Models")</f>
        <v>0</v>
      </c>
      <c r="BW44" s="17">
        <f>COUNTIFS('Prácticas_Revisiones'!$S$2:$S$282,"T034",'Prácticas_Revisiones'!$T$2:$T$282,"SOFTWARE ENG. MODELS/METH. &gt; Analysis of Models")+COUNTIFS('Prácticas_Snowballing'!$AB$2:$AB$281,"T034",'Prácticas_Snowballing'!$AC$2:$AC$281,"SOFTWARE ENG. MODELS/METH. &gt; Analysis of Models")</f>
        <v>0</v>
      </c>
      <c r="BX44" s="17">
        <f>COUNTIFS('Prácticas_Revisiones'!$S$2:$S$282,"T034",'Prácticas_Revisiones'!$T$2:$T$282,"SOFTWARE ENG. MODELS/METH. &gt; Software Engineering Methods")+COUNTIFS('Prácticas_Snowballing'!$AB$2:$AB$281,"T034",'Prácticas_Snowballing'!$AC$2:$AC$281,"SOFTWARE ENG. MODELS/METH. &gt; Software Engineering Methods")</f>
        <v>0</v>
      </c>
      <c r="BY44" s="17">
        <f>COUNTIFS('Prácticas_Revisiones'!$S$2:$S$282,"T034",'Prácticas_Revisiones'!$T$2:$T$282,"SOFTWARE ENG. MODELS/METH. &gt; Subárea no determinable")+COUNTIFS('Prácticas_Snowballing'!$AB$2:$AB$281,"T034",'Prácticas_Snowballing'!$AC$2:$AC$281,"SOFTWARE ENG. MODELS/METH. &gt; Subárea no determinable")</f>
        <v>0</v>
      </c>
      <c r="BZ44" s="29">
        <f t="shared" si="44"/>
        <v>0</v>
      </c>
      <c r="CA44" s="17">
        <f>COUNTIFS('Prácticas_Revisiones'!$S$2:$S$282,"T034",'Prácticas_Revisiones'!$T$2:$T$282,"SOFTWARE QUALITY &gt; Software Quality Fundamentals")+COUNTIFS('Prácticas_Snowballing'!$AB$2:$AB$281,"T034",'Prácticas_Snowballing'!$AC$2:$AC$281,"SOFTWARE QUALITY &gt; Software Quality Fundamentals")</f>
        <v>0</v>
      </c>
      <c r="CB44" s="17">
        <f>COUNTIFS('Prácticas_Revisiones'!$S$2:$S$282,"T034",'Prácticas_Revisiones'!$T$2:$T$282,"SOFTWARE QUALITY &gt; Software Quality Management Process")+COUNTIFS('Prácticas_Snowballing'!$AB$2:$AB$281,"T034",'Prácticas_Snowballing'!$AC$2:$AC$281,"SOFTWARE QUALITY &gt; Software Quality Management Process")</f>
        <v>0</v>
      </c>
      <c r="CC44" s="17">
        <f>COUNTIFS('Prácticas_Revisiones'!$S$2:$S$282,"T034",'Prácticas_Revisiones'!$T$2:$T$282,"SOFTWARE QUALITY &gt; Software Quality Assurance Process")+COUNTIFS('Prácticas_Snowballing'!$AB$2:$AB$281,"T034",'Prácticas_Snowballing'!$AC$2:$AC$281,"SOFTWARE QUALITY &gt; Software Quality Assurance Process")</f>
        <v>0</v>
      </c>
      <c r="CD44" s="17">
        <f>COUNTIFS('Prácticas_Revisiones'!$S$2:$S$282,"T034",'Prácticas_Revisiones'!$T$2:$T$282,"SOFTWARE QUALITY &gt; Software Quality Tools")+COUNTIFS('Prácticas_Snowballing'!$AB$2:$AB$281,"T034",'Prácticas_Snowballing'!$AC$2:$AC$281,"SOFTWARE QUALITY &gt; Software Quality Tools")</f>
        <v>0</v>
      </c>
      <c r="CE44" s="17">
        <f>COUNTIFS('Prácticas_Revisiones'!$S$2:$S$282,"T034",'Prácticas_Revisiones'!$T$2:$T$282,"SOFTWARE QUALITY &gt; Subárea no determinable")+COUNTIFS('Prácticas_Snowballing'!$AB$2:$AB$281,"T034",'Prácticas_Snowballing'!$AC$2:$AC$281,"SOFTWARE QUALITY &gt; Subárea no determinable")</f>
        <v>0</v>
      </c>
      <c r="CF44" s="29">
        <f t="shared" si="45"/>
        <v>0</v>
      </c>
      <c r="CG44" s="17">
        <f>COUNTIFS('Prácticas_Revisiones'!$S$2:$S$282,"T034",'Prácticas_Revisiones'!$T$2:$T$282,"SOFTWARE SECURITY &gt; Software Security Fundamentals")+COUNTIFS('Prácticas_Snowballing'!$AB$2:$AB$281,"T034",'Prácticas_Snowballing'!$AC$2:$AC$281,"SOFTWARE SECURITY &gt; Software Security Fundamentals")</f>
        <v>0</v>
      </c>
      <c r="CH44" s="17">
        <f>COUNTIFS('Prácticas_Revisiones'!$S$2:$S$282,"T034",'Prácticas_Revisiones'!$T$2:$T$282,"SOFTWARE SECURITY &gt; Security Management and Organization")+COUNTIFS('Prácticas_Snowballing'!$AB$2:$AB$281,"T034",'Prácticas_Snowballing'!$AC$2:$AC$281,"SOFTWARE SECURITY &gt; Security Management and Organization")</f>
        <v>0</v>
      </c>
      <c r="CI44" s="17">
        <f>COUNTIFS('Prácticas_Revisiones'!$S$2:$S$282,"T034",'Prácticas_Revisiones'!$T$2:$T$282,"SOFTWARE SECURITY &gt; Software Security Engineering and Process")+COUNTIFS('Prácticas_Snowballing'!$AB$2:$AB$281,"T034",'Prácticas_Snowballing'!$AC$2:$AC$281,"SOFTWARE SECURITY &gt; Software Security Engineering and Process")</f>
        <v>0</v>
      </c>
      <c r="CJ44" s="17">
        <f>COUNTIFS('Prácticas_Revisiones'!$S$2:$S$282,"T034",'Prácticas_Revisiones'!$T$2:$T$282,"SOFTWARE SECURITY &gt; Security Engineering for Software Systems")+COUNTIFS('Prácticas_Snowballing'!$AB$2:$AB$281,"T034",'Prácticas_Snowballing'!$AC$2:$AC$281,"SOFTWARE SECURITY &gt; Security Engineering for Software Systems")</f>
        <v>0</v>
      </c>
      <c r="CK44" s="17">
        <f>COUNTIFS('Prácticas_Revisiones'!$S$2:$S$282,"T034",'Prácticas_Revisiones'!$T$2:$T$282,"SOFTWARE SECURITY &gt; Software Security Tools")+COUNTIFS('Prácticas_Snowballing'!$AB$2:$AB$281,"T034",'Prácticas_Snowballing'!$AC$2:$AC$281,"SOFTWARE SECURITY &gt; Software Security Tools")</f>
        <v>0</v>
      </c>
      <c r="CL44" s="17">
        <f>COUNTIFS('Prácticas_Revisiones'!$S$2:$S$282,"T034",'Prácticas_Revisiones'!$T$2:$T$282,"SOFTWARE SECURITY &gt; Domain Specific Software Security")+COUNTIFS('Prácticas_Snowballing'!$AB$2:$AB$281,"T034",'Prácticas_Snowballing'!$AC$2:$AC$281,"SOFTWARE SECURITY &gt; Domain Specific Software Security")</f>
        <v>0</v>
      </c>
      <c r="CM44" s="17">
        <f>COUNTIFS('Prácticas_Revisiones'!$S$2:$S$282,"T034",'Prácticas_Revisiones'!$T$2:$T$282,"SOFTWARE SECURITY &gt; Subárea no determinable")+COUNTIFS('Prácticas_Snowballing'!$AB$2:$AB$281,"T034",'Prácticas_Snowballing'!$AC$2:$AC$281,"SOFTWARE SECURITY &gt; Subárea no determinable")</f>
        <v>0</v>
      </c>
      <c r="CN44" s="29">
        <f t="shared" si="46"/>
        <v>0</v>
      </c>
      <c r="CO44" s="17">
        <f>COUNTIFS('Prácticas_Revisiones'!$S$2:$S$282,"T034",'Prácticas_Revisiones'!$T$2:$T$282,"PROFESSIONAL PRACTICE &gt; Professionalism")+COUNTIFS('Prácticas_Snowballing'!$AB$2:$AB$281,"T034",'Prácticas_Snowballing'!$AC$2:$AC$281,"PROFESSIONAL PRACTICE &gt; Professionalism")</f>
        <v>0</v>
      </c>
      <c r="CP44" s="17">
        <f>COUNTIFS('Prácticas_Revisiones'!$S$2:$S$282,"T034",'Prácticas_Revisiones'!$T$2:$T$282,"PROFESSIONAL PRACTICE &gt; Group Dynamics and Psychology")+COUNTIFS('Prácticas_Snowballing'!$AB$2:$AB$281,"T034",'Prácticas_Snowballing'!$AC$2:$AC$281,"PROFESSIONAL PRACTICE &gt; Group Dynamics and Psychology")</f>
        <v>0</v>
      </c>
      <c r="CQ44" s="17">
        <f>COUNTIFS('Prácticas_Revisiones'!$S$2:$S$282,"T034",'Prácticas_Revisiones'!$T$2:$T$282,"PROFESSIONAL PRACTICE &gt; Communication Skills")+COUNTIFS('Prácticas_Snowballing'!$AB$2:$AB$281,"T034",'Prácticas_Snowballing'!$AC$2:$AC$281,"PROFESSIONAL PRACTICE &gt; Communication Skills")</f>
        <v>0</v>
      </c>
      <c r="CR44" s="17">
        <f>COUNTIFS('Prácticas_Revisiones'!$S$2:$S$282,"T034",'Prácticas_Revisiones'!$T$2:$T$282,"PROFESSIONAL PRACTICE &gt; Subárea no determinable")+COUNTIFS('Prácticas_Snowballing'!$AB$2:$AB$281,"T034",'Prácticas_Snowballing'!$AC$2:$AC$281,"PROFESSIONAL PRACTICE &gt; Subárea no determinable")</f>
        <v>0</v>
      </c>
      <c r="CS44" s="29">
        <f t="shared" si="47"/>
        <v>0</v>
      </c>
      <c r="CT44" s="17">
        <f>COUNTIFS('Prácticas_Revisiones'!$S$2:$S$282,"T034",'Prácticas_Revisiones'!$T$2:$T$282,"SOFTWARE ENG. ECONOMICS &gt; Software Engineering Economics Fundamentals")+COUNTIFS('Prácticas_Snowballing'!$AB$2:$AB$281,"T034",'Prácticas_Snowballing'!$AC$2:$AC$281,"SOFTWARE ENG. ECONOMICS &gt; Software Engineering Economics Fundamentals")</f>
        <v>0</v>
      </c>
      <c r="CU44" s="17">
        <f>COUNTIFS('Prácticas_Revisiones'!$S$2:$S$282,"T034",'Prácticas_Revisiones'!$T$2:$T$282,"SOFTWARE ENG. ECONOMICS &gt; The Engineering Decision-Making Process")+COUNTIFS('Prácticas_Snowballing'!$AB$2:$AB$281,"T034",'Prácticas_Snowballing'!$AC$2:$AC$281,"SOFTWARE ENG. ECONOMICS &gt; The Engineering Decision-Making Process")</f>
        <v>0</v>
      </c>
      <c r="CV44" s="17">
        <f>COUNTIFS('Prácticas_Revisiones'!$S$2:$S$282,"T034",'Prácticas_Revisiones'!$T$2:$T$282,"SOFTWARE ENG. ECONOMICS &gt; For-Profit Decision-Making")+COUNTIFS('Prácticas_Snowballing'!$AB$2:$AB$281,"T034",'Prácticas_Snowballing'!$AC$2:$AC$281,"SOFTWARE ENG. ECONOMICS &gt; For-Profit Decision-Making")</f>
        <v>0</v>
      </c>
      <c r="CW44" s="17">
        <f>COUNTIFS('Prácticas_Revisiones'!$S$2:$S$282,"T034",'Prácticas_Revisiones'!$T$2:$T$282,"SOFTWARE ENG. ECONOMICS &gt; Nonprofit Decision-Making")+COUNTIFS('Prácticas_Snowballing'!$AB$2:$AB$281,"T034",'Prácticas_Snowballing'!$AC$2:$AC$281,"SOFTWARE ENG. ECONOMICS &gt; Nonprofit Decision-Making")</f>
        <v>0</v>
      </c>
      <c r="CX44" s="17">
        <f>COUNTIFS('Prácticas_Revisiones'!$S$2:$S$282,"T034",'Prácticas_Revisiones'!$T$2:$T$282,"SOFTWARE ENG. ECONOMICS &gt; Present Economy Decision-Making")+COUNTIFS('Prácticas_Snowballing'!$AB$2:$AB$281,"T034",'Prácticas_Snowballing'!$AC$2:$AC$281,"SOFTWARE ENG. ECONOMICS &gt; Present Economy Decision-Making")</f>
        <v>0</v>
      </c>
      <c r="CY44" s="17">
        <f>COUNTIFS('Prácticas_Revisiones'!$S$2:$S$282,"T034",'Prácticas_Revisiones'!$T$2:$T$282,"SOFTWARE ENG. ECONOMICS &gt; Multiple-Attribute Decision-Making")+COUNTIFS('Prácticas_Snowballing'!$AB$2:$AB$281,"T034",'Prácticas_Snowballing'!$AC$2:$AC$281,"SOFTWARE ENG. ECONOMICS &gt; Multiple-Attribute Decision-Making")</f>
        <v>0</v>
      </c>
      <c r="CZ44" s="17">
        <f>COUNTIFS('Prácticas_Revisiones'!$S$2:$S$282,"T034",'Prácticas_Revisiones'!$T$2:$T$282,"SOFTWARE ENG. ECONOMICS &gt; Identifying and Characterizing Intangible Assets")+COUNTIFS('Prácticas_Snowballing'!$AB$2:$AB$281,"T034",'Prácticas_Snowballing'!$AC$2:$AC$281,"SOFTWARE ENG. ECONOMICS &gt; Identifying and Characterizing Intangible Assets")</f>
        <v>0</v>
      </c>
      <c r="DA44" s="17">
        <f>COUNTIFS('Prácticas_Revisiones'!$S$2:$S$282,"T034",'Prácticas_Revisiones'!$T$2:$T$282,"SOFTWARE ENG. ECONOMICS &gt; Estimation")+COUNTIFS('Prácticas_Snowballing'!$AB$2:$AB$281,"T034",'Prácticas_Snowballing'!$AC$2:$AC$281,"SOFTWARE ENG. ECONOMICS &gt; Estimation")</f>
        <v>0</v>
      </c>
      <c r="DB44" s="17">
        <f>COUNTIFS('Prácticas_Revisiones'!$S$2:$S$282,"T034",'Prácticas_Revisiones'!$T$2:$T$282,"SOFTWARE ENG. ECONOMICS &gt; Practical Considerations")+COUNTIFS('Prácticas_Snowballing'!$AB$2:$AB$281,"T034",'Prácticas_Snowballing'!$AC$2:$AC$281,"SOFTWARE ENG. ECONOMICS &gt; Practical Considerations")</f>
        <v>0</v>
      </c>
      <c r="DC44" s="17">
        <f>COUNTIFS('Prácticas_Revisiones'!$S$2:$S$282,"T034",'Prácticas_Revisiones'!$T$2:$T$282,"SOFTWARE ENG. ECONOMICS &gt; Related Concepts")+COUNTIFS('Prácticas_Snowballing'!$AB$2:$AB$281,"T034",'Prácticas_Snowballing'!$AC$2:$AC$281,"SOFTWARE ENG. ECONOMICS &gt; Related Concepts")</f>
        <v>0</v>
      </c>
      <c r="DD44" s="17">
        <f>COUNTIFS('Prácticas_Revisiones'!$S$2:$S$282,"T034",'Prácticas_Revisiones'!$T$2:$T$282,"SOFTWARE ENG. ECONOMICS &gt; Subárea no determinable")+COUNTIFS('Prácticas_Snowballing'!$AB$2:$AB$281,"T034",'Prácticas_Snowballing'!$AC$2:$AC$281,"SOFTWARE ENG. ECONOMICS &gt; Subárea no determinable")</f>
        <v>0</v>
      </c>
      <c r="DE44" s="29">
        <f t="shared" si="48"/>
        <v>0</v>
      </c>
      <c r="DF44" s="17">
        <f>COUNTIFS('Prácticas_Revisiones'!$S$2:$S$282,"T034",'Prácticas_Revisiones'!$T$2:$T$282,"SOFTWARE ENG. MANAGEMENT &gt; Software Engineering Management Fundamentals")+COUNTIFS('Prácticas_Snowballing'!$AB$2:$AB$281,"T034",'Prácticas_Snowballing'!$AC$2:$AC$281,"SOFTWARE ENG. MANAGEMENT &gt; Software Engineering Management Fundamentals")</f>
        <v>0</v>
      </c>
      <c r="DG44" s="17">
        <f>COUNTIFS('Prácticas_Revisiones'!$S$2:$S$282,"T034",'Prácticas_Revisiones'!$T$2:$T$282,"SOFTWARE ENG. MANAGEMENT &gt; Initiation and Scope Definition")+COUNTIFS('Prácticas_Snowballing'!$AB$2:$AB$281,"T034",'Prácticas_Snowballing'!$AC$2:$AC$281,"SOFTWARE ENG. MANAGEMENT &gt; Initiation and Scope Definition")</f>
        <v>0</v>
      </c>
      <c r="DH44" s="17">
        <f>COUNTIFS('Prácticas_Revisiones'!$S$2:$S$282,"T034",'Prácticas_Revisiones'!$T$2:$T$282,"SOFTWARE ENG. MANAGEMENT &gt; Software Project Planning")+COUNTIFS('Prácticas_Snowballing'!$AB$2:$AB$281,"T034",'Prácticas_Snowballing'!$AC$2:$AC$281,"SOFTWARE ENG. MANAGEMENT &gt; Software Project Planning")</f>
        <v>0</v>
      </c>
      <c r="DI44" s="17">
        <f>COUNTIFS('Prácticas_Revisiones'!$S$2:$S$282,"T034",'Prácticas_Revisiones'!$T$2:$T$282,"SOFTWARE ENG. MANAGEMENT &gt; Software Project Enactment")+COUNTIFS('Prácticas_Snowballing'!$AB$2:$AB$281,"T034",'Prácticas_Snowballing'!$AC$2:$AC$281,"SOFTWARE ENG. MANAGEMENT &gt; Software Project Enactment")</f>
        <v>0</v>
      </c>
      <c r="DJ44" s="17">
        <f>COUNTIFS('Prácticas_Revisiones'!$S$2:$S$282,"T034",'Prácticas_Revisiones'!$T$2:$T$282,"SOFTWARE ENG. MANAGEMENT &gt; Review and Evaluation")+COUNTIFS('Prácticas_Snowballing'!$AB$2:$AB$281,"T034",'Prácticas_Snowballing'!$AC$2:$AC$281,"SOFTWARE ENG. MANAGEMENT &gt; Review and Evaluation")</f>
        <v>0</v>
      </c>
      <c r="DK44" s="17">
        <f>COUNTIFS('Prácticas_Revisiones'!$S$2:$S$282,"T034",'Prácticas_Revisiones'!$T$2:$T$282,"SOFTWARE ENG. MANAGEMENT &gt; Closure")+COUNTIFS('Prácticas_Snowballing'!$AB$2:$AB$281,"T034",'Prácticas_Snowballing'!$AC$2:$AC$281,"SOFTWARE ENG. MANAGEMENT &gt; Closure")</f>
        <v>0</v>
      </c>
      <c r="DL44" s="17">
        <f>COUNTIFS('Prácticas_Revisiones'!$S$2:$S$282,"T034",'Prácticas_Revisiones'!$T$2:$T$282,"SOFTWARE ENG. MANAGEMENT &gt; Software Engineering Management Tools")+COUNTIFS('Prácticas_Snowballing'!$AB$2:$AB$281,"T034",'Prácticas_Snowballing'!$AC$2:$AC$281,"SOFTWARE ENG. MANAGEMENT &gt; Software Engineering Management Tools")</f>
        <v>0</v>
      </c>
      <c r="DM44" s="17">
        <f>COUNTIFS('Prácticas_Revisiones'!$S$2:$S$282,"T034",'Prácticas_Revisiones'!$T$2:$T$282,"SOFTWARE ENG. MANAGEMENT &gt; Subárea no determinable")+COUNTIFS('Prácticas_Snowballing'!$AB$2:$AB$281,"T034",'Prácticas_Snowballing'!$AC$2:$AC$281,"SOFTWARE ENG. MANAGEMENT &gt; Subárea no determinable")</f>
        <v>0</v>
      </c>
      <c r="DN44" s="29">
        <f t="shared" si="49"/>
        <v>0</v>
      </c>
      <c r="DO44" s="17">
        <f>COUNTIFS('Prácticas_Revisiones'!$S$2:$S$282,"T034",'Prácticas_Revisiones'!$T$2:$T$282,"Sin área SWEBOK")+COUNTIFS('Prácticas_Snowballing'!$AB$2:$AB$281,"T034",'Prácticas_Snowballing'!$AC$2:$AC$281,"Sin área SWEBOK")</f>
        <v>0</v>
      </c>
      <c r="DP44" s="27">
        <f t="shared" si="50"/>
        <v>0</v>
      </c>
    </row>
    <row r="45" ht="15.75" customHeight="1">
      <c r="A45" s="28"/>
      <c r="B45" s="16" t="s">
        <v>2774</v>
      </c>
      <c r="C45" s="17">
        <f>COUNTIFS('Prácticas_Revisiones'!$S$2:$S$282,"T035",'Prácticas_Revisiones'!$T$2:$T$282,"REQUIREMENTS &gt; Software Requirements Fundamentals")+COUNTIFS('Prácticas_Snowballing'!$AB$2:$AB$281,"T035",'Prácticas_Snowballing'!$AC$2:$AC$281,"REQUIREMENTS &gt; Software Requirements Fundamentals")</f>
        <v>0</v>
      </c>
      <c r="D45" s="17">
        <f>COUNTIFS('Prácticas_Revisiones'!$S$2:$S$282,"T035",'Prácticas_Revisiones'!$T$2:$T$282,"REQUIREMENTS &gt; Requirements Elicitation")+COUNTIFS('Prácticas_Snowballing'!$AB$2:$AB$281,"T035",'Prácticas_Snowballing'!$AC$2:$AC$281,"REQUIREMENTS &gt; Requirements Elicitation")</f>
        <v>0</v>
      </c>
      <c r="E45" s="17">
        <f>COUNTIFS('Prácticas_Revisiones'!$S$2:$S$282,"T035",'Prácticas_Revisiones'!$T$2:$T$282,"REQUIREMENTS &gt; Requirements Analysis")+COUNTIFS('Prácticas_Snowballing'!$AB$2:$AB$281,"T035",'Prácticas_Snowballing'!$AC$2:$AC$281,"REQUIREMENTS &gt; Requirements Analysis")</f>
        <v>0</v>
      </c>
      <c r="F45" s="17">
        <f>COUNTIFS('Prácticas_Revisiones'!$S$2:$S$282,"T035",'Prácticas_Revisiones'!$T$2:$T$282,"REQUIREMENTS &gt; Requirements Specification")+COUNTIFS('Prácticas_Snowballing'!$AB$2:$AB$281,"T035",'Prácticas_Snowballing'!$AC$2:$AC$281,"REQUIREMENTS &gt; Requirements Specification")</f>
        <v>0</v>
      </c>
      <c r="G45" s="17">
        <f>COUNTIFS('Prácticas_Revisiones'!$S$2:$S$282,"T035",'Prácticas_Revisiones'!$T$2:$T$282,"REQUIREMENTS &gt; Requirements Validation")+COUNTIFS('Prácticas_Snowballing'!$AB$2:$AB$281,"T035",'Prácticas_Snowballing'!$AC$2:$AC$281,"REQUIREMENTS &gt; Requirements Validation")</f>
        <v>0</v>
      </c>
      <c r="H45" s="17">
        <f>COUNTIFS('Prácticas_Revisiones'!$S$2:$S$282,"T035",'Prácticas_Revisiones'!$T$2:$T$282,"REQUIREMENTS &gt; Requirements Management Activities")+COUNTIFS('Prácticas_Snowballing'!$AB$2:$AB$281,"T035",'Prácticas_Snowballing'!$AC$2:$AC$281,"REQUIREMENTS &gt; Requirements Management Activities")</f>
        <v>0</v>
      </c>
      <c r="I45" s="17">
        <f>COUNTIFS('Prácticas_Revisiones'!$S$2:$S$282,"T035",'Prácticas_Revisiones'!$T$2:$T$282,"REQUIREMENTS &gt; Practical Considerations")+COUNTIFS('Prácticas_Snowballing'!$AB$2:$AB$281,"T035",'Prácticas_Snowballing'!$AC$2:$AC$281,"REQUIREMENTS &gt; Practical Considerations")</f>
        <v>0</v>
      </c>
      <c r="J45" s="17">
        <f>COUNTIFS('Prácticas_Revisiones'!$S$2:$S$282,"T035",'Prácticas_Revisiones'!$T$2:$T$282,"REQUIREMENTS &gt; Software Requirements Tools")+COUNTIFS('Prácticas_Snowballing'!$AB$2:$AB$281,"T035",'Prácticas_Snowballing'!$AC$2:$AC$281,"REQUIREMENTS &gt; Software Requirements Tools")</f>
        <v>0</v>
      </c>
      <c r="K45" s="17">
        <f>COUNTIFS('Prácticas_Revisiones'!$S$2:$S$282,"T035",'Prácticas_Revisiones'!$T$2:$T$282,"REQUIREMENTS &gt; Subárea no determinable")+COUNTIFS('Prácticas_Snowballing'!$AB$2:$AB$281,"T035",'Prácticas_Snowballing'!$AC$2:$AC$281,"REQUIREMENTS &gt; Subárea no determinable")</f>
        <v>0</v>
      </c>
      <c r="L45" s="29">
        <f t="shared" si="35"/>
        <v>0</v>
      </c>
      <c r="M45" s="17">
        <f>COUNTIFS('Prácticas_Revisiones'!$S$2:$S$282,"T035",'Prácticas_Revisiones'!$T$2:$T$282,"ARCHITECTURE &gt; Software Architecture Fundamentals")+COUNTIFS('Prácticas_Snowballing'!$AB$2:$AB$281,"T035",'Prácticas_Snowballing'!$AC$2:$AC$281,"ARCHITECTURE &gt; Software Architecture Fundamentals")</f>
        <v>0</v>
      </c>
      <c r="N45" s="17">
        <f>COUNTIFS('Prácticas_Revisiones'!$S$2:$S$282,"T035",'Prácticas_Revisiones'!$T$2:$T$282,"ARCHITECTURE &gt; Software Architecture Description")+COUNTIFS('Prácticas_Snowballing'!$AB$2:$AB$281,"T035",'Prácticas_Snowballing'!$AC$2:$AC$281,"ARCHITECTURE &gt; Software Architecture Description")</f>
        <v>0</v>
      </c>
      <c r="O45" s="17">
        <f>COUNTIFS('Prácticas_Revisiones'!$S$2:$S$282,"T035",'Prácticas_Revisiones'!$T$2:$T$282,"ARCHITECTURE &gt; Software Architecture Process")+COUNTIFS('Prácticas_Snowballing'!$AB$2:$AB$281,"T035",'Prácticas_Snowballing'!$AC$2:$AC$281,"ARCHITECTURE &gt; Software Architecture Process")</f>
        <v>0</v>
      </c>
      <c r="P45" s="17">
        <f>COUNTIFS('Prácticas_Revisiones'!$S$2:$S$282,"T035",'Prácticas_Revisiones'!$T$2:$T$282,"ARCHITECTURE &gt; Software Architecture Evaluation")+COUNTIFS('Prácticas_Snowballing'!$AB$2:$AB$281,"T035",'Prácticas_Snowballing'!$AC$2:$AC$281,"ARCHITECTURE &gt; Software Architecture Evaluation")</f>
        <v>0</v>
      </c>
      <c r="Q45" s="17">
        <f>COUNTIFS('Prácticas_Revisiones'!$S$2:$S$282,"T035",'Prácticas_Revisiones'!$T$2:$T$282,"ARCHITECTURE &gt; Subárea no determinable")+COUNTIFS('Prácticas_Snowballing'!$AB$2:$AB$281,"T035",'Prácticas_Snowballing'!$AC$2:$AC$281,"ARCHITECTURE &gt; Subárea no determinable")</f>
        <v>0</v>
      </c>
      <c r="R45" s="29">
        <f t="shared" si="36"/>
        <v>0</v>
      </c>
      <c r="S45" s="17">
        <f>COUNTIFS('Prácticas_Revisiones'!$S$2:$S$282,"T035",'Prácticas_Revisiones'!$T$2:$T$282,"DESIGN &gt; Software Design Fundamentals")+COUNTIFS('Prácticas_Snowballing'!$AB$2:$AB$281,"T035",'Prácticas_Snowballing'!$AC$2:$AC$281,"DESIGN &gt; Software Design Fundamentals")</f>
        <v>0</v>
      </c>
      <c r="T45" s="17">
        <f>COUNTIFS('Prácticas_Revisiones'!$S$2:$S$282,"T035",'Prácticas_Revisiones'!$T$2:$T$282,"DESIGN &gt; Software Design Processes")+COUNTIFS('Prácticas_Snowballing'!$AB$2:$AB$281,"T035",'Prácticas_Snowballing'!$AC$2:$AC$281,"DESIGN &gt; Software Design Processes")</f>
        <v>0</v>
      </c>
      <c r="U45" s="17">
        <f>COUNTIFS('Prácticas_Revisiones'!$S$2:$S$282,"T035",'Prácticas_Revisiones'!$T$2:$T$282,"DESIGN &gt; Software Design Qualities")+COUNTIFS('Prácticas_Snowballing'!$AB$2:$AB$281,"T035",'Prácticas_Snowballing'!$AC$2:$AC$281,"DESIGN &gt; Software Design Qualities")</f>
        <v>0</v>
      </c>
      <c r="V45" s="17">
        <f>COUNTIFS('Prácticas_Revisiones'!$S$2:$S$282,"T035",'Prácticas_Revisiones'!$T$2:$T$282,"DESIGN &gt; Recording Software Design")+COUNTIFS('Prácticas_Snowballing'!$AB$2:$AB$281,"T035",'Prácticas_Snowballing'!$AC$2:$AC$281,"DESIGN &gt; Recording Software Design")</f>
        <v>0</v>
      </c>
      <c r="W45" s="17">
        <f>COUNTIFS('Prácticas_Revisiones'!$S$2:$S$282,"T035",'Prácticas_Revisiones'!$T$2:$T$282,"DESIGN &gt; Software Design Strategies and Methods")+COUNTIFS('Prácticas_Snowballing'!$AB$2:$AB$281,"T035",'Prácticas_Snowballing'!$AC$2:$AC$281,"DESIGN &gt; Software Design Strategies and Methods")</f>
        <v>0</v>
      </c>
      <c r="X45" s="17">
        <f>COUNTIFS('Prácticas_Revisiones'!$S$2:$S$282,"T035",'Prácticas_Revisiones'!$T$2:$T$282,"DESIGN &gt; Software Design Analysis and Evaluations")+COUNTIFS('Prácticas_Snowballing'!$AB$2:$AB$281,"T035",'Prácticas_Snowballing'!$AC$2:$AC$281,"DESIGN &gt; Software Design Analysis and Evaluations")</f>
        <v>0</v>
      </c>
      <c r="Y45" s="17">
        <f>COUNTIFS('Prácticas_Revisiones'!$S$2:$S$282,"T035",'Prácticas_Revisiones'!$T$2:$T$282,"DESIGN &gt; Subárea no determinable")+COUNTIFS('Prácticas_Snowballing'!$AB$2:$AB$281,"T035",'Prácticas_Snowballing'!$AC$2:$AC$281,"DESIGN &gt; Subárea no determinable")</f>
        <v>0</v>
      </c>
      <c r="Z45" s="29">
        <f t="shared" si="37"/>
        <v>0</v>
      </c>
      <c r="AA45" s="17">
        <f>COUNTIFS('Prácticas_Revisiones'!$S$2:$S$282,"T035",'Prácticas_Revisiones'!$T$2:$T$282,"CONSTRUCTION &gt; Software Construction Fundamentals")+COUNTIFS('Prácticas_Snowballing'!$AB$2:$AB$281,"T035",'Prácticas_Snowballing'!$AC$2:$AC$281,"CONSTRUCTION &gt; Software Construction Fundamentals")</f>
        <v>0</v>
      </c>
      <c r="AB45" s="17">
        <f>COUNTIFS('Prácticas_Revisiones'!$S$2:$S$282,"T035",'Prácticas_Revisiones'!$T$2:$T$282,"CONSTRUCTION &gt; Managing Construction")+COUNTIFS('Prácticas_Snowballing'!$AB$2:$AB$281,"T035",'Prácticas_Snowballing'!$AC$2:$AC$281,"CONSTRUCTION &gt; Managing Construction")</f>
        <v>0</v>
      </c>
      <c r="AC45" s="17">
        <f>COUNTIFS('Prácticas_Revisiones'!$S$2:$S$282,"T035",'Prácticas_Revisiones'!$T$2:$T$282,"CONSTRUCTION &gt; Practical Considerations")+COUNTIFS('Prácticas_Snowballing'!$AB$2:$AB$281,"T035",'Prácticas_Snowballing'!$AC$2:$AC$281,"CONSTRUCTION &gt; Practical Considerations")</f>
        <v>0</v>
      </c>
      <c r="AD45" s="17">
        <f>COUNTIFS('Prácticas_Revisiones'!$S$2:$S$282,"T035",'Prácticas_Revisiones'!$T$2:$T$282,"CONSTRUCTION &gt; Construction Technologies")+COUNTIFS('Prácticas_Snowballing'!$AB$2:$AB$281,"T035",'Prácticas_Snowballing'!$AC$2:$AC$281,"CONSTRUCTION &gt; Construction Technologies")</f>
        <v>1</v>
      </c>
      <c r="AE45" s="17">
        <f>COUNTIFS('Prácticas_Revisiones'!$S$2:$S$282,"T035",'Prácticas_Revisiones'!$T$2:$T$282,"CONSTRUCTION &gt; Software Construction Tools")+COUNTIFS('Prácticas_Snowballing'!$AB$2:$AB$281,"T035",'Prácticas_Snowballing'!$AC$2:$AC$281,"CONSTRUCTION &gt; Software Construction Tools")</f>
        <v>0</v>
      </c>
      <c r="AF45" s="17">
        <f>COUNTIFS('Prácticas_Revisiones'!$S$2:$S$282,"T035",'Prácticas_Revisiones'!$T$2:$T$282,"CONSTRUCTION &gt; Subárea no determinable")+COUNTIFS('Prácticas_Snowballing'!$AB$2:$AB$281,"T035",'Prácticas_Snowballing'!$AC$2:$AC$281,"CONSTRUCTION &gt; Subárea no determinable")</f>
        <v>0</v>
      </c>
      <c r="AG45" s="29">
        <f t="shared" si="38"/>
        <v>1</v>
      </c>
      <c r="AH45" s="17">
        <f>COUNTIFS('Prácticas_Revisiones'!$S$2:$S$282,"T035",'Prácticas_Revisiones'!$T$2:$T$282,"SOFTWARE TESTING &gt; Software Testing Fundamentals")+COUNTIFS('Prácticas_Snowballing'!$AB$2:$AB$281,"T035",'Prácticas_Snowballing'!$AC$2:$AC$281,"SOFTWARE TESTING &gt; Software Testing Fundamentals")</f>
        <v>0</v>
      </c>
      <c r="AI45" s="17">
        <f>COUNTIFS('Prácticas_Revisiones'!$S$2:$S$282,"T035",'Prácticas_Revisiones'!$T$2:$T$282,"SOFTWARE TESTING &gt; Test Levels")+COUNTIFS('Prácticas_Snowballing'!$AB$2:$AB$281,"T035",'Prácticas_Snowballing'!$AC$2:$AC$281,"SOFTWARE TESTING &gt; Test Levels")</f>
        <v>0</v>
      </c>
      <c r="AJ45" s="17">
        <f>COUNTIFS('Prácticas_Revisiones'!$S$2:$S$282,"T035",'Prácticas_Revisiones'!$T$2:$T$282,"SOFTWARE TESTING &gt; Test Techniques")+COUNTIFS('Prácticas_Snowballing'!$AB$2:$AB$281,"T035",'Prácticas_Snowballing'!$AC$2:$AC$281,"SOFTWARE TESTING &gt; Test Techniques")</f>
        <v>0</v>
      </c>
      <c r="AK45" s="17">
        <f>COUNTIFS('Prácticas_Revisiones'!$S$2:$S$282,"T035",'Prácticas_Revisiones'!$T$2:$T$282,"SOFTWARE TESTING &gt; Test-Related Measures")+COUNTIFS('Prácticas_Snowballing'!$AB$2:$AB$281,"T035",'Prácticas_Snowballing'!$AC$2:$AC$281,"SOFTWARE TESTING &gt; Test-Related Measures")</f>
        <v>0</v>
      </c>
      <c r="AL45" s="17">
        <f>COUNTIFS('Prácticas_Revisiones'!$S$2:$S$282,"T035",'Prácticas_Revisiones'!$T$2:$T$282,"SOFTWARE TESTING &gt; Test Process")+COUNTIFS('Prácticas_Snowballing'!$AB$2:$AB$281,"T035",'Prácticas_Snowballing'!$AC$2:$AC$281,"SOFTWARE TESTING &gt; Test Process")</f>
        <v>0</v>
      </c>
      <c r="AM45" s="17">
        <f>COUNTIFS('Prácticas_Revisiones'!$S$2:$S$282,"T035",'Prácticas_Revisiones'!$T$2:$T$282,"SOFTWARE TESTING &gt; Software Testing in the Development Processes...")+COUNTIFS('Prácticas_Snowballing'!$AB$2:$AB$281,"T035",'Prácticas_Snowballing'!$AC$2:$AC$281,"SOFTWARE TESTING &gt; Software Testing in the Development Processes...")</f>
        <v>0</v>
      </c>
      <c r="AN45" s="17">
        <f>COUNTIFS('Prácticas_Revisiones'!$S$2:$S$282,"T035",'Prácticas_Revisiones'!$T$2:$T$282,"SOFTWARE TESTING &gt; Testing of and Testing Through Emerging Tech...")+COUNTIFS('Prácticas_Snowballing'!$AB$2:$AB$281,"T035",'Prácticas_Snowballing'!$AC$2:$AC$281,"SOFTWARE TESTING &gt; Testing of and Testing Through Emerging Tech...")</f>
        <v>0</v>
      </c>
      <c r="AO45" s="17">
        <f>COUNTIFS('Prácticas_Revisiones'!$S$2:$S$282,"T035",'Prácticas_Revisiones'!$T$2:$T$282,"SOFTWARE TESTING &gt; Software Testing Tools")+COUNTIFS('Prácticas_Snowballing'!$AB$2:$AB$281,"T035",'Prácticas_Snowballing'!$AC$2:$AC$281,"SOFTWARE TESTING &gt; Software Testing Tools")</f>
        <v>0</v>
      </c>
      <c r="AP45" s="17">
        <f>COUNTIFS('Prácticas_Revisiones'!$S$2:$S$282,"T035",'Prácticas_Revisiones'!$T$2:$T$282,"SOFTWARE TESTING &gt; Subárea no determinable")+COUNTIFS('Prácticas_Snowballing'!$AB$2:$AB$281,"T035",'Prácticas_Snowballing'!$AC$2:$AC$281,"SOFTWARE TESTING &gt; Subárea no determinable")</f>
        <v>0</v>
      </c>
      <c r="AQ45" s="29">
        <f t="shared" si="39"/>
        <v>0</v>
      </c>
      <c r="AR45" s="17">
        <f>COUNTIFS('Prácticas_Revisiones'!$S$2:$S$282,"T035",'Prácticas_Revisiones'!$T$2:$T$282,"SOFTWARE ENG. OPERATIONS &gt; Software Engineering Operations Fundamentals")+COUNTIFS('Prácticas_Snowballing'!$AB$2:$AB$281,"T035",'Prácticas_Snowballing'!$AC$2:$AC$281,"SOFTWARE ENG. OPERATIONS &gt; Software Engineering Operations Fundamentals")</f>
        <v>0</v>
      </c>
      <c r="AS45" s="17">
        <f>COUNTIFS('Prácticas_Revisiones'!$S$2:$S$282,"T035",'Prácticas_Revisiones'!$T$2:$T$282,"SOFTWARE ENG. OPERATIONS &gt; Software Engineering Operations Planning")+COUNTIFS('Prácticas_Snowballing'!$AB$2:$AB$281,"T035",'Prácticas_Snowballing'!$AC$2:$AC$281,"SOFTWARE ENG. OPERATIONS &gt; Software Engineering Operations Planning")</f>
        <v>0</v>
      </c>
      <c r="AT45" s="17">
        <f>COUNTIFS('Prácticas_Revisiones'!$S$2:$S$282,"T035",'Prácticas_Revisiones'!$T$2:$T$282,"SOFTWARE ENG. OPERATIONS &gt; Software Engineering Operations Delivery")+COUNTIFS('Prácticas_Snowballing'!$AB$2:$AB$281,"T035",'Prácticas_Snowballing'!$AC$2:$AC$281,"SOFTWARE ENG. OPERATIONS &gt; Software Engineering Operations Delivery")</f>
        <v>0</v>
      </c>
      <c r="AU45" s="17">
        <f>COUNTIFS('Prácticas_Revisiones'!$S$2:$S$282,"T035",'Prácticas_Revisiones'!$T$2:$T$282,"SOFTWARE ENG. OPERATIONS &gt; Software Engineering Operations Control")+COUNTIFS('Prácticas_Snowballing'!$AB$2:$AB$281,"T035",'Prácticas_Snowballing'!$AC$2:$AC$281,"SOFTWARE ENG. OPERATIONS &gt; Software Engineering Operations Control")</f>
        <v>0</v>
      </c>
      <c r="AV45" s="17">
        <f>COUNTIFS('Prácticas_Revisiones'!$S$2:$S$282,"T035",'Prácticas_Revisiones'!$T$2:$T$282,"SOFTWARE ENG. OPERATIONS &gt; Practical Considerations")+COUNTIFS('Prácticas_Snowballing'!$AB$2:$AB$281,"T035",'Prácticas_Snowballing'!$AC$2:$AC$281,"SOFTWARE ENG. OPERATIONS &gt; Practical Considerations")</f>
        <v>0</v>
      </c>
      <c r="AW45" s="17">
        <f>COUNTIFS('Prácticas_Revisiones'!$S$2:$S$282,"T035",'Prácticas_Revisiones'!$T$2:$T$282,"SOFTWARE ENG. OPERATIONS &gt; Software Engineering Operations Tools")+COUNTIFS('Prácticas_Snowballing'!$AB$2:$AB$281,"T035",'Prácticas_Snowballing'!$AC$2:$AC$281,"SOFTWARE ENG. OPERATIONS &gt; Software Engineering Operations Tools")</f>
        <v>0</v>
      </c>
      <c r="AX45" s="17">
        <f>COUNTIFS('Prácticas_Revisiones'!$S$2:$S$282,"T035",'Prácticas_Revisiones'!$T$2:$T$282,"SOFTWARE ENG. OPERATIONS &gt; Subárea no determinable")+COUNTIFS('Prácticas_Snowballing'!$AB$2:$AB$281,"T035",'Prácticas_Snowballing'!$AC$2:$AC$281,"SOFTWARE ENG. OPERATIONS &gt; Subárea no determinable")</f>
        <v>0</v>
      </c>
      <c r="AY45" s="29">
        <f t="shared" si="40"/>
        <v>0</v>
      </c>
      <c r="AZ45" s="17">
        <f>COUNTIFS('Prácticas_Revisiones'!$S$2:$S$282,"T035",'Prácticas_Revisiones'!$T$2:$T$282,"MAINTENANCE &gt; Software Maintenance Fundamentals")+COUNTIFS('Prácticas_Snowballing'!$AB$2:$AB$281,"T035",'Prácticas_Snowballing'!$AC$2:$AC$281,"MAINTENANCE &gt; Software Maintenance Fundamentals")</f>
        <v>0</v>
      </c>
      <c r="BA45" s="17">
        <f>COUNTIFS('Prácticas_Revisiones'!$S$2:$S$282,"T035",'Prácticas_Revisiones'!$T$2:$T$282,"MAINTENANCE &gt; Key Issues in Software Maintenance")+COUNTIFS('Prácticas_Snowballing'!$AB$2:$AB$281,"T035",'Prácticas_Snowballing'!$AC$2:$AC$281,"MAINTENANCE &gt; Key Issues in Software Maintenance")</f>
        <v>0</v>
      </c>
      <c r="BB45" s="17">
        <f>COUNTIFS('Prácticas_Revisiones'!$S$2:$S$282,"T035",'Prácticas_Revisiones'!$T$2:$T$282,"MAINTENANCE &gt; Software Maintenance Processes")+COUNTIFS('Prácticas_Snowballing'!$AB$2:$AB$281,"T035",'Prácticas_Snowballing'!$AC$2:$AC$281,"MAINTENANCE &gt; Software Maintenance Processes")</f>
        <v>0</v>
      </c>
      <c r="BC45" s="17">
        <f>COUNTIFS('Prácticas_Revisiones'!$S$2:$S$282,"T035",'Prácticas_Revisiones'!$T$2:$T$282,"MAINTENANCE &gt; Software Maintenance Techniques")+COUNTIFS('Prácticas_Snowballing'!$AB$2:$AB$281,"T035",'Prácticas_Snowballing'!$AC$2:$AC$281,"MAINTENANCE &gt; Software Maintenance Techniques")</f>
        <v>1</v>
      </c>
      <c r="BD45" s="17">
        <f>COUNTIFS('Prácticas_Revisiones'!$S$2:$S$282,"T035",'Prácticas_Revisiones'!$T$2:$T$282,"MAINTENANCE &gt; Software Maintenance Tools")+COUNTIFS('Prácticas_Snowballing'!$AB$2:$AB$281,"T035",'Prácticas_Snowballing'!$AC$2:$AC$281,"MAINTENANCE &gt; Software Maintenance Tools")</f>
        <v>0</v>
      </c>
      <c r="BE45" s="17">
        <f>COUNTIFS('Prácticas_Revisiones'!$S$2:$S$282,"T035",'Prácticas_Revisiones'!$T$2:$T$282,"MAINTENANCE &gt; Subárea no determinable")+COUNTIFS('Prácticas_Snowballing'!$AB$2:$AB$281,"T035",'Prácticas_Snowballing'!$AC$2:$AC$281,"MAINTENANCE &gt; Subárea no determinable")</f>
        <v>0</v>
      </c>
      <c r="BF45" s="29">
        <f t="shared" si="41"/>
        <v>1</v>
      </c>
      <c r="BG45" s="17">
        <f>COUNTIFS('Prácticas_Revisiones'!$S$2:$S$282,"T035",'Prácticas_Revisiones'!$T$2:$T$282,"SOFTWARE CONFIG. MGMT. &gt; Management of the SCM Process")+COUNTIFS('Prácticas_Snowballing'!$AB$2:$AB$281,"T035",'Prácticas_Snowballing'!$AC$2:$AC$281,"SOFTWARE CONFIG. MGMT. &gt; Management of the SCM Process")</f>
        <v>0</v>
      </c>
      <c r="BH45" s="17">
        <f>COUNTIFS('Prácticas_Revisiones'!$S$2:$S$282,"T035",'Prácticas_Revisiones'!$T$2:$T$282,"SOFTWARE CONFIG. MGMT. &gt; Software Configuration Identification")+COUNTIFS('Prácticas_Snowballing'!$AB$2:$AB$281,"T035",'Prácticas_Snowballing'!$AC$2:$AC$281,"SOFTWARE CONFIG. MGMT. &gt; Software Configuration Identification")</f>
        <v>0</v>
      </c>
      <c r="BI45" s="17">
        <f>COUNTIFS('Prácticas_Revisiones'!$S$2:$S$282,"T035",'Prácticas_Revisiones'!$T$2:$T$282,"SOFTWARE CONFIG. MGMT. &gt; Software Configuration Change Control")+COUNTIFS('Prácticas_Snowballing'!$AB$2:$AB$281,"T035",'Prácticas_Snowballing'!$AC$2:$AC$281,"SOFTWARE CONFIG. MGMT. &gt; Software Configuration Change Control")</f>
        <v>0</v>
      </c>
      <c r="BJ45" s="17">
        <f>COUNTIFS('Prácticas_Revisiones'!$S$2:$S$282,"T035",'Prácticas_Revisiones'!$T$2:$T$282,"SOFTWARE CONFIG. MGMT. &gt; Software Configuration Status Accounting")+COUNTIFS('Prácticas_Snowballing'!$AB$2:$AB$281,"T035",'Prácticas_Snowballing'!$AC$2:$AC$281,"SOFTWARE CONFIG. MGMT. &gt; Software Configuration Status Accounting")</f>
        <v>0</v>
      </c>
      <c r="BK45" s="17">
        <f>COUNTIFS('Prácticas_Revisiones'!$S$2:$S$282,"T035",'Prácticas_Revisiones'!$T$2:$T$282,"SOFTWARE CONFIG. MGMT. &gt; Software Configuration Auditing")+COUNTIFS('Prácticas_Snowballing'!$AB$2:$AB$281,"T035",'Prácticas_Snowballing'!$AC$2:$AC$281,"SOFTWARE CONFIG. MGMT. &gt; Software Configuration Auditing")</f>
        <v>0</v>
      </c>
      <c r="BL45" s="17">
        <f>COUNTIFS('Prácticas_Revisiones'!$S$2:$S$282,"T035",'Prácticas_Revisiones'!$T$2:$T$282,"SOFTWARE CONFIG. MGMT. &gt; Software Release Management and Delivery")+COUNTIFS('Prácticas_Snowballing'!$AB$2:$AB$281,"T035",'Prácticas_Snowballing'!$AC$2:$AC$281,"SOFTWARE CONFIG. MGMT. &gt; Software Release Management and Delivery")</f>
        <v>0</v>
      </c>
      <c r="BM45" s="17">
        <f>COUNTIFS('Prácticas_Revisiones'!$S$2:$S$282,"T035",'Prácticas_Revisiones'!$T$2:$T$282,"SOFTWARE CONFIG. MGMT. &gt; Software Configuration Management Tools")+COUNTIFS('Prácticas_Snowballing'!$AB$2:$AB$281,"T035",'Prácticas_Snowballing'!$AC$2:$AC$281,"SOFTWARE CONFIG. MGMT. &gt; Software Configuration Management Tools")</f>
        <v>0</v>
      </c>
      <c r="BN45" s="17">
        <f>COUNTIFS('Prácticas_Revisiones'!$S$2:$S$282,"T035",'Prácticas_Revisiones'!$T$2:$T$282,"SOFTWARE CONFIG. MGMT. &gt; Subárea no determinable")+COUNTIFS('Prácticas_Snowballing'!$AB$2:$AB$281,"T035",'Prácticas_Snowballing'!$AC$2:$AC$281,"SOFTWARE CONFIG. MGMT. &gt; Subárea no determinable")</f>
        <v>0</v>
      </c>
      <c r="BO45" s="29">
        <f t="shared" si="42"/>
        <v>0</v>
      </c>
      <c r="BP45" s="17">
        <f>COUNTIFS('Prácticas_Revisiones'!$S$2:$S$282,"T035",'Prácticas_Revisiones'!$T$2:$T$282,"SOFTWARE ENG. PROCESS &gt; Software Engineering Process Fundamentals")+COUNTIFS('Prácticas_Snowballing'!$AB$2:$AB$281,"T035",'Prácticas_Snowballing'!$AC$2:$AC$281,"SOFTWARE ENG. PROCESS &gt; Software Engineering Process Fundamentals")</f>
        <v>0</v>
      </c>
      <c r="BQ45" s="17">
        <f>COUNTIFS('Prácticas_Revisiones'!$S$2:$S$282,"T035",'Prácticas_Revisiones'!$T$2:$T$282,"SOFTWARE ENG. PROCESS &gt; Life Cycles")+COUNTIFS('Prácticas_Snowballing'!$AB$2:$AB$281,"T035",'Prácticas_Snowballing'!$AC$2:$AC$281,"SOFTWARE ENG. PROCESS &gt; Life Cycles")</f>
        <v>0</v>
      </c>
      <c r="BR45" s="17">
        <f>COUNTIFS('Prácticas_Revisiones'!$S$2:$S$282,"T035",'Prácticas_Revisiones'!$T$2:$T$282,"SOFTWARE ENG. PROCESS &gt; Software Process Assessment and Improvement")+COUNTIFS('Prácticas_Snowballing'!$AB$2:$AB$281,"T035",'Prácticas_Snowballing'!$AC$2:$AC$281,"SOFTWARE ENG. PROCESS &gt; Software Process Assessment and Improvement")</f>
        <v>0</v>
      </c>
      <c r="BS45" s="17">
        <f>COUNTIFS('Prácticas_Revisiones'!$S$2:$S$282,"T035",'Prácticas_Revisiones'!$T$2:$T$282,"SOFTWARE ENG. PROCESS &gt; Subárea no determinable")+COUNTIFS('Prácticas_Snowballing'!$AB$2:$AB$281,"T035",'Prácticas_Snowballing'!$AC$2:$AC$281,"SOFTWARE ENG. PROCESS &gt; Subárea no determinable")</f>
        <v>0</v>
      </c>
      <c r="BT45" s="29">
        <f t="shared" si="43"/>
        <v>0</v>
      </c>
      <c r="BU45" s="17">
        <f>COUNTIFS('Prácticas_Revisiones'!$S$2:$S$282,"T035",'Prácticas_Revisiones'!$T$2:$T$282,"SOFTWARE ENG. MODELS/METH. &gt; Modeling")+COUNTIFS('Prácticas_Snowballing'!$AB$2:$AB$281,"T035",'Prácticas_Snowballing'!$AC$2:$AC$281,"SOFTWARE ENG. MODELS/METH. &gt; Modeling")</f>
        <v>0</v>
      </c>
      <c r="BV45" s="17">
        <f>COUNTIFS('Prácticas_Revisiones'!$S$2:$S$282,"T035",'Prácticas_Revisiones'!$T$2:$T$282,"SOFTWARE ENG. MODELS/METH. &gt; Types of Models")+COUNTIFS('Prácticas_Snowballing'!$AB$2:$AB$281,"T035",'Prácticas_Snowballing'!$AC$2:$AC$281,"SOFTWARE ENG. MODELS/METH. &gt; Types of Models")</f>
        <v>0</v>
      </c>
      <c r="BW45" s="17">
        <f>COUNTIFS('Prácticas_Revisiones'!$S$2:$S$282,"T035",'Prácticas_Revisiones'!$T$2:$T$282,"SOFTWARE ENG. MODELS/METH. &gt; Analysis of Models")+COUNTIFS('Prácticas_Snowballing'!$AB$2:$AB$281,"T035",'Prácticas_Snowballing'!$AC$2:$AC$281,"SOFTWARE ENG. MODELS/METH. &gt; Analysis of Models")</f>
        <v>0</v>
      </c>
      <c r="BX45" s="17">
        <f>COUNTIFS('Prácticas_Revisiones'!$S$2:$S$282,"T035",'Prácticas_Revisiones'!$T$2:$T$282,"SOFTWARE ENG. MODELS/METH. &gt; Software Engineering Methods")+COUNTIFS('Prácticas_Snowballing'!$AB$2:$AB$281,"T035",'Prácticas_Snowballing'!$AC$2:$AC$281,"SOFTWARE ENG. MODELS/METH. &gt; Software Engineering Methods")</f>
        <v>0</v>
      </c>
      <c r="BY45" s="17">
        <f>COUNTIFS('Prácticas_Revisiones'!$S$2:$S$282,"T035",'Prácticas_Revisiones'!$T$2:$T$282,"SOFTWARE ENG. MODELS/METH. &gt; Subárea no determinable")+COUNTIFS('Prácticas_Snowballing'!$AB$2:$AB$281,"T035",'Prácticas_Snowballing'!$AC$2:$AC$281,"SOFTWARE ENG. MODELS/METH. &gt; Subárea no determinable")</f>
        <v>0</v>
      </c>
      <c r="BZ45" s="29">
        <f t="shared" si="44"/>
        <v>0</v>
      </c>
      <c r="CA45" s="17">
        <f>COUNTIFS('Prácticas_Revisiones'!$S$2:$S$282,"T035",'Prácticas_Revisiones'!$T$2:$T$282,"SOFTWARE QUALITY &gt; Software Quality Fundamentals")+COUNTIFS('Prácticas_Snowballing'!$AB$2:$AB$281,"T035",'Prácticas_Snowballing'!$AC$2:$AC$281,"SOFTWARE QUALITY &gt; Software Quality Fundamentals")</f>
        <v>0</v>
      </c>
      <c r="CB45" s="17">
        <f>COUNTIFS('Prácticas_Revisiones'!$S$2:$S$282,"T035",'Prácticas_Revisiones'!$T$2:$T$282,"SOFTWARE QUALITY &gt; Software Quality Management Process")+COUNTIFS('Prácticas_Snowballing'!$AB$2:$AB$281,"T035",'Prácticas_Snowballing'!$AC$2:$AC$281,"SOFTWARE QUALITY &gt; Software Quality Management Process")</f>
        <v>0</v>
      </c>
      <c r="CC45" s="17">
        <f>COUNTIFS('Prácticas_Revisiones'!$S$2:$S$282,"T035",'Prácticas_Revisiones'!$T$2:$T$282,"SOFTWARE QUALITY &gt; Software Quality Assurance Process")+COUNTIFS('Prácticas_Snowballing'!$AB$2:$AB$281,"T035",'Prácticas_Snowballing'!$AC$2:$AC$281,"SOFTWARE QUALITY &gt; Software Quality Assurance Process")</f>
        <v>0</v>
      </c>
      <c r="CD45" s="17">
        <f>COUNTIFS('Prácticas_Revisiones'!$S$2:$S$282,"T035",'Prácticas_Revisiones'!$T$2:$T$282,"SOFTWARE QUALITY &gt; Software Quality Tools")+COUNTIFS('Prácticas_Snowballing'!$AB$2:$AB$281,"T035",'Prácticas_Snowballing'!$AC$2:$AC$281,"SOFTWARE QUALITY &gt; Software Quality Tools")</f>
        <v>0</v>
      </c>
      <c r="CE45" s="17">
        <f>COUNTIFS('Prácticas_Revisiones'!$S$2:$S$282,"T035",'Prácticas_Revisiones'!$T$2:$T$282,"SOFTWARE QUALITY &gt; Subárea no determinable")+COUNTIFS('Prácticas_Snowballing'!$AB$2:$AB$281,"T035",'Prácticas_Snowballing'!$AC$2:$AC$281,"SOFTWARE QUALITY &gt; Subárea no determinable")</f>
        <v>0</v>
      </c>
      <c r="CF45" s="29">
        <f t="shared" si="45"/>
        <v>0</v>
      </c>
      <c r="CG45" s="17">
        <f>COUNTIFS('Prácticas_Revisiones'!$S$2:$S$282,"T035",'Prácticas_Revisiones'!$T$2:$T$282,"SOFTWARE SECURITY &gt; Software Security Fundamentals")+COUNTIFS('Prácticas_Snowballing'!$AB$2:$AB$281,"T035",'Prácticas_Snowballing'!$AC$2:$AC$281,"SOFTWARE SECURITY &gt; Software Security Fundamentals")</f>
        <v>0</v>
      </c>
      <c r="CH45" s="17">
        <f>COUNTIFS('Prácticas_Revisiones'!$S$2:$S$282,"T035",'Prácticas_Revisiones'!$T$2:$T$282,"SOFTWARE SECURITY &gt; Security Management and Organization")+COUNTIFS('Prácticas_Snowballing'!$AB$2:$AB$281,"T035",'Prácticas_Snowballing'!$AC$2:$AC$281,"SOFTWARE SECURITY &gt; Security Management and Organization")</f>
        <v>0</v>
      </c>
      <c r="CI45" s="17">
        <f>COUNTIFS('Prácticas_Revisiones'!$S$2:$S$282,"T035",'Prácticas_Revisiones'!$T$2:$T$282,"SOFTWARE SECURITY &gt; Software Security Engineering and Process")+COUNTIFS('Prácticas_Snowballing'!$AB$2:$AB$281,"T035",'Prácticas_Snowballing'!$AC$2:$AC$281,"SOFTWARE SECURITY &gt; Software Security Engineering and Process")</f>
        <v>0</v>
      </c>
      <c r="CJ45" s="17">
        <f>COUNTIFS('Prácticas_Revisiones'!$S$2:$S$282,"T035",'Prácticas_Revisiones'!$T$2:$T$282,"SOFTWARE SECURITY &gt; Security Engineering for Software Systems")+COUNTIFS('Prácticas_Snowballing'!$AB$2:$AB$281,"T035",'Prácticas_Snowballing'!$AC$2:$AC$281,"SOFTWARE SECURITY &gt; Security Engineering for Software Systems")</f>
        <v>0</v>
      </c>
      <c r="CK45" s="17">
        <f>COUNTIFS('Prácticas_Revisiones'!$S$2:$S$282,"T035",'Prácticas_Revisiones'!$T$2:$T$282,"SOFTWARE SECURITY &gt; Software Security Tools")+COUNTIFS('Prácticas_Snowballing'!$AB$2:$AB$281,"T035",'Prácticas_Snowballing'!$AC$2:$AC$281,"SOFTWARE SECURITY &gt; Software Security Tools")</f>
        <v>0</v>
      </c>
      <c r="CL45" s="17">
        <f>COUNTIFS('Prácticas_Revisiones'!$S$2:$S$282,"T035",'Prácticas_Revisiones'!$T$2:$T$282,"SOFTWARE SECURITY &gt; Domain Specific Software Security")+COUNTIFS('Prácticas_Snowballing'!$AB$2:$AB$281,"T035",'Prácticas_Snowballing'!$AC$2:$AC$281,"SOFTWARE SECURITY &gt; Domain Specific Software Security")</f>
        <v>0</v>
      </c>
      <c r="CM45" s="17">
        <f>COUNTIFS('Prácticas_Revisiones'!$S$2:$S$282,"T035",'Prácticas_Revisiones'!$T$2:$T$282,"SOFTWARE SECURITY &gt; Subárea no determinable")+COUNTIFS('Prácticas_Snowballing'!$AB$2:$AB$281,"T035",'Prácticas_Snowballing'!$AC$2:$AC$281,"SOFTWARE SECURITY &gt; Subárea no determinable")</f>
        <v>0</v>
      </c>
      <c r="CN45" s="29">
        <f t="shared" si="46"/>
        <v>0</v>
      </c>
      <c r="CO45" s="17">
        <f>COUNTIFS('Prácticas_Revisiones'!$S$2:$S$282,"T035",'Prácticas_Revisiones'!$T$2:$T$282,"PROFESSIONAL PRACTICE &gt; Professionalism")+COUNTIFS('Prácticas_Snowballing'!$AB$2:$AB$281,"T035",'Prácticas_Snowballing'!$AC$2:$AC$281,"PROFESSIONAL PRACTICE &gt; Professionalism")</f>
        <v>0</v>
      </c>
      <c r="CP45" s="17">
        <f>COUNTIFS('Prácticas_Revisiones'!$S$2:$S$282,"T035",'Prácticas_Revisiones'!$T$2:$T$282,"PROFESSIONAL PRACTICE &gt; Group Dynamics and Psychology")+COUNTIFS('Prácticas_Snowballing'!$AB$2:$AB$281,"T035",'Prácticas_Snowballing'!$AC$2:$AC$281,"PROFESSIONAL PRACTICE &gt; Group Dynamics and Psychology")</f>
        <v>0</v>
      </c>
      <c r="CQ45" s="17">
        <f>COUNTIFS('Prácticas_Revisiones'!$S$2:$S$282,"T035",'Prácticas_Revisiones'!$T$2:$T$282,"PROFESSIONAL PRACTICE &gt; Communication Skills")+COUNTIFS('Prácticas_Snowballing'!$AB$2:$AB$281,"T035",'Prácticas_Snowballing'!$AC$2:$AC$281,"PROFESSIONAL PRACTICE &gt; Communication Skills")</f>
        <v>0</v>
      </c>
      <c r="CR45" s="17">
        <f>COUNTIFS('Prácticas_Revisiones'!$S$2:$S$282,"T035",'Prácticas_Revisiones'!$T$2:$T$282,"PROFESSIONAL PRACTICE &gt; Subárea no determinable")+COUNTIFS('Prácticas_Snowballing'!$AB$2:$AB$281,"T035",'Prácticas_Snowballing'!$AC$2:$AC$281,"PROFESSIONAL PRACTICE &gt; Subárea no determinable")</f>
        <v>0</v>
      </c>
      <c r="CS45" s="29">
        <f t="shared" si="47"/>
        <v>0</v>
      </c>
      <c r="CT45" s="17">
        <f>COUNTIFS('Prácticas_Revisiones'!$S$2:$S$282,"T035",'Prácticas_Revisiones'!$T$2:$T$282,"SOFTWARE ENG. ECONOMICS &gt; Software Engineering Economics Fundamentals")+COUNTIFS('Prácticas_Snowballing'!$AB$2:$AB$281,"T035",'Prácticas_Snowballing'!$AC$2:$AC$281,"SOFTWARE ENG. ECONOMICS &gt; Software Engineering Economics Fundamentals")</f>
        <v>0</v>
      </c>
      <c r="CU45" s="17">
        <f>COUNTIFS('Prácticas_Revisiones'!$S$2:$S$282,"T035",'Prácticas_Revisiones'!$T$2:$T$282,"SOFTWARE ENG. ECONOMICS &gt; The Engineering Decision-Making Process")+COUNTIFS('Prácticas_Snowballing'!$AB$2:$AB$281,"T035",'Prácticas_Snowballing'!$AC$2:$AC$281,"SOFTWARE ENG. ECONOMICS &gt; The Engineering Decision-Making Process")</f>
        <v>0</v>
      </c>
      <c r="CV45" s="17">
        <f>COUNTIFS('Prácticas_Revisiones'!$S$2:$S$282,"T035",'Prácticas_Revisiones'!$T$2:$T$282,"SOFTWARE ENG. ECONOMICS &gt; For-Profit Decision-Making")+COUNTIFS('Prácticas_Snowballing'!$AB$2:$AB$281,"T035",'Prácticas_Snowballing'!$AC$2:$AC$281,"SOFTWARE ENG. ECONOMICS &gt; For-Profit Decision-Making")</f>
        <v>0</v>
      </c>
      <c r="CW45" s="17">
        <f>COUNTIFS('Prácticas_Revisiones'!$S$2:$S$282,"T035",'Prácticas_Revisiones'!$T$2:$T$282,"SOFTWARE ENG. ECONOMICS &gt; Nonprofit Decision-Making")+COUNTIFS('Prácticas_Snowballing'!$AB$2:$AB$281,"T035",'Prácticas_Snowballing'!$AC$2:$AC$281,"SOFTWARE ENG. ECONOMICS &gt; Nonprofit Decision-Making")</f>
        <v>0</v>
      </c>
      <c r="CX45" s="17">
        <f>COUNTIFS('Prácticas_Revisiones'!$S$2:$S$282,"T035",'Prácticas_Revisiones'!$T$2:$T$282,"SOFTWARE ENG. ECONOMICS &gt; Present Economy Decision-Making")+COUNTIFS('Prácticas_Snowballing'!$AB$2:$AB$281,"T035",'Prácticas_Snowballing'!$AC$2:$AC$281,"SOFTWARE ENG. ECONOMICS &gt; Present Economy Decision-Making")</f>
        <v>0</v>
      </c>
      <c r="CY45" s="17">
        <f>COUNTIFS('Prácticas_Revisiones'!$S$2:$S$282,"T035",'Prácticas_Revisiones'!$T$2:$T$282,"SOFTWARE ENG. ECONOMICS &gt; Multiple-Attribute Decision-Making")+COUNTIFS('Prácticas_Snowballing'!$AB$2:$AB$281,"T035",'Prácticas_Snowballing'!$AC$2:$AC$281,"SOFTWARE ENG. ECONOMICS &gt; Multiple-Attribute Decision-Making")</f>
        <v>0</v>
      </c>
      <c r="CZ45" s="17">
        <f>COUNTIFS('Prácticas_Revisiones'!$S$2:$S$282,"T035",'Prácticas_Revisiones'!$T$2:$T$282,"SOFTWARE ENG. ECONOMICS &gt; Identifying and Characterizing Intangible Assets")+COUNTIFS('Prácticas_Snowballing'!$AB$2:$AB$281,"T035",'Prácticas_Snowballing'!$AC$2:$AC$281,"SOFTWARE ENG. ECONOMICS &gt; Identifying and Characterizing Intangible Assets")</f>
        <v>0</v>
      </c>
      <c r="DA45" s="17">
        <f>COUNTIFS('Prácticas_Revisiones'!$S$2:$S$282,"T035",'Prácticas_Revisiones'!$T$2:$T$282,"SOFTWARE ENG. ECONOMICS &gt; Estimation")+COUNTIFS('Prácticas_Snowballing'!$AB$2:$AB$281,"T035",'Prácticas_Snowballing'!$AC$2:$AC$281,"SOFTWARE ENG. ECONOMICS &gt; Estimation")</f>
        <v>0</v>
      </c>
      <c r="DB45" s="17">
        <f>COUNTIFS('Prácticas_Revisiones'!$S$2:$S$282,"T035",'Prácticas_Revisiones'!$T$2:$T$282,"SOFTWARE ENG. ECONOMICS &gt; Practical Considerations")+COUNTIFS('Prácticas_Snowballing'!$AB$2:$AB$281,"T035",'Prácticas_Snowballing'!$AC$2:$AC$281,"SOFTWARE ENG. ECONOMICS &gt; Practical Considerations")</f>
        <v>0</v>
      </c>
      <c r="DC45" s="17">
        <f>COUNTIFS('Prácticas_Revisiones'!$S$2:$S$282,"T035",'Prácticas_Revisiones'!$T$2:$T$282,"SOFTWARE ENG. ECONOMICS &gt; Related Concepts")+COUNTIFS('Prácticas_Snowballing'!$AB$2:$AB$281,"T035",'Prácticas_Snowballing'!$AC$2:$AC$281,"SOFTWARE ENG. ECONOMICS &gt; Related Concepts")</f>
        <v>0</v>
      </c>
      <c r="DD45" s="17">
        <f>COUNTIFS('Prácticas_Revisiones'!$S$2:$S$282,"T035",'Prácticas_Revisiones'!$T$2:$T$282,"SOFTWARE ENG. ECONOMICS &gt; Subárea no determinable")+COUNTIFS('Prácticas_Snowballing'!$AB$2:$AB$281,"T035",'Prácticas_Snowballing'!$AC$2:$AC$281,"SOFTWARE ENG. ECONOMICS &gt; Subárea no determinable")</f>
        <v>0</v>
      </c>
      <c r="DE45" s="29">
        <f t="shared" si="48"/>
        <v>0</v>
      </c>
      <c r="DF45" s="17">
        <f>COUNTIFS('Prácticas_Revisiones'!$S$2:$S$282,"T035",'Prácticas_Revisiones'!$T$2:$T$282,"SOFTWARE ENG. MANAGEMENT &gt; Software Engineering Management Fundamentals")+COUNTIFS('Prácticas_Snowballing'!$AB$2:$AB$281,"T035",'Prácticas_Snowballing'!$AC$2:$AC$281,"SOFTWARE ENG. MANAGEMENT &gt; Software Engineering Management Fundamentals")</f>
        <v>0</v>
      </c>
      <c r="DG45" s="17">
        <f>COUNTIFS('Prácticas_Revisiones'!$S$2:$S$282,"T035",'Prácticas_Revisiones'!$T$2:$T$282,"SOFTWARE ENG. MANAGEMENT &gt; Initiation and Scope Definition")+COUNTIFS('Prácticas_Snowballing'!$AB$2:$AB$281,"T035",'Prácticas_Snowballing'!$AC$2:$AC$281,"SOFTWARE ENG. MANAGEMENT &gt; Initiation and Scope Definition")</f>
        <v>0</v>
      </c>
      <c r="DH45" s="17">
        <f>COUNTIFS('Prácticas_Revisiones'!$S$2:$S$282,"T035",'Prácticas_Revisiones'!$T$2:$T$282,"SOFTWARE ENG. MANAGEMENT &gt; Software Project Planning")+COUNTIFS('Prácticas_Snowballing'!$AB$2:$AB$281,"T035",'Prácticas_Snowballing'!$AC$2:$AC$281,"SOFTWARE ENG. MANAGEMENT &gt; Software Project Planning")</f>
        <v>0</v>
      </c>
      <c r="DI45" s="17">
        <f>COUNTIFS('Prácticas_Revisiones'!$S$2:$S$282,"T035",'Prácticas_Revisiones'!$T$2:$T$282,"SOFTWARE ENG. MANAGEMENT &gt; Software Project Enactment")+COUNTIFS('Prácticas_Snowballing'!$AB$2:$AB$281,"T035",'Prácticas_Snowballing'!$AC$2:$AC$281,"SOFTWARE ENG. MANAGEMENT &gt; Software Project Enactment")</f>
        <v>0</v>
      </c>
      <c r="DJ45" s="17">
        <f>COUNTIFS('Prácticas_Revisiones'!$S$2:$S$282,"T035",'Prácticas_Revisiones'!$T$2:$T$282,"SOFTWARE ENG. MANAGEMENT &gt; Review and Evaluation")+COUNTIFS('Prácticas_Snowballing'!$AB$2:$AB$281,"T035",'Prácticas_Snowballing'!$AC$2:$AC$281,"SOFTWARE ENG. MANAGEMENT &gt; Review and Evaluation")</f>
        <v>0</v>
      </c>
      <c r="DK45" s="17">
        <f>COUNTIFS('Prácticas_Revisiones'!$S$2:$S$282,"T035",'Prácticas_Revisiones'!$T$2:$T$282,"SOFTWARE ENG. MANAGEMENT &gt; Closure")+COUNTIFS('Prácticas_Snowballing'!$AB$2:$AB$281,"T035",'Prácticas_Snowballing'!$AC$2:$AC$281,"SOFTWARE ENG. MANAGEMENT &gt; Closure")</f>
        <v>0</v>
      </c>
      <c r="DL45" s="17">
        <f>COUNTIFS('Prácticas_Revisiones'!$S$2:$S$282,"T035",'Prácticas_Revisiones'!$T$2:$T$282,"SOFTWARE ENG. MANAGEMENT &gt; Software Engineering Management Tools")+COUNTIFS('Prácticas_Snowballing'!$AB$2:$AB$281,"T035",'Prácticas_Snowballing'!$AC$2:$AC$281,"SOFTWARE ENG. MANAGEMENT &gt; Software Engineering Management Tools")</f>
        <v>0</v>
      </c>
      <c r="DM45" s="17">
        <f>COUNTIFS('Prácticas_Revisiones'!$S$2:$S$282,"T035",'Prácticas_Revisiones'!$T$2:$T$282,"SOFTWARE ENG. MANAGEMENT &gt; Subárea no determinable")+COUNTIFS('Prácticas_Snowballing'!$AB$2:$AB$281,"T035",'Prácticas_Snowballing'!$AC$2:$AC$281,"SOFTWARE ENG. MANAGEMENT &gt; Subárea no determinable")</f>
        <v>0</v>
      </c>
      <c r="DN45" s="29">
        <f t="shared" si="49"/>
        <v>0</v>
      </c>
      <c r="DO45" s="17">
        <f>COUNTIFS('Prácticas_Revisiones'!$S$2:$S$282,"T035",'Prácticas_Revisiones'!$T$2:$T$282,"Sin área SWEBOK")+COUNTIFS('Prácticas_Snowballing'!$AB$2:$AB$281,"T035",'Prácticas_Snowballing'!$AC$2:$AC$281,"Sin área SWEBOK")</f>
        <v>0</v>
      </c>
      <c r="DP45" s="27">
        <f t="shared" si="50"/>
        <v>2</v>
      </c>
    </row>
    <row r="46" ht="15.75" customHeight="1">
      <c r="A46" s="28"/>
      <c r="B46" s="16" t="s">
        <v>2776</v>
      </c>
      <c r="C46" s="17">
        <f>COUNTIFS('Prácticas_Revisiones'!$S$2:$S$282,"T036",'Prácticas_Revisiones'!$T$2:$T$282,"REQUIREMENTS &gt; Software Requirements Fundamentals")+COUNTIFS('Prácticas_Snowballing'!$AB$2:$AB$281,"T036",'Prácticas_Snowballing'!$AC$2:$AC$281,"REQUIREMENTS &gt; Software Requirements Fundamentals")</f>
        <v>0</v>
      </c>
      <c r="D46" s="17">
        <f>COUNTIFS('Prácticas_Revisiones'!$S$2:$S$282,"T036",'Prácticas_Revisiones'!$T$2:$T$282,"REQUIREMENTS &gt; Requirements Elicitation")+COUNTIFS('Prácticas_Snowballing'!$AB$2:$AB$281,"T036",'Prácticas_Snowballing'!$AC$2:$AC$281,"REQUIREMENTS &gt; Requirements Elicitation")</f>
        <v>0</v>
      </c>
      <c r="E46" s="17">
        <f>COUNTIFS('Prácticas_Revisiones'!$S$2:$S$282,"T036",'Prácticas_Revisiones'!$T$2:$T$282,"REQUIREMENTS &gt; Requirements Analysis")+COUNTIFS('Prácticas_Snowballing'!$AB$2:$AB$281,"T036",'Prácticas_Snowballing'!$AC$2:$AC$281,"REQUIREMENTS &gt; Requirements Analysis")</f>
        <v>0</v>
      </c>
      <c r="F46" s="17">
        <f>COUNTIFS('Prácticas_Revisiones'!$S$2:$S$282,"T036",'Prácticas_Revisiones'!$T$2:$T$282,"REQUIREMENTS &gt; Requirements Specification")+COUNTIFS('Prácticas_Snowballing'!$AB$2:$AB$281,"T036",'Prácticas_Snowballing'!$AC$2:$AC$281,"REQUIREMENTS &gt; Requirements Specification")</f>
        <v>0</v>
      </c>
      <c r="G46" s="17">
        <f>COUNTIFS('Prácticas_Revisiones'!$S$2:$S$282,"T036",'Prácticas_Revisiones'!$T$2:$T$282,"REQUIREMENTS &gt; Requirements Validation")+COUNTIFS('Prácticas_Snowballing'!$AB$2:$AB$281,"T036",'Prácticas_Snowballing'!$AC$2:$AC$281,"REQUIREMENTS &gt; Requirements Validation")</f>
        <v>0</v>
      </c>
      <c r="H46" s="17">
        <f>COUNTIFS('Prácticas_Revisiones'!$S$2:$S$282,"T036",'Prácticas_Revisiones'!$T$2:$T$282,"REQUIREMENTS &gt; Requirements Management Activities")+COUNTIFS('Prácticas_Snowballing'!$AB$2:$AB$281,"T036",'Prácticas_Snowballing'!$AC$2:$AC$281,"REQUIREMENTS &gt; Requirements Management Activities")</f>
        <v>0</v>
      </c>
      <c r="I46" s="17">
        <f>COUNTIFS('Prácticas_Revisiones'!$S$2:$S$282,"T036",'Prácticas_Revisiones'!$T$2:$T$282,"REQUIREMENTS &gt; Practical Considerations")+COUNTIFS('Prácticas_Snowballing'!$AB$2:$AB$281,"T036",'Prácticas_Snowballing'!$AC$2:$AC$281,"REQUIREMENTS &gt; Practical Considerations")</f>
        <v>0</v>
      </c>
      <c r="J46" s="17">
        <f>COUNTIFS('Prácticas_Revisiones'!$S$2:$S$282,"T036",'Prácticas_Revisiones'!$T$2:$T$282,"REQUIREMENTS &gt; Software Requirements Tools")+COUNTIFS('Prácticas_Snowballing'!$AB$2:$AB$281,"T036",'Prácticas_Snowballing'!$AC$2:$AC$281,"REQUIREMENTS &gt; Software Requirements Tools")</f>
        <v>0</v>
      </c>
      <c r="K46" s="17">
        <f>COUNTIFS('Prácticas_Revisiones'!$S$2:$S$282,"T036",'Prácticas_Revisiones'!$T$2:$T$282,"REQUIREMENTS &gt; Subárea no determinable")+COUNTIFS('Prácticas_Snowballing'!$AB$2:$AB$281,"T036",'Prácticas_Snowballing'!$AC$2:$AC$281,"REQUIREMENTS &gt; Subárea no determinable")</f>
        <v>0</v>
      </c>
      <c r="L46" s="29">
        <f t="shared" si="35"/>
        <v>0</v>
      </c>
      <c r="M46" s="17">
        <f>COUNTIFS('Prácticas_Revisiones'!$S$2:$S$282,"T036",'Prácticas_Revisiones'!$T$2:$T$282,"ARCHITECTURE &gt; Software Architecture Fundamentals")+COUNTIFS('Prácticas_Snowballing'!$AB$2:$AB$281,"T036",'Prácticas_Snowballing'!$AC$2:$AC$281,"ARCHITECTURE &gt; Software Architecture Fundamentals")</f>
        <v>0</v>
      </c>
      <c r="N46" s="17">
        <f>COUNTIFS('Prácticas_Revisiones'!$S$2:$S$282,"T036",'Prácticas_Revisiones'!$T$2:$T$282,"ARCHITECTURE &gt; Software Architecture Description")+COUNTIFS('Prácticas_Snowballing'!$AB$2:$AB$281,"T036",'Prácticas_Snowballing'!$AC$2:$AC$281,"ARCHITECTURE &gt; Software Architecture Description")</f>
        <v>0</v>
      </c>
      <c r="O46" s="17">
        <f>COUNTIFS('Prácticas_Revisiones'!$S$2:$S$282,"T036",'Prácticas_Revisiones'!$T$2:$T$282,"ARCHITECTURE &gt; Software Architecture Process")+COUNTIFS('Prácticas_Snowballing'!$AB$2:$AB$281,"T036",'Prácticas_Snowballing'!$AC$2:$AC$281,"ARCHITECTURE &gt; Software Architecture Process")</f>
        <v>0</v>
      </c>
      <c r="P46" s="17">
        <f>COUNTIFS('Prácticas_Revisiones'!$S$2:$S$282,"T036",'Prácticas_Revisiones'!$T$2:$T$282,"ARCHITECTURE &gt; Software Architecture Evaluation")+COUNTIFS('Prácticas_Snowballing'!$AB$2:$AB$281,"T036",'Prácticas_Snowballing'!$AC$2:$AC$281,"ARCHITECTURE &gt; Software Architecture Evaluation")</f>
        <v>0</v>
      </c>
      <c r="Q46" s="17">
        <f>COUNTIFS('Prácticas_Revisiones'!$S$2:$S$282,"T036",'Prácticas_Revisiones'!$T$2:$T$282,"ARCHITECTURE &gt; Subárea no determinable")+COUNTIFS('Prácticas_Snowballing'!$AB$2:$AB$281,"T036",'Prácticas_Snowballing'!$AC$2:$AC$281,"ARCHITECTURE &gt; Subárea no determinable")</f>
        <v>0</v>
      </c>
      <c r="R46" s="29">
        <f t="shared" si="36"/>
        <v>0</v>
      </c>
      <c r="S46" s="17">
        <f>COUNTIFS('Prácticas_Revisiones'!$S$2:$S$282,"T036",'Prácticas_Revisiones'!$T$2:$T$282,"DESIGN &gt; Software Design Fundamentals")+COUNTIFS('Prácticas_Snowballing'!$AB$2:$AB$281,"T036",'Prácticas_Snowballing'!$AC$2:$AC$281,"DESIGN &gt; Software Design Fundamentals")</f>
        <v>0</v>
      </c>
      <c r="T46" s="17">
        <f>COUNTIFS('Prácticas_Revisiones'!$S$2:$S$282,"T036",'Prácticas_Revisiones'!$T$2:$T$282,"DESIGN &gt; Software Design Processes")+COUNTIFS('Prácticas_Snowballing'!$AB$2:$AB$281,"T036",'Prácticas_Snowballing'!$AC$2:$AC$281,"DESIGN &gt; Software Design Processes")</f>
        <v>0</v>
      </c>
      <c r="U46" s="17">
        <f>COUNTIFS('Prácticas_Revisiones'!$S$2:$S$282,"T036",'Prácticas_Revisiones'!$T$2:$T$282,"DESIGN &gt; Software Design Qualities")+COUNTIFS('Prácticas_Snowballing'!$AB$2:$AB$281,"T036",'Prácticas_Snowballing'!$AC$2:$AC$281,"DESIGN &gt; Software Design Qualities")</f>
        <v>0</v>
      </c>
      <c r="V46" s="17">
        <f>COUNTIFS('Prácticas_Revisiones'!$S$2:$S$282,"T036",'Prácticas_Revisiones'!$T$2:$T$282,"DESIGN &gt; Recording Software Design")+COUNTIFS('Prácticas_Snowballing'!$AB$2:$AB$281,"T036",'Prácticas_Snowballing'!$AC$2:$AC$281,"DESIGN &gt; Recording Software Design")</f>
        <v>0</v>
      </c>
      <c r="W46" s="17">
        <f>COUNTIFS('Prácticas_Revisiones'!$S$2:$S$282,"T036",'Prácticas_Revisiones'!$T$2:$T$282,"DESIGN &gt; Software Design Strategies and Methods")+COUNTIFS('Prácticas_Snowballing'!$AB$2:$AB$281,"T036",'Prácticas_Snowballing'!$AC$2:$AC$281,"DESIGN &gt; Software Design Strategies and Methods")</f>
        <v>0</v>
      </c>
      <c r="X46" s="17">
        <f>COUNTIFS('Prácticas_Revisiones'!$S$2:$S$282,"T036",'Prácticas_Revisiones'!$T$2:$T$282,"DESIGN &gt; Software Design Analysis and Evaluations")+COUNTIFS('Prácticas_Snowballing'!$AB$2:$AB$281,"T036",'Prácticas_Snowballing'!$AC$2:$AC$281,"DESIGN &gt; Software Design Analysis and Evaluations")</f>
        <v>0</v>
      </c>
      <c r="Y46" s="17">
        <f>COUNTIFS('Prácticas_Revisiones'!$S$2:$S$282,"T036",'Prácticas_Revisiones'!$T$2:$T$282,"DESIGN &gt; Subárea no determinable")+COUNTIFS('Prácticas_Snowballing'!$AB$2:$AB$281,"T036",'Prácticas_Snowballing'!$AC$2:$AC$281,"DESIGN &gt; Subárea no determinable")</f>
        <v>0</v>
      </c>
      <c r="Z46" s="29">
        <f t="shared" si="37"/>
        <v>0</v>
      </c>
      <c r="AA46" s="17">
        <f>COUNTIFS('Prácticas_Revisiones'!$S$2:$S$282,"T036",'Prácticas_Revisiones'!$T$2:$T$282,"CONSTRUCTION &gt; Software Construction Fundamentals")+COUNTIFS('Prácticas_Snowballing'!$AB$2:$AB$281,"T036",'Prácticas_Snowballing'!$AC$2:$AC$281,"CONSTRUCTION &gt; Software Construction Fundamentals")</f>
        <v>0</v>
      </c>
      <c r="AB46" s="17">
        <f>COUNTIFS('Prácticas_Revisiones'!$S$2:$S$282,"T036",'Prácticas_Revisiones'!$T$2:$T$282,"CONSTRUCTION &gt; Managing Construction")+COUNTIFS('Prácticas_Snowballing'!$AB$2:$AB$281,"T036",'Prácticas_Snowballing'!$AC$2:$AC$281,"CONSTRUCTION &gt; Managing Construction")</f>
        <v>0</v>
      </c>
      <c r="AC46" s="17">
        <f>COUNTIFS('Prácticas_Revisiones'!$S$2:$S$282,"T036",'Prácticas_Revisiones'!$T$2:$T$282,"CONSTRUCTION &gt; Practical Considerations")+COUNTIFS('Prácticas_Snowballing'!$AB$2:$AB$281,"T036",'Prácticas_Snowballing'!$AC$2:$AC$281,"CONSTRUCTION &gt; Practical Considerations")</f>
        <v>0</v>
      </c>
      <c r="AD46" s="17">
        <f>COUNTIFS('Prácticas_Revisiones'!$S$2:$S$282,"T036",'Prácticas_Revisiones'!$T$2:$T$282,"CONSTRUCTION &gt; Construction Technologies")+COUNTIFS('Prácticas_Snowballing'!$AB$2:$AB$281,"T036",'Prácticas_Snowballing'!$AC$2:$AC$281,"CONSTRUCTION &gt; Construction Technologies")</f>
        <v>0</v>
      </c>
      <c r="AE46" s="17">
        <f>COUNTIFS('Prácticas_Revisiones'!$S$2:$S$282,"T036",'Prácticas_Revisiones'!$T$2:$T$282,"CONSTRUCTION &gt; Software Construction Tools")+COUNTIFS('Prácticas_Snowballing'!$AB$2:$AB$281,"T036",'Prácticas_Snowballing'!$AC$2:$AC$281,"CONSTRUCTION &gt; Software Construction Tools")</f>
        <v>0</v>
      </c>
      <c r="AF46" s="17">
        <f>COUNTIFS('Prácticas_Revisiones'!$S$2:$S$282,"T036",'Prácticas_Revisiones'!$T$2:$T$282,"CONSTRUCTION &gt; Subárea no determinable")+COUNTIFS('Prácticas_Snowballing'!$AB$2:$AB$281,"T036",'Prácticas_Snowballing'!$AC$2:$AC$281,"CONSTRUCTION &gt; Subárea no determinable")</f>
        <v>0</v>
      </c>
      <c r="AG46" s="29">
        <f t="shared" si="38"/>
        <v>0</v>
      </c>
      <c r="AH46" s="17">
        <f>COUNTIFS('Prácticas_Revisiones'!$S$2:$S$282,"T036",'Prácticas_Revisiones'!$T$2:$T$282,"SOFTWARE TESTING &gt; Software Testing Fundamentals")+COUNTIFS('Prácticas_Snowballing'!$AB$2:$AB$281,"T036",'Prácticas_Snowballing'!$AC$2:$AC$281,"SOFTWARE TESTING &gt; Software Testing Fundamentals")</f>
        <v>0</v>
      </c>
      <c r="AI46" s="17">
        <f>COUNTIFS('Prácticas_Revisiones'!$S$2:$S$282,"T036",'Prácticas_Revisiones'!$T$2:$T$282,"SOFTWARE TESTING &gt; Test Levels")+COUNTIFS('Prácticas_Snowballing'!$AB$2:$AB$281,"T036",'Prácticas_Snowballing'!$AC$2:$AC$281,"SOFTWARE TESTING &gt; Test Levels")</f>
        <v>0</v>
      </c>
      <c r="AJ46" s="17">
        <f>COUNTIFS('Prácticas_Revisiones'!$S$2:$S$282,"T036",'Prácticas_Revisiones'!$T$2:$T$282,"SOFTWARE TESTING &gt; Test Techniques")+COUNTIFS('Prácticas_Snowballing'!$AB$2:$AB$281,"T036",'Prácticas_Snowballing'!$AC$2:$AC$281,"SOFTWARE TESTING &gt; Test Techniques")</f>
        <v>0</v>
      </c>
      <c r="AK46" s="17">
        <f>COUNTIFS('Prácticas_Revisiones'!$S$2:$S$282,"T036",'Prácticas_Revisiones'!$T$2:$T$282,"SOFTWARE TESTING &gt; Test-Related Measures")+COUNTIFS('Prácticas_Snowballing'!$AB$2:$AB$281,"T036",'Prácticas_Snowballing'!$AC$2:$AC$281,"SOFTWARE TESTING &gt; Test-Related Measures")</f>
        <v>0</v>
      </c>
      <c r="AL46" s="17">
        <f>COUNTIFS('Prácticas_Revisiones'!$S$2:$S$282,"T036",'Prácticas_Revisiones'!$T$2:$T$282,"SOFTWARE TESTING &gt; Test Process")+COUNTIFS('Prácticas_Snowballing'!$AB$2:$AB$281,"T036",'Prácticas_Snowballing'!$AC$2:$AC$281,"SOFTWARE TESTING &gt; Test Process")</f>
        <v>0</v>
      </c>
      <c r="AM46" s="17">
        <f>COUNTIFS('Prácticas_Revisiones'!$S$2:$S$282,"T036",'Prácticas_Revisiones'!$T$2:$T$282,"SOFTWARE TESTING &gt; Software Testing in the Development Processes...")+COUNTIFS('Prácticas_Snowballing'!$AB$2:$AB$281,"T036",'Prácticas_Snowballing'!$AC$2:$AC$281,"SOFTWARE TESTING &gt; Software Testing in the Development Processes...")</f>
        <v>0</v>
      </c>
      <c r="AN46" s="17">
        <f>COUNTIFS('Prácticas_Revisiones'!$S$2:$S$282,"T036",'Prácticas_Revisiones'!$T$2:$T$282,"SOFTWARE TESTING &gt; Testing of and Testing Through Emerging Tech...")+COUNTIFS('Prácticas_Snowballing'!$AB$2:$AB$281,"T036",'Prácticas_Snowballing'!$AC$2:$AC$281,"SOFTWARE TESTING &gt; Testing of and Testing Through Emerging Tech...")</f>
        <v>0</v>
      </c>
      <c r="AO46" s="17">
        <f>COUNTIFS('Prácticas_Revisiones'!$S$2:$S$282,"T036",'Prácticas_Revisiones'!$T$2:$T$282,"SOFTWARE TESTING &gt; Software Testing Tools")+COUNTIFS('Prácticas_Snowballing'!$AB$2:$AB$281,"T036",'Prácticas_Snowballing'!$AC$2:$AC$281,"SOFTWARE TESTING &gt; Software Testing Tools")</f>
        <v>0</v>
      </c>
      <c r="AP46" s="17">
        <f>COUNTIFS('Prácticas_Revisiones'!$S$2:$S$282,"T036",'Prácticas_Revisiones'!$T$2:$T$282,"SOFTWARE TESTING &gt; Subárea no determinable")+COUNTIFS('Prácticas_Snowballing'!$AB$2:$AB$281,"T036",'Prácticas_Snowballing'!$AC$2:$AC$281,"SOFTWARE TESTING &gt; Subárea no determinable")</f>
        <v>0</v>
      </c>
      <c r="AQ46" s="29">
        <f t="shared" si="39"/>
        <v>0</v>
      </c>
      <c r="AR46" s="17">
        <f>COUNTIFS('Prácticas_Revisiones'!$S$2:$S$282,"T036",'Prácticas_Revisiones'!$T$2:$T$282,"SOFTWARE ENG. OPERATIONS &gt; Software Engineering Operations Fundamentals")+COUNTIFS('Prácticas_Snowballing'!$AB$2:$AB$281,"T036",'Prácticas_Snowballing'!$AC$2:$AC$281,"SOFTWARE ENG. OPERATIONS &gt; Software Engineering Operations Fundamentals")</f>
        <v>0</v>
      </c>
      <c r="AS46" s="17">
        <f>COUNTIFS('Prácticas_Revisiones'!$S$2:$S$282,"T036",'Prácticas_Revisiones'!$T$2:$T$282,"SOFTWARE ENG. OPERATIONS &gt; Software Engineering Operations Planning")+COUNTIFS('Prácticas_Snowballing'!$AB$2:$AB$281,"T036",'Prácticas_Snowballing'!$AC$2:$AC$281,"SOFTWARE ENG. OPERATIONS &gt; Software Engineering Operations Planning")</f>
        <v>0</v>
      </c>
      <c r="AT46" s="17">
        <f>COUNTIFS('Prácticas_Revisiones'!$S$2:$S$282,"T036",'Prácticas_Revisiones'!$T$2:$T$282,"SOFTWARE ENG. OPERATIONS &gt; Software Engineering Operations Delivery")+COUNTIFS('Prácticas_Snowballing'!$AB$2:$AB$281,"T036",'Prácticas_Snowballing'!$AC$2:$AC$281,"SOFTWARE ENG. OPERATIONS &gt; Software Engineering Operations Delivery")</f>
        <v>0</v>
      </c>
      <c r="AU46" s="17">
        <f>COUNTIFS('Prácticas_Revisiones'!$S$2:$S$282,"T036",'Prácticas_Revisiones'!$T$2:$T$282,"SOFTWARE ENG. OPERATIONS &gt; Software Engineering Operations Control")+COUNTIFS('Prácticas_Snowballing'!$AB$2:$AB$281,"T036",'Prácticas_Snowballing'!$AC$2:$AC$281,"SOFTWARE ENG. OPERATIONS &gt; Software Engineering Operations Control")</f>
        <v>0</v>
      </c>
      <c r="AV46" s="17">
        <f>COUNTIFS('Prácticas_Revisiones'!$S$2:$S$282,"T036",'Prácticas_Revisiones'!$T$2:$T$282,"SOFTWARE ENG. OPERATIONS &gt; Practical Considerations")+COUNTIFS('Prácticas_Snowballing'!$AB$2:$AB$281,"T036",'Prácticas_Snowballing'!$AC$2:$AC$281,"SOFTWARE ENG. OPERATIONS &gt; Practical Considerations")</f>
        <v>0</v>
      </c>
      <c r="AW46" s="17">
        <f>COUNTIFS('Prácticas_Revisiones'!$S$2:$S$282,"T036",'Prácticas_Revisiones'!$T$2:$T$282,"SOFTWARE ENG. OPERATIONS &gt; Software Engineering Operations Tools")+COUNTIFS('Prácticas_Snowballing'!$AB$2:$AB$281,"T036",'Prácticas_Snowballing'!$AC$2:$AC$281,"SOFTWARE ENG. OPERATIONS &gt; Software Engineering Operations Tools")</f>
        <v>0</v>
      </c>
      <c r="AX46" s="17">
        <f>COUNTIFS('Prácticas_Revisiones'!$S$2:$S$282,"T036",'Prácticas_Revisiones'!$T$2:$T$282,"SOFTWARE ENG. OPERATIONS &gt; Subárea no determinable")+COUNTIFS('Prácticas_Snowballing'!$AB$2:$AB$281,"T036",'Prácticas_Snowballing'!$AC$2:$AC$281,"SOFTWARE ENG. OPERATIONS &gt; Subárea no determinable")</f>
        <v>0</v>
      </c>
      <c r="AY46" s="29">
        <f t="shared" si="40"/>
        <v>0</v>
      </c>
      <c r="AZ46" s="17">
        <f>COUNTIFS('Prácticas_Revisiones'!$S$2:$S$282,"T036",'Prácticas_Revisiones'!$T$2:$T$282,"MAINTENANCE &gt; Software Maintenance Fundamentals")+COUNTIFS('Prácticas_Snowballing'!$AB$2:$AB$281,"T036",'Prácticas_Snowballing'!$AC$2:$AC$281,"MAINTENANCE &gt; Software Maintenance Fundamentals")</f>
        <v>0</v>
      </c>
      <c r="BA46" s="17">
        <f>COUNTIFS('Prácticas_Revisiones'!$S$2:$S$282,"T036",'Prácticas_Revisiones'!$T$2:$T$282,"MAINTENANCE &gt; Key Issues in Software Maintenance")+COUNTIFS('Prácticas_Snowballing'!$AB$2:$AB$281,"T036",'Prácticas_Snowballing'!$AC$2:$AC$281,"MAINTENANCE &gt; Key Issues in Software Maintenance")</f>
        <v>0</v>
      </c>
      <c r="BB46" s="17">
        <f>COUNTIFS('Prácticas_Revisiones'!$S$2:$S$282,"T036",'Prácticas_Revisiones'!$T$2:$T$282,"MAINTENANCE &gt; Software Maintenance Processes")+COUNTIFS('Prácticas_Snowballing'!$AB$2:$AB$281,"T036",'Prácticas_Snowballing'!$AC$2:$AC$281,"MAINTENANCE &gt; Software Maintenance Processes")</f>
        <v>0</v>
      </c>
      <c r="BC46" s="17">
        <f>COUNTIFS('Prácticas_Revisiones'!$S$2:$S$282,"T036",'Prácticas_Revisiones'!$T$2:$T$282,"MAINTENANCE &gt; Software Maintenance Techniques")+COUNTIFS('Prácticas_Snowballing'!$AB$2:$AB$281,"T036",'Prácticas_Snowballing'!$AC$2:$AC$281,"MAINTENANCE &gt; Software Maintenance Techniques")</f>
        <v>0</v>
      </c>
      <c r="BD46" s="17">
        <f>COUNTIFS('Prácticas_Revisiones'!$S$2:$S$282,"T036",'Prácticas_Revisiones'!$T$2:$T$282,"MAINTENANCE &gt; Software Maintenance Tools")+COUNTIFS('Prácticas_Snowballing'!$AB$2:$AB$281,"T036",'Prácticas_Snowballing'!$AC$2:$AC$281,"MAINTENANCE &gt; Software Maintenance Tools")</f>
        <v>0</v>
      </c>
      <c r="BE46" s="17">
        <f>COUNTIFS('Prácticas_Revisiones'!$S$2:$S$282,"T036",'Prácticas_Revisiones'!$T$2:$T$282,"MAINTENANCE &gt; Subárea no determinable")+COUNTIFS('Prácticas_Snowballing'!$AB$2:$AB$281,"T036",'Prácticas_Snowballing'!$AC$2:$AC$281,"MAINTENANCE &gt; Subárea no determinable")</f>
        <v>0</v>
      </c>
      <c r="BF46" s="29">
        <f t="shared" si="41"/>
        <v>0</v>
      </c>
      <c r="BG46" s="17">
        <f>COUNTIFS('Prácticas_Revisiones'!$S$2:$S$282,"T036",'Prácticas_Revisiones'!$T$2:$T$282,"SOFTWARE CONFIG. MGMT. &gt; Management of the SCM Process")+COUNTIFS('Prácticas_Snowballing'!$AB$2:$AB$281,"T036",'Prácticas_Snowballing'!$AC$2:$AC$281,"SOFTWARE CONFIG. MGMT. &gt; Management of the SCM Process")</f>
        <v>0</v>
      </c>
      <c r="BH46" s="17">
        <f>COUNTIFS('Prácticas_Revisiones'!$S$2:$S$282,"T036",'Prácticas_Revisiones'!$T$2:$T$282,"SOFTWARE CONFIG. MGMT. &gt; Software Configuration Identification")+COUNTIFS('Prácticas_Snowballing'!$AB$2:$AB$281,"T036",'Prácticas_Snowballing'!$AC$2:$AC$281,"SOFTWARE CONFIG. MGMT. &gt; Software Configuration Identification")</f>
        <v>0</v>
      </c>
      <c r="BI46" s="17">
        <f>COUNTIFS('Prácticas_Revisiones'!$S$2:$S$282,"T036",'Prácticas_Revisiones'!$T$2:$T$282,"SOFTWARE CONFIG. MGMT. &gt; Software Configuration Change Control")+COUNTIFS('Prácticas_Snowballing'!$AB$2:$AB$281,"T036",'Prácticas_Snowballing'!$AC$2:$AC$281,"SOFTWARE CONFIG. MGMT. &gt; Software Configuration Change Control")</f>
        <v>0</v>
      </c>
      <c r="BJ46" s="17">
        <f>COUNTIFS('Prácticas_Revisiones'!$S$2:$S$282,"T036",'Prácticas_Revisiones'!$T$2:$T$282,"SOFTWARE CONFIG. MGMT. &gt; Software Configuration Status Accounting")+COUNTIFS('Prácticas_Snowballing'!$AB$2:$AB$281,"T036",'Prácticas_Snowballing'!$AC$2:$AC$281,"SOFTWARE CONFIG. MGMT. &gt; Software Configuration Status Accounting")</f>
        <v>0</v>
      </c>
      <c r="BK46" s="17">
        <f>COUNTIFS('Prácticas_Revisiones'!$S$2:$S$282,"T036",'Prácticas_Revisiones'!$T$2:$T$282,"SOFTWARE CONFIG. MGMT. &gt; Software Configuration Auditing")+COUNTIFS('Prácticas_Snowballing'!$AB$2:$AB$281,"T036",'Prácticas_Snowballing'!$AC$2:$AC$281,"SOFTWARE CONFIG. MGMT. &gt; Software Configuration Auditing")</f>
        <v>0</v>
      </c>
      <c r="BL46" s="17">
        <f>COUNTIFS('Prácticas_Revisiones'!$S$2:$S$282,"T036",'Prácticas_Revisiones'!$T$2:$T$282,"SOFTWARE CONFIG. MGMT. &gt; Software Release Management and Delivery")+COUNTIFS('Prácticas_Snowballing'!$AB$2:$AB$281,"T036",'Prácticas_Snowballing'!$AC$2:$AC$281,"SOFTWARE CONFIG. MGMT. &gt; Software Release Management and Delivery")</f>
        <v>0</v>
      </c>
      <c r="BM46" s="17">
        <f>COUNTIFS('Prácticas_Revisiones'!$S$2:$S$282,"T036",'Prácticas_Revisiones'!$T$2:$T$282,"SOFTWARE CONFIG. MGMT. &gt; Software Configuration Management Tools")+COUNTIFS('Prácticas_Snowballing'!$AB$2:$AB$281,"T036",'Prácticas_Snowballing'!$AC$2:$AC$281,"SOFTWARE CONFIG. MGMT. &gt; Software Configuration Management Tools")</f>
        <v>0</v>
      </c>
      <c r="BN46" s="17">
        <f>COUNTIFS('Prácticas_Revisiones'!$S$2:$S$282,"T036",'Prácticas_Revisiones'!$T$2:$T$282,"SOFTWARE CONFIG. MGMT. &gt; Subárea no determinable")+COUNTIFS('Prácticas_Snowballing'!$AB$2:$AB$281,"T036",'Prácticas_Snowballing'!$AC$2:$AC$281,"SOFTWARE CONFIG. MGMT. &gt; Subárea no determinable")</f>
        <v>0</v>
      </c>
      <c r="BO46" s="29">
        <f t="shared" si="42"/>
        <v>0</v>
      </c>
      <c r="BP46" s="17">
        <f>COUNTIFS('Prácticas_Revisiones'!$S$2:$S$282,"T036",'Prácticas_Revisiones'!$T$2:$T$282,"SOFTWARE ENG. PROCESS &gt; Software Engineering Process Fundamentals")+COUNTIFS('Prácticas_Snowballing'!$AB$2:$AB$281,"T036",'Prácticas_Snowballing'!$AC$2:$AC$281,"SOFTWARE ENG. PROCESS &gt; Software Engineering Process Fundamentals")</f>
        <v>0</v>
      </c>
      <c r="BQ46" s="17">
        <f>COUNTIFS('Prácticas_Revisiones'!$S$2:$S$282,"T036",'Prácticas_Revisiones'!$T$2:$T$282,"SOFTWARE ENG. PROCESS &gt; Life Cycles")+COUNTIFS('Prácticas_Snowballing'!$AB$2:$AB$281,"T036",'Prácticas_Snowballing'!$AC$2:$AC$281,"SOFTWARE ENG. PROCESS &gt; Life Cycles")</f>
        <v>0</v>
      </c>
      <c r="BR46" s="17">
        <f>COUNTIFS('Prácticas_Revisiones'!$S$2:$S$282,"T036",'Prácticas_Revisiones'!$T$2:$T$282,"SOFTWARE ENG. PROCESS &gt; Software Process Assessment and Improvement")+COUNTIFS('Prácticas_Snowballing'!$AB$2:$AB$281,"T036",'Prácticas_Snowballing'!$AC$2:$AC$281,"SOFTWARE ENG. PROCESS &gt; Software Process Assessment and Improvement")</f>
        <v>0</v>
      </c>
      <c r="BS46" s="17">
        <f>COUNTIFS('Prácticas_Revisiones'!$S$2:$S$282,"T036",'Prácticas_Revisiones'!$T$2:$T$282,"SOFTWARE ENG. PROCESS &gt; Subárea no determinable")+COUNTIFS('Prácticas_Snowballing'!$AB$2:$AB$281,"T036",'Prácticas_Snowballing'!$AC$2:$AC$281,"SOFTWARE ENG. PROCESS &gt; Subárea no determinable")</f>
        <v>0</v>
      </c>
      <c r="BT46" s="29">
        <f t="shared" si="43"/>
        <v>0</v>
      </c>
      <c r="BU46" s="17">
        <f>COUNTIFS('Prácticas_Revisiones'!$S$2:$S$282,"T036",'Prácticas_Revisiones'!$T$2:$T$282,"SOFTWARE ENG. MODELS/METH. &gt; Modeling")+COUNTIFS('Prácticas_Snowballing'!$AB$2:$AB$281,"T036",'Prácticas_Snowballing'!$AC$2:$AC$281,"SOFTWARE ENG. MODELS/METH. &gt; Modeling")</f>
        <v>0</v>
      </c>
      <c r="BV46" s="17">
        <f>COUNTIFS('Prácticas_Revisiones'!$S$2:$S$282,"T036",'Prácticas_Revisiones'!$T$2:$T$282,"SOFTWARE ENG. MODELS/METH. &gt; Types of Models")+COUNTIFS('Prácticas_Snowballing'!$AB$2:$AB$281,"T036",'Prácticas_Snowballing'!$AC$2:$AC$281,"SOFTWARE ENG. MODELS/METH. &gt; Types of Models")</f>
        <v>0</v>
      </c>
      <c r="BW46" s="17">
        <f>COUNTIFS('Prácticas_Revisiones'!$S$2:$S$282,"T036",'Prácticas_Revisiones'!$T$2:$T$282,"SOFTWARE ENG. MODELS/METH. &gt; Analysis of Models")+COUNTIFS('Prácticas_Snowballing'!$AB$2:$AB$281,"T036",'Prácticas_Snowballing'!$AC$2:$AC$281,"SOFTWARE ENG. MODELS/METH. &gt; Analysis of Models")</f>
        <v>0</v>
      </c>
      <c r="BX46" s="17">
        <f>COUNTIFS('Prácticas_Revisiones'!$S$2:$S$282,"T036",'Prácticas_Revisiones'!$T$2:$T$282,"SOFTWARE ENG. MODELS/METH. &gt; Software Engineering Methods")+COUNTIFS('Prácticas_Snowballing'!$AB$2:$AB$281,"T036",'Prácticas_Snowballing'!$AC$2:$AC$281,"SOFTWARE ENG. MODELS/METH. &gt; Software Engineering Methods")</f>
        <v>0</v>
      </c>
      <c r="BY46" s="17">
        <f>COUNTIFS('Prácticas_Revisiones'!$S$2:$S$282,"T036",'Prácticas_Revisiones'!$T$2:$T$282,"SOFTWARE ENG. MODELS/METH. &gt; Subárea no determinable")+COUNTIFS('Prácticas_Snowballing'!$AB$2:$AB$281,"T036",'Prácticas_Snowballing'!$AC$2:$AC$281,"SOFTWARE ENG. MODELS/METH. &gt; Subárea no determinable")</f>
        <v>0</v>
      </c>
      <c r="BZ46" s="29">
        <f t="shared" si="44"/>
        <v>0</v>
      </c>
      <c r="CA46" s="17">
        <f>COUNTIFS('Prácticas_Revisiones'!$S$2:$S$282,"T036",'Prácticas_Revisiones'!$T$2:$T$282,"SOFTWARE QUALITY &gt; Software Quality Fundamentals")+COUNTIFS('Prácticas_Snowballing'!$AB$2:$AB$281,"T036",'Prácticas_Snowballing'!$AC$2:$AC$281,"SOFTWARE QUALITY &gt; Software Quality Fundamentals")</f>
        <v>0</v>
      </c>
      <c r="CB46" s="17">
        <f>COUNTIFS('Prácticas_Revisiones'!$S$2:$S$282,"T036",'Prácticas_Revisiones'!$T$2:$T$282,"SOFTWARE QUALITY &gt; Software Quality Management Process")+COUNTIFS('Prácticas_Snowballing'!$AB$2:$AB$281,"T036",'Prácticas_Snowballing'!$AC$2:$AC$281,"SOFTWARE QUALITY &gt; Software Quality Management Process")</f>
        <v>0</v>
      </c>
      <c r="CC46" s="17">
        <f>COUNTIFS('Prácticas_Revisiones'!$S$2:$S$282,"T036",'Prácticas_Revisiones'!$T$2:$T$282,"SOFTWARE QUALITY &gt; Software Quality Assurance Process")+COUNTIFS('Prácticas_Snowballing'!$AB$2:$AB$281,"T036",'Prácticas_Snowballing'!$AC$2:$AC$281,"SOFTWARE QUALITY &gt; Software Quality Assurance Process")</f>
        <v>0</v>
      </c>
      <c r="CD46" s="17">
        <f>COUNTIFS('Prácticas_Revisiones'!$S$2:$S$282,"T036",'Prácticas_Revisiones'!$T$2:$T$282,"SOFTWARE QUALITY &gt; Software Quality Tools")+COUNTIFS('Prácticas_Snowballing'!$AB$2:$AB$281,"T036",'Prácticas_Snowballing'!$AC$2:$AC$281,"SOFTWARE QUALITY &gt; Software Quality Tools")</f>
        <v>0</v>
      </c>
      <c r="CE46" s="17">
        <f>COUNTIFS('Prácticas_Revisiones'!$S$2:$S$282,"T036",'Prácticas_Revisiones'!$T$2:$T$282,"SOFTWARE QUALITY &gt; Subárea no determinable")+COUNTIFS('Prácticas_Snowballing'!$AB$2:$AB$281,"T036",'Prácticas_Snowballing'!$AC$2:$AC$281,"SOFTWARE QUALITY &gt; Subárea no determinable")</f>
        <v>0</v>
      </c>
      <c r="CF46" s="29">
        <f t="shared" si="45"/>
        <v>0</v>
      </c>
      <c r="CG46" s="17">
        <f>COUNTIFS('Prácticas_Revisiones'!$S$2:$S$282,"T036",'Prácticas_Revisiones'!$T$2:$T$282,"SOFTWARE SECURITY &gt; Software Security Fundamentals")+COUNTIFS('Prácticas_Snowballing'!$AB$2:$AB$281,"T036",'Prácticas_Snowballing'!$AC$2:$AC$281,"SOFTWARE SECURITY &gt; Software Security Fundamentals")</f>
        <v>0</v>
      </c>
      <c r="CH46" s="17">
        <f>COUNTIFS('Prácticas_Revisiones'!$S$2:$S$282,"T036",'Prácticas_Revisiones'!$T$2:$T$282,"SOFTWARE SECURITY &gt; Security Management and Organization")+COUNTIFS('Prácticas_Snowballing'!$AB$2:$AB$281,"T036",'Prácticas_Snowballing'!$AC$2:$AC$281,"SOFTWARE SECURITY &gt; Security Management and Organization")</f>
        <v>0</v>
      </c>
      <c r="CI46" s="17">
        <f>COUNTIFS('Prácticas_Revisiones'!$S$2:$S$282,"T036",'Prácticas_Revisiones'!$T$2:$T$282,"SOFTWARE SECURITY &gt; Software Security Engineering and Process")+COUNTIFS('Prácticas_Snowballing'!$AB$2:$AB$281,"T036",'Prácticas_Snowballing'!$AC$2:$AC$281,"SOFTWARE SECURITY &gt; Software Security Engineering and Process")</f>
        <v>0</v>
      </c>
      <c r="CJ46" s="17">
        <f>COUNTIFS('Prácticas_Revisiones'!$S$2:$S$282,"T036",'Prácticas_Revisiones'!$T$2:$T$282,"SOFTWARE SECURITY &gt; Security Engineering for Software Systems")+COUNTIFS('Prácticas_Snowballing'!$AB$2:$AB$281,"T036",'Prácticas_Snowballing'!$AC$2:$AC$281,"SOFTWARE SECURITY &gt; Security Engineering for Software Systems")</f>
        <v>0</v>
      </c>
      <c r="CK46" s="17">
        <f>COUNTIFS('Prácticas_Revisiones'!$S$2:$S$282,"T036",'Prácticas_Revisiones'!$T$2:$T$282,"SOFTWARE SECURITY &gt; Software Security Tools")+COUNTIFS('Prácticas_Snowballing'!$AB$2:$AB$281,"T036",'Prácticas_Snowballing'!$AC$2:$AC$281,"SOFTWARE SECURITY &gt; Software Security Tools")</f>
        <v>0</v>
      </c>
      <c r="CL46" s="17">
        <f>COUNTIFS('Prácticas_Revisiones'!$S$2:$S$282,"T036",'Prácticas_Revisiones'!$T$2:$T$282,"SOFTWARE SECURITY &gt; Domain Specific Software Security")+COUNTIFS('Prácticas_Snowballing'!$AB$2:$AB$281,"T036",'Prácticas_Snowballing'!$AC$2:$AC$281,"SOFTWARE SECURITY &gt; Domain Specific Software Security")</f>
        <v>0</v>
      </c>
      <c r="CM46" s="17">
        <f>COUNTIFS('Prácticas_Revisiones'!$S$2:$S$282,"T036",'Prácticas_Revisiones'!$T$2:$T$282,"SOFTWARE SECURITY &gt; Subárea no determinable")+COUNTIFS('Prácticas_Snowballing'!$AB$2:$AB$281,"T036",'Prácticas_Snowballing'!$AC$2:$AC$281,"SOFTWARE SECURITY &gt; Subárea no determinable")</f>
        <v>0</v>
      </c>
      <c r="CN46" s="29">
        <f t="shared" si="46"/>
        <v>0</v>
      </c>
      <c r="CO46" s="17">
        <f>COUNTIFS('Prácticas_Revisiones'!$S$2:$S$282,"T036",'Prácticas_Revisiones'!$T$2:$T$282,"PROFESSIONAL PRACTICE &gt; Professionalism")+COUNTIFS('Prácticas_Snowballing'!$AB$2:$AB$281,"T036",'Prácticas_Snowballing'!$AC$2:$AC$281,"PROFESSIONAL PRACTICE &gt; Professionalism")</f>
        <v>0</v>
      </c>
      <c r="CP46" s="17">
        <f>COUNTIFS('Prácticas_Revisiones'!$S$2:$S$282,"T036",'Prácticas_Revisiones'!$T$2:$T$282,"PROFESSIONAL PRACTICE &gt; Group Dynamics and Psychology")+COUNTIFS('Prácticas_Snowballing'!$AB$2:$AB$281,"T036",'Prácticas_Snowballing'!$AC$2:$AC$281,"PROFESSIONAL PRACTICE &gt; Group Dynamics and Psychology")</f>
        <v>0</v>
      </c>
      <c r="CQ46" s="17">
        <f>COUNTIFS('Prácticas_Revisiones'!$S$2:$S$282,"T036",'Prácticas_Revisiones'!$T$2:$T$282,"PROFESSIONAL PRACTICE &gt; Communication Skills")+COUNTIFS('Prácticas_Snowballing'!$AB$2:$AB$281,"T036",'Prácticas_Snowballing'!$AC$2:$AC$281,"PROFESSIONAL PRACTICE &gt; Communication Skills")</f>
        <v>0</v>
      </c>
      <c r="CR46" s="17">
        <f>COUNTIFS('Prácticas_Revisiones'!$S$2:$S$282,"T036",'Prácticas_Revisiones'!$T$2:$T$282,"PROFESSIONAL PRACTICE &gt; Subárea no determinable")+COUNTIFS('Prácticas_Snowballing'!$AB$2:$AB$281,"T036",'Prácticas_Snowballing'!$AC$2:$AC$281,"PROFESSIONAL PRACTICE &gt; Subárea no determinable")</f>
        <v>0</v>
      </c>
      <c r="CS46" s="29">
        <f t="shared" si="47"/>
        <v>0</v>
      </c>
      <c r="CT46" s="17">
        <f>COUNTIFS('Prácticas_Revisiones'!$S$2:$S$282,"T036",'Prácticas_Revisiones'!$T$2:$T$282,"SOFTWARE ENG. ECONOMICS &gt; Software Engineering Economics Fundamentals")+COUNTIFS('Prácticas_Snowballing'!$AB$2:$AB$281,"T036",'Prácticas_Snowballing'!$AC$2:$AC$281,"SOFTWARE ENG. ECONOMICS &gt; Software Engineering Economics Fundamentals")</f>
        <v>0</v>
      </c>
      <c r="CU46" s="17">
        <f>COUNTIFS('Prácticas_Revisiones'!$S$2:$S$282,"T036",'Prácticas_Revisiones'!$T$2:$T$282,"SOFTWARE ENG. ECONOMICS &gt; The Engineering Decision-Making Process")+COUNTIFS('Prácticas_Snowballing'!$AB$2:$AB$281,"T036",'Prácticas_Snowballing'!$AC$2:$AC$281,"SOFTWARE ENG. ECONOMICS &gt; The Engineering Decision-Making Process")</f>
        <v>0</v>
      </c>
      <c r="CV46" s="17">
        <f>COUNTIFS('Prácticas_Revisiones'!$S$2:$S$282,"T036",'Prácticas_Revisiones'!$T$2:$T$282,"SOFTWARE ENG. ECONOMICS &gt; For-Profit Decision-Making")+COUNTIFS('Prácticas_Snowballing'!$AB$2:$AB$281,"T036",'Prácticas_Snowballing'!$AC$2:$AC$281,"SOFTWARE ENG. ECONOMICS &gt; For-Profit Decision-Making")</f>
        <v>0</v>
      </c>
      <c r="CW46" s="17">
        <f>COUNTIFS('Prácticas_Revisiones'!$S$2:$S$282,"T036",'Prácticas_Revisiones'!$T$2:$T$282,"SOFTWARE ENG. ECONOMICS &gt; Nonprofit Decision-Making")+COUNTIFS('Prácticas_Snowballing'!$AB$2:$AB$281,"T036",'Prácticas_Snowballing'!$AC$2:$AC$281,"SOFTWARE ENG. ECONOMICS &gt; Nonprofit Decision-Making")</f>
        <v>0</v>
      </c>
      <c r="CX46" s="17">
        <f>COUNTIFS('Prácticas_Revisiones'!$S$2:$S$282,"T036",'Prácticas_Revisiones'!$T$2:$T$282,"SOFTWARE ENG. ECONOMICS &gt; Present Economy Decision-Making")+COUNTIFS('Prácticas_Snowballing'!$AB$2:$AB$281,"T036",'Prácticas_Snowballing'!$AC$2:$AC$281,"SOFTWARE ENG. ECONOMICS &gt; Present Economy Decision-Making")</f>
        <v>0</v>
      </c>
      <c r="CY46" s="17">
        <f>COUNTIFS('Prácticas_Revisiones'!$S$2:$S$282,"T036",'Prácticas_Revisiones'!$T$2:$T$282,"SOFTWARE ENG. ECONOMICS &gt; Multiple-Attribute Decision-Making")+COUNTIFS('Prácticas_Snowballing'!$AB$2:$AB$281,"T036",'Prácticas_Snowballing'!$AC$2:$AC$281,"SOFTWARE ENG. ECONOMICS &gt; Multiple-Attribute Decision-Making")</f>
        <v>0</v>
      </c>
      <c r="CZ46" s="17">
        <f>COUNTIFS('Prácticas_Revisiones'!$S$2:$S$282,"T036",'Prácticas_Revisiones'!$T$2:$T$282,"SOFTWARE ENG. ECONOMICS &gt; Identifying and Characterizing Intangible Assets")+COUNTIFS('Prácticas_Snowballing'!$AB$2:$AB$281,"T036",'Prácticas_Snowballing'!$AC$2:$AC$281,"SOFTWARE ENG. ECONOMICS &gt; Identifying and Characterizing Intangible Assets")</f>
        <v>0</v>
      </c>
      <c r="DA46" s="17">
        <f>COUNTIFS('Prácticas_Revisiones'!$S$2:$S$282,"T036",'Prácticas_Revisiones'!$T$2:$T$282,"SOFTWARE ENG. ECONOMICS &gt; Estimation")+COUNTIFS('Prácticas_Snowballing'!$AB$2:$AB$281,"T036",'Prácticas_Snowballing'!$AC$2:$AC$281,"SOFTWARE ENG. ECONOMICS &gt; Estimation")</f>
        <v>0</v>
      </c>
      <c r="DB46" s="17">
        <f>COUNTIFS('Prácticas_Revisiones'!$S$2:$S$282,"T036",'Prácticas_Revisiones'!$T$2:$T$282,"SOFTWARE ENG. ECONOMICS &gt; Practical Considerations")+COUNTIFS('Prácticas_Snowballing'!$AB$2:$AB$281,"T036",'Prácticas_Snowballing'!$AC$2:$AC$281,"SOFTWARE ENG. ECONOMICS &gt; Practical Considerations")</f>
        <v>0</v>
      </c>
      <c r="DC46" s="17">
        <f>COUNTIFS('Prácticas_Revisiones'!$S$2:$S$282,"T036",'Prácticas_Revisiones'!$T$2:$T$282,"SOFTWARE ENG. ECONOMICS &gt; Related Concepts")+COUNTIFS('Prácticas_Snowballing'!$AB$2:$AB$281,"T036",'Prácticas_Snowballing'!$AC$2:$AC$281,"SOFTWARE ENG. ECONOMICS &gt; Related Concepts")</f>
        <v>0</v>
      </c>
      <c r="DD46" s="17">
        <f>COUNTIFS('Prácticas_Revisiones'!$S$2:$S$282,"T036",'Prácticas_Revisiones'!$T$2:$T$282,"SOFTWARE ENG. ECONOMICS &gt; Subárea no determinable")+COUNTIFS('Prácticas_Snowballing'!$AB$2:$AB$281,"T036",'Prácticas_Snowballing'!$AC$2:$AC$281,"SOFTWARE ENG. ECONOMICS &gt; Subárea no determinable")</f>
        <v>0</v>
      </c>
      <c r="DE46" s="29">
        <f t="shared" si="48"/>
        <v>0</v>
      </c>
      <c r="DF46" s="17">
        <f>COUNTIFS('Prácticas_Revisiones'!$S$2:$S$282,"T036",'Prácticas_Revisiones'!$T$2:$T$282,"SOFTWARE ENG. MANAGEMENT &gt; Software Engineering Management Fundamentals")+COUNTIFS('Prácticas_Snowballing'!$AB$2:$AB$281,"T036",'Prácticas_Snowballing'!$AC$2:$AC$281,"SOFTWARE ENG. MANAGEMENT &gt; Software Engineering Management Fundamentals")</f>
        <v>0</v>
      </c>
      <c r="DG46" s="17">
        <f>COUNTIFS('Prácticas_Revisiones'!$S$2:$S$282,"T036",'Prácticas_Revisiones'!$T$2:$T$282,"SOFTWARE ENG. MANAGEMENT &gt; Initiation and Scope Definition")+COUNTIFS('Prácticas_Snowballing'!$AB$2:$AB$281,"T036",'Prácticas_Snowballing'!$AC$2:$AC$281,"SOFTWARE ENG. MANAGEMENT &gt; Initiation and Scope Definition")</f>
        <v>0</v>
      </c>
      <c r="DH46" s="17">
        <f>COUNTIFS('Prácticas_Revisiones'!$S$2:$S$282,"T036",'Prácticas_Revisiones'!$T$2:$T$282,"SOFTWARE ENG. MANAGEMENT &gt; Software Project Planning")+COUNTIFS('Prácticas_Snowballing'!$AB$2:$AB$281,"T036",'Prácticas_Snowballing'!$AC$2:$AC$281,"SOFTWARE ENG. MANAGEMENT &gt; Software Project Planning")</f>
        <v>0</v>
      </c>
      <c r="DI46" s="17">
        <f>COUNTIFS('Prácticas_Revisiones'!$S$2:$S$282,"T036",'Prácticas_Revisiones'!$T$2:$T$282,"SOFTWARE ENG. MANAGEMENT &gt; Software Project Enactment")+COUNTIFS('Prácticas_Snowballing'!$AB$2:$AB$281,"T036",'Prácticas_Snowballing'!$AC$2:$AC$281,"SOFTWARE ENG. MANAGEMENT &gt; Software Project Enactment")</f>
        <v>0</v>
      </c>
      <c r="DJ46" s="17">
        <f>COUNTIFS('Prácticas_Revisiones'!$S$2:$S$282,"T036",'Prácticas_Revisiones'!$T$2:$T$282,"SOFTWARE ENG. MANAGEMENT &gt; Review and Evaluation")+COUNTIFS('Prácticas_Snowballing'!$AB$2:$AB$281,"T036",'Prácticas_Snowballing'!$AC$2:$AC$281,"SOFTWARE ENG. MANAGEMENT &gt; Review and Evaluation")</f>
        <v>0</v>
      </c>
      <c r="DK46" s="17">
        <f>COUNTIFS('Prácticas_Revisiones'!$S$2:$S$282,"T036",'Prácticas_Revisiones'!$T$2:$T$282,"SOFTWARE ENG. MANAGEMENT &gt; Closure")+COUNTIFS('Prácticas_Snowballing'!$AB$2:$AB$281,"T036",'Prácticas_Snowballing'!$AC$2:$AC$281,"SOFTWARE ENG. MANAGEMENT &gt; Closure")</f>
        <v>0</v>
      </c>
      <c r="DL46" s="17">
        <f>COUNTIFS('Prácticas_Revisiones'!$S$2:$S$282,"T036",'Prácticas_Revisiones'!$T$2:$T$282,"SOFTWARE ENG. MANAGEMENT &gt; Software Engineering Management Tools")+COUNTIFS('Prácticas_Snowballing'!$AB$2:$AB$281,"T036",'Prácticas_Snowballing'!$AC$2:$AC$281,"SOFTWARE ENG. MANAGEMENT &gt; Software Engineering Management Tools")</f>
        <v>0</v>
      </c>
      <c r="DM46" s="17">
        <f>COUNTIFS('Prácticas_Revisiones'!$S$2:$S$282,"T036",'Prácticas_Revisiones'!$T$2:$T$282,"SOFTWARE ENG. MANAGEMENT &gt; Subárea no determinable")+COUNTIFS('Prácticas_Snowballing'!$AB$2:$AB$281,"T036",'Prácticas_Snowballing'!$AC$2:$AC$281,"SOFTWARE ENG. MANAGEMENT &gt; Subárea no determinable")</f>
        <v>0</v>
      </c>
      <c r="DN46" s="29">
        <f t="shared" si="49"/>
        <v>0</v>
      </c>
      <c r="DO46" s="17">
        <f>COUNTIFS('Prácticas_Revisiones'!$S$2:$S$282,"T036",'Prácticas_Revisiones'!$T$2:$T$282,"Sin área SWEBOK")+COUNTIFS('Prácticas_Snowballing'!$AB$2:$AB$281,"T036",'Prácticas_Snowballing'!$AC$2:$AC$281,"Sin área SWEBOK")</f>
        <v>0</v>
      </c>
      <c r="DP46" s="27">
        <f t="shared" si="50"/>
        <v>0</v>
      </c>
    </row>
    <row r="47" ht="15.75" customHeight="1">
      <c r="A47" s="28"/>
      <c r="B47" s="16" t="s">
        <v>2779</v>
      </c>
      <c r="C47" s="17">
        <f>COUNTIFS('Prácticas_Revisiones'!$S$2:$S$282,"T037",'Prácticas_Revisiones'!$T$2:$T$282,"REQUIREMENTS &gt; Software Requirements Fundamentals")+COUNTIFS('Prácticas_Snowballing'!$AB$2:$AB$281,"T037",'Prácticas_Snowballing'!$AC$2:$AC$281,"REQUIREMENTS &gt; Software Requirements Fundamentals")</f>
        <v>0</v>
      </c>
      <c r="D47" s="17">
        <f>COUNTIFS('Prácticas_Revisiones'!$S$2:$S$282,"T037",'Prácticas_Revisiones'!$T$2:$T$282,"REQUIREMENTS &gt; Requirements Elicitation")+COUNTIFS('Prácticas_Snowballing'!$AB$2:$AB$281,"T037",'Prácticas_Snowballing'!$AC$2:$AC$281,"REQUIREMENTS &gt; Requirements Elicitation")</f>
        <v>0</v>
      </c>
      <c r="E47" s="17">
        <f>COUNTIFS('Prácticas_Revisiones'!$S$2:$S$282,"T037",'Prácticas_Revisiones'!$T$2:$T$282,"REQUIREMENTS &gt; Requirements Analysis")+COUNTIFS('Prácticas_Snowballing'!$AB$2:$AB$281,"T037",'Prácticas_Snowballing'!$AC$2:$AC$281,"REQUIREMENTS &gt; Requirements Analysis")</f>
        <v>0</v>
      </c>
      <c r="F47" s="17">
        <f>COUNTIFS('Prácticas_Revisiones'!$S$2:$S$282,"T037",'Prácticas_Revisiones'!$T$2:$T$282,"REQUIREMENTS &gt; Requirements Specification")+COUNTIFS('Prácticas_Snowballing'!$AB$2:$AB$281,"T037",'Prácticas_Snowballing'!$AC$2:$AC$281,"REQUIREMENTS &gt; Requirements Specification")</f>
        <v>0</v>
      </c>
      <c r="G47" s="17">
        <f>COUNTIFS('Prácticas_Revisiones'!$S$2:$S$282,"T037",'Prácticas_Revisiones'!$T$2:$T$282,"REQUIREMENTS &gt; Requirements Validation")+COUNTIFS('Prácticas_Snowballing'!$AB$2:$AB$281,"T037",'Prácticas_Snowballing'!$AC$2:$AC$281,"REQUIREMENTS &gt; Requirements Validation")</f>
        <v>0</v>
      </c>
      <c r="H47" s="17">
        <f>COUNTIFS('Prácticas_Revisiones'!$S$2:$S$282,"T037",'Prácticas_Revisiones'!$T$2:$T$282,"REQUIREMENTS &gt; Requirements Management Activities")+COUNTIFS('Prácticas_Snowballing'!$AB$2:$AB$281,"T037",'Prácticas_Snowballing'!$AC$2:$AC$281,"REQUIREMENTS &gt; Requirements Management Activities")</f>
        <v>0</v>
      </c>
      <c r="I47" s="17">
        <f>COUNTIFS('Prácticas_Revisiones'!$S$2:$S$282,"T037",'Prácticas_Revisiones'!$T$2:$T$282,"REQUIREMENTS &gt; Practical Considerations")+COUNTIFS('Prácticas_Snowballing'!$AB$2:$AB$281,"T037",'Prácticas_Snowballing'!$AC$2:$AC$281,"REQUIREMENTS &gt; Practical Considerations")</f>
        <v>0</v>
      </c>
      <c r="J47" s="17">
        <f>COUNTIFS('Prácticas_Revisiones'!$S$2:$S$282,"T037",'Prácticas_Revisiones'!$T$2:$T$282,"REQUIREMENTS &gt; Software Requirements Tools")+COUNTIFS('Prácticas_Snowballing'!$AB$2:$AB$281,"T037",'Prácticas_Snowballing'!$AC$2:$AC$281,"REQUIREMENTS &gt; Software Requirements Tools")</f>
        <v>0</v>
      </c>
      <c r="K47" s="17">
        <f>COUNTIFS('Prácticas_Revisiones'!$S$2:$S$282,"T037",'Prácticas_Revisiones'!$T$2:$T$282,"REQUIREMENTS &gt; Subárea no determinable")+COUNTIFS('Prácticas_Snowballing'!$AB$2:$AB$281,"T037",'Prácticas_Snowballing'!$AC$2:$AC$281,"REQUIREMENTS &gt; Subárea no determinable")</f>
        <v>0</v>
      </c>
      <c r="L47" s="29">
        <f t="shared" si="35"/>
        <v>0</v>
      </c>
      <c r="M47" s="17">
        <f>COUNTIFS('Prácticas_Revisiones'!$S$2:$S$282,"T037",'Prácticas_Revisiones'!$T$2:$T$282,"ARCHITECTURE &gt; Software Architecture Fundamentals")+COUNTIFS('Prácticas_Snowballing'!$AB$2:$AB$281,"T037",'Prácticas_Snowballing'!$AC$2:$AC$281,"ARCHITECTURE &gt; Software Architecture Fundamentals")</f>
        <v>0</v>
      </c>
      <c r="N47" s="17">
        <f>COUNTIFS('Prácticas_Revisiones'!$S$2:$S$282,"T037",'Prácticas_Revisiones'!$T$2:$T$282,"ARCHITECTURE &gt; Software Architecture Description")+COUNTIFS('Prácticas_Snowballing'!$AB$2:$AB$281,"T037",'Prácticas_Snowballing'!$AC$2:$AC$281,"ARCHITECTURE &gt; Software Architecture Description")</f>
        <v>0</v>
      </c>
      <c r="O47" s="17">
        <f>COUNTIFS('Prácticas_Revisiones'!$S$2:$S$282,"T037",'Prácticas_Revisiones'!$T$2:$T$282,"ARCHITECTURE &gt; Software Architecture Process")+COUNTIFS('Prácticas_Snowballing'!$AB$2:$AB$281,"T037",'Prácticas_Snowballing'!$AC$2:$AC$281,"ARCHITECTURE &gt; Software Architecture Process")</f>
        <v>0</v>
      </c>
      <c r="P47" s="17">
        <f>COUNTIFS('Prácticas_Revisiones'!$S$2:$S$282,"T037",'Prácticas_Revisiones'!$T$2:$T$282,"ARCHITECTURE &gt; Software Architecture Evaluation")+COUNTIFS('Prácticas_Snowballing'!$AB$2:$AB$281,"T037",'Prácticas_Snowballing'!$AC$2:$AC$281,"ARCHITECTURE &gt; Software Architecture Evaluation")</f>
        <v>0</v>
      </c>
      <c r="Q47" s="17">
        <f>COUNTIFS('Prácticas_Revisiones'!$S$2:$S$282,"T037",'Prácticas_Revisiones'!$T$2:$T$282,"ARCHITECTURE &gt; Subárea no determinable")+COUNTIFS('Prácticas_Snowballing'!$AB$2:$AB$281,"T037",'Prácticas_Snowballing'!$AC$2:$AC$281,"ARCHITECTURE &gt; Subárea no determinable")</f>
        <v>0</v>
      </c>
      <c r="R47" s="29">
        <f t="shared" si="36"/>
        <v>0</v>
      </c>
      <c r="S47" s="17">
        <f>COUNTIFS('Prácticas_Revisiones'!$S$2:$S$282,"T037",'Prácticas_Revisiones'!$T$2:$T$282,"DESIGN &gt; Software Design Fundamentals")+COUNTIFS('Prácticas_Snowballing'!$AB$2:$AB$281,"T037",'Prácticas_Snowballing'!$AC$2:$AC$281,"DESIGN &gt; Software Design Fundamentals")</f>
        <v>0</v>
      </c>
      <c r="T47" s="17">
        <f>COUNTIFS('Prácticas_Revisiones'!$S$2:$S$282,"T037",'Prácticas_Revisiones'!$T$2:$T$282,"DESIGN &gt; Software Design Processes")+COUNTIFS('Prácticas_Snowballing'!$AB$2:$AB$281,"T037",'Prácticas_Snowballing'!$AC$2:$AC$281,"DESIGN &gt; Software Design Processes")</f>
        <v>0</v>
      </c>
      <c r="U47" s="17">
        <f>COUNTIFS('Prácticas_Revisiones'!$S$2:$S$282,"T037",'Prácticas_Revisiones'!$T$2:$T$282,"DESIGN &gt; Software Design Qualities")+COUNTIFS('Prácticas_Snowballing'!$AB$2:$AB$281,"T037",'Prácticas_Snowballing'!$AC$2:$AC$281,"DESIGN &gt; Software Design Qualities")</f>
        <v>0</v>
      </c>
      <c r="V47" s="17">
        <f>COUNTIFS('Prácticas_Revisiones'!$S$2:$S$282,"T037",'Prácticas_Revisiones'!$T$2:$T$282,"DESIGN &gt; Recording Software Design")+COUNTIFS('Prácticas_Snowballing'!$AB$2:$AB$281,"T037",'Prácticas_Snowballing'!$AC$2:$AC$281,"DESIGN &gt; Recording Software Design")</f>
        <v>0</v>
      </c>
      <c r="W47" s="17">
        <f>COUNTIFS('Prácticas_Revisiones'!$S$2:$S$282,"T037",'Prácticas_Revisiones'!$T$2:$T$282,"DESIGN &gt; Software Design Strategies and Methods")+COUNTIFS('Prácticas_Snowballing'!$AB$2:$AB$281,"T037",'Prácticas_Snowballing'!$AC$2:$AC$281,"DESIGN &gt; Software Design Strategies and Methods")</f>
        <v>0</v>
      </c>
      <c r="X47" s="17">
        <f>COUNTIFS('Prácticas_Revisiones'!$S$2:$S$282,"T037",'Prácticas_Revisiones'!$T$2:$T$282,"DESIGN &gt; Software Design Analysis and Evaluations")+COUNTIFS('Prácticas_Snowballing'!$AB$2:$AB$281,"T037",'Prácticas_Snowballing'!$AC$2:$AC$281,"DESIGN &gt; Software Design Analysis and Evaluations")</f>
        <v>0</v>
      </c>
      <c r="Y47" s="17">
        <f>COUNTIFS('Prácticas_Revisiones'!$S$2:$S$282,"T037",'Prácticas_Revisiones'!$T$2:$T$282,"DESIGN &gt; Subárea no determinable")+COUNTIFS('Prácticas_Snowballing'!$AB$2:$AB$281,"T037",'Prácticas_Snowballing'!$AC$2:$AC$281,"DESIGN &gt; Subárea no determinable")</f>
        <v>0</v>
      </c>
      <c r="Z47" s="29">
        <f t="shared" si="37"/>
        <v>0</v>
      </c>
      <c r="AA47" s="17">
        <f>COUNTIFS('Prácticas_Revisiones'!$S$2:$S$282,"T037",'Prácticas_Revisiones'!$T$2:$T$282,"CONSTRUCTION &gt; Software Construction Fundamentals")+COUNTIFS('Prácticas_Snowballing'!$AB$2:$AB$281,"T037",'Prácticas_Snowballing'!$AC$2:$AC$281,"CONSTRUCTION &gt; Software Construction Fundamentals")</f>
        <v>1</v>
      </c>
      <c r="AB47" s="17">
        <f>COUNTIFS('Prácticas_Revisiones'!$S$2:$S$282,"T037",'Prácticas_Revisiones'!$T$2:$T$282,"CONSTRUCTION &gt; Managing Construction")+COUNTIFS('Prácticas_Snowballing'!$AB$2:$AB$281,"T037",'Prácticas_Snowballing'!$AC$2:$AC$281,"CONSTRUCTION &gt; Managing Construction")</f>
        <v>0</v>
      </c>
      <c r="AC47" s="17">
        <f>COUNTIFS('Prácticas_Revisiones'!$S$2:$S$282,"T037",'Prácticas_Revisiones'!$T$2:$T$282,"CONSTRUCTION &gt; Practical Considerations")+COUNTIFS('Prácticas_Snowballing'!$AB$2:$AB$281,"T037",'Prácticas_Snowballing'!$AC$2:$AC$281,"CONSTRUCTION &gt; Practical Considerations")</f>
        <v>0</v>
      </c>
      <c r="AD47" s="17">
        <f>COUNTIFS('Prácticas_Revisiones'!$S$2:$S$282,"T037",'Prácticas_Revisiones'!$T$2:$T$282,"CONSTRUCTION &gt; Construction Technologies")+COUNTIFS('Prácticas_Snowballing'!$AB$2:$AB$281,"T037",'Prácticas_Snowballing'!$AC$2:$AC$281,"CONSTRUCTION &gt; Construction Technologies")</f>
        <v>0</v>
      </c>
      <c r="AE47" s="17">
        <f>COUNTIFS('Prácticas_Revisiones'!$S$2:$S$282,"T037",'Prácticas_Revisiones'!$T$2:$T$282,"CONSTRUCTION &gt; Software Construction Tools")+COUNTIFS('Prácticas_Snowballing'!$AB$2:$AB$281,"T037",'Prácticas_Snowballing'!$AC$2:$AC$281,"CONSTRUCTION &gt; Software Construction Tools")</f>
        <v>0</v>
      </c>
      <c r="AF47" s="17">
        <f>COUNTIFS('Prácticas_Revisiones'!$S$2:$S$282,"T037",'Prácticas_Revisiones'!$T$2:$T$282,"CONSTRUCTION &gt; Subárea no determinable")+COUNTIFS('Prácticas_Snowballing'!$AB$2:$AB$281,"T037",'Prácticas_Snowballing'!$AC$2:$AC$281,"CONSTRUCTION &gt; Subárea no determinable")</f>
        <v>0</v>
      </c>
      <c r="AG47" s="29">
        <f t="shared" si="38"/>
        <v>1</v>
      </c>
      <c r="AH47" s="17">
        <f>COUNTIFS('Prácticas_Revisiones'!$S$2:$S$282,"T037",'Prácticas_Revisiones'!$T$2:$T$282,"SOFTWARE TESTING &gt; Software Testing Fundamentals")+COUNTIFS('Prácticas_Snowballing'!$AB$2:$AB$281,"T037",'Prácticas_Snowballing'!$AC$2:$AC$281,"SOFTWARE TESTING &gt; Software Testing Fundamentals")</f>
        <v>0</v>
      </c>
      <c r="AI47" s="17">
        <f>COUNTIFS('Prácticas_Revisiones'!$S$2:$S$282,"T037",'Prácticas_Revisiones'!$T$2:$T$282,"SOFTWARE TESTING &gt; Test Levels")+COUNTIFS('Prácticas_Snowballing'!$AB$2:$AB$281,"T037",'Prácticas_Snowballing'!$AC$2:$AC$281,"SOFTWARE TESTING &gt; Test Levels")</f>
        <v>0</v>
      </c>
      <c r="AJ47" s="17">
        <f>COUNTIFS('Prácticas_Revisiones'!$S$2:$S$282,"T037",'Prácticas_Revisiones'!$T$2:$T$282,"SOFTWARE TESTING &gt; Test Techniques")+COUNTIFS('Prácticas_Snowballing'!$AB$2:$AB$281,"T037",'Prácticas_Snowballing'!$AC$2:$AC$281,"SOFTWARE TESTING &gt; Test Techniques")</f>
        <v>0</v>
      </c>
      <c r="AK47" s="17">
        <f>COUNTIFS('Prácticas_Revisiones'!$S$2:$S$282,"T037",'Prácticas_Revisiones'!$T$2:$T$282,"SOFTWARE TESTING &gt; Test-Related Measures")+COUNTIFS('Prácticas_Snowballing'!$AB$2:$AB$281,"T037",'Prácticas_Snowballing'!$AC$2:$AC$281,"SOFTWARE TESTING &gt; Test-Related Measures")</f>
        <v>0</v>
      </c>
      <c r="AL47" s="17">
        <f>COUNTIFS('Prácticas_Revisiones'!$S$2:$S$282,"T037",'Prácticas_Revisiones'!$T$2:$T$282,"SOFTWARE TESTING &gt; Test Process")+COUNTIFS('Prácticas_Snowballing'!$AB$2:$AB$281,"T037",'Prácticas_Snowballing'!$AC$2:$AC$281,"SOFTWARE TESTING &gt; Test Process")</f>
        <v>0</v>
      </c>
      <c r="AM47" s="17">
        <f>COUNTIFS('Prácticas_Revisiones'!$S$2:$S$282,"T037",'Prácticas_Revisiones'!$T$2:$T$282,"SOFTWARE TESTING &gt; Software Testing in the Development Processes...")+COUNTIFS('Prácticas_Snowballing'!$AB$2:$AB$281,"T037",'Prácticas_Snowballing'!$AC$2:$AC$281,"SOFTWARE TESTING &gt; Software Testing in the Development Processes...")</f>
        <v>0</v>
      </c>
      <c r="AN47" s="17">
        <f>COUNTIFS('Prácticas_Revisiones'!$S$2:$S$282,"T037",'Prácticas_Revisiones'!$T$2:$T$282,"SOFTWARE TESTING &gt; Testing of and Testing Through Emerging Tech...")+COUNTIFS('Prácticas_Snowballing'!$AB$2:$AB$281,"T037",'Prácticas_Snowballing'!$AC$2:$AC$281,"SOFTWARE TESTING &gt; Testing of and Testing Through Emerging Tech...")</f>
        <v>0</v>
      </c>
      <c r="AO47" s="17">
        <f>COUNTIFS('Prácticas_Revisiones'!$S$2:$S$282,"T037",'Prácticas_Revisiones'!$T$2:$T$282,"SOFTWARE TESTING &gt; Software Testing Tools")+COUNTIFS('Prácticas_Snowballing'!$AB$2:$AB$281,"T037",'Prácticas_Snowballing'!$AC$2:$AC$281,"SOFTWARE TESTING &gt; Software Testing Tools")</f>
        <v>0</v>
      </c>
      <c r="AP47" s="17">
        <f>COUNTIFS('Prácticas_Revisiones'!$S$2:$S$282,"T037",'Prácticas_Revisiones'!$T$2:$T$282,"SOFTWARE TESTING &gt; Subárea no determinable")+COUNTIFS('Prácticas_Snowballing'!$AB$2:$AB$281,"T037",'Prácticas_Snowballing'!$AC$2:$AC$281,"SOFTWARE TESTING &gt; Subárea no determinable")</f>
        <v>0</v>
      </c>
      <c r="AQ47" s="29">
        <f t="shared" si="39"/>
        <v>0</v>
      </c>
      <c r="AR47" s="17">
        <f>COUNTIFS('Prácticas_Revisiones'!$S$2:$S$282,"T037",'Prácticas_Revisiones'!$T$2:$T$282,"SOFTWARE ENG. OPERATIONS &gt; Software Engineering Operations Fundamentals")+COUNTIFS('Prácticas_Snowballing'!$AB$2:$AB$281,"T037",'Prácticas_Snowballing'!$AC$2:$AC$281,"SOFTWARE ENG. OPERATIONS &gt; Software Engineering Operations Fundamentals")</f>
        <v>0</v>
      </c>
      <c r="AS47" s="17">
        <f>COUNTIFS('Prácticas_Revisiones'!$S$2:$S$282,"T037",'Prácticas_Revisiones'!$T$2:$T$282,"SOFTWARE ENG. OPERATIONS &gt; Software Engineering Operations Planning")+COUNTIFS('Prácticas_Snowballing'!$AB$2:$AB$281,"T037",'Prácticas_Snowballing'!$AC$2:$AC$281,"SOFTWARE ENG. OPERATIONS &gt; Software Engineering Operations Planning")</f>
        <v>0</v>
      </c>
      <c r="AT47" s="17">
        <f>COUNTIFS('Prácticas_Revisiones'!$S$2:$S$282,"T037",'Prácticas_Revisiones'!$T$2:$T$282,"SOFTWARE ENG. OPERATIONS &gt; Software Engineering Operations Delivery")+COUNTIFS('Prácticas_Snowballing'!$AB$2:$AB$281,"T037",'Prácticas_Snowballing'!$AC$2:$AC$281,"SOFTWARE ENG. OPERATIONS &gt; Software Engineering Operations Delivery")</f>
        <v>0</v>
      </c>
      <c r="AU47" s="17">
        <f>COUNTIFS('Prácticas_Revisiones'!$S$2:$S$282,"T037",'Prácticas_Revisiones'!$T$2:$T$282,"SOFTWARE ENG. OPERATIONS &gt; Software Engineering Operations Control")+COUNTIFS('Prácticas_Snowballing'!$AB$2:$AB$281,"T037",'Prácticas_Snowballing'!$AC$2:$AC$281,"SOFTWARE ENG. OPERATIONS &gt; Software Engineering Operations Control")</f>
        <v>0</v>
      </c>
      <c r="AV47" s="17">
        <f>COUNTIFS('Prácticas_Revisiones'!$S$2:$S$282,"T037",'Prácticas_Revisiones'!$T$2:$T$282,"SOFTWARE ENG. OPERATIONS &gt; Practical Considerations")+COUNTIFS('Prácticas_Snowballing'!$AB$2:$AB$281,"T037",'Prácticas_Snowballing'!$AC$2:$AC$281,"SOFTWARE ENG. OPERATIONS &gt; Practical Considerations")</f>
        <v>0</v>
      </c>
      <c r="AW47" s="17">
        <f>COUNTIFS('Prácticas_Revisiones'!$S$2:$S$282,"T037",'Prácticas_Revisiones'!$T$2:$T$282,"SOFTWARE ENG. OPERATIONS &gt; Software Engineering Operations Tools")+COUNTIFS('Prácticas_Snowballing'!$AB$2:$AB$281,"T037",'Prácticas_Snowballing'!$AC$2:$AC$281,"SOFTWARE ENG. OPERATIONS &gt; Software Engineering Operations Tools")</f>
        <v>0</v>
      </c>
      <c r="AX47" s="17">
        <f>COUNTIFS('Prácticas_Revisiones'!$S$2:$S$282,"T037",'Prácticas_Revisiones'!$T$2:$T$282,"SOFTWARE ENG. OPERATIONS &gt; Subárea no determinable")+COUNTIFS('Prácticas_Snowballing'!$AB$2:$AB$281,"T037",'Prácticas_Snowballing'!$AC$2:$AC$281,"SOFTWARE ENG. OPERATIONS &gt; Subárea no determinable")</f>
        <v>0</v>
      </c>
      <c r="AY47" s="29">
        <f t="shared" si="40"/>
        <v>0</v>
      </c>
      <c r="AZ47" s="17">
        <f>COUNTIFS('Prácticas_Revisiones'!$S$2:$S$282,"T037",'Prácticas_Revisiones'!$T$2:$T$282,"MAINTENANCE &gt; Software Maintenance Fundamentals")+COUNTIFS('Prácticas_Snowballing'!$AB$2:$AB$281,"T037",'Prácticas_Snowballing'!$AC$2:$AC$281,"MAINTENANCE &gt; Software Maintenance Fundamentals")</f>
        <v>0</v>
      </c>
      <c r="BA47" s="17">
        <f>COUNTIFS('Prácticas_Revisiones'!$S$2:$S$282,"T037",'Prácticas_Revisiones'!$T$2:$T$282,"MAINTENANCE &gt; Key Issues in Software Maintenance")+COUNTIFS('Prácticas_Snowballing'!$AB$2:$AB$281,"T037",'Prácticas_Snowballing'!$AC$2:$AC$281,"MAINTENANCE &gt; Key Issues in Software Maintenance")</f>
        <v>0</v>
      </c>
      <c r="BB47" s="17">
        <f>COUNTIFS('Prácticas_Revisiones'!$S$2:$S$282,"T037",'Prácticas_Revisiones'!$T$2:$T$282,"MAINTENANCE &gt; Software Maintenance Processes")+COUNTIFS('Prácticas_Snowballing'!$AB$2:$AB$281,"T037",'Prácticas_Snowballing'!$AC$2:$AC$281,"MAINTENANCE &gt; Software Maintenance Processes")</f>
        <v>0</v>
      </c>
      <c r="BC47" s="17">
        <f>COUNTIFS('Prácticas_Revisiones'!$S$2:$S$282,"T037",'Prácticas_Revisiones'!$T$2:$T$282,"MAINTENANCE &gt; Software Maintenance Techniques")+COUNTIFS('Prácticas_Snowballing'!$AB$2:$AB$281,"T037",'Prácticas_Snowballing'!$AC$2:$AC$281,"MAINTENANCE &gt; Software Maintenance Techniques")</f>
        <v>0</v>
      </c>
      <c r="BD47" s="17">
        <f>COUNTIFS('Prácticas_Revisiones'!$S$2:$S$282,"T037",'Prácticas_Revisiones'!$T$2:$T$282,"MAINTENANCE &gt; Software Maintenance Tools")+COUNTIFS('Prácticas_Snowballing'!$AB$2:$AB$281,"T037",'Prácticas_Snowballing'!$AC$2:$AC$281,"MAINTENANCE &gt; Software Maintenance Tools")</f>
        <v>0</v>
      </c>
      <c r="BE47" s="17">
        <f>COUNTIFS('Prácticas_Revisiones'!$S$2:$S$282,"T037",'Prácticas_Revisiones'!$T$2:$T$282,"MAINTENANCE &gt; Subárea no determinable")+COUNTIFS('Prácticas_Snowballing'!$AB$2:$AB$281,"T037",'Prácticas_Snowballing'!$AC$2:$AC$281,"MAINTENANCE &gt; Subárea no determinable")</f>
        <v>0</v>
      </c>
      <c r="BF47" s="29">
        <f t="shared" si="41"/>
        <v>0</v>
      </c>
      <c r="BG47" s="17">
        <f>COUNTIFS('Prácticas_Revisiones'!$S$2:$S$282,"T037",'Prácticas_Revisiones'!$T$2:$T$282,"SOFTWARE CONFIG. MGMT. &gt; Management of the SCM Process")+COUNTIFS('Prácticas_Snowballing'!$AB$2:$AB$281,"T037",'Prácticas_Snowballing'!$AC$2:$AC$281,"SOFTWARE CONFIG. MGMT. &gt; Management of the SCM Process")</f>
        <v>0</v>
      </c>
      <c r="BH47" s="17">
        <f>COUNTIFS('Prácticas_Revisiones'!$S$2:$S$282,"T037",'Prácticas_Revisiones'!$T$2:$T$282,"SOFTWARE CONFIG. MGMT. &gt; Software Configuration Identification")+COUNTIFS('Prácticas_Snowballing'!$AB$2:$AB$281,"T037",'Prácticas_Snowballing'!$AC$2:$AC$281,"SOFTWARE CONFIG. MGMT. &gt; Software Configuration Identification")</f>
        <v>0</v>
      </c>
      <c r="BI47" s="17">
        <f>COUNTIFS('Prácticas_Revisiones'!$S$2:$S$282,"T037",'Prácticas_Revisiones'!$T$2:$T$282,"SOFTWARE CONFIG. MGMT. &gt; Software Configuration Change Control")+COUNTIFS('Prácticas_Snowballing'!$AB$2:$AB$281,"T037",'Prácticas_Snowballing'!$AC$2:$AC$281,"SOFTWARE CONFIG. MGMT. &gt; Software Configuration Change Control")</f>
        <v>0</v>
      </c>
      <c r="BJ47" s="17">
        <f>COUNTIFS('Prácticas_Revisiones'!$S$2:$S$282,"T037",'Prácticas_Revisiones'!$T$2:$T$282,"SOFTWARE CONFIG. MGMT. &gt; Software Configuration Status Accounting")+COUNTIFS('Prácticas_Snowballing'!$AB$2:$AB$281,"T037",'Prácticas_Snowballing'!$AC$2:$AC$281,"SOFTWARE CONFIG. MGMT. &gt; Software Configuration Status Accounting")</f>
        <v>0</v>
      </c>
      <c r="BK47" s="17">
        <f>COUNTIFS('Prácticas_Revisiones'!$S$2:$S$282,"T037",'Prácticas_Revisiones'!$T$2:$T$282,"SOFTWARE CONFIG. MGMT. &gt; Software Configuration Auditing")+COUNTIFS('Prácticas_Snowballing'!$AB$2:$AB$281,"T037",'Prácticas_Snowballing'!$AC$2:$AC$281,"SOFTWARE CONFIG. MGMT. &gt; Software Configuration Auditing")</f>
        <v>0</v>
      </c>
      <c r="BL47" s="17">
        <f>COUNTIFS('Prácticas_Revisiones'!$S$2:$S$282,"T037",'Prácticas_Revisiones'!$T$2:$T$282,"SOFTWARE CONFIG. MGMT. &gt; Software Release Management and Delivery")+COUNTIFS('Prácticas_Snowballing'!$AB$2:$AB$281,"T037",'Prácticas_Snowballing'!$AC$2:$AC$281,"SOFTWARE CONFIG. MGMT. &gt; Software Release Management and Delivery")</f>
        <v>0</v>
      </c>
      <c r="BM47" s="17">
        <f>COUNTIFS('Prácticas_Revisiones'!$S$2:$S$282,"T037",'Prácticas_Revisiones'!$T$2:$T$282,"SOFTWARE CONFIG. MGMT. &gt; Software Configuration Management Tools")+COUNTIFS('Prácticas_Snowballing'!$AB$2:$AB$281,"T037",'Prácticas_Snowballing'!$AC$2:$AC$281,"SOFTWARE CONFIG. MGMT. &gt; Software Configuration Management Tools")</f>
        <v>0</v>
      </c>
      <c r="BN47" s="17">
        <f>COUNTIFS('Prácticas_Revisiones'!$S$2:$S$282,"T037",'Prácticas_Revisiones'!$T$2:$T$282,"SOFTWARE CONFIG. MGMT. &gt; Subárea no determinable")+COUNTIFS('Prácticas_Snowballing'!$AB$2:$AB$281,"T037",'Prácticas_Snowballing'!$AC$2:$AC$281,"SOFTWARE CONFIG. MGMT. &gt; Subárea no determinable")</f>
        <v>0</v>
      </c>
      <c r="BO47" s="29">
        <f t="shared" si="42"/>
        <v>0</v>
      </c>
      <c r="BP47" s="17">
        <f>COUNTIFS('Prácticas_Revisiones'!$S$2:$S$282,"T037",'Prácticas_Revisiones'!$T$2:$T$282,"SOFTWARE ENG. PROCESS &gt; Software Engineering Process Fundamentals")+COUNTIFS('Prácticas_Snowballing'!$AB$2:$AB$281,"T037",'Prácticas_Snowballing'!$AC$2:$AC$281,"SOFTWARE ENG. PROCESS &gt; Software Engineering Process Fundamentals")</f>
        <v>0</v>
      </c>
      <c r="BQ47" s="17">
        <f>COUNTIFS('Prácticas_Revisiones'!$S$2:$S$282,"T037",'Prácticas_Revisiones'!$T$2:$T$282,"SOFTWARE ENG. PROCESS &gt; Life Cycles")+COUNTIFS('Prácticas_Snowballing'!$AB$2:$AB$281,"T037",'Prácticas_Snowballing'!$AC$2:$AC$281,"SOFTWARE ENG. PROCESS &gt; Life Cycles")</f>
        <v>0</v>
      </c>
      <c r="BR47" s="17">
        <f>COUNTIFS('Prácticas_Revisiones'!$S$2:$S$282,"T037",'Prácticas_Revisiones'!$T$2:$T$282,"SOFTWARE ENG. PROCESS &gt; Software Process Assessment and Improvement")+COUNTIFS('Prácticas_Snowballing'!$AB$2:$AB$281,"T037",'Prácticas_Snowballing'!$AC$2:$AC$281,"SOFTWARE ENG. PROCESS &gt; Software Process Assessment and Improvement")</f>
        <v>0</v>
      </c>
      <c r="BS47" s="17">
        <f>COUNTIFS('Prácticas_Revisiones'!$S$2:$S$282,"T037",'Prácticas_Revisiones'!$T$2:$T$282,"SOFTWARE ENG. PROCESS &gt; Subárea no determinable")+COUNTIFS('Prácticas_Snowballing'!$AB$2:$AB$281,"T037",'Prácticas_Snowballing'!$AC$2:$AC$281,"SOFTWARE ENG. PROCESS &gt; Subárea no determinable")</f>
        <v>0</v>
      </c>
      <c r="BT47" s="29">
        <f t="shared" si="43"/>
        <v>0</v>
      </c>
      <c r="BU47" s="17">
        <f>COUNTIFS('Prácticas_Revisiones'!$S$2:$S$282,"T037",'Prácticas_Revisiones'!$T$2:$T$282,"SOFTWARE ENG. MODELS/METH. &gt; Modeling")+COUNTIFS('Prácticas_Snowballing'!$AB$2:$AB$281,"T037",'Prácticas_Snowballing'!$AC$2:$AC$281,"SOFTWARE ENG. MODELS/METH. &gt; Modeling")</f>
        <v>0</v>
      </c>
      <c r="BV47" s="17">
        <f>COUNTIFS('Prácticas_Revisiones'!$S$2:$S$282,"T037",'Prácticas_Revisiones'!$T$2:$T$282,"SOFTWARE ENG. MODELS/METH. &gt; Types of Models")+COUNTIFS('Prácticas_Snowballing'!$AB$2:$AB$281,"T037",'Prácticas_Snowballing'!$AC$2:$AC$281,"SOFTWARE ENG. MODELS/METH. &gt; Types of Models")</f>
        <v>0</v>
      </c>
      <c r="BW47" s="17">
        <f>COUNTIFS('Prácticas_Revisiones'!$S$2:$S$282,"T037",'Prácticas_Revisiones'!$T$2:$T$282,"SOFTWARE ENG. MODELS/METH. &gt; Analysis of Models")+COUNTIFS('Prácticas_Snowballing'!$AB$2:$AB$281,"T037",'Prácticas_Snowballing'!$AC$2:$AC$281,"SOFTWARE ENG. MODELS/METH. &gt; Analysis of Models")</f>
        <v>0</v>
      </c>
      <c r="BX47" s="17">
        <f>COUNTIFS('Prácticas_Revisiones'!$S$2:$S$282,"T037",'Prácticas_Revisiones'!$T$2:$T$282,"SOFTWARE ENG. MODELS/METH. &gt; Software Engineering Methods")+COUNTIFS('Prácticas_Snowballing'!$AB$2:$AB$281,"T037",'Prácticas_Snowballing'!$AC$2:$AC$281,"SOFTWARE ENG. MODELS/METH. &gt; Software Engineering Methods")</f>
        <v>0</v>
      </c>
      <c r="BY47" s="17">
        <f>COUNTIFS('Prácticas_Revisiones'!$S$2:$S$282,"T037",'Prácticas_Revisiones'!$T$2:$T$282,"SOFTWARE ENG. MODELS/METH. &gt; Subárea no determinable")+COUNTIFS('Prácticas_Snowballing'!$AB$2:$AB$281,"T037",'Prácticas_Snowballing'!$AC$2:$AC$281,"SOFTWARE ENG. MODELS/METH. &gt; Subárea no determinable")</f>
        <v>0</v>
      </c>
      <c r="BZ47" s="29">
        <f t="shared" si="44"/>
        <v>0</v>
      </c>
      <c r="CA47" s="17">
        <f>COUNTIFS('Prácticas_Revisiones'!$S$2:$S$282,"T037",'Prácticas_Revisiones'!$T$2:$T$282,"SOFTWARE QUALITY &gt; Software Quality Fundamentals")+COUNTIFS('Prácticas_Snowballing'!$AB$2:$AB$281,"T037",'Prácticas_Snowballing'!$AC$2:$AC$281,"SOFTWARE QUALITY &gt; Software Quality Fundamentals")</f>
        <v>0</v>
      </c>
      <c r="CB47" s="17">
        <f>COUNTIFS('Prácticas_Revisiones'!$S$2:$S$282,"T037",'Prácticas_Revisiones'!$T$2:$T$282,"SOFTWARE QUALITY &gt; Software Quality Management Process")+COUNTIFS('Prácticas_Snowballing'!$AB$2:$AB$281,"T037",'Prácticas_Snowballing'!$AC$2:$AC$281,"SOFTWARE QUALITY &gt; Software Quality Management Process")</f>
        <v>0</v>
      </c>
      <c r="CC47" s="17">
        <f>COUNTIFS('Prácticas_Revisiones'!$S$2:$S$282,"T037",'Prácticas_Revisiones'!$T$2:$T$282,"SOFTWARE QUALITY &gt; Software Quality Assurance Process")+COUNTIFS('Prácticas_Snowballing'!$AB$2:$AB$281,"T037",'Prácticas_Snowballing'!$AC$2:$AC$281,"SOFTWARE QUALITY &gt; Software Quality Assurance Process")</f>
        <v>0</v>
      </c>
      <c r="CD47" s="17">
        <f>COUNTIFS('Prácticas_Revisiones'!$S$2:$S$282,"T037",'Prácticas_Revisiones'!$T$2:$T$282,"SOFTWARE QUALITY &gt; Software Quality Tools")+COUNTIFS('Prácticas_Snowballing'!$AB$2:$AB$281,"T037",'Prácticas_Snowballing'!$AC$2:$AC$281,"SOFTWARE QUALITY &gt; Software Quality Tools")</f>
        <v>0</v>
      </c>
      <c r="CE47" s="17">
        <f>COUNTIFS('Prácticas_Revisiones'!$S$2:$S$282,"T037",'Prácticas_Revisiones'!$T$2:$T$282,"SOFTWARE QUALITY &gt; Subárea no determinable")+COUNTIFS('Prácticas_Snowballing'!$AB$2:$AB$281,"T037",'Prácticas_Snowballing'!$AC$2:$AC$281,"SOFTWARE QUALITY &gt; Subárea no determinable")</f>
        <v>0</v>
      </c>
      <c r="CF47" s="29">
        <f t="shared" si="45"/>
        <v>0</v>
      </c>
      <c r="CG47" s="17">
        <f>COUNTIFS('Prácticas_Revisiones'!$S$2:$S$282,"T037",'Prácticas_Revisiones'!$T$2:$T$282,"SOFTWARE SECURITY &gt; Software Security Fundamentals")+COUNTIFS('Prácticas_Snowballing'!$AB$2:$AB$281,"T037",'Prácticas_Snowballing'!$AC$2:$AC$281,"SOFTWARE SECURITY &gt; Software Security Fundamentals")</f>
        <v>0</v>
      </c>
      <c r="CH47" s="17">
        <f>COUNTIFS('Prácticas_Revisiones'!$S$2:$S$282,"T037",'Prácticas_Revisiones'!$T$2:$T$282,"SOFTWARE SECURITY &gt; Security Management and Organization")+COUNTIFS('Prácticas_Snowballing'!$AB$2:$AB$281,"T037",'Prácticas_Snowballing'!$AC$2:$AC$281,"SOFTWARE SECURITY &gt; Security Management and Organization")</f>
        <v>0</v>
      </c>
      <c r="CI47" s="17">
        <f>COUNTIFS('Prácticas_Revisiones'!$S$2:$S$282,"T037",'Prácticas_Revisiones'!$T$2:$T$282,"SOFTWARE SECURITY &gt; Software Security Engineering and Process")+COUNTIFS('Prácticas_Snowballing'!$AB$2:$AB$281,"T037",'Prácticas_Snowballing'!$AC$2:$AC$281,"SOFTWARE SECURITY &gt; Software Security Engineering and Process")</f>
        <v>0</v>
      </c>
      <c r="CJ47" s="17">
        <f>COUNTIFS('Prácticas_Revisiones'!$S$2:$S$282,"T037",'Prácticas_Revisiones'!$T$2:$T$282,"SOFTWARE SECURITY &gt; Security Engineering for Software Systems")+COUNTIFS('Prácticas_Snowballing'!$AB$2:$AB$281,"T037",'Prácticas_Snowballing'!$AC$2:$AC$281,"SOFTWARE SECURITY &gt; Security Engineering for Software Systems")</f>
        <v>0</v>
      </c>
      <c r="CK47" s="17">
        <f>COUNTIFS('Prácticas_Revisiones'!$S$2:$S$282,"T037",'Prácticas_Revisiones'!$T$2:$T$282,"SOFTWARE SECURITY &gt; Software Security Tools")+COUNTIFS('Prácticas_Snowballing'!$AB$2:$AB$281,"T037",'Prácticas_Snowballing'!$AC$2:$AC$281,"SOFTWARE SECURITY &gt; Software Security Tools")</f>
        <v>0</v>
      </c>
      <c r="CL47" s="17">
        <f>COUNTIFS('Prácticas_Revisiones'!$S$2:$S$282,"T037",'Prácticas_Revisiones'!$T$2:$T$282,"SOFTWARE SECURITY &gt; Domain Specific Software Security")+COUNTIFS('Prácticas_Snowballing'!$AB$2:$AB$281,"T037",'Prácticas_Snowballing'!$AC$2:$AC$281,"SOFTWARE SECURITY &gt; Domain Specific Software Security")</f>
        <v>0</v>
      </c>
      <c r="CM47" s="17">
        <f>COUNTIFS('Prácticas_Revisiones'!$S$2:$S$282,"T037",'Prácticas_Revisiones'!$T$2:$T$282,"SOFTWARE SECURITY &gt; Subárea no determinable")+COUNTIFS('Prácticas_Snowballing'!$AB$2:$AB$281,"T037",'Prácticas_Snowballing'!$AC$2:$AC$281,"SOFTWARE SECURITY &gt; Subárea no determinable")</f>
        <v>0</v>
      </c>
      <c r="CN47" s="29">
        <f t="shared" si="46"/>
        <v>0</v>
      </c>
      <c r="CO47" s="17">
        <f>COUNTIFS('Prácticas_Revisiones'!$S$2:$S$282,"T037",'Prácticas_Revisiones'!$T$2:$T$282,"PROFESSIONAL PRACTICE &gt; Professionalism")+COUNTIFS('Prácticas_Snowballing'!$AB$2:$AB$281,"T037",'Prácticas_Snowballing'!$AC$2:$AC$281,"PROFESSIONAL PRACTICE &gt; Professionalism")</f>
        <v>0</v>
      </c>
      <c r="CP47" s="17">
        <f>COUNTIFS('Prácticas_Revisiones'!$S$2:$S$282,"T037",'Prácticas_Revisiones'!$T$2:$T$282,"PROFESSIONAL PRACTICE &gt; Group Dynamics and Psychology")+COUNTIFS('Prácticas_Snowballing'!$AB$2:$AB$281,"T037",'Prácticas_Snowballing'!$AC$2:$AC$281,"PROFESSIONAL PRACTICE &gt; Group Dynamics and Psychology")</f>
        <v>0</v>
      </c>
      <c r="CQ47" s="17">
        <f>COUNTIFS('Prácticas_Revisiones'!$S$2:$S$282,"T037",'Prácticas_Revisiones'!$T$2:$T$282,"PROFESSIONAL PRACTICE &gt; Communication Skills")+COUNTIFS('Prácticas_Snowballing'!$AB$2:$AB$281,"T037",'Prácticas_Snowballing'!$AC$2:$AC$281,"PROFESSIONAL PRACTICE &gt; Communication Skills")</f>
        <v>0</v>
      </c>
      <c r="CR47" s="17">
        <f>COUNTIFS('Prácticas_Revisiones'!$S$2:$S$282,"T037",'Prácticas_Revisiones'!$T$2:$T$282,"PROFESSIONAL PRACTICE &gt; Subárea no determinable")+COUNTIFS('Prácticas_Snowballing'!$AB$2:$AB$281,"T037",'Prácticas_Snowballing'!$AC$2:$AC$281,"PROFESSIONAL PRACTICE &gt; Subárea no determinable")</f>
        <v>0</v>
      </c>
      <c r="CS47" s="29">
        <f t="shared" si="47"/>
        <v>0</v>
      </c>
      <c r="CT47" s="17">
        <f>COUNTIFS('Prácticas_Revisiones'!$S$2:$S$282,"T037",'Prácticas_Revisiones'!$T$2:$T$282,"SOFTWARE ENG. ECONOMICS &gt; Software Engineering Economics Fundamentals")+COUNTIFS('Prácticas_Snowballing'!$AB$2:$AB$281,"T037",'Prácticas_Snowballing'!$AC$2:$AC$281,"SOFTWARE ENG. ECONOMICS &gt; Software Engineering Economics Fundamentals")</f>
        <v>0</v>
      </c>
      <c r="CU47" s="17">
        <f>COUNTIFS('Prácticas_Revisiones'!$S$2:$S$282,"T037",'Prácticas_Revisiones'!$T$2:$T$282,"SOFTWARE ENG. ECONOMICS &gt; The Engineering Decision-Making Process")+COUNTIFS('Prácticas_Snowballing'!$AB$2:$AB$281,"T037",'Prácticas_Snowballing'!$AC$2:$AC$281,"SOFTWARE ENG. ECONOMICS &gt; The Engineering Decision-Making Process")</f>
        <v>0</v>
      </c>
      <c r="CV47" s="17">
        <f>COUNTIFS('Prácticas_Revisiones'!$S$2:$S$282,"T037",'Prácticas_Revisiones'!$T$2:$T$282,"SOFTWARE ENG. ECONOMICS &gt; For-Profit Decision-Making")+COUNTIFS('Prácticas_Snowballing'!$AB$2:$AB$281,"T037",'Prácticas_Snowballing'!$AC$2:$AC$281,"SOFTWARE ENG. ECONOMICS &gt; For-Profit Decision-Making")</f>
        <v>0</v>
      </c>
      <c r="CW47" s="17">
        <f>COUNTIFS('Prácticas_Revisiones'!$S$2:$S$282,"T037",'Prácticas_Revisiones'!$T$2:$T$282,"SOFTWARE ENG. ECONOMICS &gt; Nonprofit Decision-Making")+COUNTIFS('Prácticas_Snowballing'!$AB$2:$AB$281,"T037",'Prácticas_Snowballing'!$AC$2:$AC$281,"SOFTWARE ENG. ECONOMICS &gt; Nonprofit Decision-Making")</f>
        <v>0</v>
      </c>
      <c r="CX47" s="17">
        <f>COUNTIFS('Prácticas_Revisiones'!$S$2:$S$282,"T037",'Prácticas_Revisiones'!$T$2:$T$282,"SOFTWARE ENG. ECONOMICS &gt; Present Economy Decision-Making")+COUNTIFS('Prácticas_Snowballing'!$AB$2:$AB$281,"T037",'Prácticas_Snowballing'!$AC$2:$AC$281,"SOFTWARE ENG. ECONOMICS &gt; Present Economy Decision-Making")</f>
        <v>0</v>
      </c>
      <c r="CY47" s="17">
        <f>COUNTIFS('Prácticas_Revisiones'!$S$2:$S$282,"T037",'Prácticas_Revisiones'!$T$2:$T$282,"SOFTWARE ENG. ECONOMICS &gt; Multiple-Attribute Decision-Making")+COUNTIFS('Prácticas_Snowballing'!$AB$2:$AB$281,"T037",'Prácticas_Snowballing'!$AC$2:$AC$281,"SOFTWARE ENG. ECONOMICS &gt; Multiple-Attribute Decision-Making")</f>
        <v>0</v>
      </c>
      <c r="CZ47" s="17">
        <f>COUNTIFS('Prácticas_Revisiones'!$S$2:$S$282,"T037",'Prácticas_Revisiones'!$T$2:$T$282,"SOFTWARE ENG. ECONOMICS &gt; Identifying and Characterizing Intangible Assets")+COUNTIFS('Prácticas_Snowballing'!$AB$2:$AB$281,"T037",'Prácticas_Snowballing'!$AC$2:$AC$281,"SOFTWARE ENG. ECONOMICS &gt; Identifying and Characterizing Intangible Assets")</f>
        <v>0</v>
      </c>
      <c r="DA47" s="17">
        <f>COUNTIFS('Prácticas_Revisiones'!$S$2:$S$282,"T037",'Prácticas_Revisiones'!$T$2:$T$282,"SOFTWARE ENG. ECONOMICS &gt; Estimation")+COUNTIFS('Prácticas_Snowballing'!$AB$2:$AB$281,"T037",'Prácticas_Snowballing'!$AC$2:$AC$281,"SOFTWARE ENG. ECONOMICS &gt; Estimation")</f>
        <v>0</v>
      </c>
      <c r="DB47" s="17">
        <f>COUNTIFS('Prácticas_Revisiones'!$S$2:$S$282,"T037",'Prácticas_Revisiones'!$T$2:$T$282,"SOFTWARE ENG. ECONOMICS &gt; Practical Considerations")+COUNTIFS('Prácticas_Snowballing'!$AB$2:$AB$281,"T037",'Prácticas_Snowballing'!$AC$2:$AC$281,"SOFTWARE ENG. ECONOMICS &gt; Practical Considerations")</f>
        <v>0</v>
      </c>
      <c r="DC47" s="17">
        <f>COUNTIFS('Prácticas_Revisiones'!$S$2:$S$282,"T037",'Prácticas_Revisiones'!$T$2:$T$282,"SOFTWARE ENG. ECONOMICS &gt; Related Concepts")+COUNTIFS('Prácticas_Snowballing'!$AB$2:$AB$281,"T037",'Prácticas_Snowballing'!$AC$2:$AC$281,"SOFTWARE ENG. ECONOMICS &gt; Related Concepts")</f>
        <v>0</v>
      </c>
      <c r="DD47" s="17">
        <f>COUNTIFS('Prácticas_Revisiones'!$S$2:$S$282,"T037",'Prácticas_Revisiones'!$T$2:$T$282,"SOFTWARE ENG. ECONOMICS &gt; Subárea no determinable")+COUNTIFS('Prácticas_Snowballing'!$AB$2:$AB$281,"T037",'Prácticas_Snowballing'!$AC$2:$AC$281,"SOFTWARE ENG. ECONOMICS &gt; Subárea no determinable")</f>
        <v>0</v>
      </c>
      <c r="DE47" s="29">
        <f t="shared" si="48"/>
        <v>0</v>
      </c>
      <c r="DF47" s="17">
        <f>COUNTIFS('Prácticas_Revisiones'!$S$2:$S$282,"T037",'Prácticas_Revisiones'!$T$2:$T$282,"SOFTWARE ENG. MANAGEMENT &gt; Software Engineering Management Fundamentals")+COUNTIFS('Prácticas_Snowballing'!$AB$2:$AB$281,"T037",'Prácticas_Snowballing'!$AC$2:$AC$281,"SOFTWARE ENG. MANAGEMENT &gt; Software Engineering Management Fundamentals")</f>
        <v>0</v>
      </c>
      <c r="DG47" s="17">
        <f>COUNTIFS('Prácticas_Revisiones'!$S$2:$S$282,"T037",'Prácticas_Revisiones'!$T$2:$T$282,"SOFTWARE ENG. MANAGEMENT &gt; Initiation and Scope Definition")+COUNTIFS('Prácticas_Snowballing'!$AB$2:$AB$281,"T037",'Prácticas_Snowballing'!$AC$2:$AC$281,"SOFTWARE ENG. MANAGEMENT &gt; Initiation and Scope Definition")</f>
        <v>0</v>
      </c>
      <c r="DH47" s="17">
        <f>COUNTIFS('Prácticas_Revisiones'!$S$2:$S$282,"T037",'Prácticas_Revisiones'!$T$2:$T$282,"SOFTWARE ENG. MANAGEMENT &gt; Software Project Planning")+COUNTIFS('Prácticas_Snowballing'!$AB$2:$AB$281,"T037",'Prácticas_Snowballing'!$AC$2:$AC$281,"SOFTWARE ENG. MANAGEMENT &gt; Software Project Planning")</f>
        <v>0</v>
      </c>
      <c r="DI47" s="17">
        <f>COUNTIFS('Prácticas_Revisiones'!$S$2:$S$282,"T037",'Prácticas_Revisiones'!$T$2:$T$282,"SOFTWARE ENG. MANAGEMENT &gt; Software Project Enactment")+COUNTIFS('Prácticas_Snowballing'!$AB$2:$AB$281,"T037",'Prácticas_Snowballing'!$AC$2:$AC$281,"SOFTWARE ENG. MANAGEMENT &gt; Software Project Enactment")</f>
        <v>0</v>
      </c>
      <c r="DJ47" s="17">
        <f>COUNTIFS('Prácticas_Revisiones'!$S$2:$S$282,"T037",'Prácticas_Revisiones'!$T$2:$T$282,"SOFTWARE ENG. MANAGEMENT &gt; Review and Evaluation")+COUNTIFS('Prácticas_Snowballing'!$AB$2:$AB$281,"T037",'Prácticas_Snowballing'!$AC$2:$AC$281,"SOFTWARE ENG. MANAGEMENT &gt; Review and Evaluation")</f>
        <v>0</v>
      </c>
      <c r="DK47" s="17">
        <f>COUNTIFS('Prácticas_Revisiones'!$S$2:$S$282,"T037",'Prácticas_Revisiones'!$T$2:$T$282,"SOFTWARE ENG. MANAGEMENT &gt; Closure")+COUNTIFS('Prácticas_Snowballing'!$AB$2:$AB$281,"T037",'Prácticas_Snowballing'!$AC$2:$AC$281,"SOFTWARE ENG. MANAGEMENT &gt; Closure")</f>
        <v>0</v>
      </c>
      <c r="DL47" s="17">
        <f>COUNTIFS('Prácticas_Revisiones'!$S$2:$S$282,"T037",'Prácticas_Revisiones'!$T$2:$T$282,"SOFTWARE ENG. MANAGEMENT &gt; Software Engineering Management Tools")+COUNTIFS('Prácticas_Snowballing'!$AB$2:$AB$281,"T037",'Prácticas_Snowballing'!$AC$2:$AC$281,"SOFTWARE ENG. MANAGEMENT &gt; Software Engineering Management Tools")</f>
        <v>0</v>
      </c>
      <c r="DM47" s="17">
        <f>COUNTIFS('Prácticas_Revisiones'!$S$2:$S$282,"T037",'Prácticas_Revisiones'!$T$2:$T$282,"SOFTWARE ENG. MANAGEMENT &gt; Subárea no determinable")+COUNTIFS('Prácticas_Snowballing'!$AB$2:$AB$281,"T037",'Prácticas_Snowballing'!$AC$2:$AC$281,"SOFTWARE ENG. MANAGEMENT &gt; Subárea no determinable")</f>
        <v>0</v>
      </c>
      <c r="DN47" s="29">
        <f t="shared" si="49"/>
        <v>0</v>
      </c>
      <c r="DO47" s="17">
        <f>COUNTIFS('Prácticas_Revisiones'!$S$2:$S$282,"T037",'Prácticas_Revisiones'!$T$2:$T$282,"Sin área SWEBOK")+COUNTIFS('Prácticas_Snowballing'!$AB$2:$AB$281,"T037",'Prácticas_Snowballing'!$AC$2:$AC$281,"Sin área SWEBOK")</f>
        <v>0</v>
      </c>
      <c r="DP47" s="27">
        <f t="shared" si="50"/>
        <v>1</v>
      </c>
    </row>
    <row r="48" ht="15.75" customHeight="1">
      <c r="A48" s="28"/>
      <c r="B48" s="16" t="s">
        <v>2780</v>
      </c>
      <c r="C48" s="17">
        <f>COUNTIFS('Prácticas_Revisiones'!$S$2:$S$282,"T038",'Prácticas_Revisiones'!$T$2:$T$282,"REQUIREMENTS &gt; Software Requirements Fundamentals")+COUNTIFS('Prácticas_Snowballing'!$AB$2:$AB$281,"T038",'Prácticas_Snowballing'!$AC$2:$AC$281,"REQUIREMENTS &gt; Software Requirements Fundamentals")</f>
        <v>0</v>
      </c>
      <c r="D48" s="17">
        <f>COUNTIFS('Prácticas_Revisiones'!$S$2:$S$282,"T038",'Prácticas_Revisiones'!$T$2:$T$282,"REQUIREMENTS &gt; Requirements Elicitation")+COUNTIFS('Prácticas_Snowballing'!$AB$2:$AB$281,"T038",'Prácticas_Snowballing'!$AC$2:$AC$281,"REQUIREMENTS &gt; Requirements Elicitation")</f>
        <v>0</v>
      </c>
      <c r="E48" s="17">
        <f>COUNTIFS('Prácticas_Revisiones'!$S$2:$S$282,"T038",'Prácticas_Revisiones'!$T$2:$T$282,"REQUIREMENTS &gt; Requirements Analysis")+COUNTIFS('Prácticas_Snowballing'!$AB$2:$AB$281,"T038",'Prácticas_Snowballing'!$AC$2:$AC$281,"REQUIREMENTS &gt; Requirements Analysis")</f>
        <v>0</v>
      </c>
      <c r="F48" s="17">
        <f>COUNTIFS('Prácticas_Revisiones'!$S$2:$S$282,"T038",'Prácticas_Revisiones'!$T$2:$T$282,"REQUIREMENTS &gt; Requirements Specification")+COUNTIFS('Prácticas_Snowballing'!$AB$2:$AB$281,"T038",'Prácticas_Snowballing'!$AC$2:$AC$281,"REQUIREMENTS &gt; Requirements Specification")</f>
        <v>0</v>
      </c>
      <c r="G48" s="17">
        <f>COUNTIFS('Prácticas_Revisiones'!$S$2:$S$282,"T038",'Prácticas_Revisiones'!$T$2:$T$282,"REQUIREMENTS &gt; Requirements Validation")+COUNTIFS('Prácticas_Snowballing'!$AB$2:$AB$281,"T038",'Prácticas_Snowballing'!$AC$2:$AC$281,"REQUIREMENTS &gt; Requirements Validation")</f>
        <v>0</v>
      </c>
      <c r="H48" s="17">
        <f>COUNTIFS('Prácticas_Revisiones'!$S$2:$S$282,"T038",'Prácticas_Revisiones'!$T$2:$T$282,"REQUIREMENTS &gt; Requirements Management Activities")+COUNTIFS('Prácticas_Snowballing'!$AB$2:$AB$281,"T038",'Prácticas_Snowballing'!$AC$2:$AC$281,"REQUIREMENTS &gt; Requirements Management Activities")</f>
        <v>0</v>
      </c>
      <c r="I48" s="17">
        <f>COUNTIFS('Prácticas_Revisiones'!$S$2:$S$282,"T038",'Prácticas_Revisiones'!$T$2:$T$282,"REQUIREMENTS &gt; Practical Considerations")+COUNTIFS('Prácticas_Snowballing'!$AB$2:$AB$281,"T038",'Prácticas_Snowballing'!$AC$2:$AC$281,"REQUIREMENTS &gt; Practical Considerations")</f>
        <v>0</v>
      </c>
      <c r="J48" s="17">
        <f>COUNTIFS('Prácticas_Revisiones'!$S$2:$S$282,"T038",'Prácticas_Revisiones'!$T$2:$T$282,"REQUIREMENTS &gt; Software Requirements Tools")+COUNTIFS('Prácticas_Snowballing'!$AB$2:$AB$281,"T038",'Prácticas_Snowballing'!$AC$2:$AC$281,"REQUIREMENTS &gt; Software Requirements Tools")</f>
        <v>0</v>
      </c>
      <c r="K48" s="17">
        <f>COUNTIFS('Prácticas_Revisiones'!$S$2:$S$282,"T038",'Prácticas_Revisiones'!$T$2:$T$282,"REQUIREMENTS &gt; Subárea no determinable")+COUNTIFS('Prácticas_Snowballing'!$AB$2:$AB$281,"T038",'Prácticas_Snowballing'!$AC$2:$AC$281,"REQUIREMENTS &gt; Subárea no determinable")</f>
        <v>0</v>
      </c>
      <c r="L48" s="29">
        <f t="shared" si="35"/>
        <v>0</v>
      </c>
      <c r="M48" s="17">
        <f>COUNTIFS('Prácticas_Revisiones'!$S$2:$S$282,"T038",'Prácticas_Revisiones'!$T$2:$T$282,"ARCHITECTURE &gt; Software Architecture Fundamentals")+COUNTIFS('Prácticas_Snowballing'!$AB$2:$AB$281,"T038",'Prácticas_Snowballing'!$AC$2:$AC$281,"ARCHITECTURE &gt; Software Architecture Fundamentals")</f>
        <v>0</v>
      </c>
      <c r="N48" s="17">
        <f>COUNTIFS('Prácticas_Revisiones'!$S$2:$S$282,"T038",'Prácticas_Revisiones'!$T$2:$T$282,"ARCHITECTURE &gt; Software Architecture Description")+COUNTIFS('Prácticas_Snowballing'!$AB$2:$AB$281,"T038",'Prácticas_Snowballing'!$AC$2:$AC$281,"ARCHITECTURE &gt; Software Architecture Description")</f>
        <v>0</v>
      </c>
      <c r="O48" s="17">
        <f>COUNTIFS('Prácticas_Revisiones'!$S$2:$S$282,"T038",'Prácticas_Revisiones'!$T$2:$T$282,"ARCHITECTURE &gt; Software Architecture Process")+COUNTIFS('Prácticas_Snowballing'!$AB$2:$AB$281,"T038",'Prácticas_Snowballing'!$AC$2:$AC$281,"ARCHITECTURE &gt; Software Architecture Process")</f>
        <v>0</v>
      </c>
      <c r="P48" s="17">
        <f>COUNTIFS('Prácticas_Revisiones'!$S$2:$S$282,"T038",'Prácticas_Revisiones'!$T$2:$T$282,"ARCHITECTURE &gt; Software Architecture Evaluation")+COUNTIFS('Prácticas_Snowballing'!$AB$2:$AB$281,"T038",'Prácticas_Snowballing'!$AC$2:$AC$281,"ARCHITECTURE &gt; Software Architecture Evaluation")</f>
        <v>0</v>
      </c>
      <c r="Q48" s="17">
        <f>COUNTIFS('Prácticas_Revisiones'!$S$2:$S$282,"T038",'Prácticas_Revisiones'!$T$2:$T$282,"ARCHITECTURE &gt; Subárea no determinable")+COUNTIFS('Prácticas_Snowballing'!$AB$2:$AB$281,"T038",'Prácticas_Snowballing'!$AC$2:$AC$281,"ARCHITECTURE &gt; Subárea no determinable")</f>
        <v>0</v>
      </c>
      <c r="R48" s="29">
        <f t="shared" si="36"/>
        <v>0</v>
      </c>
      <c r="S48" s="17">
        <f>COUNTIFS('Prácticas_Revisiones'!$S$2:$S$282,"T038",'Prácticas_Revisiones'!$T$2:$T$282,"DESIGN &gt; Software Design Fundamentals")+COUNTIFS('Prácticas_Snowballing'!$AB$2:$AB$281,"T038",'Prácticas_Snowballing'!$AC$2:$AC$281,"DESIGN &gt; Software Design Fundamentals")</f>
        <v>0</v>
      </c>
      <c r="T48" s="17">
        <f>COUNTIFS('Prácticas_Revisiones'!$S$2:$S$282,"T038",'Prácticas_Revisiones'!$T$2:$T$282,"DESIGN &gt; Software Design Processes")+COUNTIFS('Prácticas_Snowballing'!$AB$2:$AB$281,"T038",'Prácticas_Snowballing'!$AC$2:$AC$281,"DESIGN &gt; Software Design Processes")</f>
        <v>0</v>
      </c>
      <c r="U48" s="17">
        <f>COUNTIFS('Prácticas_Revisiones'!$S$2:$S$282,"T038",'Prácticas_Revisiones'!$T$2:$T$282,"DESIGN &gt; Software Design Qualities")+COUNTIFS('Prácticas_Snowballing'!$AB$2:$AB$281,"T038",'Prácticas_Snowballing'!$AC$2:$AC$281,"DESIGN &gt; Software Design Qualities")</f>
        <v>0</v>
      </c>
      <c r="V48" s="17">
        <f>COUNTIFS('Prácticas_Revisiones'!$S$2:$S$282,"T038",'Prácticas_Revisiones'!$T$2:$T$282,"DESIGN &gt; Recording Software Design")+COUNTIFS('Prácticas_Snowballing'!$AB$2:$AB$281,"T038",'Prácticas_Snowballing'!$AC$2:$AC$281,"DESIGN &gt; Recording Software Design")</f>
        <v>0</v>
      </c>
      <c r="W48" s="17">
        <f>COUNTIFS('Prácticas_Revisiones'!$S$2:$S$282,"T038",'Prácticas_Revisiones'!$T$2:$T$282,"DESIGN &gt; Software Design Strategies and Methods")+COUNTIFS('Prácticas_Snowballing'!$AB$2:$AB$281,"T038",'Prácticas_Snowballing'!$AC$2:$AC$281,"DESIGN &gt; Software Design Strategies and Methods")</f>
        <v>0</v>
      </c>
      <c r="X48" s="17">
        <f>COUNTIFS('Prácticas_Revisiones'!$S$2:$S$282,"T038",'Prácticas_Revisiones'!$T$2:$T$282,"DESIGN &gt; Software Design Analysis and Evaluations")+COUNTIFS('Prácticas_Snowballing'!$AB$2:$AB$281,"T038",'Prácticas_Snowballing'!$AC$2:$AC$281,"DESIGN &gt; Software Design Analysis and Evaluations")</f>
        <v>0</v>
      </c>
      <c r="Y48" s="17">
        <f>COUNTIFS('Prácticas_Revisiones'!$S$2:$S$282,"T038",'Prácticas_Revisiones'!$T$2:$T$282,"DESIGN &gt; Subárea no determinable")+COUNTIFS('Prácticas_Snowballing'!$AB$2:$AB$281,"T038",'Prácticas_Snowballing'!$AC$2:$AC$281,"DESIGN &gt; Subárea no determinable")</f>
        <v>0</v>
      </c>
      <c r="Z48" s="29">
        <f t="shared" si="37"/>
        <v>0</v>
      </c>
      <c r="AA48" s="17">
        <f>COUNTIFS('Prácticas_Revisiones'!$S$2:$S$282,"T038",'Prácticas_Revisiones'!$T$2:$T$282,"CONSTRUCTION &gt; Software Construction Fundamentals")+COUNTIFS('Prácticas_Snowballing'!$AB$2:$AB$281,"T038",'Prácticas_Snowballing'!$AC$2:$AC$281,"CONSTRUCTION &gt; Software Construction Fundamentals")</f>
        <v>0</v>
      </c>
      <c r="AB48" s="17">
        <f>COUNTIFS('Prácticas_Revisiones'!$S$2:$S$282,"T038",'Prácticas_Revisiones'!$T$2:$T$282,"CONSTRUCTION &gt; Managing Construction")+COUNTIFS('Prácticas_Snowballing'!$AB$2:$AB$281,"T038",'Prácticas_Snowballing'!$AC$2:$AC$281,"CONSTRUCTION &gt; Managing Construction")</f>
        <v>0</v>
      </c>
      <c r="AC48" s="17">
        <f>COUNTIFS('Prácticas_Revisiones'!$S$2:$S$282,"T038",'Prácticas_Revisiones'!$T$2:$T$282,"CONSTRUCTION &gt; Practical Considerations")+COUNTIFS('Prácticas_Snowballing'!$AB$2:$AB$281,"T038",'Prácticas_Snowballing'!$AC$2:$AC$281,"CONSTRUCTION &gt; Practical Considerations")</f>
        <v>0</v>
      </c>
      <c r="AD48" s="17">
        <f>COUNTIFS('Prácticas_Revisiones'!$S$2:$S$282,"T038",'Prácticas_Revisiones'!$T$2:$T$282,"CONSTRUCTION &gt; Construction Technologies")+COUNTIFS('Prácticas_Snowballing'!$AB$2:$AB$281,"T038",'Prácticas_Snowballing'!$AC$2:$AC$281,"CONSTRUCTION &gt; Construction Technologies")</f>
        <v>0</v>
      </c>
      <c r="AE48" s="17">
        <f>COUNTIFS('Prácticas_Revisiones'!$S$2:$S$282,"T038",'Prácticas_Revisiones'!$T$2:$T$282,"CONSTRUCTION &gt; Software Construction Tools")+COUNTIFS('Prácticas_Snowballing'!$AB$2:$AB$281,"T038",'Prácticas_Snowballing'!$AC$2:$AC$281,"CONSTRUCTION &gt; Software Construction Tools")</f>
        <v>0</v>
      </c>
      <c r="AF48" s="17">
        <f>COUNTIFS('Prácticas_Revisiones'!$S$2:$S$282,"T038",'Prácticas_Revisiones'!$T$2:$T$282,"CONSTRUCTION &gt; Subárea no determinable")+COUNTIFS('Prácticas_Snowballing'!$AB$2:$AB$281,"T038",'Prácticas_Snowballing'!$AC$2:$AC$281,"CONSTRUCTION &gt; Subárea no determinable")</f>
        <v>0</v>
      </c>
      <c r="AG48" s="29">
        <f t="shared" si="38"/>
        <v>0</v>
      </c>
      <c r="AH48" s="17">
        <f>COUNTIFS('Prácticas_Revisiones'!$S$2:$S$282,"T038",'Prácticas_Revisiones'!$T$2:$T$282,"SOFTWARE TESTING &gt; Software Testing Fundamentals")+COUNTIFS('Prácticas_Snowballing'!$AB$2:$AB$281,"T038",'Prácticas_Snowballing'!$AC$2:$AC$281,"SOFTWARE TESTING &gt; Software Testing Fundamentals")</f>
        <v>0</v>
      </c>
      <c r="AI48" s="17">
        <f>COUNTIFS('Prácticas_Revisiones'!$S$2:$S$282,"T038",'Prácticas_Revisiones'!$T$2:$T$282,"SOFTWARE TESTING &gt; Test Levels")+COUNTIFS('Prácticas_Snowballing'!$AB$2:$AB$281,"T038",'Prácticas_Snowballing'!$AC$2:$AC$281,"SOFTWARE TESTING &gt; Test Levels")</f>
        <v>0</v>
      </c>
      <c r="AJ48" s="17">
        <f>COUNTIFS('Prácticas_Revisiones'!$S$2:$S$282,"T038",'Prácticas_Revisiones'!$T$2:$T$282,"SOFTWARE TESTING &gt; Test Techniques")+COUNTIFS('Prácticas_Snowballing'!$AB$2:$AB$281,"T038",'Prácticas_Snowballing'!$AC$2:$AC$281,"SOFTWARE TESTING &gt; Test Techniques")</f>
        <v>0</v>
      </c>
      <c r="AK48" s="17">
        <f>COUNTIFS('Prácticas_Revisiones'!$S$2:$S$282,"T038",'Prácticas_Revisiones'!$T$2:$T$282,"SOFTWARE TESTING &gt; Test-Related Measures")+COUNTIFS('Prácticas_Snowballing'!$AB$2:$AB$281,"T038",'Prácticas_Snowballing'!$AC$2:$AC$281,"SOFTWARE TESTING &gt; Test-Related Measures")</f>
        <v>0</v>
      </c>
      <c r="AL48" s="17">
        <f>COUNTIFS('Prácticas_Revisiones'!$S$2:$S$282,"T038",'Prácticas_Revisiones'!$T$2:$T$282,"SOFTWARE TESTING &gt; Test Process")+COUNTIFS('Prácticas_Snowballing'!$AB$2:$AB$281,"T038",'Prácticas_Snowballing'!$AC$2:$AC$281,"SOFTWARE TESTING &gt; Test Process")</f>
        <v>0</v>
      </c>
      <c r="AM48" s="17">
        <f>COUNTIFS('Prácticas_Revisiones'!$S$2:$S$282,"T038",'Prácticas_Revisiones'!$T$2:$T$282,"SOFTWARE TESTING &gt; Software Testing in the Development Processes...")+COUNTIFS('Prácticas_Snowballing'!$AB$2:$AB$281,"T038",'Prácticas_Snowballing'!$AC$2:$AC$281,"SOFTWARE TESTING &gt; Software Testing in the Development Processes...")</f>
        <v>0</v>
      </c>
      <c r="AN48" s="17">
        <f>COUNTIFS('Prácticas_Revisiones'!$S$2:$S$282,"T038",'Prácticas_Revisiones'!$T$2:$T$282,"SOFTWARE TESTING &gt; Testing of and Testing Through Emerging Tech...")+COUNTIFS('Prácticas_Snowballing'!$AB$2:$AB$281,"T038",'Prácticas_Snowballing'!$AC$2:$AC$281,"SOFTWARE TESTING &gt; Testing of and Testing Through Emerging Tech...")</f>
        <v>0</v>
      </c>
      <c r="AO48" s="17">
        <f>COUNTIFS('Prácticas_Revisiones'!$S$2:$S$282,"T038",'Prácticas_Revisiones'!$T$2:$T$282,"SOFTWARE TESTING &gt; Software Testing Tools")+COUNTIFS('Prácticas_Snowballing'!$AB$2:$AB$281,"T038",'Prácticas_Snowballing'!$AC$2:$AC$281,"SOFTWARE TESTING &gt; Software Testing Tools")</f>
        <v>0</v>
      </c>
      <c r="AP48" s="17">
        <f>COUNTIFS('Prácticas_Revisiones'!$S$2:$S$282,"T038",'Prácticas_Revisiones'!$T$2:$T$282,"SOFTWARE TESTING &gt; Subárea no determinable")+COUNTIFS('Prácticas_Snowballing'!$AB$2:$AB$281,"T038",'Prácticas_Snowballing'!$AC$2:$AC$281,"SOFTWARE TESTING &gt; Subárea no determinable")</f>
        <v>0</v>
      </c>
      <c r="AQ48" s="29">
        <f t="shared" si="39"/>
        <v>0</v>
      </c>
      <c r="AR48" s="17">
        <f>COUNTIFS('Prácticas_Revisiones'!$S$2:$S$282,"T038",'Prácticas_Revisiones'!$T$2:$T$282,"SOFTWARE ENG. OPERATIONS &gt; Software Engineering Operations Fundamentals")+COUNTIFS('Prácticas_Snowballing'!$AB$2:$AB$281,"T038",'Prácticas_Snowballing'!$AC$2:$AC$281,"SOFTWARE ENG. OPERATIONS &gt; Software Engineering Operations Fundamentals")</f>
        <v>0</v>
      </c>
      <c r="AS48" s="17">
        <f>COUNTIFS('Prácticas_Revisiones'!$S$2:$S$282,"T038",'Prácticas_Revisiones'!$T$2:$T$282,"SOFTWARE ENG. OPERATIONS &gt; Software Engineering Operations Planning")+COUNTIFS('Prácticas_Snowballing'!$AB$2:$AB$281,"T038",'Prácticas_Snowballing'!$AC$2:$AC$281,"SOFTWARE ENG. OPERATIONS &gt; Software Engineering Operations Planning")</f>
        <v>0</v>
      </c>
      <c r="AT48" s="17">
        <f>COUNTIFS('Prácticas_Revisiones'!$S$2:$S$282,"T038",'Prácticas_Revisiones'!$T$2:$T$282,"SOFTWARE ENG. OPERATIONS &gt; Software Engineering Operations Delivery")+COUNTIFS('Prácticas_Snowballing'!$AB$2:$AB$281,"T038",'Prácticas_Snowballing'!$AC$2:$AC$281,"SOFTWARE ENG. OPERATIONS &gt; Software Engineering Operations Delivery")</f>
        <v>0</v>
      </c>
      <c r="AU48" s="17">
        <f>COUNTIFS('Prácticas_Revisiones'!$S$2:$S$282,"T038",'Prácticas_Revisiones'!$T$2:$T$282,"SOFTWARE ENG. OPERATIONS &gt; Software Engineering Operations Control")+COUNTIFS('Prácticas_Snowballing'!$AB$2:$AB$281,"T038",'Prácticas_Snowballing'!$AC$2:$AC$281,"SOFTWARE ENG. OPERATIONS &gt; Software Engineering Operations Control")</f>
        <v>0</v>
      </c>
      <c r="AV48" s="17">
        <f>COUNTIFS('Prácticas_Revisiones'!$S$2:$S$282,"T038",'Prácticas_Revisiones'!$T$2:$T$282,"SOFTWARE ENG. OPERATIONS &gt; Practical Considerations")+COUNTIFS('Prácticas_Snowballing'!$AB$2:$AB$281,"T038",'Prácticas_Snowballing'!$AC$2:$AC$281,"SOFTWARE ENG. OPERATIONS &gt; Practical Considerations")</f>
        <v>0</v>
      </c>
      <c r="AW48" s="17">
        <f>COUNTIFS('Prácticas_Revisiones'!$S$2:$S$282,"T038",'Prácticas_Revisiones'!$T$2:$T$282,"SOFTWARE ENG. OPERATIONS &gt; Software Engineering Operations Tools")+COUNTIFS('Prácticas_Snowballing'!$AB$2:$AB$281,"T038",'Prácticas_Snowballing'!$AC$2:$AC$281,"SOFTWARE ENG. OPERATIONS &gt; Software Engineering Operations Tools")</f>
        <v>0</v>
      </c>
      <c r="AX48" s="17">
        <f>COUNTIFS('Prácticas_Revisiones'!$S$2:$S$282,"T038",'Prácticas_Revisiones'!$T$2:$T$282,"SOFTWARE ENG. OPERATIONS &gt; Subárea no determinable")+COUNTIFS('Prácticas_Snowballing'!$AB$2:$AB$281,"T038",'Prácticas_Snowballing'!$AC$2:$AC$281,"SOFTWARE ENG. OPERATIONS &gt; Subárea no determinable")</f>
        <v>0</v>
      </c>
      <c r="AY48" s="29">
        <f t="shared" si="40"/>
        <v>0</v>
      </c>
      <c r="AZ48" s="17">
        <f>COUNTIFS('Prácticas_Revisiones'!$S$2:$S$282,"T038",'Prácticas_Revisiones'!$T$2:$T$282,"MAINTENANCE &gt; Software Maintenance Fundamentals")+COUNTIFS('Prácticas_Snowballing'!$AB$2:$AB$281,"T038",'Prácticas_Snowballing'!$AC$2:$AC$281,"MAINTENANCE &gt; Software Maintenance Fundamentals")</f>
        <v>0</v>
      </c>
      <c r="BA48" s="17">
        <f>COUNTIFS('Prácticas_Revisiones'!$S$2:$S$282,"T038",'Prácticas_Revisiones'!$T$2:$T$282,"MAINTENANCE &gt; Key Issues in Software Maintenance")+COUNTIFS('Prácticas_Snowballing'!$AB$2:$AB$281,"T038",'Prácticas_Snowballing'!$AC$2:$AC$281,"MAINTENANCE &gt; Key Issues in Software Maintenance")</f>
        <v>0</v>
      </c>
      <c r="BB48" s="17">
        <f>COUNTIFS('Prácticas_Revisiones'!$S$2:$S$282,"T038",'Prácticas_Revisiones'!$T$2:$T$282,"MAINTENANCE &gt; Software Maintenance Processes")+COUNTIFS('Prácticas_Snowballing'!$AB$2:$AB$281,"T038",'Prácticas_Snowballing'!$AC$2:$AC$281,"MAINTENANCE &gt; Software Maintenance Processes")</f>
        <v>0</v>
      </c>
      <c r="BC48" s="17">
        <f>COUNTIFS('Prácticas_Revisiones'!$S$2:$S$282,"T038",'Prácticas_Revisiones'!$T$2:$T$282,"MAINTENANCE &gt; Software Maintenance Techniques")+COUNTIFS('Prácticas_Snowballing'!$AB$2:$AB$281,"T038",'Prácticas_Snowballing'!$AC$2:$AC$281,"MAINTENANCE &gt; Software Maintenance Techniques")</f>
        <v>0</v>
      </c>
      <c r="BD48" s="17">
        <f>COUNTIFS('Prácticas_Revisiones'!$S$2:$S$282,"T038",'Prácticas_Revisiones'!$T$2:$T$282,"MAINTENANCE &gt; Software Maintenance Tools")+COUNTIFS('Prácticas_Snowballing'!$AB$2:$AB$281,"T038",'Prácticas_Snowballing'!$AC$2:$AC$281,"MAINTENANCE &gt; Software Maintenance Tools")</f>
        <v>0</v>
      </c>
      <c r="BE48" s="17">
        <f>COUNTIFS('Prácticas_Revisiones'!$S$2:$S$282,"T038",'Prácticas_Revisiones'!$T$2:$T$282,"MAINTENANCE &gt; Subárea no determinable")+COUNTIFS('Prácticas_Snowballing'!$AB$2:$AB$281,"T038",'Prácticas_Snowballing'!$AC$2:$AC$281,"MAINTENANCE &gt; Subárea no determinable")</f>
        <v>0</v>
      </c>
      <c r="BF48" s="29">
        <f t="shared" si="41"/>
        <v>0</v>
      </c>
      <c r="BG48" s="17">
        <f>COUNTIFS('Prácticas_Revisiones'!$S$2:$S$282,"T038",'Prácticas_Revisiones'!$T$2:$T$282,"SOFTWARE CONFIG. MGMT. &gt; Management of the SCM Process")+COUNTIFS('Prácticas_Snowballing'!$AB$2:$AB$281,"T038",'Prácticas_Snowballing'!$AC$2:$AC$281,"SOFTWARE CONFIG. MGMT. &gt; Management of the SCM Process")</f>
        <v>0</v>
      </c>
      <c r="BH48" s="17">
        <f>COUNTIFS('Prácticas_Revisiones'!$S$2:$S$282,"T038",'Prácticas_Revisiones'!$T$2:$T$282,"SOFTWARE CONFIG. MGMT. &gt; Software Configuration Identification")+COUNTIFS('Prácticas_Snowballing'!$AB$2:$AB$281,"T038",'Prácticas_Snowballing'!$AC$2:$AC$281,"SOFTWARE CONFIG. MGMT. &gt; Software Configuration Identification")</f>
        <v>0</v>
      </c>
      <c r="BI48" s="17">
        <f>COUNTIFS('Prácticas_Revisiones'!$S$2:$S$282,"T038",'Prácticas_Revisiones'!$T$2:$T$282,"SOFTWARE CONFIG. MGMT. &gt; Software Configuration Change Control")+COUNTIFS('Prácticas_Snowballing'!$AB$2:$AB$281,"T038",'Prácticas_Snowballing'!$AC$2:$AC$281,"SOFTWARE CONFIG. MGMT. &gt; Software Configuration Change Control")</f>
        <v>0</v>
      </c>
      <c r="BJ48" s="17">
        <f>COUNTIFS('Prácticas_Revisiones'!$S$2:$S$282,"T038",'Prácticas_Revisiones'!$T$2:$T$282,"SOFTWARE CONFIG. MGMT. &gt; Software Configuration Status Accounting")+COUNTIFS('Prácticas_Snowballing'!$AB$2:$AB$281,"T038",'Prácticas_Snowballing'!$AC$2:$AC$281,"SOFTWARE CONFIG. MGMT. &gt; Software Configuration Status Accounting")</f>
        <v>0</v>
      </c>
      <c r="BK48" s="17">
        <f>COUNTIFS('Prácticas_Revisiones'!$S$2:$S$282,"T038",'Prácticas_Revisiones'!$T$2:$T$282,"SOFTWARE CONFIG. MGMT. &gt; Software Configuration Auditing")+COUNTIFS('Prácticas_Snowballing'!$AB$2:$AB$281,"T038",'Prácticas_Snowballing'!$AC$2:$AC$281,"SOFTWARE CONFIG. MGMT. &gt; Software Configuration Auditing")</f>
        <v>0</v>
      </c>
      <c r="BL48" s="17">
        <f>COUNTIFS('Prácticas_Revisiones'!$S$2:$S$282,"T038",'Prácticas_Revisiones'!$T$2:$T$282,"SOFTWARE CONFIG. MGMT. &gt; Software Release Management and Delivery")+COUNTIFS('Prácticas_Snowballing'!$AB$2:$AB$281,"T038",'Prácticas_Snowballing'!$AC$2:$AC$281,"SOFTWARE CONFIG. MGMT. &gt; Software Release Management and Delivery")</f>
        <v>0</v>
      </c>
      <c r="BM48" s="17">
        <f>COUNTIFS('Prácticas_Revisiones'!$S$2:$S$282,"T038",'Prácticas_Revisiones'!$T$2:$T$282,"SOFTWARE CONFIG. MGMT. &gt; Software Configuration Management Tools")+COUNTIFS('Prácticas_Snowballing'!$AB$2:$AB$281,"T038",'Prácticas_Snowballing'!$AC$2:$AC$281,"SOFTWARE CONFIG. MGMT. &gt; Software Configuration Management Tools")</f>
        <v>0</v>
      </c>
      <c r="BN48" s="17">
        <f>COUNTIFS('Prácticas_Revisiones'!$S$2:$S$282,"T038",'Prácticas_Revisiones'!$T$2:$T$282,"SOFTWARE CONFIG. MGMT. &gt; Subárea no determinable")+COUNTIFS('Prácticas_Snowballing'!$AB$2:$AB$281,"T038",'Prácticas_Snowballing'!$AC$2:$AC$281,"SOFTWARE CONFIG. MGMT. &gt; Subárea no determinable")</f>
        <v>0</v>
      </c>
      <c r="BO48" s="29">
        <f t="shared" si="42"/>
        <v>0</v>
      </c>
      <c r="BP48" s="17">
        <f>COUNTIFS('Prácticas_Revisiones'!$S$2:$S$282,"T038",'Prácticas_Revisiones'!$T$2:$T$282,"SOFTWARE ENG. PROCESS &gt; Software Engineering Process Fundamentals")+COUNTIFS('Prácticas_Snowballing'!$AB$2:$AB$281,"T038",'Prácticas_Snowballing'!$AC$2:$AC$281,"SOFTWARE ENG. PROCESS &gt; Software Engineering Process Fundamentals")</f>
        <v>0</v>
      </c>
      <c r="BQ48" s="17">
        <f>COUNTIFS('Prácticas_Revisiones'!$S$2:$S$282,"T038",'Prácticas_Revisiones'!$T$2:$T$282,"SOFTWARE ENG. PROCESS &gt; Life Cycles")+COUNTIFS('Prácticas_Snowballing'!$AB$2:$AB$281,"T038",'Prácticas_Snowballing'!$AC$2:$AC$281,"SOFTWARE ENG. PROCESS &gt; Life Cycles")</f>
        <v>0</v>
      </c>
      <c r="BR48" s="17">
        <f>COUNTIFS('Prácticas_Revisiones'!$S$2:$S$282,"T038",'Prácticas_Revisiones'!$T$2:$T$282,"SOFTWARE ENG. PROCESS &gt; Software Process Assessment and Improvement")+COUNTIFS('Prácticas_Snowballing'!$AB$2:$AB$281,"T038",'Prácticas_Snowballing'!$AC$2:$AC$281,"SOFTWARE ENG. PROCESS &gt; Software Process Assessment and Improvement")</f>
        <v>0</v>
      </c>
      <c r="BS48" s="17">
        <f>COUNTIFS('Prácticas_Revisiones'!$S$2:$S$282,"T038",'Prácticas_Revisiones'!$T$2:$T$282,"SOFTWARE ENG. PROCESS &gt; Subárea no determinable")+COUNTIFS('Prácticas_Snowballing'!$AB$2:$AB$281,"T038",'Prácticas_Snowballing'!$AC$2:$AC$281,"SOFTWARE ENG. PROCESS &gt; Subárea no determinable")</f>
        <v>0</v>
      </c>
      <c r="BT48" s="29">
        <f t="shared" si="43"/>
        <v>0</v>
      </c>
      <c r="BU48" s="17">
        <f>COUNTIFS('Prácticas_Revisiones'!$S$2:$S$282,"T038",'Prácticas_Revisiones'!$T$2:$T$282,"SOFTWARE ENG. MODELS/METH. &gt; Modeling")+COUNTIFS('Prácticas_Snowballing'!$AB$2:$AB$281,"T038",'Prácticas_Snowballing'!$AC$2:$AC$281,"SOFTWARE ENG. MODELS/METH. &gt; Modeling")</f>
        <v>0</v>
      </c>
      <c r="BV48" s="17">
        <f>COUNTIFS('Prácticas_Revisiones'!$S$2:$S$282,"T038",'Prácticas_Revisiones'!$T$2:$T$282,"SOFTWARE ENG. MODELS/METH. &gt; Types of Models")+COUNTIFS('Prácticas_Snowballing'!$AB$2:$AB$281,"T038",'Prácticas_Snowballing'!$AC$2:$AC$281,"SOFTWARE ENG. MODELS/METH. &gt; Types of Models")</f>
        <v>0</v>
      </c>
      <c r="BW48" s="17">
        <f>COUNTIFS('Prácticas_Revisiones'!$S$2:$S$282,"T038",'Prácticas_Revisiones'!$T$2:$T$282,"SOFTWARE ENG. MODELS/METH. &gt; Analysis of Models")+COUNTIFS('Prácticas_Snowballing'!$AB$2:$AB$281,"T038",'Prácticas_Snowballing'!$AC$2:$AC$281,"SOFTWARE ENG. MODELS/METH. &gt; Analysis of Models")</f>
        <v>0</v>
      </c>
      <c r="BX48" s="17">
        <f>COUNTIFS('Prácticas_Revisiones'!$S$2:$S$282,"T038",'Prácticas_Revisiones'!$T$2:$T$282,"SOFTWARE ENG. MODELS/METH. &gt; Software Engineering Methods")+COUNTIFS('Prácticas_Snowballing'!$AB$2:$AB$281,"T038",'Prácticas_Snowballing'!$AC$2:$AC$281,"SOFTWARE ENG. MODELS/METH. &gt; Software Engineering Methods")</f>
        <v>0</v>
      </c>
      <c r="BY48" s="17">
        <f>COUNTIFS('Prácticas_Revisiones'!$S$2:$S$282,"T038",'Prácticas_Revisiones'!$T$2:$T$282,"SOFTWARE ENG. MODELS/METH. &gt; Subárea no determinable")+COUNTIFS('Prácticas_Snowballing'!$AB$2:$AB$281,"T038",'Prácticas_Snowballing'!$AC$2:$AC$281,"SOFTWARE ENG. MODELS/METH. &gt; Subárea no determinable")</f>
        <v>0</v>
      </c>
      <c r="BZ48" s="29">
        <f t="shared" si="44"/>
        <v>0</v>
      </c>
      <c r="CA48" s="17">
        <f>COUNTIFS('Prácticas_Revisiones'!$S$2:$S$282,"T038",'Prácticas_Revisiones'!$T$2:$T$282,"SOFTWARE QUALITY &gt; Software Quality Fundamentals")+COUNTIFS('Prácticas_Snowballing'!$AB$2:$AB$281,"T038",'Prácticas_Snowballing'!$AC$2:$AC$281,"SOFTWARE QUALITY &gt; Software Quality Fundamentals")</f>
        <v>0</v>
      </c>
      <c r="CB48" s="17">
        <f>COUNTIFS('Prácticas_Revisiones'!$S$2:$S$282,"T038",'Prácticas_Revisiones'!$T$2:$T$282,"SOFTWARE QUALITY &gt; Software Quality Management Process")+COUNTIFS('Prácticas_Snowballing'!$AB$2:$AB$281,"T038",'Prácticas_Snowballing'!$AC$2:$AC$281,"SOFTWARE QUALITY &gt; Software Quality Management Process")</f>
        <v>0</v>
      </c>
      <c r="CC48" s="17">
        <f>COUNTIFS('Prácticas_Revisiones'!$S$2:$S$282,"T038",'Prácticas_Revisiones'!$T$2:$T$282,"SOFTWARE QUALITY &gt; Software Quality Assurance Process")+COUNTIFS('Prácticas_Snowballing'!$AB$2:$AB$281,"T038",'Prácticas_Snowballing'!$AC$2:$AC$281,"SOFTWARE QUALITY &gt; Software Quality Assurance Process")</f>
        <v>0</v>
      </c>
      <c r="CD48" s="17">
        <f>COUNTIFS('Prácticas_Revisiones'!$S$2:$S$282,"T038",'Prácticas_Revisiones'!$T$2:$T$282,"SOFTWARE QUALITY &gt; Software Quality Tools")+COUNTIFS('Prácticas_Snowballing'!$AB$2:$AB$281,"T038",'Prácticas_Snowballing'!$AC$2:$AC$281,"SOFTWARE QUALITY &gt; Software Quality Tools")</f>
        <v>0</v>
      </c>
      <c r="CE48" s="17">
        <f>COUNTIFS('Prácticas_Revisiones'!$S$2:$S$282,"T038",'Prácticas_Revisiones'!$T$2:$T$282,"SOFTWARE QUALITY &gt; Subárea no determinable")+COUNTIFS('Prácticas_Snowballing'!$AB$2:$AB$281,"T038",'Prácticas_Snowballing'!$AC$2:$AC$281,"SOFTWARE QUALITY &gt; Subárea no determinable")</f>
        <v>0</v>
      </c>
      <c r="CF48" s="29">
        <f t="shared" si="45"/>
        <v>0</v>
      </c>
      <c r="CG48" s="17">
        <f>COUNTIFS('Prácticas_Revisiones'!$S$2:$S$282,"T038",'Prácticas_Revisiones'!$T$2:$T$282,"SOFTWARE SECURITY &gt; Software Security Fundamentals")+COUNTIFS('Prácticas_Snowballing'!$AB$2:$AB$281,"T038",'Prácticas_Snowballing'!$AC$2:$AC$281,"SOFTWARE SECURITY &gt; Software Security Fundamentals")</f>
        <v>0</v>
      </c>
      <c r="CH48" s="17">
        <f>COUNTIFS('Prácticas_Revisiones'!$S$2:$S$282,"T038",'Prácticas_Revisiones'!$T$2:$T$282,"SOFTWARE SECURITY &gt; Security Management and Organization")+COUNTIFS('Prácticas_Snowballing'!$AB$2:$AB$281,"T038",'Prácticas_Snowballing'!$AC$2:$AC$281,"SOFTWARE SECURITY &gt; Security Management and Organization")</f>
        <v>0</v>
      </c>
      <c r="CI48" s="17">
        <f>COUNTIFS('Prácticas_Revisiones'!$S$2:$S$282,"T038",'Prácticas_Revisiones'!$T$2:$T$282,"SOFTWARE SECURITY &gt; Software Security Engineering and Process")+COUNTIFS('Prácticas_Snowballing'!$AB$2:$AB$281,"T038",'Prácticas_Snowballing'!$AC$2:$AC$281,"SOFTWARE SECURITY &gt; Software Security Engineering and Process")</f>
        <v>0</v>
      </c>
      <c r="CJ48" s="17">
        <f>COUNTIFS('Prácticas_Revisiones'!$S$2:$S$282,"T038",'Prácticas_Revisiones'!$T$2:$T$282,"SOFTWARE SECURITY &gt; Security Engineering for Software Systems")+COUNTIFS('Prácticas_Snowballing'!$AB$2:$AB$281,"T038",'Prácticas_Snowballing'!$AC$2:$AC$281,"SOFTWARE SECURITY &gt; Security Engineering for Software Systems")</f>
        <v>0</v>
      </c>
      <c r="CK48" s="17">
        <f>COUNTIFS('Prácticas_Revisiones'!$S$2:$S$282,"T038",'Prácticas_Revisiones'!$T$2:$T$282,"SOFTWARE SECURITY &gt; Software Security Tools")+COUNTIFS('Prácticas_Snowballing'!$AB$2:$AB$281,"T038",'Prácticas_Snowballing'!$AC$2:$AC$281,"SOFTWARE SECURITY &gt; Software Security Tools")</f>
        <v>0</v>
      </c>
      <c r="CL48" s="17">
        <f>COUNTIFS('Prácticas_Revisiones'!$S$2:$S$282,"T038",'Prácticas_Revisiones'!$T$2:$T$282,"SOFTWARE SECURITY &gt; Domain Specific Software Security")+COUNTIFS('Prácticas_Snowballing'!$AB$2:$AB$281,"T038",'Prácticas_Snowballing'!$AC$2:$AC$281,"SOFTWARE SECURITY &gt; Domain Specific Software Security")</f>
        <v>0</v>
      </c>
      <c r="CM48" s="17">
        <f>COUNTIFS('Prácticas_Revisiones'!$S$2:$S$282,"T038",'Prácticas_Revisiones'!$T$2:$T$282,"SOFTWARE SECURITY &gt; Subárea no determinable")+COUNTIFS('Prácticas_Snowballing'!$AB$2:$AB$281,"T038",'Prácticas_Snowballing'!$AC$2:$AC$281,"SOFTWARE SECURITY &gt; Subárea no determinable")</f>
        <v>0</v>
      </c>
      <c r="CN48" s="29">
        <f t="shared" si="46"/>
        <v>0</v>
      </c>
      <c r="CO48" s="17">
        <f>COUNTIFS('Prácticas_Revisiones'!$S$2:$S$282,"T038",'Prácticas_Revisiones'!$T$2:$T$282,"PROFESSIONAL PRACTICE &gt; Professionalism")+COUNTIFS('Prácticas_Snowballing'!$AB$2:$AB$281,"T038",'Prácticas_Snowballing'!$AC$2:$AC$281,"PROFESSIONAL PRACTICE &gt; Professionalism")</f>
        <v>0</v>
      </c>
      <c r="CP48" s="17">
        <f>COUNTIFS('Prácticas_Revisiones'!$S$2:$S$282,"T038",'Prácticas_Revisiones'!$T$2:$T$282,"PROFESSIONAL PRACTICE &gt; Group Dynamics and Psychology")+COUNTIFS('Prácticas_Snowballing'!$AB$2:$AB$281,"T038",'Prácticas_Snowballing'!$AC$2:$AC$281,"PROFESSIONAL PRACTICE &gt; Group Dynamics and Psychology")</f>
        <v>0</v>
      </c>
      <c r="CQ48" s="17">
        <f>COUNTIFS('Prácticas_Revisiones'!$S$2:$S$282,"T038",'Prácticas_Revisiones'!$T$2:$T$282,"PROFESSIONAL PRACTICE &gt; Communication Skills")+COUNTIFS('Prácticas_Snowballing'!$AB$2:$AB$281,"T038",'Prácticas_Snowballing'!$AC$2:$AC$281,"PROFESSIONAL PRACTICE &gt; Communication Skills")</f>
        <v>0</v>
      </c>
      <c r="CR48" s="17">
        <f>COUNTIFS('Prácticas_Revisiones'!$S$2:$S$282,"T038",'Prácticas_Revisiones'!$T$2:$T$282,"PROFESSIONAL PRACTICE &gt; Subárea no determinable")+COUNTIFS('Prácticas_Snowballing'!$AB$2:$AB$281,"T038",'Prácticas_Snowballing'!$AC$2:$AC$281,"PROFESSIONAL PRACTICE &gt; Subárea no determinable")</f>
        <v>0</v>
      </c>
      <c r="CS48" s="29">
        <f t="shared" si="47"/>
        <v>0</v>
      </c>
      <c r="CT48" s="17">
        <f>COUNTIFS('Prácticas_Revisiones'!$S$2:$S$282,"T038",'Prácticas_Revisiones'!$T$2:$T$282,"SOFTWARE ENG. ECONOMICS &gt; Software Engineering Economics Fundamentals")+COUNTIFS('Prácticas_Snowballing'!$AB$2:$AB$281,"T038",'Prácticas_Snowballing'!$AC$2:$AC$281,"SOFTWARE ENG. ECONOMICS &gt; Software Engineering Economics Fundamentals")</f>
        <v>0</v>
      </c>
      <c r="CU48" s="17">
        <f>COUNTIFS('Prácticas_Revisiones'!$S$2:$S$282,"T038",'Prácticas_Revisiones'!$T$2:$T$282,"SOFTWARE ENG. ECONOMICS &gt; The Engineering Decision-Making Process")+COUNTIFS('Prácticas_Snowballing'!$AB$2:$AB$281,"T038",'Prácticas_Snowballing'!$AC$2:$AC$281,"SOFTWARE ENG. ECONOMICS &gt; The Engineering Decision-Making Process")</f>
        <v>0</v>
      </c>
      <c r="CV48" s="17">
        <f>COUNTIFS('Prácticas_Revisiones'!$S$2:$S$282,"T038",'Prácticas_Revisiones'!$T$2:$T$282,"SOFTWARE ENG. ECONOMICS &gt; For-Profit Decision-Making")+COUNTIFS('Prácticas_Snowballing'!$AB$2:$AB$281,"T038",'Prácticas_Snowballing'!$AC$2:$AC$281,"SOFTWARE ENG. ECONOMICS &gt; For-Profit Decision-Making")</f>
        <v>0</v>
      </c>
      <c r="CW48" s="17">
        <f>COUNTIFS('Prácticas_Revisiones'!$S$2:$S$282,"T038",'Prácticas_Revisiones'!$T$2:$T$282,"SOFTWARE ENG. ECONOMICS &gt; Nonprofit Decision-Making")+COUNTIFS('Prácticas_Snowballing'!$AB$2:$AB$281,"T038",'Prácticas_Snowballing'!$AC$2:$AC$281,"SOFTWARE ENG. ECONOMICS &gt; Nonprofit Decision-Making")</f>
        <v>0</v>
      </c>
      <c r="CX48" s="17">
        <f>COUNTIFS('Prácticas_Revisiones'!$S$2:$S$282,"T038",'Prácticas_Revisiones'!$T$2:$T$282,"SOFTWARE ENG. ECONOMICS &gt; Present Economy Decision-Making")+COUNTIFS('Prácticas_Snowballing'!$AB$2:$AB$281,"T038",'Prácticas_Snowballing'!$AC$2:$AC$281,"SOFTWARE ENG. ECONOMICS &gt; Present Economy Decision-Making")</f>
        <v>0</v>
      </c>
      <c r="CY48" s="17">
        <f>COUNTIFS('Prácticas_Revisiones'!$S$2:$S$282,"T038",'Prácticas_Revisiones'!$T$2:$T$282,"SOFTWARE ENG. ECONOMICS &gt; Multiple-Attribute Decision-Making")+COUNTIFS('Prácticas_Snowballing'!$AB$2:$AB$281,"T038",'Prácticas_Snowballing'!$AC$2:$AC$281,"SOFTWARE ENG. ECONOMICS &gt; Multiple-Attribute Decision-Making")</f>
        <v>0</v>
      </c>
      <c r="CZ48" s="17">
        <f>COUNTIFS('Prácticas_Revisiones'!$S$2:$S$282,"T038",'Prácticas_Revisiones'!$T$2:$T$282,"SOFTWARE ENG. ECONOMICS &gt; Identifying and Characterizing Intangible Assets")+COUNTIFS('Prácticas_Snowballing'!$AB$2:$AB$281,"T038",'Prácticas_Snowballing'!$AC$2:$AC$281,"SOFTWARE ENG. ECONOMICS &gt; Identifying and Characterizing Intangible Assets")</f>
        <v>0</v>
      </c>
      <c r="DA48" s="17">
        <f>COUNTIFS('Prácticas_Revisiones'!$S$2:$S$282,"T038",'Prácticas_Revisiones'!$T$2:$T$282,"SOFTWARE ENG. ECONOMICS &gt; Estimation")+COUNTIFS('Prácticas_Snowballing'!$AB$2:$AB$281,"T038",'Prácticas_Snowballing'!$AC$2:$AC$281,"SOFTWARE ENG. ECONOMICS &gt; Estimation")</f>
        <v>0</v>
      </c>
      <c r="DB48" s="17">
        <f>COUNTIFS('Prácticas_Revisiones'!$S$2:$S$282,"T038",'Prácticas_Revisiones'!$T$2:$T$282,"SOFTWARE ENG. ECONOMICS &gt; Practical Considerations")+COUNTIFS('Prácticas_Snowballing'!$AB$2:$AB$281,"T038",'Prácticas_Snowballing'!$AC$2:$AC$281,"SOFTWARE ENG. ECONOMICS &gt; Practical Considerations")</f>
        <v>0</v>
      </c>
      <c r="DC48" s="17">
        <f>COUNTIFS('Prácticas_Revisiones'!$S$2:$S$282,"T038",'Prácticas_Revisiones'!$T$2:$T$282,"SOFTWARE ENG. ECONOMICS &gt; Related Concepts")+COUNTIFS('Prácticas_Snowballing'!$AB$2:$AB$281,"T038",'Prácticas_Snowballing'!$AC$2:$AC$281,"SOFTWARE ENG. ECONOMICS &gt; Related Concepts")</f>
        <v>0</v>
      </c>
      <c r="DD48" s="17">
        <f>COUNTIFS('Prácticas_Revisiones'!$S$2:$S$282,"T038",'Prácticas_Revisiones'!$T$2:$T$282,"SOFTWARE ENG. ECONOMICS &gt; Subárea no determinable")+COUNTIFS('Prácticas_Snowballing'!$AB$2:$AB$281,"T038",'Prácticas_Snowballing'!$AC$2:$AC$281,"SOFTWARE ENG. ECONOMICS &gt; Subárea no determinable")</f>
        <v>0</v>
      </c>
      <c r="DE48" s="29">
        <f t="shared" si="48"/>
        <v>0</v>
      </c>
      <c r="DF48" s="17">
        <f>COUNTIFS('Prácticas_Revisiones'!$S$2:$S$282,"T038",'Prácticas_Revisiones'!$T$2:$T$282,"SOFTWARE ENG. MANAGEMENT &gt; Software Engineering Management Fundamentals")+COUNTIFS('Prácticas_Snowballing'!$AB$2:$AB$281,"T038",'Prácticas_Snowballing'!$AC$2:$AC$281,"SOFTWARE ENG. MANAGEMENT &gt; Software Engineering Management Fundamentals")</f>
        <v>0</v>
      </c>
      <c r="DG48" s="17">
        <f>COUNTIFS('Prácticas_Revisiones'!$S$2:$S$282,"T038",'Prácticas_Revisiones'!$T$2:$T$282,"SOFTWARE ENG. MANAGEMENT &gt; Initiation and Scope Definition")+COUNTIFS('Prácticas_Snowballing'!$AB$2:$AB$281,"T038",'Prácticas_Snowballing'!$AC$2:$AC$281,"SOFTWARE ENG. MANAGEMENT &gt; Initiation and Scope Definition")</f>
        <v>0</v>
      </c>
      <c r="DH48" s="17">
        <f>COUNTIFS('Prácticas_Revisiones'!$S$2:$S$282,"T038",'Prácticas_Revisiones'!$T$2:$T$282,"SOFTWARE ENG. MANAGEMENT &gt; Software Project Planning")+COUNTIFS('Prácticas_Snowballing'!$AB$2:$AB$281,"T038",'Prácticas_Snowballing'!$AC$2:$AC$281,"SOFTWARE ENG. MANAGEMENT &gt; Software Project Planning")</f>
        <v>0</v>
      </c>
      <c r="DI48" s="17">
        <f>COUNTIFS('Prácticas_Revisiones'!$S$2:$S$282,"T038",'Prácticas_Revisiones'!$T$2:$T$282,"SOFTWARE ENG. MANAGEMENT &gt; Software Project Enactment")+COUNTIFS('Prácticas_Snowballing'!$AB$2:$AB$281,"T038",'Prácticas_Snowballing'!$AC$2:$AC$281,"SOFTWARE ENG. MANAGEMENT &gt; Software Project Enactment")</f>
        <v>0</v>
      </c>
      <c r="DJ48" s="17">
        <f>COUNTIFS('Prácticas_Revisiones'!$S$2:$S$282,"T038",'Prácticas_Revisiones'!$T$2:$T$282,"SOFTWARE ENG. MANAGEMENT &gt; Review and Evaluation")+COUNTIFS('Prácticas_Snowballing'!$AB$2:$AB$281,"T038",'Prácticas_Snowballing'!$AC$2:$AC$281,"SOFTWARE ENG. MANAGEMENT &gt; Review and Evaluation")</f>
        <v>0</v>
      </c>
      <c r="DK48" s="17">
        <f>COUNTIFS('Prácticas_Revisiones'!$S$2:$S$282,"T038",'Prácticas_Revisiones'!$T$2:$T$282,"SOFTWARE ENG. MANAGEMENT &gt; Closure")+COUNTIFS('Prácticas_Snowballing'!$AB$2:$AB$281,"T038",'Prácticas_Snowballing'!$AC$2:$AC$281,"SOFTWARE ENG. MANAGEMENT &gt; Closure")</f>
        <v>0</v>
      </c>
      <c r="DL48" s="17">
        <f>COUNTIFS('Prácticas_Revisiones'!$S$2:$S$282,"T038",'Prácticas_Revisiones'!$T$2:$T$282,"SOFTWARE ENG. MANAGEMENT &gt; Software Engineering Management Tools")+COUNTIFS('Prácticas_Snowballing'!$AB$2:$AB$281,"T038",'Prácticas_Snowballing'!$AC$2:$AC$281,"SOFTWARE ENG. MANAGEMENT &gt; Software Engineering Management Tools")</f>
        <v>0</v>
      </c>
      <c r="DM48" s="17">
        <f>COUNTIFS('Prácticas_Revisiones'!$S$2:$S$282,"T038",'Prácticas_Revisiones'!$T$2:$T$282,"SOFTWARE ENG. MANAGEMENT &gt; Subárea no determinable")+COUNTIFS('Prácticas_Snowballing'!$AB$2:$AB$281,"T038",'Prácticas_Snowballing'!$AC$2:$AC$281,"SOFTWARE ENG. MANAGEMENT &gt; Subárea no determinable")</f>
        <v>0</v>
      </c>
      <c r="DN48" s="29">
        <f t="shared" si="49"/>
        <v>0</v>
      </c>
      <c r="DO48" s="17">
        <f>COUNTIFS('Prácticas_Revisiones'!$S$2:$S$282,"T038",'Prácticas_Revisiones'!$T$2:$T$282,"Sin área SWEBOK")+COUNTIFS('Prácticas_Snowballing'!$AB$2:$AB$281,"T038",'Prácticas_Snowballing'!$AC$2:$AC$281,"Sin área SWEBOK")</f>
        <v>0</v>
      </c>
      <c r="DP48" s="27">
        <f t="shared" si="50"/>
        <v>0</v>
      </c>
    </row>
    <row r="49" ht="15.75" customHeight="1">
      <c r="A49" s="28"/>
      <c r="B49" s="16" t="s">
        <v>2782</v>
      </c>
      <c r="C49" s="17">
        <f>COUNTIFS('Prácticas_Revisiones'!$S$2:$S$282,"T039",'Prácticas_Revisiones'!$T$2:$T$282,"REQUIREMENTS &gt; Software Requirements Fundamentals")+COUNTIFS('Prácticas_Snowballing'!$AB$2:$AB$281,"T039",'Prácticas_Snowballing'!$AC$2:$AC$281,"REQUIREMENTS &gt; Software Requirements Fundamentals")</f>
        <v>0</v>
      </c>
      <c r="D49" s="17">
        <f>COUNTIFS('Prácticas_Revisiones'!$S$2:$S$282,"T039",'Prácticas_Revisiones'!$T$2:$T$282,"REQUIREMENTS &gt; Requirements Elicitation")+COUNTIFS('Prácticas_Snowballing'!$AB$2:$AB$281,"T039",'Prácticas_Snowballing'!$AC$2:$AC$281,"REQUIREMENTS &gt; Requirements Elicitation")</f>
        <v>4</v>
      </c>
      <c r="E49" s="17">
        <f>COUNTIFS('Prácticas_Revisiones'!$S$2:$S$282,"T039",'Prácticas_Revisiones'!$T$2:$T$282,"REQUIREMENTS &gt; Requirements Analysis")+COUNTIFS('Prácticas_Snowballing'!$AB$2:$AB$281,"T039",'Prácticas_Snowballing'!$AC$2:$AC$281,"REQUIREMENTS &gt; Requirements Analysis")</f>
        <v>0</v>
      </c>
      <c r="F49" s="17">
        <f>COUNTIFS('Prácticas_Revisiones'!$S$2:$S$282,"T039",'Prácticas_Revisiones'!$T$2:$T$282,"REQUIREMENTS &gt; Requirements Specification")+COUNTIFS('Prácticas_Snowballing'!$AB$2:$AB$281,"T039",'Prácticas_Snowballing'!$AC$2:$AC$281,"REQUIREMENTS &gt; Requirements Specification")</f>
        <v>0</v>
      </c>
      <c r="G49" s="17">
        <f>COUNTIFS('Prácticas_Revisiones'!$S$2:$S$282,"T039",'Prácticas_Revisiones'!$T$2:$T$282,"REQUIREMENTS &gt; Requirements Validation")+COUNTIFS('Prácticas_Snowballing'!$AB$2:$AB$281,"T039",'Prácticas_Snowballing'!$AC$2:$AC$281,"REQUIREMENTS &gt; Requirements Validation")</f>
        <v>0</v>
      </c>
      <c r="H49" s="17">
        <f>COUNTIFS('Prácticas_Revisiones'!$S$2:$S$282,"T039",'Prácticas_Revisiones'!$T$2:$T$282,"REQUIREMENTS &gt; Requirements Management Activities")+COUNTIFS('Prácticas_Snowballing'!$AB$2:$AB$281,"T039",'Prácticas_Snowballing'!$AC$2:$AC$281,"REQUIREMENTS &gt; Requirements Management Activities")</f>
        <v>0</v>
      </c>
      <c r="I49" s="17">
        <f>COUNTIFS('Prácticas_Revisiones'!$S$2:$S$282,"T039",'Prácticas_Revisiones'!$T$2:$T$282,"REQUIREMENTS &gt; Practical Considerations")+COUNTIFS('Prácticas_Snowballing'!$AB$2:$AB$281,"T039",'Prácticas_Snowballing'!$AC$2:$AC$281,"REQUIREMENTS &gt; Practical Considerations")</f>
        <v>0</v>
      </c>
      <c r="J49" s="17">
        <f>COUNTIFS('Prácticas_Revisiones'!$S$2:$S$282,"T039",'Prácticas_Revisiones'!$T$2:$T$282,"REQUIREMENTS &gt; Software Requirements Tools")+COUNTIFS('Prácticas_Snowballing'!$AB$2:$AB$281,"T039",'Prácticas_Snowballing'!$AC$2:$AC$281,"REQUIREMENTS &gt; Software Requirements Tools")</f>
        <v>0</v>
      </c>
      <c r="K49" s="17">
        <f>COUNTIFS('Prácticas_Revisiones'!$S$2:$S$282,"T039",'Prácticas_Revisiones'!$T$2:$T$282,"REQUIREMENTS &gt; Subárea no determinable")+COUNTIFS('Prácticas_Snowballing'!$AB$2:$AB$281,"T039",'Prácticas_Snowballing'!$AC$2:$AC$281,"REQUIREMENTS &gt; Subárea no determinable")</f>
        <v>0</v>
      </c>
      <c r="L49" s="29">
        <f t="shared" si="35"/>
        <v>4</v>
      </c>
      <c r="M49" s="17">
        <f>COUNTIFS('Prácticas_Revisiones'!$S$2:$S$282,"T039",'Prácticas_Revisiones'!$T$2:$T$282,"ARCHITECTURE &gt; Software Architecture Fundamentals")+COUNTIFS('Prácticas_Snowballing'!$AB$2:$AB$281,"T039",'Prácticas_Snowballing'!$AC$2:$AC$281,"ARCHITECTURE &gt; Software Architecture Fundamentals")</f>
        <v>0</v>
      </c>
      <c r="N49" s="17">
        <f>COUNTIFS('Prácticas_Revisiones'!$S$2:$S$282,"T039",'Prácticas_Revisiones'!$T$2:$T$282,"ARCHITECTURE &gt; Software Architecture Description")+COUNTIFS('Prácticas_Snowballing'!$AB$2:$AB$281,"T039",'Prácticas_Snowballing'!$AC$2:$AC$281,"ARCHITECTURE &gt; Software Architecture Description")</f>
        <v>0</v>
      </c>
      <c r="O49" s="17">
        <f>COUNTIFS('Prácticas_Revisiones'!$S$2:$S$282,"T039",'Prácticas_Revisiones'!$T$2:$T$282,"ARCHITECTURE &gt; Software Architecture Process")+COUNTIFS('Prácticas_Snowballing'!$AB$2:$AB$281,"T039",'Prácticas_Snowballing'!$AC$2:$AC$281,"ARCHITECTURE &gt; Software Architecture Process")</f>
        <v>0</v>
      </c>
      <c r="P49" s="17">
        <f>COUNTIFS('Prácticas_Revisiones'!$S$2:$S$282,"T039",'Prácticas_Revisiones'!$T$2:$T$282,"ARCHITECTURE &gt; Software Architecture Evaluation")+COUNTIFS('Prácticas_Snowballing'!$AB$2:$AB$281,"T039",'Prácticas_Snowballing'!$AC$2:$AC$281,"ARCHITECTURE &gt; Software Architecture Evaluation")</f>
        <v>0</v>
      </c>
      <c r="Q49" s="17">
        <f>COUNTIFS('Prácticas_Revisiones'!$S$2:$S$282,"T039",'Prácticas_Revisiones'!$T$2:$T$282,"ARCHITECTURE &gt; Subárea no determinable")+COUNTIFS('Prácticas_Snowballing'!$AB$2:$AB$281,"T039",'Prácticas_Snowballing'!$AC$2:$AC$281,"ARCHITECTURE &gt; Subárea no determinable")</f>
        <v>0</v>
      </c>
      <c r="R49" s="29">
        <f t="shared" si="36"/>
        <v>0</v>
      </c>
      <c r="S49" s="17">
        <f>COUNTIFS('Prácticas_Revisiones'!$S$2:$S$282,"T039",'Prácticas_Revisiones'!$T$2:$T$282,"DESIGN &gt; Software Design Fundamentals")+COUNTIFS('Prácticas_Snowballing'!$AB$2:$AB$281,"T039",'Prácticas_Snowballing'!$AC$2:$AC$281,"DESIGN &gt; Software Design Fundamentals")</f>
        <v>0</v>
      </c>
      <c r="T49" s="17">
        <f>COUNTIFS('Prácticas_Revisiones'!$S$2:$S$282,"T039",'Prácticas_Revisiones'!$T$2:$T$282,"DESIGN &gt; Software Design Processes")+COUNTIFS('Prácticas_Snowballing'!$AB$2:$AB$281,"T039",'Prácticas_Snowballing'!$AC$2:$AC$281,"DESIGN &gt; Software Design Processes")</f>
        <v>0</v>
      </c>
      <c r="U49" s="17">
        <f>COUNTIFS('Prácticas_Revisiones'!$S$2:$S$282,"T039",'Prácticas_Revisiones'!$T$2:$T$282,"DESIGN &gt; Software Design Qualities")+COUNTIFS('Prácticas_Snowballing'!$AB$2:$AB$281,"T039",'Prácticas_Snowballing'!$AC$2:$AC$281,"DESIGN &gt; Software Design Qualities")</f>
        <v>0</v>
      </c>
      <c r="V49" s="17">
        <f>COUNTIFS('Prácticas_Revisiones'!$S$2:$S$282,"T039",'Prácticas_Revisiones'!$T$2:$T$282,"DESIGN &gt; Recording Software Design")+COUNTIFS('Prácticas_Snowballing'!$AB$2:$AB$281,"T039",'Prácticas_Snowballing'!$AC$2:$AC$281,"DESIGN &gt; Recording Software Design")</f>
        <v>0</v>
      </c>
      <c r="W49" s="17">
        <f>COUNTIFS('Prácticas_Revisiones'!$S$2:$S$282,"T039",'Prácticas_Revisiones'!$T$2:$T$282,"DESIGN &gt; Software Design Strategies and Methods")+COUNTIFS('Prácticas_Snowballing'!$AB$2:$AB$281,"T039",'Prácticas_Snowballing'!$AC$2:$AC$281,"DESIGN &gt; Software Design Strategies and Methods")</f>
        <v>0</v>
      </c>
      <c r="X49" s="17">
        <f>COUNTIFS('Prácticas_Revisiones'!$S$2:$S$282,"T039",'Prácticas_Revisiones'!$T$2:$T$282,"DESIGN &gt; Software Design Analysis and Evaluations")+COUNTIFS('Prácticas_Snowballing'!$AB$2:$AB$281,"T039",'Prácticas_Snowballing'!$AC$2:$AC$281,"DESIGN &gt; Software Design Analysis and Evaluations")</f>
        <v>0</v>
      </c>
      <c r="Y49" s="17">
        <f>COUNTIFS('Prácticas_Revisiones'!$S$2:$S$282,"T039",'Prácticas_Revisiones'!$T$2:$T$282,"DESIGN &gt; Subárea no determinable")+COUNTIFS('Prácticas_Snowballing'!$AB$2:$AB$281,"T039",'Prácticas_Snowballing'!$AC$2:$AC$281,"DESIGN &gt; Subárea no determinable")</f>
        <v>0</v>
      </c>
      <c r="Z49" s="29">
        <f t="shared" si="37"/>
        <v>0</v>
      </c>
      <c r="AA49" s="17">
        <f>COUNTIFS('Prácticas_Revisiones'!$S$2:$S$282,"T039",'Prácticas_Revisiones'!$T$2:$T$282,"CONSTRUCTION &gt; Software Construction Fundamentals")+COUNTIFS('Prácticas_Snowballing'!$AB$2:$AB$281,"T039",'Prácticas_Snowballing'!$AC$2:$AC$281,"CONSTRUCTION &gt; Software Construction Fundamentals")</f>
        <v>0</v>
      </c>
      <c r="AB49" s="17">
        <f>COUNTIFS('Prácticas_Revisiones'!$S$2:$S$282,"T039",'Prácticas_Revisiones'!$T$2:$T$282,"CONSTRUCTION &gt; Managing Construction")+COUNTIFS('Prácticas_Snowballing'!$AB$2:$AB$281,"T039",'Prácticas_Snowballing'!$AC$2:$AC$281,"CONSTRUCTION &gt; Managing Construction")</f>
        <v>0</v>
      </c>
      <c r="AC49" s="17">
        <f>COUNTIFS('Prácticas_Revisiones'!$S$2:$S$282,"T039",'Prácticas_Revisiones'!$T$2:$T$282,"CONSTRUCTION &gt; Practical Considerations")+COUNTIFS('Prácticas_Snowballing'!$AB$2:$AB$281,"T039",'Prácticas_Snowballing'!$AC$2:$AC$281,"CONSTRUCTION &gt; Practical Considerations")</f>
        <v>0</v>
      </c>
      <c r="AD49" s="17">
        <f>COUNTIFS('Prácticas_Revisiones'!$S$2:$S$282,"T039",'Prácticas_Revisiones'!$T$2:$T$282,"CONSTRUCTION &gt; Construction Technologies")+COUNTIFS('Prácticas_Snowballing'!$AB$2:$AB$281,"T039",'Prácticas_Snowballing'!$AC$2:$AC$281,"CONSTRUCTION &gt; Construction Technologies")</f>
        <v>0</v>
      </c>
      <c r="AE49" s="17">
        <f>COUNTIFS('Prácticas_Revisiones'!$S$2:$S$282,"T039",'Prácticas_Revisiones'!$T$2:$T$282,"CONSTRUCTION &gt; Software Construction Tools")+COUNTIFS('Prácticas_Snowballing'!$AB$2:$AB$281,"T039",'Prácticas_Snowballing'!$AC$2:$AC$281,"CONSTRUCTION &gt; Software Construction Tools")</f>
        <v>0</v>
      </c>
      <c r="AF49" s="17">
        <f>COUNTIFS('Prácticas_Revisiones'!$S$2:$S$282,"T039",'Prácticas_Revisiones'!$T$2:$T$282,"CONSTRUCTION &gt; Subárea no determinable")+COUNTIFS('Prácticas_Snowballing'!$AB$2:$AB$281,"T039",'Prácticas_Snowballing'!$AC$2:$AC$281,"CONSTRUCTION &gt; Subárea no determinable")</f>
        <v>0</v>
      </c>
      <c r="AG49" s="29">
        <f t="shared" si="38"/>
        <v>0</v>
      </c>
      <c r="AH49" s="17">
        <f>COUNTIFS('Prácticas_Revisiones'!$S$2:$S$282,"T039",'Prácticas_Revisiones'!$T$2:$T$282,"SOFTWARE TESTING &gt; Software Testing Fundamentals")+COUNTIFS('Prácticas_Snowballing'!$AB$2:$AB$281,"T039",'Prácticas_Snowballing'!$AC$2:$AC$281,"SOFTWARE TESTING &gt; Software Testing Fundamentals")</f>
        <v>0</v>
      </c>
      <c r="AI49" s="17">
        <f>COUNTIFS('Prácticas_Revisiones'!$S$2:$S$282,"T039",'Prácticas_Revisiones'!$T$2:$T$282,"SOFTWARE TESTING &gt; Test Levels")+COUNTIFS('Prácticas_Snowballing'!$AB$2:$AB$281,"T039",'Prácticas_Snowballing'!$AC$2:$AC$281,"SOFTWARE TESTING &gt; Test Levels")</f>
        <v>0</v>
      </c>
      <c r="AJ49" s="17">
        <f>COUNTIFS('Prácticas_Revisiones'!$S$2:$S$282,"T039",'Prácticas_Revisiones'!$T$2:$T$282,"SOFTWARE TESTING &gt; Test Techniques")+COUNTIFS('Prácticas_Snowballing'!$AB$2:$AB$281,"T039",'Prácticas_Snowballing'!$AC$2:$AC$281,"SOFTWARE TESTING &gt; Test Techniques")</f>
        <v>0</v>
      </c>
      <c r="AK49" s="17">
        <f>COUNTIFS('Prácticas_Revisiones'!$S$2:$S$282,"T039",'Prácticas_Revisiones'!$T$2:$T$282,"SOFTWARE TESTING &gt; Test-Related Measures")+COUNTIFS('Prácticas_Snowballing'!$AB$2:$AB$281,"T039",'Prácticas_Snowballing'!$AC$2:$AC$281,"SOFTWARE TESTING &gt; Test-Related Measures")</f>
        <v>0</v>
      </c>
      <c r="AL49" s="17">
        <f>COUNTIFS('Prácticas_Revisiones'!$S$2:$S$282,"T039",'Prácticas_Revisiones'!$T$2:$T$282,"SOFTWARE TESTING &gt; Test Process")+COUNTIFS('Prácticas_Snowballing'!$AB$2:$AB$281,"T039",'Prácticas_Snowballing'!$AC$2:$AC$281,"SOFTWARE TESTING &gt; Test Process")</f>
        <v>0</v>
      </c>
      <c r="AM49" s="17">
        <f>COUNTIFS('Prácticas_Revisiones'!$S$2:$S$282,"T039",'Prácticas_Revisiones'!$T$2:$T$282,"SOFTWARE TESTING &gt; Software Testing in the Development Processes...")+COUNTIFS('Prácticas_Snowballing'!$AB$2:$AB$281,"T039",'Prácticas_Snowballing'!$AC$2:$AC$281,"SOFTWARE TESTING &gt; Software Testing in the Development Processes...")</f>
        <v>0</v>
      </c>
      <c r="AN49" s="17">
        <f>COUNTIFS('Prácticas_Revisiones'!$S$2:$S$282,"T039",'Prácticas_Revisiones'!$T$2:$T$282,"SOFTWARE TESTING &gt; Testing of and Testing Through Emerging Tech...")+COUNTIFS('Prácticas_Snowballing'!$AB$2:$AB$281,"T039",'Prácticas_Snowballing'!$AC$2:$AC$281,"SOFTWARE TESTING &gt; Testing of and Testing Through Emerging Tech...")</f>
        <v>0</v>
      </c>
      <c r="AO49" s="17">
        <f>COUNTIFS('Prácticas_Revisiones'!$S$2:$S$282,"T039",'Prácticas_Revisiones'!$T$2:$T$282,"SOFTWARE TESTING &gt; Software Testing Tools")+COUNTIFS('Prácticas_Snowballing'!$AB$2:$AB$281,"T039",'Prácticas_Snowballing'!$AC$2:$AC$281,"SOFTWARE TESTING &gt; Software Testing Tools")</f>
        <v>0</v>
      </c>
      <c r="AP49" s="17">
        <f>COUNTIFS('Prácticas_Revisiones'!$S$2:$S$282,"T039",'Prácticas_Revisiones'!$T$2:$T$282,"SOFTWARE TESTING &gt; Subárea no determinable")+COUNTIFS('Prácticas_Snowballing'!$AB$2:$AB$281,"T039",'Prácticas_Snowballing'!$AC$2:$AC$281,"SOFTWARE TESTING &gt; Subárea no determinable")</f>
        <v>0</v>
      </c>
      <c r="AQ49" s="29">
        <f t="shared" si="39"/>
        <v>0</v>
      </c>
      <c r="AR49" s="17">
        <f>COUNTIFS('Prácticas_Revisiones'!$S$2:$S$282,"T039",'Prácticas_Revisiones'!$T$2:$T$282,"SOFTWARE ENG. OPERATIONS &gt; Software Engineering Operations Fundamentals")+COUNTIFS('Prácticas_Snowballing'!$AB$2:$AB$281,"T039",'Prácticas_Snowballing'!$AC$2:$AC$281,"SOFTWARE ENG. OPERATIONS &gt; Software Engineering Operations Fundamentals")</f>
        <v>0</v>
      </c>
      <c r="AS49" s="17">
        <f>COUNTIFS('Prácticas_Revisiones'!$S$2:$S$282,"T039",'Prácticas_Revisiones'!$T$2:$T$282,"SOFTWARE ENG. OPERATIONS &gt; Software Engineering Operations Planning")+COUNTIFS('Prácticas_Snowballing'!$AB$2:$AB$281,"T039",'Prácticas_Snowballing'!$AC$2:$AC$281,"SOFTWARE ENG. OPERATIONS &gt; Software Engineering Operations Planning")</f>
        <v>0</v>
      </c>
      <c r="AT49" s="17">
        <f>COUNTIFS('Prácticas_Revisiones'!$S$2:$S$282,"T039",'Prácticas_Revisiones'!$T$2:$T$282,"SOFTWARE ENG. OPERATIONS &gt; Software Engineering Operations Delivery")+COUNTIFS('Prácticas_Snowballing'!$AB$2:$AB$281,"T039",'Prácticas_Snowballing'!$AC$2:$AC$281,"SOFTWARE ENG. OPERATIONS &gt; Software Engineering Operations Delivery")</f>
        <v>0</v>
      </c>
      <c r="AU49" s="17">
        <f>COUNTIFS('Prácticas_Revisiones'!$S$2:$S$282,"T039",'Prácticas_Revisiones'!$T$2:$T$282,"SOFTWARE ENG. OPERATIONS &gt; Software Engineering Operations Control")+COUNTIFS('Prácticas_Snowballing'!$AB$2:$AB$281,"T039",'Prácticas_Snowballing'!$AC$2:$AC$281,"SOFTWARE ENG. OPERATIONS &gt; Software Engineering Operations Control")</f>
        <v>0</v>
      </c>
      <c r="AV49" s="17">
        <f>COUNTIFS('Prácticas_Revisiones'!$S$2:$S$282,"T039",'Prácticas_Revisiones'!$T$2:$T$282,"SOFTWARE ENG. OPERATIONS &gt; Practical Considerations")+COUNTIFS('Prácticas_Snowballing'!$AB$2:$AB$281,"T039",'Prácticas_Snowballing'!$AC$2:$AC$281,"SOFTWARE ENG. OPERATIONS &gt; Practical Considerations")</f>
        <v>0</v>
      </c>
      <c r="AW49" s="17">
        <f>COUNTIFS('Prácticas_Revisiones'!$S$2:$S$282,"T039",'Prácticas_Revisiones'!$T$2:$T$282,"SOFTWARE ENG. OPERATIONS &gt; Software Engineering Operations Tools")+COUNTIFS('Prácticas_Snowballing'!$AB$2:$AB$281,"T039",'Prácticas_Snowballing'!$AC$2:$AC$281,"SOFTWARE ENG. OPERATIONS &gt; Software Engineering Operations Tools")</f>
        <v>0</v>
      </c>
      <c r="AX49" s="17">
        <f>COUNTIFS('Prácticas_Revisiones'!$S$2:$S$282,"T039",'Prácticas_Revisiones'!$T$2:$T$282,"SOFTWARE ENG. OPERATIONS &gt; Subárea no determinable")+COUNTIFS('Prácticas_Snowballing'!$AB$2:$AB$281,"T039",'Prácticas_Snowballing'!$AC$2:$AC$281,"SOFTWARE ENG. OPERATIONS &gt; Subárea no determinable")</f>
        <v>0</v>
      </c>
      <c r="AY49" s="29">
        <f t="shared" si="40"/>
        <v>0</v>
      </c>
      <c r="AZ49" s="17">
        <f>COUNTIFS('Prácticas_Revisiones'!$S$2:$S$282,"T039",'Prácticas_Revisiones'!$T$2:$T$282,"MAINTENANCE &gt; Software Maintenance Fundamentals")+COUNTIFS('Prácticas_Snowballing'!$AB$2:$AB$281,"T039",'Prácticas_Snowballing'!$AC$2:$AC$281,"MAINTENANCE &gt; Software Maintenance Fundamentals")</f>
        <v>0</v>
      </c>
      <c r="BA49" s="17">
        <f>COUNTIFS('Prácticas_Revisiones'!$S$2:$S$282,"T039",'Prácticas_Revisiones'!$T$2:$T$282,"MAINTENANCE &gt; Key Issues in Software Maintenance")+COUNTIFS('Prácticas_Snowballing'!$AB$2:$AB$281,"T039",'Prácticas_Snowballing'!$AC$2:$AC$281,"MAINTENANCE &gt; Key Issues in Software Maintenance")</f>
        <v>0</v>
      </c>
      <c r="BB49" s="17">
        <f>COUNTIFS('Prácticas_Revisiones'!$S$2:$S$282,"T039",'Prácticas_Revisiones'!$T$2:$T$282,"MAINTENANCE &gt; Software Maintenance Processes")+COUNTIFS('Prácticas_Snowballing'!$AB$2:$AB$281,"T039",'Prácticas_Snowballing'!$AC$2:$AC$281,"MAINTENANCE &gt; Software Maintenance Processes")</f>
        <v>0</v>
      </c>
      <c r="BC49" s="17">
        <f>COUNTIFS('Prácticas_Revisiones'!$S$2:$S$282,"T039",'Prácticas_Revisiones'!$T$2:$T$282,"MAINTENANCE &gt; Software Maintenance Techniques")+COUNTIFS('Prácticas_Snowballing'!$AB$2:$AB$281,"T039",'Prácticas_Snowballing'!$AC$2:$AC$281,"MAINTENANCE &gt; Software Maintenance Techniques")</f>
        <v>0</v>
      </c>
      <c r="BD49" s="17">
        <f>COUNTIFS('Prácticas_Revisiones'!$S$2:$S$282,"T039",'Prácticas_Revisiones'!$T$2:$T$282,"MAINTENANCE &gt; Software Maintenance Tools")+COUNTIFS('Prácticas_Snowballing'!$AB$2:$AB$281,"T039",'Prácticas_Snowballing'!$AC$2:$AC$281,"MAINTENANCE &gt; Software Maintenance Tools")</f>
        <v>0</v>
      </c>
      <c r="BE49" s="17">
        <f>COUNTIFS('Prácticas_Revisiones'!$S$2:$S$282,"T039",'Prácticas_Revisiones'!$T$2:$T$282,"MAINTENANCE &gt; Subárea no determinable")+COUNTIFS('Prácticas_Snowballing'!$AB$2:$AB$281,"T039",'Prácticas_Snowballing'!$AC$2:$AC$281,"MAINTENANCE &gt; Subárea no determinable")</f>
        <v>0</v>
      </c>
      <c r="BF49" s="29">
        <f t="shared" si="41"/>
        <v>0</v>
      </c>
      <c r="BG49" s="17">
        <f>COUNTIFS('Prácticas_Revisiones'!$S$2:$S$282,"T039",'Prácticas_Revisiones'!$T$2:$T$282,"SOFTWARE CONFIG. MGMT. &gt; Management of the SCM Process")+COUNTIFS('Prácticas_Snowballing'!$AB$2:$AB$281,"T039",'Prácticas_Snowballing'!$AC$2:$AC$281,"SOFTWARE CONFIG. MGMT. &gt; Management of the SCM Process")</f>
        <v>0</v>
      </c>
      <c r="BH49" s="17">
        <f>COUNTIFS('Prácticas_Revisiones'!$S$2:$S$282,"T039",'Prácticas_Revisiones'!$T$2:$T$282,"SOFTWARE CONFIG. MGMT. &gt; Software Configuration Identification")+COUNTIFS('Prácticas_Snowballing'!$AB$2:$AB$281,"T039",'Prácticas_Snowballing'!$AC$2:$AC$281,"SOFTWARE CONFIG. MGMT. &gt; Software Configuration Identification")</f>
        <v>0</v>
      </c>
      <c r="BI49" s="17">
        <f>COUNTIFS('Prácticas_Revisiones'!$S$2:$S$282,"T039",'Prácticas_Revisiones'!$T$2:$T$282,"SOFTWARE CONFIG. MGMT. &gt; Software Configuration Change Control")+COUNTIFS('Prácticas_Snowballing'!$AB$2:$AB$281,"T039",'Prácticas_Snowballing'!$AC$2:$AC$281,"SOFTWARE CONFIG. MGMT. &gt; Software Configuration Change Control")</f>
        <v>0</v>
      </c>
      <c r="BJ49" s="17">
        <f>COUNTIFS('Prácticas_Revisiones'!$S$2:$S$282,"T039",'Prácticas_Revisiones'!$T$2:$T$282,"SOFTWARE CONFIG. MGMT. &gt; Software Configuration Status Accounting")+COUNTIFS('Prácticas_Snowballing'!$AB$2:$AB$281,"T039",'Prácticas_Snowballing'!$AC$2:$AC$281,"SOFTWARE CONFIG. MGMT. &gt; Software Configuration Status Accounting")</f>
        <v>0</v>
      </c>
      <c r="BK49" s="17">
        <f>COUNTIFS('Prácticas_Revisiones'!$S$2:$S$282,"T039",'Prácticas_Revisiones'!$T$2:$T$282,"SOFTWARE CONFIG. MGMT. &gt; Software Configuration Auditing")+COUNTIFS('Prácticas_Snowballing'!$AB$2:$AB$281,"T039",'Prácticas_Snowballing'!$AC$2:$AC$281,"SOFTWARE CONFIG. MGMT. &gt; Software Configuration Auditing")</f>
        <v>0</v>
      </c>
      <c r="BL49" s="17">
        <f>COUNTIFS('Prácticas_Revisiones'!$S$2:$S$282,"T039",'Prácticas_Revisiones'!$T$2:$T$282,"SOFTWARE CONFIG. MGMT. &gt; Software Release Management and Delivery")+COUNTIFS('Prácticas_Snowballing'!$AB$2:$AB$281,"T039",'Prácticas_Snowballing'!$AC$2:$AC$281,"SOFTWARE CONFIG. MGMT. &gt; Software Release Management and Delivery")</f>
        <v>0</v>
      </c>
      <c r="BM49" s="17">
        <f>COUNTIFS('Prácticas_Revisiones'!$S$2:$S$282,"T039",'Prácticas_Revisiones'!$T$2:$T$282,"SOFTWARE CONFIG. MGMT. &gt; Software Configuration Management Tools")+COUNTIFS('Prácticas_Snowballing'!$AB$2:$AB$281,"T039",'Prácticas_Snowballing'!$AC$2:$AC$281,"SOFTWARE CONFIG. MGMT. &gt; Software Configuration Management Tools")</f>
        <v>0</v>
      </c>
      <c r="BN49" s="17">
        <f>COUNTIFS('Prácticas_Revisiones'!$S$2:$S$282,"T039",'Prácticas_Revisiones'!$T$2:$T$282,"SOFTWARE CONFIG. MGMT. &gt; Subárea no determinable")+COUNTIFS('Prácticas_Snowballing'!$AB$2:$AB$281,"T039",'Prácticas_Snowballing'!$AC$2:$AC$281,"SOFTWARE CONFIG. MGMT. &gt; Subárea no determinable")</f>
        <v>0</v>
      </c>
      <c r="BO49" s="29">
        <f t="shared" si="42"/>
        <v>0</v>
      </c>
      <c r="BP49" s="17">
        <f>COUNTIFS('Prácticas_Revisiones'!$S$2:$S$282,"T039",'Prácticas_Revisiones'!$T$2:$T$282,"SOFTWARE ENG. PROCESS &gt; Software Engineering Process Fundamentals")+COUNTIFS('Prácticas_Snowballing'!$AB$2:$AB$281,"T039",'Prácticas_Snowballing'!$AC$2:$AC$281,"SOFTWARE ENG. PROCESS &gt; Software Engineering Process Fundamentals")</f>
        <v>0</v>
      </c>
      <c r="BQ49" s="17">
        <f>COUNTIFS('Prácticas_Revisiones'!$S$2:$S$282,"T039",'Prácticas_Revisiones'!$T$2:$T$282,"SOFTWARE ENG. PROCESS &gt; Life Cycles")+COUNTIFS('Prácticas_Snowballing'!$AB$2:$AB$281,"T039",'Prácticas_Snowballing'!$AC$2:$AC$281,"SOFTWARE ENG. PROCESS &gt; Life Cycles")</f>
        <v>0</v>
      </c>
      <c r="BR49" s="17">
        <f>COUNTIFS('Prácticas_Revisiones'!$S$2:$S$282,"T039",'Prácticas_Revisiones'!$T$2:$T$282,"SOFTWARE ENG. PROCESS &gt; Software Process Assessment and Improvement")+COUNTIFS('Prácticas_Snowballing'!$AB$2:$AB$281,"T039",'Prácticas_Snowballing'!$AC$2:$AC$281,"SOFTWARE ENG. PROCESS &gt; Software Process Assessment and Improvement")</f>
        <v>0</v>
      </c>
      <c r="BS49" s="17">
        <f>COUNTIFS('Prácticas_Revisiones'!$S$2:$S$282,"T039",'Prácticas_Revisiones'!$T$2:$T$282,"SOFTWARE ENG. PROCESS &gt; Subárea no determinable")+COUNTIFS('Prácticas_Snowballing'!$AB$2:$AB$281,"T039",'Prácticas_Snowballing'!$AC$2:$AC$281,"SOFTWARE ENG. PROCESS &gt; Subárea no determinable")</f>
        <v>0</v>
      </c>
      <c r="BT49" s="29">
        <f t="shared" si="43"/>
        <v>0</v>
      </c>
      <c r="BU49" s="17">
        <f>COUNTIFS('Prácticas_Revisiones'!$S$2:$S$282,"T039",'Prácticas_Revisiones'!$T$2:$T$282,"SOFTWARE ENG. MODELS/METH. &gt; Modeling")+COUNTIFS('Prácticas_Snowballing'!$AB$2:$AB$281,"T039",'Prácticas_Snowballing'!$AC$2:$AC$281,"SOFTWARE ENG. MODELS/METH. &gt; Modeling")</f>
        <v>0</v>
      </c>
      <c r="BV49" s="17">
        <f>COUNTIFS('Prácticas_Revisiones'!$S$2:$S$282,"T039",'Prácticas_Revisiones'!$T$2:$T$282,"SOFTWARE ENG. MODELS/METH. &gt; Types of Models")+COUNTIFS('Prácticas_Snowballing'!$AB$2:$AB$281,"T039",'Prácticas_Snowballing'!$AC$2:$AC$281,"SOFTWARE ENG. MODELS/METH. &gt; Types of Models")</f>
        <v>0</v>
      </c>
      <c r="BW49" s="17">
        <f>COUNTIFS('Prácticas_Revisiones'!$S$2:$S$282,"T039",'Prácticas_Revisiones'!$T$2:$T$282,"SOFTWARE ENG. MODELS/METH. &gt; Analysis of Models")+COUNTIFS('Prácticas_Snowballing'!$AB$2:$AB$281,"T039",'Prácticas_Snowballing'!$AC$2:$AC$281,"SOFTWARE ENG. MODELS/METH. &gt; Analysis of Models")</f>
        <v>0</v>
      </c>
      <c r="BX49" s="17">
        <f>COUNTIFS('Prácticas_Revisiones'!$S$2:$S$282,"T039",'Prácticas_Revisiones'!$T$2:$T$282,"SOFTWARE ENG. MODELS/METH. &gt; Software Engineering Methods")+COUNTIFS('Prácticas_Snowballing'!$AB$2:$AB$281,"T039",'Prácticas_Snowballing'!$AC$2:$AC$281,"SOFTWARE ENG. MODELS/METH. &gt; Software Engineering Methods")</f>
        <v>0</v>
      </c>
      <c r="BY49" s="17">
        <f>COUNTIFS('Prácticas_Revisiones'!$S$2:$S$282,"T039",'Prácticas_Revisiones'!$T$2:$T$282,"SOFTWARE ENG. MODELS/METH. &gt; Subárea no determinable")+COUNTIFS('Prácticas_Snowballing'!$AB$2:$AB$281,"T039",'Prácticas_Snowballing'!$AC$2:$AC$281,"SOFTWARE ENG. MODELS/METH. &gt; Subárea no determinable")</f>
        <v>0</v>
      </c>
      <c r="BZ49" s="29">
        <f t="shared" si="44"/>
        <v>0</v>
      </c>
      <c r="CA49" s="17">
        <f>COUNTIFS('Prácticas_Revisiones'!$S$2:$S$282,"T039",'Prácticas_Revisiones'!$T$2:$T$282,"SOFTWARE QUALITY &gt; Software Quality Fundamentals")+COUNTIFS('Prácticas_Snowballing'!$AB$2:$AB$281,"T039",'Prácticas_Snowballing'!$AC$2:$AC$281,"SOFTWARE QUALITY &gt; Software Quality Fundamentals")</f>
        <v>0</v>
      </c>
      <c r="CB49" s="17">
        <f>COUNTIFS('Prácticas_Revisiones'!$S$2:$S$282,"T039",'Prácticas_Revisiones'!$T$2:$T$282,"SOFTWARE QUALITY &gt; Software Quality Management Process")+COUNTIFS('Prácticas_Snowballing'!$AB$2:$AB$281,"T039",'Prácticas_Snowballing'!$AC$2:$AC$281,"SOFTWARE QUALITY &gt; Software Quality Management Process")</f>
        <v>0</v>
      </c>
      <c r="CC49" s="17">
        <f>COUNTIFS('Prácticas_Revisiones'!$S$2:$S$282,"T039",'Prácticas_Revisiones'!$T$2:$T$282,"SOFTWARE QUALITY &gt; Software Quality Assurance Process")+COUNTIFS('Prácticas_Snowballing'!$AB$2:$AB$281,"T039",'Prácticas_Snowballing'!$AC$2:$AC$281,"SOFTWARE QUALITY &gt; Software Quality Assurance Process")</f>
        <v>0</v>
      </c>
      <c r="CD49" s="17">
        <f>COUNTIFS('Prácticas_Revisiones'!$S$2:$S$282,"T039",'Prácticas_Revisiones'!$T$2:$T$282,"SOFTWARE QUALITY &gt; Software Quality Tools")+COUNTIFS('Prácticas_Snowballing'!$AB$2:$AB$281,"T039",'Prácticas_Snowballing'!$AC$2:$AC$281,"SOFTWARE QUALITY &gt; Software Quality Tools")</f>
        <v>0</v>
      </c>
      <c r="CE49" s="17">
        <f>COUNTIFS('Prácticas_Revisiones'!$S$2:$S$282,"T039",'Prácticas_Revisiones'!$T$2:$T$282,"SOFTWARE QUALITY &gt; Subárea no determinable")+COUNTIFS('Prácticas_Snowballing'!$AB$2:$AB$281,"T039",'Prácticas_Snowballing'!$AC$2:$AC$281,"SOFTWARE QUALITY &gt; Subárea no determinable")</f>
        <v>0</v>
      </c>
      <c r="CF49" s="29">
        <f t="shared" si="45"/>
        <v>0</v>
      </c>
      <c r="CG49" s="17">
        <f>COUNTIFS('Prácticas_Revisiones'!$S$2:$S$282,"T039",'Prácticas_Revisiones'!$T$2:$T$282,"SOFTWARE SECURITY &gt; Software Security Fundamentals")+COUNTIFS('Prácticas_Snowballing'!$AB$2:$AB$281,"T039",'Prácticas_Snowballing'!$AC$2:$AC$281,"SOFTWARE SECURITY &gt; Software Security Fundamentals")</f>
        <v>0</v>
      </c>
      <c r="CH49" s="17">
        <f>COUNTIFS('Prácticas_Revisiones'!$S$2:$S$282,"T039",'Prácticas_Revisiones'!$T$2:$T$282,"SOFTWARE SECURITY &gt; Security Management and Organization")+COUNTIFS('Prácticas_Snowballing'!$AB$2:$AB$281,"T039",'Prácticas_Snowballing'!$AC$2:$AC$281,"SOFTWARE SECURITY &gt; Security Management and Organization")</f>
        <v>0</v>
      </c>
      <c r="CI49" s="17">
        <f>COUNTIFS('Prácticas_Revisiones'!$S$2:$S$282,"T039",'Prácticas_Revisiones'!$T$2:$T$282,"SOFTWARE SECURITY &gt; Software Security Engineering and Process")+COUNTIFS('Prácticas_Snowballing'!$AB$2:$AB$281,"T039",'Prácticas_Snowballing'!$AC$2:$AC$281,"SOFTWARE SECURITY &gt; Software Security Engineering and Process")</f>
        <v>0</v>
      </c>
      <c r="CJ49" s="17">
        <f>COUNTIFS('Prácticas_Revisiones'!$S$2:$S$282,"T039",'Prácticas_Revisiones'!$T$2:$T$282,"SOFTWARE SECURITY &gt; Security Engineering for Software Systems")+COUNTIFS('Prácticas_Snowballing'!$AB$2:$AB$281,"T039",'Prácticas_Snowballing'!$AC$2:$AC$281,"SOFTWARE SECURITY &gt; Security Engineering for Software Systems")</f>
        <v>0</v>
      </c>
      <c r="CK49" s="17">
        <f>COUNTIFS('Prácticas_Revisiones'!$S$2:$S$282,"T039",'Prácticas_Revisiones'!$T$2:$T$282,"SOFTWARE SECURITY &gt; Software Security Tools")+COUNTIFS('Prácticas_Snowballing'!$AB$2:$AB$281,"T039",'Prácticas_Snowballing'!$AC$2:$AC$281,"SOFTWARE SECURITY &gt; Software Security Tools")</f>
        <v>0</v>
      </c>
      <c r="CL49" s="17">
        <f>COUNTIFS('Prácticas_Revisiones'!$S$2:$S$282,"T039",'Prácticas_Revisiones'!$T$2:$T$282,"SOFTWARE SECURITY &gt; Domain Specific Software Security")+COUNTIFS('Prácticas_Snowballing'!$AB$2:$AB$281,"T039",'Prácticas_Snowballing'!$AC$2:$AC$281,"SOFTWARE SECURITY &gt; Domain Specific Software Security")</f>
        <v>0</v>
      </c>
      <c r="CM49" s="17">
        <f>COUNTIFS('Prácticas_Revisiones'!$S$2:$S$282,"T039",'Prácticas_Revisiones'!$T$2:$T$282,"SOFTWARE SECURITY &gt; Subárea no determinable")+COUNTIFS('Prácticas_Snowballing'!$AB$2:$AB$281,"T039",'Prácticas_Snowballing'!$AC$2:$AC$281,"SOFTWARE SECURITY &gt; Subárea no determinable")</f>
        <v>0</v>
      </c>
      <c r="CN49" s="29">
        <f t="shared" si="46"/>
        <v>0</v>
      </c>
      <c r="CO49" s="17">
        <f>COUNTIFS('Prácticas_Revisiones'!$S$2:$S$282,"T039",'Prácticas_Revisiones'!$T$2:$T$282,"PROFESSIONAL PRACTICE &gt; Professionalism")+COUNTIFS('Prácticas_Snowballing'!$AB$2:$AB$281,"T039",'Prácticas_Snowballing'!$AC$2:$AC$281,"PROFESSIONAL PRACTICE &gt; Professionalism")</f>
        <v>0</v>
      </c>
      <c r="CP49" s="17">
        <f>COUNTIFS('Prácticas_Revisiones'!$S$2:$S$282,"T039",'Prácticas_Revisiones'!$T$2:$T$282,"PROFESSIONAL PRACTICE &gt; Group Dynamics and Psychology")+COUNTIFS('Prácticas_Snowballing'!$AB$2:$AB$281,"T039",'Prácticas_Snowballing'!$AC$2:$AC$281,"PROFESSIONAL PRACTICE &gt; Group Dynamics and Psychology")</f>
        <v>0</v>
      </c>
      <c r="CQ49" s="17">
        <f>COUNTIFS('Prácticas_Revisiones'!$S$2:$S$282,"T039",'Prácticas_Revisiones'!$T$2:$T$282,"PROFESSIONAL PRACTICE &gt; Communication Skills")+COUNTIFS('Prácticas_Snowballing'!$AB$2:$AB$281,"T039",'Prácticas_Snowballing'!$AC$2:$AC$281,"PROFESSIONAL PRACTICE &gt; Communication Skills")</f>
        <v>0</v>
      </c>
      <c r="CR49" s="17">
        <f>COUNTIFS('Prácticas_Revisiones'!$S$2:$S$282,"T039",'Prácticas_Revisiones'!$T$2:$T$282,"PROFESSIONAL PRACTICE &gt; Subárea no determinable")+COUNTIFS('Prácticas_Snowballing'!$AB$2:$AB$281,"T039",'Prácticas_Snowballing'!$AC$2:$AC$281,"PROFESSIONAL PRACTICE &gt; Subárea no determinable")</f>
        <v>0</v>
      </c>
      <c r="CS49" s="29">
        <f t="shared" si="47"/>
        <v>0</v>
      </c>
      <c r="CT49" s="17">
        <f>COUNTIFS('Prácticas_Revisiones'!$S$2:$S$282,"T039",'Prácticas_Revisiones'!$T$2:$T$282,"SOFTWARE ENG. ECONOMICS &gt; Software Engineering Economics Fundamentals")+COUNTIFS('Prácticas_Snowballing'!$AB$2:$AB$281,"T039",'Prácticas_Snowballing'!$AC$2:$AC$281,"SOFTWARE ENG. ECONOMICS &gt; Software Engineering Economics Fundamentals")</f>
        <v>0</v>
      </c>
      <c r="CU49" s="17">
        <f>COUNTIFS('Prácticas_Revisiones'!$S$2:$S$282,"T039",'Prácticas_Revisiones'!$T$2:$T$282,"SOFTWARE ENG. ECONOMICS &gt; The Engineering Decision-Making Process")+COUNTIFS('Prácticas_Snowballing'!$AB$2:$AB$281,"T039",'Prácticas_Snowballing'!$AC$2:$AC$281,"SOFTWARE ENG. ECONOMICS &gt; The Engineering Decision-Making Process")</f>
        <v>0</v>
      </c>
      <c r="CV49" s="17">
        <f>COUNTIFS('Prácticas_Revisiones'!$S$2:$S$282,"T039",'Prácticas_Revisiones'!$T$2:$T$282,"SOFTWARE ENG. ECONOMICS &gt; For-Profit Decision-Making")+COUNTIFS('Prácticas_Snowballing'!$AB$2:$AB$281,"T039",'Prácticas_Snowballing'!$AC$2:$AC$281,"SOFTWARE ENG. ECONOMICS &gt; For-Profit Decision-Making")</f>
        <v>0</v>
      </c>
      <c r="CW49" s="17">
        <f>COUNTIFS('Prácticas_Revisiones'!$S$2:$S$282,"T039",'Prácticas_Revisiones'!$T$2:$T$282,"SOFTWARE ENG. ECONOMICS &gt; Nonprofit Decision-Making")+COUNTIFS('Prácticas_Snowballing'!$AB$2:$AB$281,"T039",'Prácticas_Snowballing'!$AC$2:$AC$281,"SOFTWARE ENG. ECONOMICS &gt; Nonprofit Decision-Making")</f>
        <v>0</v>
      </c>
      <c r="CX49" s="17">
        <f>COUNTIFS('Prácticas_Revisiones'!$S$2:$S$282,"T039",'Prácticas_Revisiones'!$T$2:$T$282,"SOFTWARE ENG. ECONOMICS &gt; Present Economy Decision-Making")+COUNTIFS('Prácticas_Snowballing'!$AB$2:$AB$281,"T039",'Prácticas_Snowballing'!$AC$2:$AC$281,"SOFTWARE ENG. ECONOMICS &gt; Present Economy Decision-Making")</f>
        <v>0</v>
      </c>
      <c r="CY49" s="17">
        <f>COUNTIFS('Prácticas_Revisiones'!$S$2:$S$282,"T039",'Prácticas_Revisiones'!$T$2:$T$282,"SOFTWARE ENG. ECONOMICS &gt; Multiple-Attribute Decision-Making")+COUNTIFS('Prácticas_Snowballing'!$AB$2:$AB$281,"T039",'Prácticas_Snowballing'!$AC$2:$AC$281,"SOFTWARE ENG. ECONOMICS &gt; Multiple-Attribute Decision-Making")</f>
        <v>0</v>
      </c>
      <c r="CZ49" s="17">
        <f>COUNTIFS('Prácticas_Revisiones'!$S$2:$S$282,"T039",'Prácticas_Revisiones'!$T$2:$T$282,"SOFTWARE ENG. ECONOMICS &gt; Identifying and Characterizing Intangible Assets")+COUNTIFS('Prácticas_Snowballing'!$AB$2:$AB$281,"T039",'Prácticas_Snowballing'!$AC$2:$AC$281,"SOFTWARE ENG. ECONOMICS &gt; Identifying and Characterizing Intangible Assets")</f>
        <v>0</v>
      </c>
      <c r="DA49" s="17">
        <f>COUNTIFS('Prácticas_Revisiones'!$S$2:$S$282,"T039",'Prácticas_Revisiones'!$T$2:$T$282,"SOFTWARE ENG. ECONOMICS &gt; Estimation")+COUNTIFS('Prácticas_Snowballing'!$AB$2:$AB$281,"T039",'Prácticas_Snowballing'!$AC$2:$AC$281,"SOFTWARE ENG. ECONOMICS &gt; Estimation")</f>
        <v>0</v>
      </c>
      <c r="DB49" s="17">
        <f>COUNTIFS('Prácticas_Revisiones'!$S$2:$S$282,"T039",'Prácticas_Revisiones'!$T$2:$T$282,"SOFTWARE ENG. ECONOMICS &gt; Practical Considerations")+COUNTIFS('Prácticas_Snowballing'!$AB$2:$AB$281,"T039",'Prácticas_Snowballing'!$AC$2:$AC$281,"SOFTWARE ENG. ECONOMICS &gt; Practical Considerations")</f>
        <v>0</v>
      </c>
      <c r="DC49" s="17">
        <f>COUNTIFS('Prácticas_Revisiones'!$S$2:$S$282,"T039",'Prácticas_Revisiones'!$T$2:$T$282,"SOFTWARE ENG. ECONOMICS &gt; Related Concepts")+COUNTIFS('Prácticas_Snowballing'!$AB$2:$AB$281,"T039",'Prácticas_Snowballing'!$AC$2:$AC$281,"SOFTWARE ENG. ECONOMICS &gt; Related Concepts")</f>
        <v>0</v>
      </c>
      <c r="DD49" s="17">
        <f>COUNTIFS('Prácticas_Revisiones'!$S$2:$S$282,"T039",'Prácticas_Revisiones'!$T$2:$T$282,"SOFTWARE ENG. ECONOMICS &gt; Subárea no determinable")+COUNTIFS('Prácticas_Snowballing'!$AB$2:$AB$281,"T039",'Prácticas_Snowballing'!$AC$2:$AC$281,"SOFTWARE ENG. ECONOMICS &gt; Subárea no determinable")</f>
        <v>0</v>
      </c>
      <c r="DE49" s="29">
        <f t="shared" si="48"/>
        <v>0</v>
      </c>
      <c r="DF49" s="17">
        <f>COUNTIFS('Prácticas_Revisiones'!$S$2:$S$282,"T039",'Prácticas_Revisiones'!$T$2:$T$282,"SOFTWARE ENG. MANAGEMENT &gt; Software Engineering Management Fundamentals")+COUNTIFS('Prácticas_Snowballing'!$AB$2:$AB$281,"T039",'Prácticas_Snowballing'!$AC$2:$AC$281,"SOFTWARE ENG. MANAGEMENT &gt; Software Engineering Management Fundamentals")</f>
        <v>0</v>
      </c>
      <c r="DG49" s="17">
        <f>COUNTIFS('Prácticas_Revisiones'!$S$2:$S$282,"T039",'Prácticas_Revisiones'!$T$2:$T$282,"SOFTWARE ENG. MANAGEMENT &gt; Initiation and Scope Definition")+COUNTIFS('Prácticas_Snowballing'!$AB$2:$AB$281,"T039",'Prácticas_Snowballing'!$AC$2:$AC$281,"SOFTWARE ENG. MANAGEMENT &gt; Initiation and Scope Definition")</f>
        <v>0</v>
      </c>
      <c r="DH49" s="17">
        <f>COUNTIFS('Prácticas_Revisiones'!$S$2:$S$282,"T039",'Prácticas_Revisiones'!$T$2:$T$282,"SOFTWARE ENG. MANAGEMENT &gt; Software Project Planning")+COUNTIFS('Prácticas_Snowballing'!$AB$2:$AB$281,"T039",'Prácticas_Snowballing'!$AC$2:$AC$281,"SOFTWARE ENG. MANAGEMENT &gt; Software Project Planning")</f>
        <v>0</v>
      </c>
      <c r="DI49" s="17">
        <f>COUNTIFS('Prácticas_Revisiones'!$S$2:$S$282,"T039",'Prácticas_Revisiones'!$T$2:$T$282,"SOFTWARE ENG. MANAGEMENT &gt; Software Project Enactment")+COUNTIFS('Prácticas_Snowballing'!$AB$2:$AB$281,"T039",'Prácticas_Snowballing'!$AC$2:$AC$281,"SOFTWARE ENG. MANAGEMENT &gt; Software Project Enactment")</f>
        <v>0</v>
      </c>
      <c r="DJ49" s="17">
        <f>COUNTIFS('Prácticas_Revisiones'!$S$2:$S$282,"T039",'Prácticas_Revisiones'!$T$2:$T$282,"SOFTWARE ENG. MANAGEMENT &gt; Review and Evaluation")+COUNTIFS('Prácticas_Snowballing'!$AB$2:$AB$281,"T039",'Prácticas_Snowballing'!$AC$2:$AC$281,"SOFTWARE ENG. MANAGEMENT &gt; Review and Evaluation")</f>
        <v>0</v>
      </c>
      <c r="DK49" s="17">
        <f>COUNTIFS('Prácticas_Revisiones'!$S$2:$S$282,"T039",'Prácticas_Revisiones'!$T$2:$T$282,"SOFTWARE ENG. MANAGEMENT &gt; Closure")+COUNTIFS('Prácticas_Snowballing'!$AB$2:$AB$281,"T039",'Prácticas_Snowballing'!$AC$2:$AC$281,"SOFTWARE ENG. MANAGEMENT &gt; Closure")</f>
        <v>0</v>
      </c>
      <c r="DL49" s="17">
        <f>COUNTIFS('Prácticas_Revisiones'!$S$2:$S$282,"T039",'Prácticas_Revisiones'!$T$2:$T$282,"SOFTWARE ENG. MANAGEMENT &gt; Software Engineering Management Tools")+COUNTIFS('Prácticas_Snowballing'!$AB$2:$AB$281,"T039",'Prácticas_Snowballing'!$AC$2:$AC$281,"SOFTWARE ENG. MANAGEMENT &gt; Software Engineering Management Tools")</f>
        <v>0</v>
      </c>
      <c r="DM49" s="17">
        <f>COUNTIFS('Prácticas_Revisiones'!$S$2:$S$282,"T039",'Prácticas_Revisiones'!$T$2:$T$282,"SOFTWARE ENG. MANAGEMENT &gt; Subárea no determinable")+COUNTIFS('Prácticas_Snowballing'!$AB$2:$AB$281,"T039",'Prácticas_Snowballing'!$AC$2:$AC$281,"SOFTWARE ENG. MANAGEMENT &gt; Subárea no determinable")</f>
        <v>0</v>
      </c>
      <c r="DN49" s="29">
        <f t="shared" si="49"/>
        <v>0</v>
      </c>
      <c r="DO49" s="17">
        <f>COUNTIFS('Prácticas_Revisiones'!$S$2:$S$282,"T039",'Prácticas_Revisiones'!$T$2:$T$282,"Sin área SWEBOK")+COUNTIFS('Prácticas_Snowballing'!$AB$2:$AB$281,"T039",'Prácticas_Snowballing'!$AC$2:$AC$281,"Sin área SWEBOK")</f>
        <v>0</v>
      </c>
      <c r="DP49" s="27">
        <f t="shared" si="50"/>
        <v>4</v>
      </c>
    </row>
    <row r="50" ht="15.75" customHeight="1">
      <c r="A50" s="28"/>
      <c r="B50" s="16" t="s">
        <v>2783</v>
      </c>
      <c r="C50" s="17">
        <f>COUNTIFS('Prácticas_Revisiones'!$S$2:$S$282,"T040",'Prácticas_Revisiones'!$T$2:$T$282,"REQUIREMENTS &gt; Software Requirements Fundamentals")+COUNTIFS('Prácticas_Snowballing'!$AB$2:$AB$281,"T040",'Prácticas_Snowballing'!$AC$2:$AC$281,"REQUIREMENTS &gt; Software Requirements Fundamentals")</f>
        <v>0</v>
      </c>
      <c r="D50" s="17">
        <f>COUNTIFS('Prácticas_Revisiones'!$S$2:$S$282,"T040",'Prácticas_Revisiones'!$T$2:$T$282,"REQUIREMENTS &gt; Requirements Elicitation")+COUNTIFS('Prácticas_Snowballing'!$AB$2:$AB$281,"T040",'Prácticas_Snowballing'!$AC$2:$AC$281,"REQUIREMENTS &gt; Requirements Elicitation")</f>
        <v>0</v>
      </c>
      <c r="E50" s="17">
        <f>COUNTIFS('Prácticas_Revisiones'!$S$2:$S$282,"T040",'Prácticas_Revisiones'!$T$2:$T$282,"REQUIREMENTS &gt; Requirements Analysis")+COUNTIFS('Prácticas_Snowballing'!$AB$2:$AB$281,"T040",'Prácticas_Snowballing'!$AC$2:$AC$281,"REQUIREMENTS &gt; Requirements Analysis")</f>
        <v>0</v>
      </c>
      <c r="F50" s="17">
        <f>COUNTIFS('Prácticas_Revisiones'!$S$2:$S$282,"T040",'Prácticas_Revisiones'!$T$2:$T$282,"REQUIREMENTS &gt; Requirements Specification")+COUNTIFS('Prácticas_Snowballing'!$AB$2:$AB$281,"T040",'Prácticas_Snowballing'!$AC$2:$AC$281,"REQUIREMENTS &gt; Requirements Specification")</f>
        <v>0</v>
      </c>
      <c r="G50" s="17">
        <f>COUNTIFS('Prácticas_Revisiones'!$S$2:$S$282,"T040",'Prácticas_Revisiones'!$T$2:$T$282,"REQUIREMENTS &gt; Requirements Validation")+COUNTIFS('Prácticas_Snowballing'!$AB$2:$AB$281,"T040",'Prácticas_Snowballing'!$AC$2:$AC$281,"REQUIREMENTS &gt; Requirements Validation")</f>
        <v>0</v>
      </c>
      <c r="H50" s="17">
        <f>COUNTIFS('Prácticas_Revisiones'!$S$2:$S$282,"T040",'Prácticas_Revisiones'!$T$2:$T$282,"REQUIREMENTS &gt; Requirements Management Activities")+COUNTIFS('Prácticas_Snowballing'!$AB$2:$AB$281,"T040",'Prácticas_Snowballing'!$AC$2:$AC$281,"REQUIREMENTS &gt; Requirements Management Activities")</f>
        <v>0</v>
      </c>
      <c r="I50" s="17">
        <f>COUNTIFS('Prácticas_Revisiones'!$S$2:$S$282,"T040",'Prácticas_Revisiones'!$T$2:$T$282,"REQUIREMENTS &gt; Practical Considerations")+COUNTIFS('Prácticas_Snowballing'!$AB$2:$AB$281,"T040",'Prácticas_Snowballing'!$AC$2:$AC$281,"REQUIREMENTS &gt; Practical Considerations")</f>
        <v>0</v>
      </c>
      <c r="J50" s="17">
        <f>COUNTIFS('Prácticas_Revisiones'!$S$2:$S$282,"T040",'Prácticas_Revisiones'!$T$2:$T$282,"REQUIREMENTS &gt; Software Requirements Tools")+COUNTIFS('Prácticas_Snowballing'!$AB$2:$AB$281,"T040",'Prácticas_Snowballing'!$AC$2:$AC$281,"REQUIREMENTS &gt; Software Requirements Tools")</f>
        <v>0</v>
      </c>
      <c r="K50" s="17">
        <f>COUNTIFS('Prácticas_Revisiones'!$S$2:$S$282,"T040",'Prácticas_Revisiones'!$T$2:$T$282,"REQUIREMENTS &gt; Subárea no determinable")+COUNTIFS('Prácticas_Snowballing'!$AB$2:$AB$281,"T040",'Prácticas_Snowballing'!$AC$2:$AC$281,"REQUIREMENTS &gt; Subárea no determinable")</f>
        <v>0</v>
      </c>
      <c r="L50" s="29">
        <f t="shared" si="35"/>
        <v>0</v>
      </c>
      <c r="M50" s="17">
        <f>COUNTIFS('Prácticas_Revisiones'!$S$2:$S$282,"T040",'Prácticas_Revisiones'!$T$2:$T$282,"ARCHITECTURE &gt; Software Architecture Fundamentals")+COUNTIFS('Prácticas_Snowballing'!$AB$2:$AB$281,"T040",'Prácticas_Snowballing'!$AC$2:$AC$281,"ARCHITECTURE &gt; Software Architecture Fundamentals")</f>
        <v>0</v>
      </c>
      <c r="N50" s="17">
        <f>COUNTIFS('Prácticas_Revisiones'!$S$2:$S$282,"T040",'Prácticas_Revisiones'!$T$2:$T$282,"ARCHITECTURE &gt; Software Architecture Description")+COUNTIFS('Prácticas_Snowballing'!$AB$2:$AB$281,"T040",'Prácticas_Snowballing'!$AC$2:$AC$281,"ARCHITECTURE &gt; Software Architecture Description")</f>
        <v>0</v>
      </c>
      <c r="O50" s="17">
        <f>COUNTIFS('Prácticas_Revisiones'!$S$2:$S$282,"T040",'Prácticas_Revisiones'!$T$2:$T$282,"ARCHITECTURE &gt; Software Architecture Process")+COUNTIFS('Prácticas_Snowballing'!$AB$2:$AB$281,"T040",'Prácticas_Snowballing'!$AC$2:$AC$281,"ARCHITECTURE &gt; Software Architecture Process")</f>
        <v>0</v>
      </c>
      <c r="P50" s="17">
        <f>COUNTIFS('Prácticas_Revisiones'!$S$2:$S$282,"T040",'Prácticas_Revisiones'!$T$2:$T$282,"ARCHITECTURE &gt; Software Architecture Evaluation")+COUNTIFS('Prácticas_Snowballing'!$AB$2:$AB$281,"T040",'Prácticas_Snowballing'!$AC$2:$AC$281,"ARCHITECTURE &gt; Software Architecture Evaluation")</f>
        <v>0</v>
      </c>
      <c r="Q50" s="17">
        <f>COUNTIFS('Prácticas_Revisiones'!$S$2:$S$282,"T040",'Prácticas_Revisiones'!$T$2:$T$282,"ARCHITECTURE &gt; Subárea no determinable")+COUNTIFS('Prácticas_Snowballing'!$AB$2:$AB$281,"T040",'Prácticas_Snowballing'!$AC$2:$AC$281,"ARCHITECTURE &gt; Subárea no determinable")</f>
        <v>0</v>
      </c>
      <c r="R50" s="29">
        <f t="shared" si="36"/>
        <v>0</v>
      </c>
      <c r="S50" s="17">
        <f>COUNTIFS('Prácticas_Revisiones'!$S$2:$S$282,"T040",'Prácticas_Revisiones'!$T$2:$T$282,"DESIGN &gt; Software Design Fundamentals")+COUNTIFS('Prácticas_Snowballing'!$AB$2:$AB$281,"T040",'Prácticas_Snowballing'!$AC$2:$AC$281,"DESIGN &gt; Software Design Fundamentals")</f>
        <v>0</v>
      </c>
      <c r="T50" s="17">
        <f>COUNTIFS('Prácticas_Revisiones'!$S$2:$S$282,"T040",'Prácticas_Revisiones'!$T$2:$T$282,"DESIGN &gt; Software Design Processes")+COUNTIFS('Prácticas_Snowballing'!$AB$2:$AB$281,"T040",'Prácticas_Snowballing'!$AC$2:$AC$281,"DESIGN &gt; Software Design Processes")</f>
        <v>0</v>
      </c>
      <c r="U50" s="17">
        <f>COUNTIFS('Prácticas_Revisiones'!$S$2:$S$282,"T040",'Prácticas_Revisiones'!$T$2:$T$282,"DESIGN &gt; Software Design Qualities")+COUNTIFS('Prácticas_Snowballing'!$AB$2:$AB$281,"T040",'Prácticas_Snowballing'!$AC$2:$AC$281,"DESIGN &gt; Software Design Qualities")</f>
        <v>0</v>
      </c>
      <c r="V50" s="17">
        <f>COUNTIFS('Prácticas_Revisiones'!$S$2:$S$282,"T040",'Prácticas_Revisiones'!$T$2:$T$282,"DESIGN &gt; Recording Software Design")+COUNTIFS('Prácticas_Snowballing'!$AB$2:$AB$281,"T040",'Prácticas_Snowballing'!$AC$2:$AC$281,"DESIGN &gt; Recording Software Design")</f>
        <v>0</v>
      </c>
      <c r="W50" s="17">
        <f>COUNTIFS('Prácticas_Revisiones'!$S$2:$S$282,"T040",'Prácticas_Revisiones'!$T$2:$T$282,"DESIGN &gt; Software Design Strategies and Methods")+COUNTIFS('Prácticas_Snowballing'!$AB$2:$AB$281,"T040",'Prácticas_Snowballing'!$AC$2:$AC$281,"DESIGN &gt; Software Design Strategies and Methods")</f>
        <v>0</v>
      </c>
      <c r="X50" s="17">
        <f>COUNTIFS('Prácticas_Revisiones'!$S$2:$S$282,"T040",'Prácticas_Revisiones'!$T$2:$T$282,"DESIGN &gt; Software Design Analysis and Evaluations")+COUNTIFS('Prácticas_Snowballing'!$AB$2:$AB$281,"T040",'Prácticas_Snowballing'!$AC$2:$AC$281,"DESIGN &gt; Software Design Analysis and Evaluations")</f>
        <v>0</v>
      </c>
      <c r="Y50" s="17">
        <f>COUNTIFS('Prácticas_Revisiones'!$S$2:$S$282,"T040",'Prácticas_Revisiones'!$T$2:$T$282,"DESIGN &gt; Subárea no determinable")+COUNTIFS('Prácticas_Snowballing'!$AB$2:$AB$281,"T040",'Prácticas_Snowballing'!$AC$2:$AC$281,"DESIGN &gt; Subárea no determinable")</f>
        <v>0</v>
      </c>
      <c r="Z50" s="29">
        <f t="shared" si="37"/>
        <v>0</v>
      </c>
      <c r="AA50" s="17">
        <f>COUNTIFS('Prácticas_Revisiones'!$S$2:$S$282,"T040",'Prácticas_Revisiones'!$T$2:$T$282,"CONSTRUCTION &gt; Software Construction Fundamentals")+COUNTIFS('Prácticas_Snowballing'!$AB$2:$AB$281,"T040",'Prácticas_Snowballing'!$AC$2:$AC$281,"CONSTRUCTION &gt; Software Construction Fundamentals")</f>
        <v>0</v>
      </c>
      <c r="AB50" s="17">
        <f>COUNTIFS('Prácticas_Revisiones'!$S$2:$S$282,"T040",'Prácticas_Revisiones'!$T$2:$T$282,"CONSTRUCTION &gt; Managing Construction")+COUNTIFS('Prácticas_Snowballing'!$AB$2:$AB$281,"T040",'Prácticas_Snowballing'!$AC$2:$AC$281,"CONSTRUCTION &gt; Managing Construction")</f>
        <v>0</v>
      </c>
      <c r="AC50" s="17">
        <f>COUNTIFS('Prácticas_Revisiones'!$S$2:$S$282,"T040",'Prácticas_Revisiones'!$T$2:$T$282,"CONSTRUCTION &gt; Practical Considerations")+COUNTIFS('Prácticas_Snowballing'!$AB$2:$AB$281,"T040",'Prácticas_Snowballing'!$AC$2:$AC$281,"CONSTRUCTION &gt; Practical Considerations")</f>
        <v>0</v>
      </c>
      <c r="AD50" s="17">
        <f>COUNTIFS('Prácticas_Revisiones'!$S$2:$S$282,"T040",'Prácticas_Revisiones'!$T$2:$T$282,"CONSTRUCTION &gt; Construction Technologies")+COUNTIFS('Prácticas_Snowballing'!$AB$2:$AB$281,"T040",'Prácticas_Snowballing'!$AC$2:$AC$281,"CONSTRUCTION &gt; Construction Technologies")</f>
        <v>0</v>
      </c>
      <c r="AE50" s="17">
        <f>COUNTIFS('Prácticas_Revisiones'!$S$2:$S$282,"T040",'Prácticas_Revisiones'!$T$2:$T$282,"CONSTRUCTION &gt; Software Construction Tools")+COUNTIFS('Prácticas_Snowballing'!$AB$2:$AB$281,"T040",'Prácticas_Snowballing'!$AC$2:$AC$281,"CONSTRUCTION &gt; Software Construction Tools")</f>
        <v>0</v>
      </c>
      <c r="AF50" s="17">
        <f>COUNTIFS('Prácticas_Revisiones'!$S$2:$S$282,"T040",'Prácticas_Revisiones'!$T$2:$T$282,"CONSTRUCTION &gt; Subárea no determinable")+COUNTIFS('Prácticas_Snowballing'!$AB$2:$AB$281,"T040",'Prácticas_Snowballing'!$AC$2:$AC$281,"CONSTRUCTION &gt; Subárea no determinable")</f>
        <v>0</v>
      </c>
      <c r="AG50" s="29">
        <f t="shared" si="38"/>
        <v>0</v>
      </c>
      <c r="AH50" s="17">
        <f>COUNTIFS('Prácticas_Revisiones'!$S$2:$S$282,"T040",'Prácticas_Revisiones'!$T$2:$T$282,"SOFTWARE TESTING &gt; Software Testing Fundamentals")+COUNTIFS('Prácticas_Snowballing'!$AB$2:$AB$281,"T040",'Prácticas_Snowballing'!$AC$2:$AC$281,"SOFTWARE TESTING &gt; Software Testing Fundamentals")</f>
        <v>0</v>
      </c>
      <c r="AI50" s="17">
        <f>COUNTIFS('Prácticas_Revisiones'!$S$2:$S$282,"T040",'Prácticas_Revisiones'!$T$2:$T$282,"SOFTWARE TESTING &gt; Test Levels")+COUNTIFS('Prácticas_Snowballing'!$AB$2:$AB$281,"T040",'Prácticas_Snowballing'!$AC$2:$AC$281,"SOFTWARE TESTING &gt; Test Levels")</f>
        <v>0</v>
      </c>
      <c r="AJ50" s="17">
        <f>COUNTIFS('Prácticas_Revisiones'!$S$2:$S$282,"T040",'Prácticas_Revisiones'!$T$2:$T$282,"SOFTWARE TESTING &gt; Test Techniques")+COUNTIFS('Prácticas_Snowballing'!$AB$2:$AB$281,"T040",'Prácticas_Snowballing'!$AC$2:$AC$281,"SOFTWARE TESTING &gt; Test Techniques")</f>
        <v>0</v>
      </c>
      <c r="AK50" s="17">
        <f>COUNTIFS('Prácticas_Revisiones'!$S$2:$S$282,"T040",'Prácticas_Revisiones'!$T$2:$T$282,"SOFTWARE TESTING &gt; Test-Related Measures")+COUNTIFS('Prácticas_Snowballing'!$AB$2:$AB$281,"T040",'Prácticas_Snowballing'!$AC$2:$AC$281,"SOFTWARE TESTING &gt; Test-Related Measures")</f>
        <v>0</v>
      </c>
      <c r="AL50" s="17">
        <f>COUNTIFS('Prácticas_Revisiones'!$S$2:$S$282,"T040",'Prácticas_Revisiones'!$T$2:$T$282,"SOFTWARE TESTING &gt; Test Process")+COUNTIFS('Prácticas_Snowballing'!$AB$2:$AB$281,"T040",'Prácticas_Snowballing'!$AC$2:$AC$281,"SOFTWARE TESTING &gt; Test Process")</f>
        <v>0</v>
      </c>
      <c r="AM50" s="17">
        <f>COUNTIFS('Prácticas_Revisiones'!$S$2:$S$282,"T040",'Prácticas_Revisiones'!$T$2:$T$282,"SOFTWARE TESTING &gt; Software Testing in the Development Processes...")+COUNTIFS('Prácticas_Snowballing'!$AB$2:$AB$281,"T040",'Prácticas_Snowballing'!$AC$2:$AC$281,"SOFTWARE TESTING &gt; Software Testing in the Development Processes...")</f>
        <v>0</v>
      </c>
      <c r="AN50" s="17">
        <f>COUNTIFS('Prácticas_Revisiones'!$S$2:$S$282,"T040",'Prácticas_Revisiones'!$T$2:$T$282,"SOFTWARE TESTING &gt; Testing of and Testing Through Emerging Tech...")+COUNTIFS('Prácticas_Snowballing'!$AB$2:$AB$281,"T040",'Prácticas_Snowballing'!$AC$2:$AC$281,"SOFTWARE TESTING &gt; Testing of and Testing Through Emerging Tech...")</f>
        <v>0</v>
      </c>
      <c r="AO50" s="17">
        <f>COUNTIFS('Prácticas_Revisiones'!$S$2:$S$282,"T040",'Prácticas_Revisiones'!$T$2:$T$282,"SOFTWARE TESTING &gt; Software Testing Tools")+COUNTIFS('Prácticas_Snowballing'!$AB$2:$AB$281,"T040",'Prácticas_Snowballing'!$AC$2:$AC$281,"SOFTWARE TESTING &gt; Software Testing Tools")</f>
        <v>0</v>
      </c>
      <c r="AP50" s="17">
        <f>COUNTIFS('Prácticas_Revisiones'!$S$2:$S$282,"T040",'Prácticas_Revisiones'!$T$2:$T$282,"SOFTWARE TESTING &gt; Subárea no determinable")+COUNTIFS('Prácticas_Snowballing'!$AB$2:$AB$281,"T040",'Prácticas_Snowballing'!$AC$2:$AC$281,"SOFTWARE TESTING &gt; Subárea no determinable")</f>
        <v>0</v>
      </c>
      <c r="AQ50" s="29">
        <f t="shared" si="39"/>
        <v>0</v>
      </c>
      <c r="AR50" s="17">
        <f>COUNTIFS('Prácticas_Revisiones'!$S$2:$S$282,"T040",'Prácticas_Revisiones'!$T$2:$T$282,"SOFTWARE ENG. OPERATIONS &gt; Software Engineering Operations Fundamentals")+COUNTIFS('Prácticas_Snowballing'!$AB$2:$AB$281,"T040",'Prácticas_Snowballing'!$AC$2:$AC$281,"SOFTWARE ENG. OPERATIONS &gt; Software Engineering Operations Fundamentals")</f>
        <v>0</v>
      </c>
      <c r="AS50" s="17">
        <f>COUNTIFS('Prácticas_Revisiones'!$S$2:$S$282,"T040",'Prácticas_Revisiones'!$T$2:$T$282,"SOFTWARE ENG. OPERATIONS &gt; Software Engineering Operations Planning")+COUNTIFS('Prácticas_Snowballing'!$AB$2:$AB$281,"T040",'Prácticas_Snowballing'!$AC$2:$AC$281,"SOFTWARE ENG. OPERATIONS &gt; Software Engineering Operations Planning")</f>
        <v>0</v>
      </c>
      <c r="AT50" s="17">
        <f>COUNTIFS('Prácticas_Revisiones'!$S$2:$S$282,"T040",'Prácticas_Revisiones'!$T$2:$T$282,"SOFTWARE ENG. OPERATIONS &gt; Software Engineering Operations Delivery")+COUNTIFS('Prácticas_Snowballing'!$AB$2:$AB$281,"T040",'Prácticas_Snowballing'!$AC$2:$AC$281,"SOFTWARE ENG. OPERATIONS &gt; Software Engineering Operations Delivery")</f>
        <v>0</v>
      </c>
      <c r="AU50" s="17">
        <f>COUNTIFS('Prácticas_Revisiones'!$S$2:$S$282,"T040",'Prácticas_Revisiones'!$T$2:$T$282,"SOFTWARE ENG. OPERATIONS &gt; Software Engineering Operations Control")+COUNTIFS('Prácticas_Snowballing'!$AB$2:$AB$281,"T040",'Prácticas_Snowballing'!$AC$2:$AC$281,"SOFTWARE ENG. OPERATIONS &gt; Software Engineering Operations Control")</f>
        <v>0</v>
      </c>
      <c r="AV50" s="17">
        <f>COUNTIFS('Prácticas_Revisiones'!$S$2:$S$282,"T040",'Prácticas_Revisiones'!$T$2:$T$282,"SOFTWARE ENG. OPERATIONS &gt; Practical Considerations")+COUNTIFS('Prácticas_Snowballing'!$AB$2:$AB$281,"T040",'Prácticas_Snowballing'!$AC$2:$AC$281,"SOFTWARE ENG. OPERATIONS &gt; Practical Considerations")</f>
        <v>0</v>
      </c>
      <c r="AW50" s="17">
        <f>COUNTIFS('Prácticas_Revisiones'!$S$2:$S$282,"T040",'Prácticas_Revisiones'!$T$2:$T$282,"SOFTWARE ENG. OPERATIONS &gt; Software Engineering Operations Tools")+COUNTIFS('Prácticas_Snowballing'!$AB$2:$AB$281,"T040",'Prácticas_Snowballing'!$AC$2:$AC$281,"SOFTWARE ENG. OPERATIONS &gt; Software Engineering Operations Tools")</f>
        <v>0</v>
      </c>
      <c r="AX50" s="17">
        <f>COUNTIFS('Prácticas_Revisiones'!$S$2:$S$282,"T040",'Prácticas_Revisiones'!$T$2:$T$282,"SOFTWARE ENG. OPERATIONS &gt; Subárea no determinable")+COUNTIFS('Prácticas_Snowballing'!$AB$2:$AB$281,"T040",'Prácticas_Snowballing'!$AC$2:$AC$281,"SOFTWARE ENG. OPERATIONS &gt; Subárea no determinable")</f>
        <v>0</v>
      </c>
      <c r="AY50" s="29">
        <f t="shared" si="40"/>
        <v>0</v>
      </c>
      <c r="AZ50" s="17">
        <f>COUNTIFS('Prácticas_Revisiones'!$S$2:$S$282,"T040",'Prácticas_Revisiones'!$T$2:$T$282,"MAINTENANCE &gt; Software Maintenance Fundamentals")+COUNTIFS('Prácticas_Snowballing'!$AB$2:$AB$281,"T040",'Prácticas_Snowballing'!$AC$2:$AC$281,"MAINTENANCE &gt; Software Maintenance Fundamentals")</f>
        <v>0</v>
      </c>
      <c r="BA50" s="17">
        <f>COUNTIFS('Prácticas_Revisiones'!$S$2:$S$282,"T040",'Prácticas_Revisiones'!$T$2:$T$282,"MAINTENANCE &gt; Key Issues in Software Maintenance")+COUNTIFS('Prácticas_Snowballing'!$AB$2:$AB$281,"T040",'Prácticas_Snowballing'!$AC$2:$AC$281,"MAINTENANCE &gt; Key Issues in Software Maintenance")</f>
        <v>0</v>
      </c>
      <c r="BB50" s="17">
        <f>COUNTIFS('Prácticas_Revisiones'!$S$2:$S$282,"T040",'Prácticas_Revisiones'!$T$2:$T$282,"MAINTENANCE &gt; Software Maintenance Processes")+COUNTIFS('Prácticas_Snowballing'!$AB$2:$AB$281,"T040",'Prácticas_Snowballing'!$AC$2:$AC$281,"MAINTENANCE &gt; Software Maintenance Processes")</f>
        <v>0</v>
      </c>
      <c r="BC50" s="17">
        <f>COUNTIFS('Prácticas_Revisiones'!$S$2:$S$282,"T040",'Prácticas_Revisiones'!$T$2:$T$282,"MAINTENANCE &gt; Software Maintenance Techniques")+COUNTIFS('Prácticas_Snowballing'!$AB$2:$AB$281,"T040",'Prácticas_Snowballing'!$AC$2:$AC$281,"MAINTENANCE &gt; Software Maintenance Techniques")</f>
        <v>0</v>
      </c>
      <c r="BD50" s="17">
        <f>COUNTIFS('Prácticas_Revisiones'!$S$2:$S$282,"T040",'Prácticas_Revisiones'!$T$2:$T$282,"MAINTENANCE &gt; Software Maintenance Tools")+COUNTIFS('Prácticas_Snowballing'!$AB$2:$AB$281,"T040",'Prácticas_Snowballing'!$AC$2:$AC$281,"MAINTENANCE &gt; Software Maintenance Tools")</f>
        <v>0</v>
      </c>
      <c r="BE50" s="17">
        <f>COUNTIFS('Prácticas_Revisiones'!$S$2:$S$282,"T040",'Prácticas_Revisiones'!$T$2:$T$282,"MAINTENANCE &gt; Subárea no determinable")+COUNTIFS('Prácticas_Snowballing'!$AB$2:$AB$281,"T040",'Prácticas_Snowballing'!$AC$2:$AC$281,"MAINTENANCE &gt; Subárea no determinable")</f>
        <v>0</v>
      </c>
      <c r="BF50" s="29">
        <f t="shared" si="41"/>
        <v>0</v>
      </c>
      <c r="BG50" s="17">
        <f>COUNTIFS('Prácticas_Revisiones'!$S$2:$S$282,"T040",'Prácticas_Revisiones'!$T$2:$T$282,"SOFTWARE CONFIG. MGMT. &gt; Management of the SCM Process")+COUNTIFS('Prácticas_Snowballing'!$AB$2:$AB$281,"T040",'Prácticas_Snowballing'!$AC$2:$AC$281,"SOFTWARE CONFIG. MGMT. &gt; Management of the SCM Process")</f>
        <v>0</v>
      </c>
      <c r="BH50" s="17">
        <f>COUNTIFS('Prácticas_Revisiones'!$S$2:$S$282,"T040",'Prácticas_Revisiones'!$T$2:$T$282,"SOFTWARE CONFIG. MGMT. &gt; Software Configuration Identification")+COUNTIFS('Prácticas_Snowballing'!$AB$2:$AB$281,"T040",'Prácticas_Snowballing'!$AC$2:$AC$281,"SOFTWARE CONFIG. MGMT. &gt; Software Configuration Identification")</f>
        <v>0</v>
      </c>
      <c r="BI50" s="17">
        <f>COUNTIFS('Prácticas_Revisiones'!$S$2:$S$282,"T040",'Prácticas_Revisiones'!$T$2:$T$282,"SOFTWARE CONFIG. MGMT. &gt; Software Configuration Change Control")+COUNTIFS('Prácticas_Snowballing'!$AB$2:$AB$281,"T040",'Prácticas_Snowballing'!$AC$2:$AC$281,"SOFTWARE CONFIG. MGMT. &gt; Software Configuration Change Control")</f>
        <v>0</v>
      </c>
      <c r="BJ50" s="17">
        <f>COUNTIFS('Prácticas_Revisiones'!$S$2:$S$282,"T040",'Prácticas_Revisiones'!$T$2:$T$282,"SOFTWARE CONFIG. MGMT. &gt; Software Configuration Status Accounting")+COUNTIFS('Prácticas_Snowballing'!$AB$2:$AB$281,"T040",'Prácticas_Snowballing'!$AC$2:$AC$281,"SOFTWARE CONFIG. MGMT. &gt; Software Configuration Status Accounting")</f>
        <v>0</v>
      </c>
      <c r="BK50" s="17">
        <f>COUNTIFS('Prácticas_Revisiones'!$S$2:$S$282,"T040",'Prácticas_Revisiones'!$T$2:$T$282,"SOFTWARE CONFIG. MGMT. &gt; Software Configuration Auditing")+COUNTIFS('Prácticas_Snowballing'!$AB$2:$AB$281,"T040",'Prácticas_Snowballing'!$AC$2:$AC$281,"SOFTWARE CONFIG. MGMT. &gt; Software Configuration Auditing")</f>
        <v>0</v>
      </c>
      <c r="BL50" s="17">
        <f>COUNTIFS('Prácticas_Revisiones'!$S$2:$S$282,"T040",'Prácticas_Revisiones'!$T$2:$T$282,"SOFTWARE CONFIG. MGMT. &gt; Software Release Management and Delivery")+COUNTIFS('Prácticas_Snowballing'!$AB$2:$AB$281,"T040",'Prácticas_Snowballing'!$AC$2:$AC$281,"SOFTWARE CONFIG. MGMT. &gt; Software Release Management and Delivery")</f>
        <v>0</v>
      </c>
      <c r="BM50" s="17">
        <f>COUNTIFS('Prácticas_Revisiones'!$S$2:$S$282,"T040",'Prácticas_Revisiones'!$T$2:$T$282,"SOFTWARE CONFIG. MGMT. &gt; Software Configuration Management Tools")+COUNTIFS('Prácticas_Snowballing'!$AB$2:$AB$281,"T040",'Prácticas_Snowballing'!$AC$2:$AC$281,"SOFTWARE CONFIG. MGMT. &gt; Software Configuration Management Tools")</f>
        <v>0</v>
      </c>
      <c r="BN50" s="17">
        <f>COUNTIFS('Prácticas_Revisiones'!$S$2:$S$282,"T040",'Prácticas_Revisiones'!$T$2:$T$282,"SOFTWARE CONFIG. MGMT. &gt; Subárea no determinable")+COUNTIFS('Prácticas_Snowballing'!$AB$2:$AB$281,"T040",'Prácticas_Snowballing'!$AC$2:$AC$281,"SOFTWARE CONFIG. MGMT. &gt; Subárea no determinable")</f>
        <v>0</v>
      </c>
      <c r="BO50" s="29">
        <f t="shared" si="42"/>
        <v>0</v>
      </c>
      <c r="BP50" s="17">
        <f>COUNTIFS('Prácticas_Revisiones'!$S$2:$S$282,"T040",'Prácticas_Revisiones'!$T$2:$T$282,"SOFTWARE ENG. PROCESS &gt; Software Engineering Process Fundamentals")+COUNTIFS('Prácticas_Snowballing'!$AB$2:$AB$281,"T040",'Prácticas_Snowballing'!$AC$2:$AC$281,"SOFTWARE ENG. PROCESS &gt; Software Engineering Process Fundamentals")</f>
        <v>0</v>
      </c>
      <c r="BQ50" s="17">
        <f>COUNTIFS('Prácticas_Revisiones'!$S$2:$S$282,"T040",'Prácticas_Revisiones'!$T$2:$T$282,"SOFTWARE ENG. PROCESS &gt; Life Cycles")+COUNTIFS('Prácticas_Snowballing'!$AB$2:$AB$281,"T040",'Prácticas_Snowballing'!$AC$2:$AC$281,"SOFTWARE ENG. PROCESS &gt; Life Cycles")</f>
        <v>0</v>
      </c>
      <c r="BR50" s="17">
        <f>COUNTIFS('Prácticas_Revisiones'!$S$2:$S$282,"T040",'Prácticas_Revisiones'!$T$2:$T$282,"SOFTWARE ENG. PROCESS &gt; Software Process Assessment and Improvement")+COUNTIFS('Prácticas_Snowballing'!$AB$2:$AB$281,"T040",'Prácticas_Snowballing'!$AC$2:$AC$281,"SOFTWARE ENG. PROCESS &gt; Software Process Assessment and Improvement")</f>
        <v>0</v>
      </c>
      <c r="BS50" s="17">
        <f>COUNTIFS('Prácticas_Revisiones'!$S$2:$S$282,"T040",'Prácticas_Revisiones'!$T$2:$T$282,"SOFTWARE ENG. PROCESS &gt; Subárea no determinable")+COUNTIFS('Prácticas_Snowballing'!$AB$2:$AB$281,"T040",'Prácticas_Snowballing'!$AC$2:$AC$281,"SOFTWARE ENG. PROCESS &gt; Subárea no determinable")</f>
        <v>0</v>
      </c>
      <c r="BT50" s="29">
        <f t="shared" si="43"/>
        <v>0</v>
      </c>
      <c r="BU50" s="17">
        <f>COUNTIFS('Prácticas_Revisiones'!$S$2:$S$282,"T040",'Prácticas_Revisiones'!$T$2:$T$282,"SOFTWARE ENG. MODELS/METH. &gt; Modeling")+COUNTIFS('Prácticas_Snowballing'!$AB$2:$AB$281,"T040",'Prácticas_Snowballing'!$AC$2:$AC$281,"SOFTWARE ENG. MODELS/METH. &gt; Modeling")</f>
        <v>0</v>
      </c>
      <c r="BV50" s="17">
        <f>COUNTIFS('Prácticas_Revisiones'!$S$2:$S$282,"T040",'Prácticas_Revisiones'!$T$2:$T$282,"SOFTWARE ENG. MODELS/METH. &gt; Types of Models")+COUNTIFS('Prácticas_Snowballing'!$AB$2:$AB$281,"T040",'Prácticas_Snowballing'!$AC$2:$AC$281,"SOFTWARE ENG. MODELS/METH. &gt; Types of Models")</f>
        <v>0</v>
      </c>
      <c r="BW50" s="17">
        <f>COUNTIFS('Prácticas_Revisiones'!$S$2:$S$282,"T040",'Prácticas_Revisiones'!$T$2:$T$282,"SOFTWARE ENG. MODELS/METH. &gt; Analysis of Models")+COUNTIFS('Prácticas_Snowballing'!$AB$2:$AB$281,"T040",'Prácticas_Snowballing'!$AC$2:$AC$281,"SOFTWARE ENG. MODELS/METH. &gt; Analysis of Models")</f>
        <v>0</v>
      </c>
      <c r="BX50" s="17">
        <f>COUNTIFS('Prácticas_Revisiones'!$S$2:$S$282,"T040",'Prácticas_Revisiones'!$T$2:$T$282,"SOFTWARE ENG. MODELS/METH. &gt; Software Engineering Methods")+COUNTIFS('Prácticas_Snowballing'!$AB$2:$AB$281,"T040",'Prácticas_Snowballing'!$AC$2:$AC$281,"SOFTWARE ENG. MODELS/METH. &gt; Software Engineering Methods")</f>
        <v>0</v>
      </c>
      <c r="BY50" s="17">
        <f>COUNTIFS('Prácticas_Revisiones'!$S$2:$S$282,"T040",'Prácticas_Revisiones'!$T$2:$T$282,"SOFTWARE ENG. MODELS/METH. &gt; Subárea no determinable")+COUNTIFS('Prácticas_Snowballing'!$AB$2:$AB$281,"T040",'Prácticas_Snowballing'!$AC$2:$AC$281,"SOFTWARE ENG. MODELS/METH. &gt; Subárea no determinable")</f>
        <v>0</v>
      </c>
      <c r="BZ50" s="29">
        <f t="shared" si="44"/>
        <v>0</v>
      </c>
      <c r="CA50" s="17">
        <f>COUNTIFS('Prácticas_Revisiones'!$S$2:$S$282,"T040",'Prácticas_Revisiones'!$T$2:$T$282,"SOFTWARE QUALITY &gt; Software Quality Fundamentals")+COUNTIFS('Prácticas_Snowballing'!$AB$2:$AB$281,"T040",'Prácticas_Snowballing'!$AC$2:$AC$281,"SOFTWARE QUALITY &gt; Software Quality Fundamentals")</f>
        <v>0</v>
      </c>
      <c r="CB50" s="17">
        <f>COUNTIFS('Prácticas_Revisiones'!$S$2:$S$282,"T040",'Prácticas_Revisiones'!$T$2:$T$282,"SOFTWARE QUALITY &gt; Software Quality Management Process")+COUNTIFS('Prácticas_Snowballing'!$AB$2:$AB$281,"T040",'Prácticas_Snowballing'!$AC$2:$AC$281,"SOFTWARE QUALITY &gt; Software Quality Management Process")</f>
        <v>0</v>
      </c>
      <c r="CC50" s="17">
        <f>COUNTIFS('Prácticas_Revisiones'!$S$2:$S$282,"T040",'Prácticas_Revisiones'!$T$2:$T$282,"SOFTWARE QUALITY &gt; Software Quality Assurance Process")+COUNTIFS('Prácticas_Snowballing'!$AB$2:$AB$281,"T040",'Prácticas_Snowballing'!$AC$2:$AC$281,"SOFTWARE QUALITY &gt; Software Quality Assurance Process")</f>
        <v>0</v>
      </c>
      <c r="CD50" s="17">
        <f>COUNTIFS('Prácticas_Revisiones'!$S$2:$S$282,"T040",'Prácticas_Revisiones'!$T$2:$T$282,"SOFTWARE QUALITY &gt; Software Quality Tools")+COUNTIFS('Prácticas_Snowballing'!$AB$2:$AB$281,"T040",'Prácticas_Snowballing'!$AC$2:$AC$281,"SOFTWARE QUALITY &gt; Software Quality Tools")</f>
        <v>0</v>
      </c>
      <c r="CE50" s="17">
        <f>COUNTIFS('Prácticas_Revisiones'!$S$2:$S$282,"T040",'Prácticas_Revisiones'!$T$2:$T$282,"SOFTWARE QUALITY &gt; Subárea no determinable")+COUNTIFS('Prácticas_Snowballing'!$AB$2:$AB$281,"T040",'Prácticas_Snowballing'!$AC$2:$AC$281,"SOFTWARE QUALITY &gt; Subárea no determinable")</f>
        <v>0</v>
      </c>
      <c r="CF50" s="29">
        <f t="shared" si="45"/>
        <v>0</v>
      </c>
      <c r="CG50" s="17">
        <f>COUNTIFS('Prácticas_Revisiones'!$S$2:$S$282,"T040",'Prácticas_Revisiones'!$T$2:$T$282,"SOFTWARE SECURITY &gt; Software Security Fundamentals")+COUNTIFS('Prácticas_Snowballing'!$AB$2:$AB$281,"T040",'Prácticas_Snowballing'!$AC$2:$AC$281,"SOFTWARE SECURITY &gt; Software Security Fundamentals")</f>
        <v>0</v>
      </c>
      <c r="CH50" s="17">
        <f>COUNTIFS('Prácticas_Revisiones'!$S$2:$S$282,"T040",'Prácticas_Revisiones'!$T$2:$T$282,"SOFTWARE SECURITY &gt; Security Management and Organization")+COUNTIFS('Prácticas_Snowballing'!$AB$2:$AB$281,"T040",'Prácticas_Snowballing'!$AC$2:$AC$281,"SOFTWARE SECURITY &gt; Security Management and Organization")</f>
        <v>0</v>
      </c>
      <c r="CI50" s="17">
        <f>COUNTIFS('Prácticas_Revisiones'!$S$2:$S$282,"T040",'Prácticas_Revisiones'!$T$2:$T$282,"SOFTWARE SECURITY &gt; Software Security Engineering and Process")+COUNTIFS('Prácticas_Snowballing'!$AB$2:$AB$281,"T040",'Prácticas_Snowballing'!$AC$2:$AC$281,"SOFTWARE SECURITY &gt; Software Security Engineering and Process")</f>
        <v>0</v>
      </c>
      <c r="CJ50" s="17">
        <f>COUNTIFS('Prácticas_Revisiones'!$S$2:$S$282,"T040",'Prácticas_Revisiones'!$T$2:$T$282,"SOFTWARE SECURITY &gt; Security Engineering for Software Systems")+COUNTIFS('Prácticas_Snowballing'!$AB$2:$AB$281,"T040",'Prácticas_Snowballing'!$AC$2:$AC$281,"SOFTWARE SECURITY &gt; Security Engineering for Software Systems")</f>
        <v>0</v>
      </c>
      <c r="CK50" s="17">
        <f>COUNTIFS('Prácticas_Revisiones'!$S$2:$S$282,"T040",'Prácticas_Revisiones'!$T$2:$T$282,"SOFTWARE SECURITY &gt; Software Security Tools")+COUNTIFS('Prácticas_Snowballing'!$AB$2:$AB$281,"T040",'Prácticas_Snowballing'!$AC$2:$AC$281,"SOFTWARE SECURITY &gt; Software Security Tools")</f>
        <v>0</v>
      </c>
      <c r="CL50" s="17">
        <f>COUNTIFS('Prácticas_Revisiones'!$S$2:$S$282,"T040",'Prácticas_Revisiones'!$T$2:$T$282,"SOFTWARE SECURITY &gt; Domain Specific Software Security")+COUNTIFS('Prácticas_Snowballing'!$AB$2:$AB$281,"T040",'Prácticas_Snowballing'!$AC$2:$AC$281,"SOFTWARE SECURITY &gt; Domain Specific Software Security")</f>
        <v>0</v>
      </c>
      <c r="CM50" s="17">
        <f>COUNTIFS('Prácticas_Revisiones'!$S$2:$S$282,"T040",'Prácticas_Revisiones'!$T$2:$T$282,"SOFTWARE SECURITY &gt; Subárea no determinable")+COUNTIFS('Prácticas_Snowballing'!$AB$2:$AB$281,"T040",'Prácticas_Snowballing'!$AC$2:$AC$281,"SOFTWARE SECURITY &gt; Subárea no determinable")</f>
        <v>0</v>
      </c>
      <c r="CN50" s="29">
        <f t="shared" si="46"/>
        <v>0</v>
      </c>
      <c r="CO50" s="17">
        <f>COUNTIFS('Prácticas_Revisiones'!$S$2:$S$282,"T040",'Prácticas_Revisiones'!$T$2:$T$282,"PROFESSIONAL PRACTICE &gt; Professionalism")+COUNTIFS('Prácticas_Snowballing'!$AB$2:$AB$281,"T040",'Prácticas_Snowballing'!$AC$2:$AC$281,"PROFESSIONAL PRACTICE &gt; Professionalism")</f>
        <v>0</v>
      </c>
      <c r="CP50" s="17">
        <f>COUNTIFS('Prácticas_Revisiones'!$S$2:$S$282,"T040",'Prácticas_Revisiones'!$T$2:$T$282,"PROFESSIONAL PRACTICE &gt; Group Dynamics and Psychology")+COUNTIFS('Prácticas_Snowballing'!$AB$2:$AB$281,"T040",'Prácticas_Snowballing'!$AC$2:$AC$281,"PROFESSIONAL PRACTICE &gt; Group Dynamics and Psychology")</f>
        <v>0</v>
      </c>
      <c r="CQ50" s="17">
        <f>COUNTIFS('Prácticas_Revisiones'!$S$2:$S$282,"T040",'Prácticas_Revisiones'!$T$2:$T$282,"PROFESSIONAL PRACTICE &gt; Communication Skills")+COUNTIFS('Prácticas_Snowballing'!$AB$2:$AB$281,"T040",'Prácticas_Snowballing'!$AC$2:$AC$281,"PROFESSIONAL PRACTICE &gt; Communication Skills")</f>
        <v>0</v>
      </c>
      <c r="CR50" s="17">
        <f>COUNTIFS('Prácticas_Revisiones'!$S$2:$S$282,"T040",'Prácticas_Revisiones'!$T$2:$T$282,"PROFESSIONAL PRACTICE &gt; Subárea no determinable")+COUNTIFS('Prácticas_Snowballing'!$AB$2:$AB$281,"T040",'Prácticas_Snowballing'!$AC$2:$AC$281,"PROFESSIONAL PRACTICE &gt; Subárea no determinable")</f>
        <v>0</v>
      </c>
      <c r="CS50" s="29">
        <f t="shared" si="47"/>
        <v>0</v>
      </c>
      <c r="CT50" s="17">
        <f>COUNTIFS('Prácticas_Revisiones'!$S$2:$S$282,"T040",'Prácticas_Revisiones'!$T$2:$T$282,"SOFTWARE ENG. ECONOMICS &gt; Software Engineering Economics Fundamentals")+COUNTIFS('Prácticas_Snowballing'!$AB$2:$AB$281,"T040",'Prácticas_Snowballing'!$AC$2:$AC$281,"SOFTWARE ENG. ECONOMICS &gt; Software Engineering Economics Fundamentals")</f>
        <v>0</v>
      </c>
      <c r="CU50" s="17">
        <f>COUNTIFS('Prácticas_Revisiones'!$S$2:$S$282,"T040",'Prácticas_Revisiones'!$T$2:$T$282,"SOFTWARE ENG. ECONOMICS &gt; The Engineering Decision-Making Process")+COUNTIFS('Prácticas_Snowballing'!$AB$2:$AB$281,"T040",'Prácticas_Snowballing'!$AC$2:$AC$281,"SOFTWARE ENG. ECONOMICS &gt; The Engineering Decision-Making Process")</f>
        <v>0</v>
      </c>
      <c r="CV50" s="17">
        <f>COUNTIFS('Prácticas_Revisiones'!$S$2:$S$282,"T040",'Prácticas_Revisiones'!$T$2:$T$282,"SOFTWARE ENG. ECONOMICS &gt; For-Profit Decision-Making")+COUNTIFS('Prácticas_Snowballing'!$AB$2:$AB$281,"T040",'Prácticas_Snowballing'!$AC$2:$AC$281,"SOFTWARE ENG. ECONOMICS &gt; For-Profit Decision-Making")</f>
        <v>0</v>
      </c>
      <c r="CW50" s="17">
        <f>COUNTIFS('Prácticas_Revisiones'!$S$2:$S$282,"T040",'Prácticas_Revisiones'!$T$2:$T$282,"SOFTWARE ENG. ECONOMICS &gt; Nonprofit Decision-Making")+COUNTIFS('Prácticas_Snowballing'!$AB$2:$AB$281,"T040",'Prácticas_Snowballing'!$AC$2:$AC$281,"SOFTWARE ENG. ECONOMICS &gt; Nonprofit Decision-Making")</f>
        <v>0</v>
      </c>
      <c r="CX50" s="17">
        <f>COUNTIFS('Prácticas_Revisiones'!$S$2:$S$282,"T040",'Prácticas_Revisiones'!$T$2:$T$282,"SOFTWARE ENG. ECONOMICS &gt; Present Economy Decision-Making")+COUNTIFS('Prácticas_Snowballing'!$AB$2:$AB$281,"T040",'Prácticas_Snowballing'!$AC$2:$AC$281,"SOFTWARE ENG. ECONOMICS &gt; Present Economy Decision-Making")</f>
        <v>0</v>
      </c>
      <c r="CY50" s="17">
        <f>COUNTIFS('Prácticas_Revisiones'!$S$2:$S$282,"T040",'Prácticas_Revisiones'!$T$2:$T$282,"SOFTWARE ENG. ECONOMICS &gt; Multiple-Attribute Decision-Making")+COUNTIFS('Prácticas_Snowballing'!$AB$2:$AB$281,"T040",'Prácticas_Snowballing'!$AC$2:$AC$281,"SOFTWARE ENG. ECONOMICS &gt; Multiple-Attribute Decision-Making")</f>
        <v>0</v>
      </c>
      <c r="CZ50" s="17">
        <f>COUNTIFS('Prácticas_Revisiones'!$S$2:$S$282,"T040",'Prácticas_Revisiones'!$T$2:$T$282,"SOFTWARE ENG. ECONOMICS &gt; Identifying and Characterizing Intangible Assets")+COUNTIFS('Prácticas_Snowballing'!$AB$2:$AB$281,"T040",'Prácticas_Snowballing'!$AC$2:$AC$281,"SOFTWARE ENG. ECONOMICS &gt; Identifying and Characterizing Intangible Assets")</f>
        <v>0</v>
      </c>
      <c r="DA50" s="17">
        <f>COUNTIFS('Prácticas_Revisiones'!$S$2:$S$282,"T040",'Prácticas_Revisiones'!$T$2:$T$282,"SOFTWARE ENG. ECONOMICS &gt; Estimation")+COUNTIFS('Prácticas_Snowballing'!$AB$2:$AB$281,"T040",'Prácticas_Snowballing'!$AC$2:$AC$281,"SOFTWARE ENG. ECONOMICS &gt; Estimation")</f>
        <v>0</v>
      </c>
      <c r="DB50" s="17">
        <f>COUNTIFS('Prácticas_Revisiones'!$S$2:$S$282,"T040",'Prácticas_Revisiones'!$T$2:$T$282,"SOFTWARE ENG. ECONOMICS &gt; Practical Considerations")+COUNTIFS('Prácticas_Snowballing'!$AB$2:$AB$281,"T040",'Prácticas_Snowballing'!$AC$2:$AC$281,"SOFTWARE ENG. ECONOMICS &gt; Practical Considerations")</f>
        <v>0</v>
      </c>
      <c r="DC50" s="17">
        <f>COUNTIFS('Prácticas_Revisiones'!$S$2:$S$282,"T040",'Prácticas_Revisiones'!$T$2:$T$282,"SOFTWARE ENG. ECONOMICS &gt; Related Concepts")+COUNTIFS('Prácticas_Snowballing'!$AB$2:$AB$281,"T040",'Prácticas_Snowballing'!$AC$2:$AC$281,"SOFTWARE ENG. ECONOMICS &gt; Related Concepts")</f>
        <v>0</v>
      </c>
      <c r="DD50" s="17">
        <f>COUNTIFS('Prácticas_Revisiones'!$S$2:$S$282,"T040",'Prácticas_Revisiones'!$T$2:$T$282,"SOFTWARE ENG. ECONOMICS &gt; Subárea no determinable")+COUNTIFS('Prácticas_Snowballing'!$AB$2:$AB$281,"T040",'Prácticas_Snowballing'!$AC$2:$AC$281,"SOFTWARE ENG. ECONOMICS &gt; Subárea no determinable")</f>
        <v>0</v>
      </c>
      <c r="DE50" s="29">
        <f t="shared" si="48"/>
        <v>0</v>
      </c>
      <c r="DF50" s="17">
        <f>COUNTIFS('Prácticas_Revisiones'!$S$2:$S$282,"T040",'Prácticas_Revisiones'!$T$2:$T$282,"SOFTWARE ENG. MANAGEMENT &gt; Software Engineering Management Fundamentals")+COUNTIFS('Prácticas_Snowballing'!$AB$2:$AB$281,"T040",'Prácticas_Snowballing'!$AC$2:$AC$281,"SOFTWARE ENG. MANAGEMENT &gt; Software Engineering Management Fundamentals")</f>
        <v>0</v>
      </c>
      <c r="DG50" s="17">
        <f>COUNTIFS('Prácticas_Revisiones'!$S$2:$S$282,"T040",'Prácticas_Revisiones'!$T$2:$T$282,"SOFTWARE ENG. MANAGEMENT &gt; Initiation and Scope Definition")+COUNTIFS('Prácticas_Snowballing'!$AB$2:$AB$281,"T040",'Prácticas_Snowballing'!$AC$2:$AC$281,"SOFTWARE ENG. MANAGEMENT &gt; Initiation and Scope Definition")</f>
        <v>0</v>
      </c>
      <c r="DH50" s="17">
        <f>COUNTIFS('Prácticas_Revisiones'!$S$2:$S$282,"T040",'Prácticas_Revisiones'!$T$2:$T$282,"SOFTWARE ENG. MANAGEMENT &gt; Software Project Planning")+COUNTIFS('Prácticas_Snowballing'!$AB$2:$AB$281,"T040",'Prácticas_Snowballing'!$AC$2:$AC$281,"SOFTWARE ENG. MANAGEMENT &gt; Software Project Planning")</f>
        <v>0</v>
      </c>
      <c r="DI50" s="17">
        <f>COUNTIFS('Prácticas_Revisiones'!$S$2:$S$282,"T040",'Prácticas_Revisiones'!$T$2:$T$282,"SOFTWARE ENG. MANAGEMENT &gt; Software Project Enactment")+COUNTIFS('Prácticas_Snowballing'!$AB$2:$AB$281,"T040",'Prácticas_Snowballing'!$AC$2:$AC$281,"SOFTWARE ENG. MANAGEMENT &gt; Software Project Enactment")</f>
        <v>0</v>
      </c>
      <c r="DJ50" s="17">
        <f>COUNTIFS('Prácticas_Revisiones'!$S$2:$S$282,"T040",'Prácticas_Revisiones'!$T$2:$T$282,"SOFTWARE ENG. MANAGEMENT &gt; Review and Evaluation")+COUNTIFS('Prácticas_Snowballing'!$AB$2:$AB$281,"T040",'Prácticas_Snowballing'!$AC$2:$AC$281,"SOFTWARE ENG. MANAGEMENT &gt; Review and Evaluation")</f>
        <v>0</v>
      </c>
      <c r="DK50" s="17">
        <f>COUNTIFS('Prácticas_Revisiones'!$S$2:$S$282,"T040",'Prácticas_Revisiones'!$T$2:$T$282,"SOFTWARE ENG. MANAGEMENT &gt; Closure")+COUNTIFS('Prácticas_Snowballing'!$AB$2:$AB$281,"T040",'Prácticas_Snowballing'!$AC$2:$AC$281,"SOFTWARE ENG. MANAGEMENT &gt; Closure")</f>
        <v>0</v>
      </c>
      <c r="DL50" s="17">
        <f>COUNTIFS('Prácticas_Revisiones'!$S$2:$S$282,"T040",'Prácticas_Revisiones'!$T$2:$T$282,"SOFTWARE ENG. MANAGEMENT &gt; Software Engineering Management Tools")+COUNTIFS('Prácticas_Snowballing'!$AB$2:$AB$281,"T040",'Prácticas_Snowballing'!$AC$2:$AC$281,"SOFTWARE ENG. MANAGEMENT &gt; Software Engineering Management Tools")</f>
        <v>0</v>
      </c>
      <c r="DM50" s="17">
        <f>COUNTIFS('Prácticas_Revisiones'!$S$2:$S$282,"T040",'Prácticas_Revisiones'!$T$2:$T$282,"SOFTWARE ENG. MANAGEMENT &gt; Subárea no determinable")+COUNTIFS('Prácticas_Snowballing'!$AB$2:$AB$281,"T040",'Prácticas_Snowballing'!$AC$2:$AC$281,"SOFTWARE ENG. MANAGEMENT &gt; Subárea no determinable")</f>
        <v>0</v>
      </c>
      <c r="DN50" s="29">
        <f t="shared" si="49"/>
        <v>0</v>
      </c>
      <c r="DO50" s="17">
        <f>COUNTIFS('Prácticas_Revisiones'!$S$2:$S$282,"T040",'Prácticas_Revisiones'!$T$2:$T$282,"Sin área SWEBOK")+COUNTIFS('Prácticas_Snowballing'!$AB$2:$AB$281,"T040",'Prácticas_Snowballing'!$AC$2:$AC$281,"Sin área SWEBOK")</f>
        <v>0</v>
      </c>
      <c r="DP50" s="27">
        <f t="shared" si="50"/>
        <v>0</v>
      </c>
    </row>
    <row r="51" ht="15.75" customHeight="1">
      <c r="A51" s="28"/>
      <c r="B51" s="16" t="s">
        <v>2785</v>
      </c>
      <c r="C51" s="17">
        <f>COUNTIFS('Prácticas_Revisiones'!$S$2:$S$282,"T041",'Prácticas_Revisiones'!$T$2:$T$282,"REQUIREMENTS &gt; Software Requirements Fundamentals")+COUNTIFS('Prácticas_Snowballing'!$AB$2:$AB$281,"T041",'Prácticas_Snowballing'!$AC$2:$AC$281,"REQUIREMENTS &gt; Software Requirements Fundamentals")</f>
        <v>0</v>
      </c>
      <c r="D51" s="17">
        <f>COUNTIFS('Prácticas_Revisiones'!$S$2:$S$282,"T041",'Prácticas_Revisiones'!$T$2:$T$282,"REQUIREMENTS &gt; Requirements Elicitation")+COUNTIFS('Prácticas_Snowballing'!$AB$2:$AB$281,"T041",'Prácticas_Snowballing'!$AC$2:$AC$281,"REQUIREMENTS &gt; Requirements Elicitation")</f>
        <v>0</v>
      </c>
      <c r="E51" s="17">
        <f>COUNTIFS('Prácticas_Revisiones'!$S$2:$S$282,"T041",'Prácticas_Revisiones'!$T$2:$T$282,"REQUIREMENTS &gt; Requirements Analysis")+COUNTIFS('Prácticas_Snowballing'!$AB$2:$AB$281,"T041",'Prácticas_Snowballing'!$AC$2:$AC$281,"REQUIREMENTS &gt; Requirements Analysis")</f>
        <v>0</v>
      </c>
      <c r="F51" s="17">
        <f>COUNTIFS('Prácticas_Revisiones'!$S$2:$S$282,"T041",'Prácticas_Revisiones'!$T$2:$T$282,"REQUIREMENTS &gt; Requirements Specification")+COUNTIFS('Prácticas_Snowballing'!$AB$2:$AB$281,"T041",'Prácticas_Snowballing'!$AC$2:$AC$281,"REQUIREMENTS &gt; Requirements Specification")</f>
        <v>0</v>
      </c>
      <c r="G51" s="17">
        <f>COUNTIFS('Prácticas_Revisiones'!$S$2:$S$282,"T041",'Prácticas_Revisiones'!$T$2:$T$282,"REQUIREMENTS &gt; Requirements Validation")+COUNTIFS('Prácticas_Snowballing'!$AB$2:$AB$281,"T041",'Prácticas_Snowballing'!$AC$2:$AC$281,"REQUIREMENTS &gt; Requirements Validation")</f>
        <v>0</v>
      </c>
      <c r="H51" s="17">
        <f>COUNTIFS('Prácticas_Revisiones'!$S$2:$S$282,"T041",'Prácticas_Revisiones'!$T$2:$T$282,"REQUIREMENTS &gt; Requirements Management Activities")+COUNTIFS('Prácticas_Snowballing'!$AB$2:$AB$281,"T041",'Prácticas_Snowballing'!$AC$2:$AC$281,"REQUIREMENTS &gt; Requirements Management Activities")</f>
        <v>0</v>
      </c>
      <c r="I51" s="17">
        <f>COUNTIFS('Prácticas_Revisiones'!$S$2:$S$282,"T041",'Prácticas_Revisiones'!$T$2:$T$282,"REQUIREMENTS &gt; Practical Considerations")+COUNTIFS('Prácticas_Snowballing'!$AB$2:$AB$281,"T041",'Prácticas_Snowballing'!$AC$2:$AC$281,"REQUIREMENTS &gt; Practical Considerations")</f>
        <v>0</v>
      </c>
      <c r="J51" s="17">
        <f>COUNTIFS('Prácticas_Revisiones'!$S$2:$S$282,"T041",'Prácticas_Revisiones'!$T$2:$T$282,"REQUIREMENTS &gt; Software Requirements Tools")+COUNTIFS('Prácticas_Snowballing'!$AB$2:$AB$281,"T041",'Prácticas_Snowballing'!$AC$2:$AC$281,"REQUIREMENTS &gt; Software Requirements Tools")</f>
        <v>0</v>
      </c>
      <c r="K51" s="17">
        <f>COUNTIFS('Prácticas_Revisiones'!$S$2:$S$282,"T041",'Prácticas_Revisiones'!$T$2:$T$282,"REQUIREMENTS &gt; Subárea no determinable")+COUNTIFS('Prácticas_Snowballing'!$AB$2:$AB$281,"T041",'Prácticas_Snowballing'!$AC$2:$AC$281,"REQUIREMENTS &gt; Subárea no determinable")</f>
        <v>0</v>
      </c>
      <c r="L51" s="29">
        <f t="shared" si="35"/>
        <v>0</v>
      </c>
      <c r="M51" s="17">
        <f>COUNTIFS('Prácticas_Revisiones'!$S$2:$S$282,"T041",'Prácticas_Revisiones'!$T$2:$T$282,"ARCHITECTURE &gt; Software Architecture Fundamentals")+COUNTIFS('Prácticas_Snowballing'!$AB$2:$AB$281,"T041",'Prácticas_Snowballing'!$AC$2:$AC$281,"ARCHITECTURE &gt; Software Architecture Fundamentals")</f>
        <v>0</v>
      </c>
      <c r="N51" s="17">
        <f>COUNTIFS('Prácticas_Revisiones'!$S$2:$S$282,"T041",'Prácticas_Revisiones'!$T$2:$T$282,"ARCHITECTURE &gt; Software Architecture Description")+COUNTIFS('Prácticas_Snowballing'!$AB$2:$AB$281,"T041",'Prácticas_Snowballing'!$AC$2:$AC$281,"ARCHITECTURE &gt; Software Architecture Description")</f>
        <v>0</v>
      </c>
      <c r="O51" s="17">
        <f>COUNTIFS('Prácticas_Revisiones'!$S$2:$S$282,"T041",'Prácticas_Revisiones'!$T$2:$T$282,"ARCHITECTURE &gt; Software Architecture Process")+COUNTIFS('Prácticas_Snowballing'!$AB$2:$AB$281,"T041",'Prácticas_Snowballing'!$AC$2:$AC$281,"ARCHITECTURE &gt; Software Architecture Process")</f>
        <v>0</v>
      </c>
      <c r="P51" s="17">
        <f>COUNTIFS('Prácticas_Revisiones'!$S$2:$S$282,"T041",'Prácticas_Revisiones'!$T$2:$T$282,"ARCHITECTURE &gt; Software Architecture Evaluation")+COUNTIFS('Prácticas_Snowballing'!$AB$2:$AB$281,"T041",'Prácticas_Snowballing'!$AC$2:$AC$281,"ARCHITECTURE &gt; Software Architecture Evaluation")</f>
        <v>0</v>
      </c>
      <c r="Q51" s="17">
        <f>COUNTIFS('Prácticas_Revisiones'!$S$2:$S$282,"T041",'Prácticas_Revisiones'!$T$2:$T$282,"ARCHITECTURE &gt; Subárea no determinable")+COUNTIFS('Prácticas_Snowballing'!$AB$2:$AB$281,"T041",'Prácticas_Snowballing'!$AC$2:$AC$281,"ARCHITECTURE &gt; Subárea no determinable")</f>
        <v>0</v>
      </c>
      <c r="R51" s="29">
        <f t="shared" si="36"/>
        <v>0</v>
      </c>
      <c r="S51" s="17">
        <f>COUNTIFS('Prácticas_Revisiones'!$S$2:$S$282,"T041",'Prácticas_Revisiones'!$T$2:$T$282,"DESIGN &gt; Software Design Fundamentals")+COUNTIFS('Prácticas_Snowballing'!$AB$2:$AB$281,"T041",'Prácticas_Snowballing'!$AC$2:$AC$281,"DESIGN &gt; Software Design Fundamentals")</f>
        <v>0</v>
      </c>
      <c r="T51" s="17">
        <f>COUNTIFS('Prácticas_Revisiones'!$S$2:$S$282,"T041",'Prácticas_Revisiones'!$T$2:$T$282,"DESIGN &gt; Software Design Processes")+COUNTIFS('Prácticas_Snowballing'!$AB$2:$AB$281,"T041",'Prácticas_Snowballing'!$AC$2:$AC$281,"DESIGN &gt; Software Design Processes")</f>
        <v>0</v>
      </c>
      <c r="U51" s="17">
        <f>COUNTIFS('Prácticas_Revisiones'!$S$2:$S$282,"T041",'Prácticas_Revisiones'!$T$2:$T$282,"DESIGN &gt; Software Design Qualities")+COUNTIFS('Prácticas_Snowballing'!$AB$2:$AB$281,"T041",'Prácticas_Snowballing'!$AC$2:$AC$281,"DESIGN &gt; Software Design Qualities")</f>
        <v>0</v>
      </c>
      <c r="V51" s="17">
        <f>COUNTIFS('Prácticas_Revisiones'!$S$2:$S$282,"T041",'Prácticas_Revisiones'!$T$2:$T$282,"DESIGN &gt; Recording Software Design")+COUNTIFS('Prácticas_Snowballing'!$AB$2:$AB$281,"T041",'Prácticas_Snowballing'!$AC$2:$AC$281,"DESIGN &gt; Recording Software Design")</f>
        <v>0</v>
      </c>
      <c r="W51" s="17">
        <f>COUNTIFS('Prácticas_Revisiones'!$S$2:$S$282,"T041",'Prácticas_Revisiones'!$T$2:$T$282,"DESIGN &gt; Software Design Strategies and Methods")+COUNTIFS('Prácticas_Snowballing'!$AB$2:$AB$281,"T041",'Prácticas_Snowballing'!$AC$2:$AC$281,"DESIGN &gt; Software Design Strategies and Methods")</f>
        <v>0</v>
      </c>
      <c r="X51" s="17">
        <f>COUNTIFS('Prácticas_Revisiones'!$S$2:$S$282,"T041",'Prácticas_Revisiones'!$T$2:$T$282,"DESIGN &gt; Software Design Analysis and Evaluations")+COUNTIFS('Prácticas_Snowballing'!$AB$2:$AB$281,"T041",'Prácticas_Snowballing'!$AC$2:$AC$281,"DESIGN &gt; Software Design Analysis and Evaluations")</f>
        <v>0</v>
      </c>
      <c r="Y51" s="17">
        <f>COUNTIFS('Prácticas_Revisiones'!$S$2:$S$282,"T041",'Prácticas_Revisiones'!$T$2:$T$282,"DESIGN &gt; Subárea no determinable")+COUNTIFS('Prácticas_Snowballing'!$AB$2:$AB$281,"T041",'Prácticas_Snowballing'!$AC$2:$AC$281,"DESIGN &gt; Subárea no determinable")</f>
        <v>0</v>
      </c>
      <c r="Z51" s="29">
        <f t="shared" si="37"/>
        <v>0</v>
      </c>
      <c r="AA51" s="17">
        <f>COUNTIFS('Prácticas_Revisiones'!$S$2:$S$282,"T041",'Prácticas_Revisiones'!$T$2:$T$282,"CONSTRUCTION &gt; Software Construction Fundamentals")+COUNTIFS('Prácticas_Snowballing'!$AB$2:$AB$281,"T041",'Prácticas_Snowballing'!$AC$2:$AC$281,"CONSTRUCTION &gt; Software Construction Fundamentals")</f>
        <v>10</v>
      </c>
      <c r="AB51" s="17">
        <f>COUNTIFS('Prácticas_Revisiones'!$S$2:$S$282,"T041",'Prácticas_Revisiones'!$T$2:$T$282,"CONSTRUCTION &gt; Managing Construction")+COUNTIFS('Prácticas_Snowballing'!$AB$2:$AB$281,"T041",'Prácticas_Snowballing'!$AC$2:$AC$281,"CONSTRUCTION &gt; Managing Construction")</f>
        <v>0</v>
      </c>
      <c r="AC51" s="17">
        <f>COUNTIFS('Prácticas_Revisiones'!$S$2:$S$282,"T041",'Prácticas_Revisiones'!$T$2:$T$282,"CONSTRUCTION &gt; Practical Considerations")+COUNTIFS('Prácticas_Snowballing'!$AB$2:$AB$281,"T041",'Prácticas_Snowballing'!$AC$2:$AC$281,"CONSTRUCTION &gt; Practical Considerations")</f>
        <v>9</v>
      </c>
      <c r="AD51" s="17">
        <f>COUNTIFS('Prácticas_Revisiones'!$S$2:$S$282,"T041",'Prácticas_Revisiones'!$T$2:$T$282,"CONSTRUCTION &gt; Construction Technologies")+COUNTIFS('Prácticas_Snowballing'!$AB$2:$AB$281,"T041",'Prácticas_Snowballing'!$AC$2:$AC$281,"CONSTRUCTION &gt; Construction Technologies")</f>
        <v>0</v>
      </c>
      <c r="AE51" s="17">
        <f>COUNTIFS('Prácticas_Revisiones'!$S$2:$S$282,"T041",'Prácticas_Revisiones'!$T$2:$T$282,"CONSTRUCTION &gt; Software Construction Tools")+COUNTIFS('Prácticas_Snowballing'!$AB$2:$AB$281,"T041",'Prácticas_Snowballing'!$AC$2:$AC$281,"CONSTRUCTION &gt; Software Construction Tools")</f>
        <v>3</v>
      </c>
      <c r="AF51" s="17">
        <f>COUNTIFS('Prácticas_Revisiones'!$S$2:$S$282,"T041",'Prácticas_Revisiones'!$T$2:$T$282,"CONSTRUCTION &gt; Subárea no determinable")+COUNTIFS('Prácticas_Snowballing'!$AB$2:$AB$281,"T041",'Prácticas_Snowballing'!$AC$2:$AC$281,"CONSTRUCTION &gt; Subárea no determinable")</f>
        <v>0</v>
      </c>
      <c r="AG51" s="29">
        <f t="shared" si="38"/>
        <v>22</v>
      </c>
      <c r="AH51" s="17">
        <f>COUNTIFS('Prácticas_Revisiones'!$S$2:$S$282,"T041",'Prácticas_Revisiones'!$T$2:$T$282,"SOFTWARE TESTING &gt; Software Testing Fundamentals")+COUNTIFS('Prácticas_Snowballing'!$AB$2:$AB$281,"T041",'Prácticas_Snowballing'!$AC$2:$AC$281,"SOFTWARE TESTING &gt; Software Testing Fundamentals")</f>
        <v>0</v>
      </c>
      <c r="AI51" s="17">
        <f>COUNTIFS('Prácticas_Revisiones'!$S$2:$S$282,"T041",'Prácticas_Revisiones'!$T$2:$T$282,"SOFTWARE TESTING &gt; Test Levels")+COUNTIFS('Prácticas_Snowballing'!$AB$2:$AB$281,"T041",'Prácticas_Snowballing'!$AC$2:$AC$281,"SOFTWARE TESTING &gt; Test Levels")</f>
        <v>0</v>
      </c>
      <c r="AJ51" s="17">
        <f>COUNTIFS('Prácticas_Revisiones'!$S$2:$S$282,"T041",'Prácticas_Revisiones'!$T$2:$T$282,"SOFTWARE TESTING &gt; Test Techniques")+COUNTIFS('Prácticas_Snowballing'!$AB$2:$AB$281,"T041",'Prácticas_Snowballing'!$AC$2:$AC$281,"SOFTWARE TESTING &gt; Test Techniques")</f>
        <v>3</v>
      </c>
      <c r="AK51" s="17">
        <f>COUNTIFS('Prácticas_Revisiones'!$S$2:$S$282,"T041",'Prácticas_Revisiones'!$T$2:$T$282,"SOFTWARE TESTING &gt; Test-Related Measures")+COUNTIFS('Prácticas_Snowballing'!$AB$2:$AB$281,"T041",'Prácticas_Snowballing'!$AC$2:$AC$281,"SOFTWARE TESTING &gt; Test-Related Measures")</f>
        <v>1</v>
      </c>
      <c r="AL51" s="17">
        <f>COUNTIFS('Prácticas_Revisiones'!$S$2:$S$282,"T041",'Prácticas_Revisiones'!$T$2:$T$282,"SOFTWARE TESTING &gt; Test Process")+COUNTIFS('Prácticas_Snowballing'!$AB$2:$AB$281,"T041",'Prácticas_Snowballing'!$AC$2:$AC$281,"SOFTWARE TESTING &gt; Test Process")</f>
        <v>0</v>
      </c>
      <c r="AM51" s="17">
        <f>COUNTIFS('Prácticas_Revisiones'!$S$2:$S$282,"T041",'Prácticas_Revisiones'!$T$2:$T$282,"SOFTWARE TESTING &gt; Software Testing in the Development Processes...")+COUNTIFS('Prácticas_Snowballing'!$AB$2:$AB$281,"T041",'Prácticas_Snowballing'!$AC$2:$AC$281,"SOFTWARE TESTING &gt; Software Testing in the Development Processes...")</f>
        <v>0</v>
      </c>
      <c r="AN51" s="17">
        <f>COUNTIFS('Prácticas_Revisiones'!$S$2:$S$282,"T041",'Prácticas_Revisiones'!$T$2:$T$282,"SOFTWARE TESTING &gt; Testing of and Testing Through Emerging Tech...")+COUNTIFS('Prácticas_Snowballing'!$AB$2:$AB$281,"T041",'Prácticas_Snowballing'!$AC$2:$AC$281,"SOFTWARE TESTING &gt; Testing of and Testing Through Emerging Tech...")</f>
        <v>0</v>
      </c>
      <c r="AO51" s="17">
        <f>COUNTIFS('Prácticas_Revisiones'!$S$2:$S$282,"T041",'Prácticas_Revisiones'!$T$2:$T$282,"SOFTWARE TESTING &gt; Software Testing Tools")+COUNTIFS('Prácticas_Snowballing'!$AB$2:$AB$281,"T041",'Prácticas_Snowballing'!$AC$2:$AC$281,"SOFTWARE TESTING &gt; Software Testing Tools")</f>
        <v>1</v>
      </c>
      <c r="AP51" s="17">
        <f>COUNTIFS('Prácticas_Revisiones'!$S$2:$S$282,"T041",'Prácticas_Revisiones'!$T$2:$T$282,"SOFTWARE TESTING &gt; Subárea no determinable")+COUNTIFS('Prácticas_Snowballing'!$AB$2:$AB$281,"T041",'Prácticas_Snowballing'!$AC$2:$AC$281,"SOFTWARE TESTING &gt; Subárea no determinable")</f>
        <v>0</v>
      </c>
      <c r="AQ51" s="29">
        <f t="shared" si="39"/>
        <v>5</v>
      </c>
      <c r="AR51" s="17">
        <f>COUNTIFS('Prácticas_Revisiones'!$S$2:$S$282,"T041",'Prácticas_Revisiones'!$T$2:$T$282,"SOFTWARE ENG. OPERATIONS &gt; Software Engineering Operations Fundamentals")+COUNTIFS('Prácticas_Snowballing'!$AB$2:$AB$281,"T041",'Prácticas_Snowballing'!$AC$2:$AC$281,"SOFTWARE ENG. OPERATIONS &gt; Software Engineering Operations Fundamentals")</f>
        <v>0</v>
      </c>
      <c r="AS51" s="17">
        <f>COUNTIFS('Prácticas_Revisiones'!$S$2:$S$282,"T041",'Prácticas_Revisiones'!$T$2:$T$282,"SOFTWARE ENG. OPERATIONS &gt; Software Engineering Operations Planning")+COUNTIFS('Prácticas_Snowballing'!$AB$2:$AB$281,"T041",'Prácticas_Snowballing'!$AC$2:$AC$281,"SOFTWARE ENG. OPERATIONS &gt; Software Engineering Operations Planning")</f>
        <v>0</v>
      </c>
      <c r="AT51" s="17">
        <f>COUNTIFS('Prácticas_Revisiones'!$S$2:$S$282,"T041",'Prácticas_Revisiones'!$T$2:$T$282,"SOFTWARE ENG. OPERATIONS &gt; Software Engineering Operations Delivery")+COUNTIFS('Prácticas_Snowballing'!$AB$2:$AB$281,"T041",'Prácticas_Snowballing'!$AC$2:$AC$281,"SOFTWARE ENG. OPERATIONS &gt; Software Engineering Operations Delivery")</f>
        <v>0</v>
      </c>
      <c r="AU51" s="17">
        <f>COUNTIFS('Prácticas_Revisiones'!$S$2:$S$282,"T041",'Prácticas_Revisiones'!$T$2:$T$282,"SOFTWARE ENG. OPERATIONS &gt; Software Engineering Operations Control")+COUNTIFS('Prácticas_Snowballing'!$AB$2:$AB$281,"T041",'Prácticas_Snowballing'!$AC$2:$AC$281,"SOFTWARE ENG. OPERATIONS &gt; Software Engineering Operations Control")</f>
        <v>0</v>
      </c>
      <c r="AV51" s="17">
        <f>COUNTIFS('Prácticas_Revisiones'!$S$2:$S$282,"T041",'Prácticas_Revisiones'!$T$2:$T$282,"SOFTWARE ENG. OPERATIONS &gt; Practical Considerations")+COUNTIFS('Prácticas_Snowballing'!$AB$2:$AB$281,"T041",'Prácticas_Snowballing'!$AC$2:$AC$281,"SOFTWARE ENG. OPERATIONS &gt; Practical Considerations")</f>
        <v>0</v>
      </c>
      <c r="AW51" s="17">
        <f>COUNTIFS('Prácticas_Revisiones'!$S$2:$S$282,"T041",'Prácticas_Revisiones'!$T$2:$T$282,"SOFTWARE ENG. OPERATIONS &gt; Software Engineering Operations Tools")+COUNTIFS('Prácticas_Snowballing'!$AB$2:$AB$281,"T041",'Prácticas_Snowballing'!$AC$2:$AC$281,"SOFTWARE ENG. OPERATIONS &gt; Software Engineering Operations Tools")</f>
        <v>0</v>
      </c>
      <c r="AX51" s="17">
        <f>COUNTIFS('Prácticas_Revisiones'!$S$2:$S$282,"T041",'Prácticas_Revisiones'!$T$2:$T$282,"SOFTWARE ENG. OPERATIONS &gt; Subárea no determinable")+COUNTIFS('Prácticas_Snowballing'!$AB$2:$AB$281,"T041",'Prácticas_Snowballing'!$AC$2:$AC$281,"SOFTWARE ENG. OPERATIONS &gt; Subárea no determinable")</f>
        <v>0</v>
      </c>
      <c r="AY51" s="29">
        <f t="shared" si="40"/>
        <v>0</v>
      </c>
      <c r="AZ51" s="17">
        <f>COUNTIFS('Prácticas_Revisiones'!$S$2:$S$282,"T041",'Prácticas_Revisiones'!$T$2:$T$282,"MAINTENANCE &gt; Software Maintenance Fundamentals")+COUNTIFS('Prácticas_Snowballing'!$AB$2:$AB$281,"T041",'Prácticas_Snowballing'!$AC$2:$AC$281,"MAINTENANCE &gt; Software Maintenance Fundamentals")</f>
        <v>0</v>
      </c>
      <c r="BA51" s="17">
        <f>COUNTIFS('Prácticas_Revisiones'!$S$2:$S$282,"T041",'Prácticas_Revisiones'!$T$2:$T$282,"MAINTENANCE &gt; Key Issues in Software Maintenance")+COUNTIFS('Prácticas_Snowballing'!$AB$2:$AB$281,"T041",'Prácticas_Snowballing'!$AC$2:$AC$281,"MAINTENANCE &gt; Key Issues in Software Maintenance")</f>
        <v>0</v>
      </c>
      <c r="BB51" s="17">
        <f>COUNTIFS('Prácticas_Revisiones'!$S$2:$S$282,"T041",'Prácticas_Revisiones'!$T$2:$T$282,"MAINTENANCE &gt; Software Maintenance Processes")+COUNTIFS('Prácticas_Snowballing'!$AB$2:$AB$281,"T041",'Prácticas_Snowballing'!$AC$2:$AC$281,"MAINTENANCE &gt; Software Maintenance Processes")</f>
        <v>0</v>
      </c>
      <c r="BC51" s="17">
        <f>COUNTIFS('Prácticas_Revisiones'!$S$2:$S$282,"T041",'Prácticas_Revisiones'!$T$2:$T$282,"MAINTENANCE &gt; Software Maintenance Techniques")+COUNTIFS('Prácticas_Snowballing'!$AB$2:$AB$281,"T041",'Prácticas_Snowballing'!$AC$2:$AC$281,"MAINTENANCE &gt; Software Maintenance Techniques")</f>
        <v>0</v>
      </c>
      <c r="BD51" s="17">
        <f>COUNTIFS('Prácticas_Revisiones'!$S$2:$S$282,"T041",'Prácticas_Revisiones'!$T$2:$T$282,"MAINTENANCE &gt; Software Maintenance Tools")+COUNTIFS('Prácticas_Snowballing'!$AB$2:$AB$281,"T041",'Prácticas_Snowballing'!$AC$2:$AC$281,"MAINTENANCE &gt; Software Maintenance Tools")</f>
        <v>0</v>
      </c>
      <c r="BE51" s="17">
        <f>COUNTIFS('Prácticas_Revisiones'!$S$2:$S$282,"T041",'Prácticas_Revisiones'!$T$2:$T$282,"MAINTENANCE &gt; Subárea no determinable")+COUNTIFS('Prácticas_Snowballing'!$AB$2:$AB$281,"T041",'Prácticas_Snowballing'!$AC$2:$AC$281,"MAINTENANCE &gt; Subárea no determinable")</f>
        <v>0</v>
      </c>
      <c r="BF51" s="29">
        <f t="shared" si="41"/>
        <v>0</v>
      </c>
      <c r="BG51" s="17">
        <f>COUNTIFS('Prácticas_Revisiones'!$S$2:$S$282,"T041",'Prácticas_Revisiones'!$T$2:$T$282,"SOFTWARE CONFIG. MGMT. &gt; Management of the SCM Process")+COUNTIFS('Prácticas_Snowballing'!$AB$2:$AB$281,"T041",'Prácticas_Snowballing'!$AC$2:$AC$281,"SOFTWARE CONFIG. MGMT. &gt; Management of the SCM Process")</f>
        <v>0</v>
      </c>
      <c r="BH51" s="17">
        <f>COUNTIFS('Prácticas_Revisiones'!$S$2:$S$282,"T041",'Prácticas_Revisiones'!$T$2:$T$282,"SOFTWARE CONFIG. MGMT. &gt; Software Configuration Identification")+COUNTIFS('Prácticas_Snowballing'!$AB$2:$AB$281,"T041",'Prácticas_Snowballing'!$AC$2:$AC$281,"SOFTWARE CONFIG. MGMT. &gt; Software Configuration Identification")</f>
        <v>0</v>
      </c>
      <c r="BI51" s="17">
        <f>COUNTIFS('Prácticas_Revisiones'!$S$2:$S$282,"T041",'Prácticas_Revisiones'!$T$2:$T$282,"SOFTWARE CONFIG. MGMT. &gt; Software Configuration Change Control")+COUNTIFS('Prácticas_Snowballing'!$AB$2:$AB$281,"T041",'Prácticas_Snowballing'!$AC$2:$AC$281,"SOFTWARE CONFIG. MGMT. &gt; Software Configuration Change Control")</f>
        <v>1</v>
      </c>
      <c r="BJ51" s="17">
        <f>COUNTIFS('Prácticas_Revisiones'!$S$2:$S$282,"T041",'Prácticas_Revisiones'!$T$2:$T$282,"SOFTWARE CONFIG. MGMT. &gt; Software Configuration Status Accounting")+COUNTIFS('Prácticas_Snowballing'!$AB$2:$AB$281,"T041",'Prácticas_Snowballing'!$AC$2:$AC$281,"SOFTWARE CONFIG. MGMT. &gt; Software Configuration Status Accounting")</f>
        <v>0</v>
      </c>
      <c r="BK51" s="17">
        <f>COUNTIFS('Prácticas_Revisiones'!$S$2:$S$282,"T041",'Prácticas_Revisiones'!$T$2:$T$282,"SOFTWARE CONFIG. MGMT. &gt; Software Configuration Auditing")+COUNTIFS('Prácticas_Snowballing'!$AB$2:$AB$281,"T041",'Prácticas_Snowballing'!$AC$2:$AC$281,"SOFTWARE CONFIG. MGMT. &gt; Software Configuration Auditing")</f>
        <v>0</v>
      </c>
      <c r="BL51" s="17">
        <f>COUNTIFS('Prácticas_Revisiones'!$S$2:$S$282,"T041",'Prácticas_Revisiones'!$T$2:$T$282,"SOFTWARE CONFIG. MGMT. &gt; Software Release Management and Delivery")+COUNTIFS('Prácticas_Snowballing'!$AB$2:$AB$281,"T041",'Prácticas_Snowballing'!$AC$2:$AC$281,"SOFTWARE CONFIG. MGMT. &gt; Software Release Management and Delivery")</f>
        <v>0</v>
      </c>
      <c r="BM51" s="17">
        <f>COUNTIFS('Prácticas_Revisiones'!$S$2:$S$282,"T041",'Prácticas_Revisiones'!$T$2:$T$282,"SOFTWARE CONFIG. MGMT. &gt; Software Configuration Management Tools")+COUNTIFS('Prácticas_Snowballing'!$AB$2:$AB$281,"T041",'Prácticas_Snowballing'!$AC$2:$AC$281,"SOFTWARE CONFIG. MGMT. &gt; Software Configuration Management Tools")</f>
        <v>0</v>
      </c>
      <c r="BN51" s="17">
        <f>COUNTIFS('Prácticas_Revisiones'!$S$2:$S$282,"T041",'Prácticas_Revisiones'!$T$2:$T$282,"SOFTWARE CONFIG. MGMT. &gt; Subárea no determinable")+COUNTIFS('Prácticas_Snowballing'!$AB$2:$AB$281,"T041",'Prácticas_Snowballing'!$AC$2:$AC$281,"SOFTWARE CONFIG. MGMT. &gt; Subárea no determinable")</f>
        <v>0</v>
      </c>
      <c r="BO51" s="29">
        <f t="shared" si="42"/>
        <v>1</v>
      </c>
      <c r="BP51" s="17">
        <f>COUNTIFS('Prácticas_Revisiones'!$S$2:$S$282,"T041",'Prácticas_Revisiones'!$T$2:$T$282,"SOFTWARE ENG. PROCESS &gt; Software Engineering Process Fundamentals")+COUNTIFS('Prácticas_Snowballing'!$AB$2:$AB$281,"T041",'Prácticas_Snowballing'!$AC$2:$AC$281,"SOFTWARE ENG. PROCESS &gt; Software Engineering Process Fundamentals")</f>
        <v>0</v>
      </c>
      <c r="BQ51" s="17">
        <f>COUNTIFS('Prácticas_Revisiones'!$S$2:$S$282,"T041",'Prácticas_Revisiones'!$T$2:$T$282,"SOFTWARE ENG. PROCESS &gt; Life Cycles")+COUNTIFS('Prácticas_Snowballing'!$AB$2:$AB$281,"T041",'Prácticas_Snowballing'!$AC$2:$AC$281,"SOFTWARE ENG. PROCESS &gt; Life Cycles")</f>
        <v>0</v>
      </c>
      <c r="BR51" s="17">
        <f>COUNTIFS('Prácticas_Revisiones'!$S$2:$S$282,"T041",'Prácticas_Revisiones'!$T$2:$T$282,"SOFTWARE ENG. PROCESS &gt; Software Process Assessment and Improvement")+COUNTIFS('Prácticas_Snowballing'!$AB$2:$AB$281,"T041",'Prácticas_Snowballing'!$AC$2:$AC$281,"SOFTWARE ENG. PROCESS &gt; Software Process Assessment and Improvement")</f>
        <v>0</v>
      </c>
      <c r="BS51" s="17">
        <f>COUNTIFS('Prácticas_Revisiones'!$S$2:$S$282,"T041",'Prácticas_Revisiones'!$T$2:$T$282,"SOFTWARE ENG. PROCESS &gt; Subárea no determinable")+COUNTIFS('Prácticas_Snowballing'!$AB$2:$AB$281,"T041",'Prácticas_Snowballing'!$AC$2:$AC$281,"SOFTWARE ENG. PROCESS &gt; Subárea no determinable")</f>
        <v>0</v>
      </c>
      <c r="BT51" s="29">
        <f t="shared" si="43"/>
        <v>0</v>
      </c>
      <c r="BU51" s="17">
        <f>COUNTIFS('Prácticas_Revisiones'!$S$2:$S$282,"T041",'Prácticas_Revisiones'!$T$2:$T$282,"SOFTWARE ENG. MODELS/METH. &gt; Modeling")+COUNTIFS('Prácticas_Snowballing'!$AB$2:$AB$281,"T041",'Prácticas_Snowballing'!$AC$2:$AC$281,"SOFTWARE ENG. MODELS/METH. &gt; Modeling")</f>
        <v>1</v>
      </c>
      <c r="BV51" s="17">
        <f>COUNTIFS('Prácticas_Revisiones'!$S$2:$S$282,"T041",'Prácticas_Revisiones'!$T$2:$T$282,"SOFTWARE ENG. MODELS/METH. &gt; Types of Models")+COUNTIFS('Prácticas_Snowballing'!$AB$2:$AB$281,"T041",'Prácticas_Snowballing'!$AC$2:$AC$281,"SOFTWARE ENG. MODELS/METH. &gt; Types of Models")</f>
        <v>0</v>
      </c>
      <c r="BW51" s="17">
        <f>COUNTIFS('Prácticas_Revisiones'!$S$2:$S$282,"T041",'Prácticas_Revisiones'!$T$2:$T$282,"SOFTWARE ENG. MODELS/METH. &gt; Analysis of Models")+COUNTIFS('Prácticas_Snowballing'!$AB$2:$AB$281,"T041",'Prácticas_Snowballing'!$AC$2:$AC$281,"SOFTWARE ENG. MODELS/METH. &gt; Analysis of Models")</f>
        <v>0</v>
      </c>
      <c r="BX51" s="17">
        <f>COUNTIFS('Prácticas_Revisiones'!$S$2:$S$282,"T041",'Prácticas_Revisiones'!$T$2:$T$282,"SOFTWARE ENG. MODELS/METH. &gt; Software Engineering Methods")+COUNTIFS('Prácticas_Snowballing'!$AB$2:$AB$281,"T041",'Prácticas_Snowballing'!$AC$2:$AC$281,"SOFTWARE ENG. MODELS/METH. &gt; Software Engineering Methods")</f>
        <v>0</v>
      </c>
      <c r="BY51" s="17">
        <f>COUNTIFS('Prácticas_Revisiones'!$S$2:$S$282,"T041",'Prácticas_Revisiones'!$T$2:$T$282,"SOFTWARE ENG. MODELS/METH. &gt; Subárea no determinable")+COUNTIFS('Prácticas_Snowballing'!$AB$2:$AB$281,"T041",'Prácticas_Snowballing'!$AC$2:$AC$281,"SOFTWARE ENG. MODELS/METH. &gt; Subárea no determinable")</f>
        <v>0</v>
      </c>
      <c r="BZ51" s="29">
        <f t="shared" si="44"/>
        <v>1</v>
      </c>
      <c r="CA51" s="17">
        <f>COUNTIFS('Prácticas_Revisiones'!$S$2:$S$282,"T041",'Prácticas_Revisiones'!$T$2:$T$282,"SOFTWARE QUALITY &gt; Software Quality Fundamentals")+COUNTIFS('Prácticas_Snowballing'!$AB$2:$AB$281,"T041",'Prácticas_Snowballing'!$AC$2:$AC$281,"SOFTWARE QUALITY &gt; Software Quality Fundamentals")</f>
        <v>0</v>
      </c>
      <c r="CB51" s="17">
        <f>COUNTIFS('Prácticas_Revisiones'!$S$2:$S$282,"T041",'Prácticas_Revisiones'!$T$2:$T$282,"SOFTWARE QUALITY &gt; Software Quality Management Process")+COUNTIFS('Prácticas_Snowballing'!$AB$2:$AB$281,"T041",'Prácticas_Snowballing'!$AC$2:$AC$281,"SOFTWARE QUALITY &gt; Software Quality Management Process")</f>
        <v>0</v>
      </c>
      <c r="CC51" s="17">
        <f>COUNTIFS('Prácticas_Revisiones'!$S$2:$S$282,"T041",'Prácticas_Revisiones'!$T$2:$T$282,"SOFTWARE QUALITY &gt; Software Quality Assurance Process")+COUNTIFS('Prácticas_Snowballing'!$AB$2:$AB$281,"T041",'Prácticas_Snowballing'!$AC$2:$AC$281,"SOFTWARE QUALITY &gt; Software Quality Assurance Process")</f>
        <v>2</v>
      </c>
      <c r="CD51" s="17">
        <f>COUNTIFS('Prácticas_Revisiones'!$S$2:$S$282,"T041",'Prácticas_Revisiones'!$T$2:$T$282,"SOFTWARE QUALITY &gt; Software Quality Tools")+COUNTIFS('Prácticas_Snowballing'!$AB$2:$AB$281,"T041",'Prácticas_Snowballing'!$AC$2:$AC$281,"SOFTWARE QUALITY &gt; Software Quality Tools")</f>
        <v>0</v>
      </c>
      <c r="CE51" s="17">
        <f>COUNTIFS('Prácticas_Revisiones'!$S$2:$S$282,"T041",'Prácticas_Revisiones'!$T$2:$T$282,"SOFTWARE QUALITY &gt; Subárea no determinable")+COUNTIFS('Prácticas_Snowballing'!$AB$2:$AB$281,"T041",'Prácticas_Snowballing'!$AC$2:$AC$281,"SOFTWARE QUALITY &gt; Subárea no determinable")</f>
        <v>0</v>
      </c>
      <c r="CF51" s="29">
        <f t="shared" si="45"/>
        <v>2</v>
      </c>
      <c r="CG51" s="17">
        <f>COUNTIFS('Prácticas_Revisiones'!$S$2:$S$282,"T041",'Prácticas_Revisiones'!$T$2:$T$282,"SOFTWARE SECURITY &gt; Software Security Fundamentals")+COUNTIFS('Prácticas_Snowballing'!$AB$2:$AB$281,"T041",'Prácticas_Snowballing'!$AC$2:$AC$281,"SOFTWARE SECURITY &gt; Software Security Fundamentals")</f>
        <v>0</v>
      </c>
      <c r="CH51" s="17">
        <f>COUNTIFS('Prácticas_Revisiones'!$S$2:$S$282,"T041",'Prácticas_Revisiones'!$T$2:$T$282,"SOFTWARE SECURITY &gt; Security Management and Organization")+COUNTIFS('Prácticas_Snowballing'!$AB$2:$AB$281,"T041",'Prácticas_Snowballing'!$AC$2:$AC$281,"SOFTWARE SECURITY &gt; Security Management and Organization")</f>
        <v>0</v>
      </c>
      <c r="CI51" s="17">
        <f>COUNTIFS('Prácticas_Revisiones'!$S$2:$S$282,"T041",'Prácticas_Revisiones'!$T$2:$T$282,"SOFTWARE SECURITY &gt; Software Security Engineering and Process")+COUNTIFS('Prácticas_Snowballing'!$AB$2:$AB$281,"T041",'Prácticas_Snowballing'!$AC$2:$AC$281,"SOFTWARE SECURITY &gt; Software Security Engineering and Process")</f>
        <v>0</v>
      </c>
      <c r="CJ51" s="17">
        <f>COUNTIFS('Prácticas_Revisiones'!$S$2:$S$282,"T041",'Prácticas_Revisiones'!$T$2:$T$282,"SOFTWARE SECURITY &gt; Security Engineering for Software Systems")+COUNTIFS('Prácticas_Snowballing'!$AB$2:$AB$281,"T041",'Prácticas_Snowballing'!$AC$2:$AC$281,"SOFTWARE SECURITY &gt; Security Engineering for Software Systems")</f>
        <v>0</v>
      </c>
      <c r="CK51" s="17">
        <f>COUNTIFS('Prácticas_Revisiones'!$S$2:$S$282,"T041",'Prácticas_Revisiones'!$T$2:$T$282,"SOFTWARE SECURITY &gt; Software Security Tools")+COUNTIFS('Prácticas_Snowballing'!$AB$2:$AB$281,"T041",'Prácticas_Snowballing'!$AC$2:$AC$281,"SOFTWARE SECURITY &gt; Software Security Tools")</f>
        <v>0</v>
      </c>
      <c r="CL51" s="17">
        <f>COUNTIFS('Prácticas_Revisiones'!$S$2:$S$282,"T041",'Prácticas_Revisiones'!$T$2:$T$282,"SOFTWARE SECURITY &gt; Domain Specific Software Security")+COUNTIFS('Prácticas_Snowballing'!$AB$2:$AB$281,"T041",'Prácticas_Snowballing'!$AC$2:$AC$281,"SOFTWARE SECURITY &gt; Domain Specific Software Security")</f>
        <v>0</v>
      </c>
      <c r="CM51" s="17">
        <f>COUNTIFS('Prácticas_Revisiones'!$S$2:$S$282,"T041",'Prácticas_Revisiones'!$T$2:$T$282,"SOFTWARE SECURITY &gt; Subárea no determinable")+COUNTIFS('Prácticas_Snowballing'!$AB$2:$AB$281,"T041",'Prácticas_Snowballing'!$AC$2:$AC$281,"SOFTWARE SECURITY &gt; Subárea no determinable")</f>
        <v>0</v>
      </c>
      <c r="CN51" s="29">
        <f t="shared" si="46"/>
        <v>0</v>
      </c>
      <c r="CO51" s="17">
        <f>COUNTIFS('Prácticas_Revisiones'!$S$2:$S$282,"T041",'Prácticas_Revisiones'!$T$2:$T$282,"PROFESSIONAL PRACTICE &gt; Professionalism")+COUNTIFS('Prácticas_Snowballing'!$AB$2:$AB$281,"T041",'Prácticas_Snowballing'!$AC$2:$AC$281,"PROFESSIONAL PRACTICE &gt; Professionalism")</f>
        <v>0</v>
      </c>
      <c r="CP51" s="17">
        <f>COUNTIFS('Prácticas_Revisiones'!$S$2:$S$282,"T041",'Prácticas_Revisiones'!$T$2:$T$282,"PROFESSIONAL PRACTICE &gt; Group Dynamics and Psychology")+COUNTIFS('Prácticas_Snowballing'!$AB$2:$AB$281,"T041",'Prácticas_Snowballing'!$AC$2:$AC$281,"PROFESSIONAL PRACTICE &gt; Group Dynamics and Psychology")</f>
        <v>0</v>
      </c>
      <c r="CQ51" s="17">
        <f>COUNTIFS('Prácticas_Revisiones'!$S$2:$S$282,"T041",'Prácticas_Revisiones'!$T$2:$T$282,"PROFESSIONAL PRACTICE &gt; Communication Skills")+COUNTIFS('Prácticas_Snowballing'!$AB$2:$AB$281,"T041",'Prácticas_Snowballing'!$AC$2:$AC$281,"PROFESSIONAL PRACTICE &gt; Communication Skills")</f>
        <v>0</v>
      </c>
      <c r="CR51" s="17">
        <f>COUNTIFS('Prácticas_Revisiones'!$S$2:$S$282,"T041",'Prácticas_Revisiones'!$T$2:$T$282,"PROFESSIONAL PRACTICE &gt; Subárea no determinable")+COUNTIFS('Prácticas_Snowballing'!$AB$2:$AB$281,"T041",'Prácticas_Snowballing'!$AC$2:$AC$281,"PROFESSIONAL PRACTICE &gt; Subárea no determinable")</f>
        <v>0</v>
      </c>
      <c r="CS51" s="29">
        <f t="shared" si="47"/>
        <v>0</v>
      </c>
      <c r="CT51" s="17">
        <f>COUNTIFS('Prácticas_Revisiones'!$S$2:$S$282,"T041",'Prácticas_Revisiones'!$T$2:$T$282,"SOFTWARE ENG. ECONOMICS &gt; Software Engineering Economics Fundamentals")+COUNTIFS('Prácticas_Snowballing'!$AB$2:$AB$281,"T041",'Prácticas_Snowballing'!$AC$2:$AC$281,"SOFTWARE ENG. ECONOMICS &gt; Software Engineering Economics Fundamentals")</f>
        <v>0</v>
      </c>
      <c r="CU51" s="17">
        <f>COUNTIFS('Prácticas_Revisiones'!$S$2:$S$282,"T041",'Prácticas_Revisiones'!$T$2:$T$282,"SOFTWARE ENG. ECONOMICS &gt; The Engineering Decision-Making Process")+COUNTIFS('Prácticas_Snowballing'!$AB$2:$AB$281,"T041",'Prácticas_Snowballing'!$AC$2:$AC$281,"SOFTWARE ENG. ECONOMICS &gt; The Engineering Decision-Making Process")</f>
        <v>0</v>
      </c>
      <c r="CV51" s="17">
        <f>COUNTIFS('Prácticas_Revisiones'!$S$2:$S$282,"T041",'Prácticas_Revisiones'!$T$2:$T$282,"SOFTWARE ENG. ECONOMICS &gt; For-Profit Decision-Making")+COUNTIFS('Prácticas_Snowballing'!$AB$2:$AB$281,"T041",'Prácticas_Snowballing'!$AC$2:$AC$281,"SOFTWARE ENG. ECONOMICS &gt; For-Profit Decision-Making")</f>
        <v>0</v>
      </c>
      <c r="CW51" s="17">
        <f>COUNTIFS('Prácticas_Revisiones'!$S$2:$S$282,"T041",'Prácticas_Revisiones'!$T$2:$T$282,"SOFTWARE ENG. ECONOMICS &gt; Nonprofit Decision-Making")+COUNTIFS('Prácticas_Snowballing'!$AB$2:$AB$281,"T041",'Prácticas_Snowballing'!$AC$2:$AC$281,"SOFTWARE ENG. ECONOMICS &gt; Nonprofit Decision-Making")</f>
        <v>0</v>
      </c>
      <c r="CX51" s="17">
        <f>COUNTIFS('Prácticas_Revisiones'!$S$2:$S$282,"T041",'Prácticas_Revisiones'!$T$2:$T$282,"SOFTWARE ENG. ECONOMICS &gt; Present Economy Decision-Making")+COUNTIFS('Prácticas_Snowballing'!$AB$2:$AB$281,"T041",'Prácticas_Snowballing'!$AC$2:$AC$281,"SOFTWARE ENG. ECONOMICS &gt; Present Economy Decision-Making")</f>
        <v>0</v>
      </c>
      <c r="CY51" s="17">
        <f>COUNTIFS('Prácticas_Revisiones'!$S$2:$S$282,"T041",'Prácticas_Revisiones'!$T$2:$T$282,"SOFTWARE ENG. ECONOMICS &gt; Multiple-Attribute Decision-Making")+COUNTIFS('Prácticas_Snowballing'!$AB$2:$AB$281,"T041",'Prácticas_Snowballing'!$AC$2:$AC$281,"SOFTWARE ENG. ECONOMICS &gt; Multiple-Attribute Decision-Making")</f>
        <v>0</v>
      </c>
      <c r="CZ51" s="17">
        <f>COUNTIFS('Prácticas_Revisiones'!$S$2:$S$282,"T041",'Prácticas_Revisiones'!$T$2:$T$282,"SOFTWARE ENG. ECONOMICS &gt; Identifying and Characterizing Intangible Assets")+COUNTIFS('Prácticas_Snowballing'!$AB$2:$AB$281,"T041",'Prácticas_Snowballing'!$AC$2:$AC$281,"SOFTWARE ENG. ECONOMICS &gt; Identifying and Characterizing Intangible Assets")</f>
        <v>0</v>
      </c>
      <c r="DA51" s="17">
        <f>COUNTIFS('Prácticas_Revisiones'!$S$2:$S$282,"T041",'Prácticas_Revisiones'!$T$2:$T$282,"SOFTWARE ENG. ECONOMICS &gt; Estimation")+COUNTIFS('Prácticas_Snowballing'!$AB$2:$AB$281,"T041",'Prácticas_Snowballing'!$AC$2:$AC$281,"SOFTWARE ENG. ECONOMICS &gt; Estimation")</f>
        <v>0</v>
      </c>
      <c r="DB51" s="17">
        <f>COUNTIFS('Prácticas_Revisiones'!$S$2:$S$282,"T041",'Prácticas_Revisiones'!$T$2:$T$282,"SOFTWARE ENG. ECONOMICS &gt; Practical Considerations")+COUNTIFS('Prácticas_Snowballing'!$AB$2:$AB$281,"T041",'Prácticas_Snowballing'!$AC$2:$AC$281,"SOFTWARE ENG. ECONOMICS &gt; Practical Considerations")</f>
        <v>0</v>
      </c>
      <c r="DC51" s="17">
        <f>COUNTIFS('Prácticas_Revisiones'!$S$2:$S$282,"T041",'Prácticas_Revisiones'!$T$2:$T$282,"SOFTWARE ENG. ECONOMICS &gt; Related Concepts")+COUNTIFS('Prácticas_Snowballing'!$AB$2:$AB$281,"T041",'Prácticas_Snowballing'!$AC$2:$AC$281,"SOFTWARE ENG. ECONOMICS &gt; Related Concepts")</f>
        <v>0</v>
      </c>
      <c r="DD51" s="17">
        <f>COUNTIFS('Prácticas_Revisiones'!$S$2:$S$282,"T041",'Prácticas_Revisiones'!$T$2:$T$282,"SOFTWARE ENG. ECONOMICS &gt; Subárea no determinable")+COUNTIFS('Prácticas_Snowballing'!$AB$2:$AB$281,"T041",'Prácticas_Snowballing'!$AC$2:$AC$281,"SOFTWARE ENG. ECONOMICS &gt; Subárea no determinable")</f>
        <v>0</v>
      </c>
      <c r="DE51" s="29">
        <f t="shared" si="48"/>
        <v>0</v>
      </c>
      <c r="DF51" s="17">
        <f>COUNTIFS('Prácticas_Revisiones'!$S$2:$S$282,"T041",'Prácticas_Revisiones'!$T$2:$T$282,"SOFTWARE ENG. MANAGEMENT &gt; Software Engineering Management Fundamentals")+COUNTIFS('Prácticas_Snowballing'!$AB$2:$AB$281,"T041",'Prácticas_Snowballing'!$AC$2:$AC$281,"SOFTWARE ENG. MANAGEMENT &gt; Software Engineering Management Fundamentals")</f>
        <v>0</v>
      </c>
      <c r="DG51" s="17">
        <f>COUNTIFS('Prácticas_Revisiones'!$S$2:$S$282,"T041",'Prácticas_Revisiones'!$T$2:$T$282,"SOFTWARE ENG. MANAGEMENT &gt; Initiation and Scope Definition")+COUNTIFS('Prácticas_Snowballing'!$AB$2:$AB$281,"T041",'Prácticas_Snowballing'!$AC$2:$AC$281,"SOFTWARE ENG. MANAGEMENT &gt; Initiation and Scope Definition")</f>
        <v>0</v>
      </c>
      <c r="DH51" s="17">
        <f>COUNTIFS('Prácticas_Revisiones'!$S$2:$S$282,"T041",'Prácticas_Revisiones'!$T$2:$T$282,"SOFTWARE ENG. MANAGEMENT &gt; Software Project Planning")+COUNTIFS('Prácticas_Snowballing'!$AB$2:$AB$281,"T041",'Prácticas_Snowballing'!$AC$2:$AC$281,"SOFTWARE ENG. MANAGEMENT &gt; Software Project Planning")</f>
        <v>0</v>
      </c>
      <c r="DI51" s="17">
        <f>COUNTIFS('Prácticas_Revisiones'!$S$2:$S$282,"T041",'Prácticas_Revisiones'!$T$2:$T$282,"SOFTWARE ENG. MANAGEMENT &gt; Software Project Enactment")+COUNTIFS('Prácticas_Snowballing'!$AB$2:$AB$281,"T041",'Prácticas_Snowballing'!$AC$2:$AC$281,"SOFTWARE ENG. MANAGEMENT &gt; Software Project Enactment")</f>
        <v>0</v>
      </c>
      <c r="DJ51" s="17">
        <f>COUNTIFS('Prácticas_Revisiones'!$S$2:$S$282,"T041",'Prácticas_Revisiones'!$T$2:$T$282,"SOFTWARE ENG. MANAGEMENT &gt; Review and Evaluation")+COUNTIFS('Prácticas_Snowballing'!$AB$2:$AB$281,"T041",'Prácticas_Snowballing'!$AC$2:$AC$281,"SOFTWARE ENG. MANAGEMENT &gt; Review and Evaluation")</f>
        <v>0</v>
      </c>
      <c r="DK51" s="17">
        <f>COUNTIFS('Prácticas_Revisiones'!$S$2:$S$282,"T041",'Prácticas_Revisiones'!$T$2:$T$282,"SOFTWARE ENG. MANAGEMENT &gt; Closure")+COUNTIFS('Prácticas_Snowballing'!$AB$2:$AB$281,"T041",'Prácticas_Snowballing'!$AC$2:$AC$281,"SOFTWARE ENG. MANAGEMENT &gt; Closure")</f>
        <v>0</v>
      </c>
      <c r="DL51" s="17">
        <f>COUNTIFS('Prácticas_Revisiones'!$S$2:$S$282,"T041",'Prácticas_Revisiones'!$T$2:$T$282,"SOFTWARE ENG. MANAGEMENT &gt; Software Engineering Management Tools")+COUNTIFS('Prácticas_Snowballing'!$AB$2:$AB$281,"T041",'Prácticas_Snowballing'!$AC$2:$AC$281,"SOFTWARE ENG. MANAGEMENT &gt; Software Engineering Management Tools")</f>
        <v>0</v>
      </c>
      <c r="DM51" s="17">
        <f>COUNTIFS('Prácticas_Revisiones'!$S$2:$S$282,"T041",'Prácticas_Revisiones'!$T$2:$T$282,"SOFTWARE ENG. MANAGEMENT &gt; Subárea no determinable")+COUNTIFS('Prácticas_Snowballing'!$AB$2:$AB$281,"T041",'Prácticas_Snowballing'!$AC$2:$AC$281,"SOFTWARE ENG. MANAGEMENT &gt; Subárea no determinable")</f>
        <v>0</v>
      </c>
      <c r="DN51" s="29">
        <f t="shared" si="49"/>
        <v>0</v>
      </c>
      <c r="DO51" s="17">
        <f>COUNTIFS('Prácticas_Revisiones'!$S$2:$S$282,"T041",'Prácticas_Revisiones'!$T$2:$T$282,"Sin área SWEBOK")+COUNTIFS('Prácticas_Snowballing'!$AB$2:$AB$281,"T041",'Prácticas_Snowballing'!$AC$2:$AC$281,"Sin área SWEBOK")</f>
        <v>0</v>
      </c>
      <c r="DP51" s="27">
        <f t="shared" si="50"/>
        <v>31</v>
      </c>
    </row>
    <row r="52" ht="15.75" customHeight="1">
      <c r="A52" s="28"/>
      <c r="B52" s="16" t="s">
        <v>2786</v>
      </c>
      <c r="C52" s="17">
        <f>COUNTIFS('Prácticas_Revisiones'!$S$2:$S$282,"T042",'Prácticas_Revisiones'!$T$2:$T$282,"REQUIREMENTS &gt; Software Requirements Fundamentals")+COUNTIFS('Prácticas_Snowballing'!$AB$2:$AB$281,"T042",'Prácticas_Snowballing'!$AC$2:$AC$281,"REQUIREMENTS &gt; Software Requirements Fundamentals")</f>
        <v>0</v>
      </c>
      <c r="D52" s="17">
        <f>COUNTIFS('Prácticas_Revisiones'!$S$2:$S$282,"T042",'Prácticas_Revisiones'!$T$2:$T$282,"REQUIREMENTS &gt; Requirements Elicitation")+COUNTIFS('Prácticas_Snowballing'!$AB$2:$AB$281,"T042",'Prácticas_Snowballing'!$AC$2:$AC$281,"REQUIREMENTS &gt; Requirements Elicitation")</f>
        <v>0</v>
      </c>
      <c r="E52" s="17">
        <f>COUNTIFS('Prácticas_Revisiones'!$S$2:$S$282,"T042",'Prácticas_Revisiones'!$T$2:$T$282,"REQUIREMENTS &gt; Requirements Analysis")+COUNTIFS('Prácticas_Snowballing'!$AB$2:$AB$281,"T042",'Prácticas_Snowballing'!$AC$2:$AC$281,"REQUIREMENTS &gt; Requirements Analysis")</f>
        <v>0</v>
      </c>
      <c r="F52" s="17">
        <f>COUNTIFS('Prácticas_Revisiones'!$S$2:$S$282,"T042",'Prácticas_Revisiones'!$T$2:$T$282,"REQUIREMENTS &gt; Requirements Specification")+COUNTIFS('Prácticas_Snowballing'!$AB$2:$AB$281,"T042",'Prácticas_Snowballing'!$AC$2:$AC$281,"REQUIREMENTS &gt; Requirements Specification")</f>
        <v>0</v>
      </c>
      <c r="G52" s="17">
        <f>COUNTIFS('Prácticas_Revisiones'!$S$2:$S$282,"T042",'Prácticas_Revisiones'!$T$2:$T$282,"REQUIREMENTS &gt; Requirements Validation")+COUNTIFS('Prácticas_Snowballing'!$AB$2:$AB$281,"T042",'Prácticas_Snowballing'!$AC$2:$AC$281,"REQUIREMENTS &gt; Requirements Validation")</f>
        <v>0</v>
      </c>
      <c r="H52" s="17">
        <f>COUNTIFS('Prácticas_Revisiones'!$S$2:$S$282,"T042",'Prácticas_Revisiones'!$T$2:$T$282,"REQUIREMENTS &gt; Requirements Management Activities")+COUNTIFS('Prácticas_Snowballing'!$AB$2:$AB$281,"T042",'Prácticas_Snowballing'!$AC$2:$AC$281,"REQUIREMENTS &gt; Requirements Management Activities")</f>
        <v>0</v>
      </c>
      <c r="I52" s="17">
        <f>COUNTIFS('Prácticas_Revisiones'!$S$2:$S$282,"T042",'Prácticas_Revisiones'!$T$2:$T$282,"REQUIREMENTS &gt; Practical Considerations")+COUNTIFS('Prácticas_Snowballing'!$AB$2:$AB$281,"T042",'Prácticas_Snowballing'!$AC$2:$AC$281,"REQUIREMENTS &gt; Practical Considerations")</f>
        <v>0</v>
      </c>
      <c r="J52" s="17">
        <f>COUNTIFS('Prácticas_Revisiones'!$S$2:$S$282,"T042",'Prácticas_Revisiones'!$T$2:$T$282,"REQUIREMENTS &gt; Software Requirements Tools")+COUNTIFS('Prácticas_Snowballing'!$AB$2:$AB$281,"T042",'Prácticas_Snowballing'!$AC$2:$AC$281,"REQUIREMENTS &gt; Software Requirements Tools")</f>
        <v>0</v>
      </c>
      <c r="K52" s="17">
        <f>COUNTIFS('Prácticas_Revisiones'!$S$2:$S$282,"T042",'Prácticas_Revisiones'!$T$2:$T$282,"REQUIREMENTS &gt; Subárea no determinable")+COUNTIFS('Prácticas_Snowballing'!$AB$2:$AB$281,"T042",'Prácticas_Snowballing'!$AC$2:$AC$281,"REQUIREMENTS &gt; Subárea no determinable")</f>
        <v>0</v>
      </c>
      <c r="L52" s="29">
        <f t="shared" si="35"/>
        <v>0</v>
      </c>
      <c r="M52" s="17">
        <f>COUNTIFS('Prácticas_Revisiones'!$S$2:$S$282,"T042",'Prácticas_Revisiones'!$T$2:$T$282,"ARCHITECTURE &gt; Software Architecture Fundamentals")+COUNTIFS('Prácticas_Snowballing'!$AB$2:$AB$281,"T042",'Prácticas_Snowballing'!$AC$2:$AC$281,"ARCHITECTURE &gt; Software Architecture Fundamentals")</f>
        <v>0</v>
      </c>
      <c r="N52" s="17">
        <f>COUNTIFS('Prácticas_Revisiones'!$S$2:$S$282,"T042",'Prácticas_Revisiones'!$T$2:$T$282,"ARCHITECTURE &gt; Software Architecture Description")+COUNTIFS('Prácticas_Snowballing'!$AB$2:$AB$281,"T042",'Prácticas_Snowballing'!$AC$2:$AC$281,"ARCHITECTURE &gt; Software Architecture Description")</f>
        <v>0</v>
      </c>
      <c r="O52" s="17">
        <f>COUNTIFS('Prácticas_Revisiones'!$S$2:$S$282,"T042",'Prácticas_Revisiones'!$T$2:$T$282,"ARCHITECTURE &gt; Software Architecture Process")+COUNTIFS('Prácticas_Snowballing'!$AB$2:$AB$281,"T042",'Prácticas_Snowballing'!$AC$2:$AC$281,"ARCHITECTURE &gt; Software Architecture Process")</f>
        <v>0</v>
      </c>
      <c r="P52" s="17">
        <f>COUNTIFS('Prácticas_Revisiones'!$S$2:$S$282,"T042",'Prácticas_Revisiones'!$T$2:$T$282,"ARCHITECTURE &gt; Software Architecture Evaluation")+COUNTIFS('Prácticas_Snowballing'!$AB$2:$AB$281,"T042",'Prácticas_Snowballing'!$AC$2:$AC$281,"ARCHITECTURE &gt; Software Architecture Evaluation")</f>
        <v>0</v>
      </c>
      <c r="Q52" s="17">
        <f>COUNTIFS('Prácticas_Revisiones'!$S$2:$S$282,"T042",'Prácticas_Revisiones'!$T$2:$T$282,"ARCHITECTURE &gt; Subárea no determinable")+COUNTIFS('Prácticas_Snowballing'!$AB$2:$AB$281,"T042",'Prácticas_Snowballing'!$AC$2:$AC$281,"ARCHITECTURE &gt; Subárea no determinable")</f>
        <v>0</v>
      </c>
      <c r="R52" s="29">
        <f t="shared" si="36"/>
        <v>0</v>
      </c>
      <c r="S52" s="17">
        <f>COUNTIFS('Prácticas_Revisiones'!$S$2:$S$282,"T042",'Prácticas_Revisiones'!$T$2:$T$282,"DESIGN &gt; Software Design Fundamentals")+COUNTIFS('Prácticas_Snowballing'!$AB$2:$AB$281,"T042",'Prácticas_Snowballing'!$AC$2:$AC$281,"DESIGN &gt; Software Design Fundamentals")</f>
        <v>0</v>
      </c>
      <c r="T52" s="17">
        <f>COUNTIFS('Prácticas_Revisiones'!$S$2:$S$282,"T042",'Prácticas_Revisiones'!$T$2:$T$282,"DESIGN &gt; Software Design Processes")+COUNTIFS('Prácticas_Snowballing'!$AB$2:$AB$281,"T042",'Prácticas_Snowballing'!$AC$2:$AC$281,"DESIGN &gt; Software Design Processes")</f>
        <v>0</v>
      </c>
      <c r="U52" s="17">
        <f>COUNTIFS('Prácticas_Revisiones'!$S$2:$S$282,"T042",'Prácticas_Revisiones'!$T$2:$T$282,"DESIGN &gt; Software Design Qualities")+COUNTIFS('Prácticas_Snowballing'!$AB$2:$AB$281,"T042",'Prácticas_Snowballing'!$AC$2:$AC$281,"DESIGN &gt; Software Design Qualities")</f>
        <v>0</v>
      </c>
      <c r="V52" s="17">
        <f>COUNTIFS('Prácticas_Revisiones'!$S$2:$S$282,"T042",'Prácticas_Revisiones'!$T$2:$T$282,"DESIGN &gt; Recording Software Design")+COUNTIFS('Prácticas_Snowballing'!$AB$2:$AB$281,"T042",'Prácticas_Snowballing'!$AC$2:$AC$281,"DESIGN &gt; Recording Software Design")</f>
        <v>0</v>
      </c>
      <c r="W52" s="17">
        <f>COUNTIFS('Prácticas_Revisiones'!$S$2:$S$282,"T042",'Prácticas_Revisiones'!$T$2:$T$282,"DESIGN &gt; Software Design Strategies and Methods")+COUNTIFS('Prácticas_Snowballing'!$AB$2:$AB$281,"T042",'Prácticas_Snowballing'!$AC$2:$AC$281,"DESIGN &gt; Software Design Strategies and Methods")</f>
        <v>0</v>
      </c>
      <c r="X52" s="17">
        <f>COUNTIFS('Prácticas_Revisiones'!$S$2:$S$282,"T042",'Prácticas_Revisiones'!$T$2:$T$282,"DESIGN &gt; Software Design Analysis and Evaluations")+COUNTIFS('Prácticas_Snowballing'!$AB$2:$AB$281,"T042",'Prácticas_Snowballing'!$AC$2:$AC$281,"DESIGN &gt; Software Design Analysis and Evaluations")</f>
        <v>0</v>
      </c>
      <c r="Y52" s="17">
        <f>COUNTIFS('Prácticas_Revisiones'!$S$2:$S$282,"T042",'Prácticas_Revisiones'!$T$2:$T$282,"DESIGN &gt; Subárea no determinable")+COUNTIFS('Prácticas_Snowballing'!$AB$2:$AB$281,"T042",'Prácticas_Snowballing'!$AC$2:$AC$281,"DESIGN &gt; Subárea no determinable")</f>
        <v>0</v>
      </c>
      <c r="Z52" s="29">
        <f t="shared" si="37"/>
        <v>0</v>
      </c>
      <c r="AA52" s="17">
        <f>COUNTIFS('Prácticas_Revisiones'!$S$2:$S$282,"T042",'Prácticas_Revisiones'!$T$2:$T$282,"CONSTRUCTION &gt; Software Construction Fundamentals")+COUNTIFS('Prácticas_Snowballing'!$AB$2:$AB$281,"T042",'Prácticas_Snowballing'!$AC$2:$AC$281,"CONSTRUCTION &gt; Software Construction Fundamentals")</f>
        <v>1</v>
      </c>
      <c r="AB52" s="17">
        <f>COUNTIFS('Prácticas_Revisiones'!$S$2:$S$282,"T042",'Prácticas_Revisiones'!$T$2:$T$282,"CONSTRUCTION &gt; Managing Construction")+COUNTIFS('Prácticas_Snowballing'!$AB$2:$AB$281,"T042",'Prácticas_Snowballing'!$AC$2:$AC$281,"CONSTRUCTION &gt; Managing Construction")</f>
        <v>0</v>
      </c>
      <c r="AC52" s="17">
        <f>COUNTIFS('Prácticas_Revisiones'!$S$2:$S$282,"T042",'Prácticas_Revisiones'!$T$2:$T$282,"CONSTRUCTION &gt; Practical Considerations")+COUNTIFS('Prácticas_Snowballing'!$AB$2:$AB$281,"T042",'Prácticas_Snowballing'!$AC$2:$AC$281,"CONSTRUCTION &gt; Practical Considerations")</f>
        <v>1</v>
      </c>
      <c r="AD52" s="17">
        <f>COUNTIFS('Prácticas_Revisiones'!$S$2:$S$282,"T042",'Prácticas_Revisiones'!$T$2:$T$282,"CONSTRUCTION &gt; Construction Technologies")+COUNTIFS('Prácticas_Snowballing'!$AB$2:$AB$281,"T042",'Prácticas_Snowballing'!$AC$2:$AC$281,"CONSTRUCTION &gt; Construction Technologies")</f>
        <v>0</v>
      </c>
      <c r="AE52" s="17">
        <f>COUNTIFS('Prácticas_Revisiones'!$S$2:$S$282,"T042",'Prácticas_Revisiones'!$T$2:$T$282,"CONSTRUCTION &gt; Software Construction Tools")+COUNTIFS('Prácticas_Snowballing'!$AB$2:$AB$281,"T042",'Prácticas_Snowballing'!$AC$2:$AC$281,"CONSTRUCTION &gt; Software Construction Tools")</f>
        <v>0</v>
      </c>
      <c r="AF52" s="17">
        <f>COUNTIFS('Prácticas_Revisiones'!$S$2:$S$282,"T042",'Prácticas_Revisiones'!$T$2:$T$282,"CONSTRUCTION &gt; Subárea no determinable")+COUNTIFS('Prácticas_Snowballing'!$AB$2:$AB$281,"T042",'Prácticas_Snowballing'!$AC$2:$AC$281,"CONSTRUCTION &gt; Subárea no determinable")</f>
        <v>0</v>
      </c>
      <c r="AG52" s="29">
        <f t="shared" si="38"/>
        <v>2</v>
      </c>
      <c r="AH52" s="17">
        <f>COUNTIFS('Prácticas_Revisiones'!$S$2:$S$282,"T042",'Prácticas_Revisiones'!$T$2:$T$282,"SOFTWARE TESTING &gt; Software Testing Fundamentals")+COUNTIFS('Prácticas_Snowballing'!$AB$2:$AB$281,"T042",'Prácticas_Snowballing'!$AC$2:$AC$281,"SOFTWARE TESTING &gt; Software Testing Fundamentals")</f>
        <v>0</v>
      </c>
      <c r="AI52" s="17">
        <f>COUNTIFS('Prácticas_Revisiones'!$S$2:$S$282,"T042",'Prácticas_Revisiones'!$T$2:$T$282,"SOFTWARE TESTING &gt; Test Levels")+COUNTIFS('Prácticas_Snowballing'!$AB$2:$AB$281,"T042",'Prácticas_Snowballing'!$AC$2:$AC$281,"SOFTWARE TESTING &gt; Test Levels")</f>
        <v>0</v>
      </c>
      <c r="AJ52" s="17">
        <f>COUNTIFS('Prácticas_Revisiones'!$S$2:$S$282,"T042",'Prácticas_Revisiones'!$T$2:$T$282,"SOFTWARE TESTING &gt; Test Techniques")+COUNTIFS('Prácticas_Snowballing'!$AB$2:$AB$281,"T042",'Prácticas_Snowballing'!$AC$2:$AC$281,"SOFTWARE TESTING &gt; Test Techniques")</f>
        <v>0</v>
      </c>
      <c r="AK52" s="17">
        <f>COUNTIFS('Prácticas_Revisiones'!$S$2:$S$282,"T042",'Prácticas_Revisiones'!$T$2:$T$282,"SOFTWARE TESTING &gt; Test-Related Measures")+COUNTIFS('Prácticas_Snowballing'!$AB$2:$AB$281,"T042",'Prácticas_Snowballing'!$AC$2:$AC$281,"SOFTWARE TESTING &gt; Test-Related Measures")</f>
        <v>0</v>
      </c>
      <c r="AL52" s="17">
        <f>COUNTIFS('Prácticas_Revisiones'!$S$2:$S$282,"T042",'Prácticas_Revisiones'!$T$2:$T$282,"SOFTWARE TESTING &gt; Test Process")+COUNTIFS('Prácticas_Snowballing'!$AB$2:$AB$281,"T042",'Prácticas_Snowballing'!$AC$2:$AC$281,"SOFTWARE TESTING &gt; Test Process")</f>
        <v>0</v>
      </c>
      <c r="AM52" s="17">
        <f>COUNTIFS('Prácticas_Revisiones'!$S$2:$S$282,"T042",'Prácticas_Revisiones'!$T$2:$T$282,"SOFTWARE TESTING &gt; Software Testing in the Development Processes...")+COUNTIFS('Prácticas_Snowballing'!$AB$2:$AB$281,"T042",'Prácticas_Snowballing'!$AC$2:$AC$281,"SOFTWARE TESTING &gt; Software Testing in the Development Processes...")</f>
        <v>0</v>
      </c>
      <c r="AN52" s="17">
        <f>COUNTIFS('Prácticas_Revisiones'!$S$2:$S$282,"T042",'Prácticas_Revisiones'!$T$2:$T$282,"SOFTWARE TESTING &gt; Testing of and Testing Through Emerging Tech...")+COUNTIFS('Prácticas_Snowballing'!$AB$2:$AB$281,"T042",'Prácticas_Snowballing'!$AC$2:$AC$281,"SOFTWARE TESTING &gt; Testing of and Testing Through Emerging Tech...")</f>
        <v>0</v>
      </c>
      <c r="AO52" s="17">
        <f>COUNTIFS('Prácticas_Revisiones'!$S$2:$S$282,"T042",'Prácticas_Revisiones'!$T$2:$T$282,"SOFTWARE TESTING &gt; Software Testing Tools")+COUNTIFS('Prácticas_Snowballing'!$AB$2:$AB$281,"T042",'Prácticas_Snowballing'!$AC$2:$AC$281,"SOFTWARE TESTING &gt; Software Testing Tools")</f>
        <v>0</v>
      </c>
      <c r="AP52" s="17">
        <f>COUNTIFS('Prácticas_Revisiones'!$S$2:$S$282,"T042",'Prácticas_Revisiones'!$T$2:$T$282,"SOFTWARE TESTING &gt; Subárea no determinable")+COUNTIFS('Prácticas_Snowballing'!$AB$2:$AB$281,"T042",'Prácticas_Snowballing'!$AC$2:$AC$281,"SOFTWARE TESTING &gt; Subárea no determinable")</f>
        <v>0</v>
      </c>
      <c r="AQ52" s="29">
        <f t="shared" si="39"/>
        <v>0</v>
      </c>
      <c r="AR52" s="17">
        <f>COUNTIFS('Prácticas_Revisiones'!$S$2:$S$282,"T042",'Prácticas_Revisiones'!$T$2:$T$282,"SOFTWARE ENG. OPERATIONS &gt; Software Engineering Operations Fundamentals")+COUNTIFS('Prácticas_Snowballing'!$AB$2:$AB$281,"T042",'Prácticas_Snowballing'!$AC$2:$AC$281,"SOFTWARE ENG. OPERATIONS &gt; Software Engineering Operations Fundamentals")</f>
        <v>0</v>
      </c>
      <c r="AS52" s="17">
        <f>COUNTIFS('Prácticas_Revisiones'!$S$2:$S$282,"T042",'Prácticas_Revisiones'!$T$2:$T$282,"SOFTWARE ENG. OPERATIONS &gt; Software Engineering Operations Planning")+COUNTIFS('Prácticas_Snowballing'!$AB$2:$AB$281,"T042",'Prácticas_Snowballing'!$AC$2:$AC$281,"SOFTWARE ENG. OPERATIONS &gt; Software Engineering Operations Planning")</f>
        <v>0</v>
      </c>
      <c r="AT52" s="17">
        <f>COUNTIFS('Prácticas_Revisiones'!$S$2:$S$282,"T042",'Prácticas_Revisiones'!$T$2:$T$282,"SOFTWARE ENG. OPERATIONS &gt; Software Engineering Operations Delivery")+COUNTIFS('Prácticas_Snowballing'!$AB$2:$AB$281,"T042",'Prácticas_Snowballing'!$AC$2:$AC$281,"SOFTWARE ENG. OPERATIONS &gt; Software Engineering Operations Delivery")</f>
        <v>0</v>
      </c>
      <c r="AU52" s="17">
        <f>COUNTIFS('Prácticas_Revisiones'!$S$2:$S$282,"T042",'Prácticas_Revisiones'!$T$2:$T$282,"SOFTWARE ENG. OPERATIONS &gt; Software Engineering Operations Control")+COUNTIFS('Prácticas_Snowballing'!$AB$2:$AB$281,"T042",'Prácticas_Snowballing'!$AC$2:$AC$281,"SOFTWARE ENG. OPERATIONS &gt; Software Engineering Operations Control")</f>
        <v>0</v>
      </c>
      <c r="AV52" s="17">
        <f>COUNTIFS('Prácticas_Revisiones'!$S$2:$S$282,"T042",'Prácticas_Revisiones'!$T$2:$T$282,"SOFTWARE ENG. OPERATIONS &gt; Practical Considerations")+COUNTIFS('Prácticas_Snowballing'!$AB$2:$AB$281,"T042",'Prácticas_Snowballing'!$AC$2:$AC$281,"SOFTWARE ENG. OPERATIONS &gt; Practical Considerations")</f>
        <v>0</v>
      </c>
      <c r="AW52" s="17">
        <f>COUNTIFS('Prácticas_Revisiones'!$S$2:$S$282,"T042",'Prácticas_Revisiones'!$T$2:$T$282,"SOFTWARE ENG. OPERATIONS &gt; Software Engineering Operations Tools")+COUNTIFS('Prácticas_Snowballing'!$AB$2:$AB$281,"T042",'Prácticas_Snowballing'!$AC$2:$AC$281,"SOFTWARE ENG. OPERATIONS &gt; Software Engineering Operations Tools")</f>
        <v>0</v>
      </c>
      <c r="AX52" s="17">
        <f>COUNTIFS('Prácticas_Revisiones'!$S$2:$S$282,"T042",'Prácticas_Revisiones'!$T$2:$T$282,"SOFTWARE ENG. OPERATIONS &gt; Subárea no determinable")+COUNTIFS('Prácticas_Snowballing'!$AB$2:$AB$281,"T042",'Prácticas_Snowballing'!$AC$2:$AC$281,"SOFTWARE ENG. OPERATIONS &gt; Subárea no determinable")</f>
        <v>0</v>
      </c>
      <c r="AY52" s="29">
        <f t="shared" si="40"/>
        <v>0</v>
      </c>
      <c r="AZ52" s="17">
        <f>COUNTIFS('Prácticas_Revisiones'!$S$2:$S$282,"T042",'Prácticas_Revisiones'!$T$2:$T$282,"MAINTENANCE &gt; Software Maintenance Fundamentals")+COUNTIFS('Prácticas_Snowballing'!$AB$2:$AB$281,"T042",'Prácticas_Snowballing'!$AC$2:$AC$281,"MAINTENANCE &gt; Software Maintenance Fundamentals")</f>
        <v>0</v>
      </c>
      <c r="BA52" s="17">
        <f>COUNTIFS('Prácticas_Revisiones'!$S$2:$S$282,"T042",'Prácticas_Revisiones'!$T$2:$T$282,"MAINTENANCE &gt; Key Issues in Software Maintenance")+COUNTIFS('Prácticas_Snowballing'!$AB$2:$AB$281,"T042",'Prácticas_Snowballing'!$AC$2:$AC$281,"MAINTENANCE &gt; Key Issues in Software Maintenance")</f>
        <v>0</v>
      </c>
      <c r="BB52" s="17">
        <f>COUNTIFS('Prácticas_Revisiones'!$S$2:$S$282,"T042",'Prácticas_Revisiones'!$T$2:$T$282,"MAINTENANCE &gt; Software Maintenance Processes")+COUNTIFS('Prácticas_Snowballing'!$AB$2:$AB$281,"T042",'Prácticas_Snowballing'!$AC$2:$AC$281,"MAINTENANCE &gt; Software Maintenance Processes")</f>
        <v>0</v>
      </c>
      <c r="BC52" s="17">
        <f>COUNTIFS('Prácticas_Revisiones'!$S$2:$S$282,"T042",'Prácticas_Revisiones'!$T$2:$T$282,"MAINTENANCE &gt; Software Maintenance Techniques")+COUNTIFS('Prácticas_Snowballing'!$AB$2:$AB$281,"T042",'Prácticas_Snowballing'!$AC$2:$AC$281,"MAINTENANCE &gt; Software Maintenance Techniques")</f>
        <v>0</v>
      </c>
      <c r="BD52" s="17">
        <f>COUNTIFS('Prácticas_Revisiones'!$S$2:$S$282,"T042",'Prácticas_Revisiones'!$T$2:$T$282,"MAINTENANCE &gt; Software Maintenance Tools")+COUNTIFS('Prácticas_Snowballing'!$AB$2:$AB$281,"T042",'Prácticas_Snowballing'!$AC$2:$AC$281,"MAINTENANCE &gt; Software Maintenance Tools")</f>
        <v>0</v>
      </c>
      <c r="BE52" s="17">
        <f>COUNTIFS('Prácticas_Revisiones'!$S$2:$S$282,"T042",'Prácticas_Revisiones'!$T$2:$T$282,"MAINTENANCE &gt; Subárea no determinable")+COUNTIFS('Prácticas_Snowballing'!$AB$2:$AB$281,"T042",'Prácticas_Snowballing'!$AC$2:$AC$281,"MAINTENANCE &gt; Subárea no determinable")</f>
        <v>0</v>
      </c>
      <c r="BF52" s="29">
        <f t="shared" si="41"/>
        <v>0</v>
      </c>
      <c r="BG52" s="17">
        <f>COUNTIFS('Prácticas_Revisiones'!$S$2:$S$282,"T042",'Prácticas_Revisiones'!$T$2:$T$282,"SOFTWARE CONFIG. MGMT. &gt; Management of the SCM Process")+COUNTIFS('Prácticas_Snowballing'!$AB$2:$AB$281,"T042",'Prácticas_Snowballing'!$AC$2:$AC$281,"SOFTWARE CONFIG. MGMT. &gt; Management of the SCM Process")</f>
        <v>0</v>
      </c>
      <c r="BH52" s="17">
        <f>COUNTIFS('Prácticas_Revisiones'!$S$2:$S$282,"T042",'Prácticas_Revisiones'!$T$2:$T$282,"SOFTWARE CONFIG. MGMT. &gt; Software Configuration Identification")+COUNTIFS('Prácticas_Snowballing'!$AB$2:$AB$281,"T042",'Prácticas_Snowballing'!$AC$2:$AC$281,"SOFTWARE CONFIG. MGMT. &gt; Software Configuration Identification")</f>
        <v>0</v>
      </c>
      <c r="BI52" s="17">
        <f>COUNTIFS('Prácticas_Revisiones'!$S$2:$S$282,"T042",'Prácticas_Revisiones'!$T$2:$T$282,"SOFTWARE CONFIG. MGMT. &gt; Software Configuration Change Control")+COUNTIFS('Prácticas_Snowballing'!$AB$2:$AB$281,"T042",'Prácticas_Snowballing'!$AC$2:$AC$281,"SOFTWARE CONFIG. MGMT. &gt; Software Configuration Change Control")</f>
        <v>0</v>
      </c>
      <c r="BJ52" s="17">
        <f>COUNTIFS('Prácticas_Revisiones'!$S$2:$S$282,"T042",'Prácticas_Revisiones'!$T$2:$T$282,"SOFTWARE CONFIG. MGMT. &gt; Software Configuration Status Accounting")+COUNTIFS('Prácticas_Snowballing'!$AB$2:$AB$281,"T042",'Prácticas_Snowballing'!$AC$2:$AC$281,"SOFTWARE CONFIG. MGMT. &gt; Software Configuration Status Accounting")</f>
        <v>0</v>
      </c>
      <c r="BK52" s="17">
        <f>COUNTIFS('Prácticas_Revisiones'!$S$2:$S$282,"T042",'Prácticas_Revisiones'!$T$2:$T$282,"SOFTWARE CONFIG. MGMT. &gt; Software Configuration Auditing")+COUNTIFS('Prácticas_Snowballing'!$AB$2:$AB$281,"T042",'Prácticas_Snowballing'!$AC$2:$AC$281,"SOFTWARE CONFIG. MGMT. &gt; Software Configuration Auditing")</f>
        <v>0</v>
      </c>
      <c r="BL52" s="17">
        <f>COUNTIFS('Prácticas_Revisiones'!$S$2:$S$282,"T042",'Prácticas_Revisiones'!$T$2:$T$282,"SOFTWARE CONFIG. MGMT. &gt; Software Release Management and Delivery")+COUNTIFS('Prácticas_Snowballing'!$AB$2:$AB$281,"T042",'Prácticas_Snowballing'!$AC$2:$AC$281,"SOFTWARE CONFIG. MGMT. &gt; Software Release Management and Delivery")</f>
        <v>0</v>
      </c>
      <c r="BM52" s="17">
        <f>COUNTIFS('Prácticas_Revisiones'!$S$2:$S$282,"T042",'Prácticas_Revisiones'!$T$2:$T$282,"SOFTWARE CONFIG. MGMT. &gt; Software Configuration Management Tools")+COUNTIFS('Prácticas_Snowballing'!$AB$2:$AB$281,"T042",'Prácticas_Snowballing'!$AC$2:$AC$281,"SOFTWARE CONFIG. MGMT. &gt; Software Configuration Management Tools")</f>
        <v>0</v>
      </c>
      <c r="BN52" s="17">
        <f>COUNTIFS('Prácticas_Revisiones'!$S$2:$S$282,"T042",'Prácticas_Revisiones'!$T$2:$T$282,"SOFTWARE CONFIG. MGMT. &gt; Subárea no determinable")+COUNTIFS('Prácticas_Snowballing'!$AB$2:$AB$281,"T042",'Prácticas_Snowballing'!$AC$2:$AC$281,"SOFTWARE CONFIG. MGMT. &gt; Subárea no determinable")</f>
        <v>0</v>
      </c>
      <c r="BO52" s="29">
        <f t="shared" si="42"/>
        <v>0</v>
      </c>
      <c r="BP52" s="17">
        <f>COUNTIFS('Prácticas_Revisiones'!$S$2:$S$282,"T042",'Prácticas_Revisiones'!$T$2:$T$282,"SOFTWARE ENG. PROCESS &gt; Software Engineering Process Fundamentals")+COUNTIFS('Prácticas_Snowballing'!$AB$2:$AB$281,"T042",'Prácticas_Snowballing'!$AC$2:$AC$281,"SOFTWARE ENG. PROCESS &gt; Software Engineering Process Fundamentals")</f>
        <v>0</v>
      </c>
      <c r="BQ52" s="17">
        <f>COUNTIFS('Prácticas_Revisiones'!$S$2:$S$282,"T042",'Prácticas_Revisiones'!$T$2:$T$282,"SOFTWARE ENG. PROCESS &gt; Life Cycles")+COUNTIFS('Prácticas_Snowballing'!$AB$2:$AB$281,"T042",'Prácticas_Snowballing'!$AC$2:$AC$281,"SOFTWARE ENG. PROCESS &gt; Life Cycles")</f>
        <v>0</v>
      </c>
      <c r="BR52" s="17">
        <f>COUNTIFS('Prácticas_Revisiones'!$S$2:$S$282,"T042",'Prácticas_Revisiones'!$T$2:$T$282,"SOFTWARE ENG. PROCESS &gt; Software Process Assessment and Improvement")+COUNTIFS('Prácticas_Snowballing'!$AB$2:$AB$281,"T042",'Prácticas_Snowballing'!$AC$2:$AC$281,"SOFTWARE ENG. PROCESS &gt; Software Process Assessment and Improvement")</f>
        <v>0</v>
      </c>
      <c r="BS52" s="17">
        <f>COUNTIFS('Prácticas_Revisiones'!$S$2:$S$282,"T042",'Prácticas_Revisiones'!$T$2:$T$282,"SOFTWARE ENG. PROCESS &gt; Subárea no determinable")+COUNTIFS('Prácticas_Snowballing'!$AB$2:$AB$281,"T042",'Prácticas_Snowballing'!$AC$2:$AC$281,"SOFTWARE ENG. PROCESS &gt; Subárea no determinable")</f>
        <v>0</v>
      </c>
      <c r="BT52" s="29">
        <f t="shared" si="43"/>
        <v>0</v>
      </c>
      <c r="BU52" s="17">
        <f>COUNTIFS('Prácticas_Revisiones'!$S$2:$S$282,"T042",'Prácticas_Revisiones'!$T$2:$T$282,"SOFTWARE ENG. MODELS/METH. &gt; Modeling")+COUNTIFS('Prácticas_Snowballing'!$AB$2:$AB$281,"T042",'Prácticas_Snowballing'!$AC$2:$AC$281,"SOFTWARE ENG. MODELS/METH. &gt; Modeling")</f>
        <v>0</v>
      </c>
      <c r="BV52" s="17">
        <f>COUNTIFS('Prácticas_Revisiones'!$S$2:$S$282,"T042",'Prácticas_Revisiones'!$T$2:$T$282,"SOFTWARE ENG. MODELS/METH. &gt; Types of Models")+COUNTIFS('Prácticas_Snowballing'!$AB$2:$AB$281,"T042",'Prácticas_Snowballing'!$AC$2:$AC$281,"SOFTWARE ENG. MODELS/METH. &gt; Types of Models")</f>
        <v>0</v>
      </c>
      <c r="BW52" s="17">
        <f>COUNTIFS('Prácticas_Revisiones'!$S$2:$S$282,"T042",'Prácticas_Revisiones'!$T$2:$T$282,"SOFTWARE ENG. MODELS/METH. &gt; Analysis of Models")+COUNTIFS('Prácticas_Snowballing'!$AB$2:$AB$281,"T042",'Prácticas_Snowballing'!$AC$2:$AC$281,"SOFTWARE ENG. MODELS/METH. &gt; Analysis of Models")</f>
        <v>0</v>
      </c>
      <c r="BX52" s="17">
        <f>COUNTIFS('Prácticas_Revisiones'!$S$2:$S$282,"T042",'Prácticas_Revisiones'!$T$2:$T$282,"SOFTWARE ENG. MODELS/METH. &gt; Software Engineering Methods")+COUNTIFS('Prácticas_Snowballing'!$AB$2:$AB$281,"T042",'Prácticas_Snowballing'!$AC$2:$AC$281,"SOFTWARE ENG. MODELS/METH. &gt; Software Engineering Methods")</f>
        <v>0</v>
      </c>
      <c r="BY52" s="17">
        <f>COUNTIFS('Prácticas_Revisiones'!$S$2:$S$282,"T042",'Prácticas_Revisiones'!$T$2:$T$282,"SOFTWARE ENG. MODELS/METH. &gt; Subárea no determinable")+COUNTIFS('Prácticas_Snowballing'!$AB$2:$AB$281,"T042",'Prácticas_Snowballing'!$AC$2:$AC$281,"SOFTWARE ENG. MODELS/METH. &gt; Subárea no determinable")</f>
        <v>0</v>
      </c>
      <c r="BZ52" s="29">
        <f t="shared" si="44"/>
        <v>0</v>
      </c>
      <c r="CA52" s="17">
        <f>COUNTIFS('Prácticas_Revisiones'!$S$2:$S$282,"T042",'Prácticas_Revisiones'!$T$2:$T$282,"SOFTWARE QUALITY &gt; Software Quality Fundamentals")+COUNTIFS('Prácticas_Snowballing'!$AB$2:$AB$281,"T042",'Prácticas_Snowballing'!$AC$2:$AC$281,"SOFTWARE QUALITY &gt; Software Quality Fundamentals")</f>
        <v>0</v>
      </c>
      <c r="CB52" s="17">
        <f>COUNTIFS('Prácticas_Revisiones'!$S$2:$S$282,"T042",'Prácticas_Revisiones'!$T$2:$T$282,"SOFTWARE QUALITY &gt; Software Quality Management Process")+COUNTIFS('Prácticas_Snowballing'!$AB$2:$AB$281,"T042",'Prácticas_Snowballing'!$AC$2:$AC$281,"SOFTWARE QUALITY &gt; Software Quality Management Process")</f>
        <v>0</v>
      </c>
      <c r="CC52" s="17">
        <f>COUNTIFS('Prácticas_Revisiones'!$S$2:$S$282,"T042",'Prácticas_Revisiones'!$T$2:$T$282,"SOFTWARE QUALITY &gt; Software Quality Assurance Process")+COUNTIFS('Prácticas_Snowballing'!$AB$2:$AB$281,"T042",'Prácticas_Snowballing'!$AC$2:$AC$281,"SOFTWARE QUALITY &gt; Software Quality Assurance Process")</f>
        <v>0</v>
      </c>
      <c r="CD52" s="17">
        <f>COUNTIFS('Prácticas_Revisiones'!$S$2:$S$282,"T042",'Prácticas_Revisiones'!$T$2:$T$282,"SOFTWARE QUALITY &gt; Software Quality Tools")+COUNTIFS('Prácticas_Snowballing'!$AB$2:$AB$281,"T042",'Prácticas_Snowballing'!$AC$2:$AC$281,"SOFTWARE QUALITY &gt; Software Quality Tools")</f>
        <v>0</v>
      </c>
      <c r="CE52" s="17">
        <f>COUNTIFS('Prácticas_Revisiones'!$S$2:$S$282,"T042",'Prácticas_Revisiones'!$T$2:$T$282,"SOFTWARE QUALITY &gt; Subárea no determinable")+COUNTIFS('Prácticas_Snowballing'!$AB$2:$AB$281,"T042",'Prácticas_Snowballing'!$AC$2:$AC$281,"SOFTWARE QUALITY &gt; Subárea no determinable")</f>
        <v>0</v>
      </c>
      <c r="CF52" s="29">
        <f t="shared" si="45"/>
        <v>0</v>
      </c>
      <c r="CG52" s="17">
        <f>COUNTIFS('Prácticas_Revisiones'!$S$2:$S$282,"T042",'Prácticas_Revisiones'!$T$2:$T$282,"SOFTWARE SECURITY &gt; Software Security Fundamentals")+COUNTIFS('Prácticas_Snowballing'!$AB$2:$AB$281,"T042",'Prácticas_Snowballing'!$AC$2:$AC$281,"SOFTWARE SECURITY &gt; Software Security Fundamentals")</f>
        <v>0</v>
      </c>
      <c r="CH52" s="17">
        <f>COUNTIFS('Prácticas_Revisiones'!$S$2:$S$282,"T042",'Prácticas_Revisiones'!$T$2:$T$282,"SOFTWARE SECURITY &gt; Security Management and Organization")+COUNTIFS('Prácticas_Snowballing'!$AB$2:$AB$281,"T042",'Prácticas_Snowballing'!$AC$2:$AC$281,"SOFTWARE SECURITY &gt; Security Management and Organization")</f>
        <v>0</v>
      </c>
      <c r="CI52" s="17">
        <f>COUNTIFS('Prácticas_Revisiones'!$S$2:$S$282,"T042",'Prácticas_Revisiones'!$T$2:$T$282,"SOFTWARE SECURITY &gt; Software Security Engineering and Process")+COUNTIFS('Prácticas_Snowballing'!$AB$2:$AB$281,"T042",'Prácticas_Snowballing'!$AC$2:$AC$281,"SOFTWARE SECURITY &gt; Software Security Engineering and Process")</f>
        <v>0</v>
      </c>
      <c r="CJ52" s="17">
        <f>COUNTIFS('Prácticas_Revisiones'!$S$2:$S$282,"T042",'Prácticas_Revisiones'!$T$2:$T$282,"SOFTWARE SECURITY &gt; Security Engineering for Software Systems")+COUNTIFS('Prácticas_Snowballing'!$AB$2:$AB$281,"T042",'Prácticas_Snowballing'!$AC$2:$AC$281,"SOFTWARE SECURITY &gt; Security Engineering for Software Systems")</f>
        <v>0</v>
      </c>
      <c r="CK52" s="17">
        <f>COUNTIFS('Prácticas_Revisiones'!$S$2:$S$282,"T042",'Prácticas_Revisiones'!$T$2:$T$282,"SOFTWARE SECURITY &gt; Software Security Tools")+COUNTIFS('Prácticas_Snowballing'!$AB$2:$AB$281,"T042",'Prácticas_Snowballing'!$AC$2:$AC$281,"SOFTWARE SECURITY &gt; Software Security Tools")</f>
        <v>0</v>
      </c>
      <c r="CL52" s="17">
        <f>COUNTIFS('Prácticas_Revisiones'!$S$2:$S$282,"T042",'Prácticas_Revisiones'!$T$2:$T$282,"SOFTWARE SECURITY &gt; Domain Specific Software Security")+COUNTIFS('Prácticas_Snowballing'!$AB$2:$AB$281,"T042",'Prácticas_Snowballing'!$AC$2:$AC$281,"SOFTWARE SECURITY &gt; Domain Specific Software Security")</f>
        <v>0</v>
      </c>
      <c r="CM52" s="17">
        <f>COUNTIFS('Prácticas_Revisiones'!$S$2:$S$282,"T042",'Prácticas_Revisiones'!$T$2:$T$282,"SOFTWARE SECURITY &gt; Subárea no determinable")+COUNTIFS('Prácticas_Snowballing'!$AB$2:$AB$281,"T042",'Prácticas_Snowballing'!$AC$2:$AC$281,"SOFTWARE SECURITY &gt; Subárea no determinable")</f>
        <v>0</v>
      </c>
      <c r="CN52" s="29">
        <f t="shared" si="46"/>
        <v>0</v>
      </c>
      <c r="CO52" s="17">
        <f>COUNTIFS('Prácticas_Revisiones'!$S$2:$S$282,"T042",'Prácticas_Revisiones'!$T$2:$T$282,"PROFESSIONAL PRACTICE &gt; Professionalism")+COUNTIFS('Prácticas_Snowballing'!$AB$2:$AB$281,"T042",'Prácticas_Snowballing'!$AC$2:$AC$281,"PROFESSIONAL PRACTICE &gt; Professionalism")</f>
        <v>0</v>
      </c>
      <c r="CP52" s="17">
        <f>COUNTIFS('Prácticas_Revisiones'!$S$2:$S$282,"T042",'Prácticas_Revisiones'!$T$2:$T$282,"PROFESSIONAL PRACTICE &gt; Group Dynamics and Psychology")+COUNTIFS('Prácticas_Snowballing'!$AB$2:$AB$281,"T042",'Prácticas_Snowballing'!$AC$2:$AC$281,"PROFESSIONAL PRACTICE &gt; Group Dynamics and Psychology")</f>
        <v>0</v>
      </c>
      <c r="CQ52" s="17">
        <f>COUNTIFS('Prácticas_Revisiones'!$S$2:$S$282,"T042",'Prácticas_Revisiones'!$T$2:$T$282,"PROFESSIONAL PRACTICE &gt; Communication Skills")+COUNTIFS('Prácticas_Snowballing'!$AB$2:$AB$281,"T042",'Prácticas_Snowballing'!$AC$2:$AC$281,"PROFESSIONAL PRACTICE &gt; Communication Skills")</f>
        <v>2</v>
      </c>
      <c r="CR52" s="17">
        <f>COUNTIFS('Prácticas_Revisiones'!$S$2:$S$282,"T042",'Prácticas_Revisiones'!$T$2:$T$282,"PROFESSIONAL PRACTICE &gt; Subárea no determinable")+COUNTIFS('Prácticas_Snowballing'!$AB$2:$AB$281,"T042",'Prácticas_Snowballing'!$AC$2:$AC$281,"PROFESSIONAL PRACTICE &gt; Subárea no determinable")</f>
        <v>0</v>
      </c>
      <c r="CS52" s="29">
        <f t="shared" si="47"/>
        <v>2</v>
      </c>
      <c r="CT52" s="17">
        <f>COUNTIFS('Prácticas_Revisiones'!$S$2:$S$282,"T042",'Prácticas_Revisiones'!$T$2:$T$282,"SOFTWARE ENG. ECONOMICS &gt; Software Engineering Economics Fundamentals")+COUNTIFS('Prácticas_Snowballing'!$AB$2:$AB$281,"T042",'Prácticas_Snowballing'!$AC$2:$AC$281,"SOFTWARE ENG. ECONOMICS &gt; Software Engineering Economics Fundamentals")</f>
        <v>0</v>
      </c>
      <c r="CU52" s="17">
        <f>COUNTIFS('Prácticas_Revisiones'!$S$2:$S$282,"T042",'Prácticas_Revisiones'!$T$2:$T$282,"SOFTWARE ENG. ECONOMICS &gt; The Engineering Decision-Making Process")+COUNTIFS('Prácticas_Snowballing'!$AB$2:$AB$281,"T042",'Prácticas_Snowballing'!$AC$2:$AC$281,"SOFTWARE ENG. ECONOMICS &gt; The Engineering Decision-Making Process")</f>
        <v>0</v>
      </c>
      <c r="CV52" s="17">
        <f>COUNTIFS('Prácticas_Revisiones'!$S$2:$S$282,"T042",'Prácticas_Revisiones'!$T$2:$T$282,"SOFTWARE ENG. ECONOMICS &gt; For-Profit Decision-Making")+COUNTIFS('Prácticas_Snowballing'!$AB$2:$AB$281,"T042",'Prácticas_Snowballing'!$AC$2:$AC$281,"SOFTWARE ENG. ECONOMICS &gt; For-Profit Decision-Making")</f>
        <v>0</v>
      </c>
      <c r="CW52" s="17">
        <f>COUNTIFS('Prácticas_Revisiones'!$S$2:$S$282,"T042",'Prácticas_Revisiones'!$T$2:$T$282,"SOFTWARE ENG. ECONOMICS &gt; Nonprofit Decision-Making")+COUNTIFS('Prácticas_Snowballing'!$AB$2:$AB$281,"T042",'Prácticas_Snowballing'!$AC$2:$AC$281,"SOFTWARE ENG. ECONOMICS &gt; Nonprofit Decision-Making")</f>
        <v>0</v>
      </c>
      <c r="CX52" s="17">
        <f>COUNTIFS('Prácticas_Revisiones'!$S$2:$S$282,"T042",'Prácticas_Revisiones'!$T$2:$T$282,"SOFTWARE ENG. ECONOMICS &gt; Present Economy Decision-Making")+COUNTIFS('Prácticas_Snowballing'!$AB$2:$AB$281,"T042",'Prácticas_Snowballing'!$AC$2:$AC$281,"SOFTWARE ENG. ECONOMICS &gt; Present Economy Decision-Making")</f>
        <v>0</v>
      </c>
      <c r="CY52" s="17">
        <f>COUNTIFS('Prácticas_Revisiones'!$S$2:$S$282,"T042",'Prácticas_Revisiones'!$T$2:$T$282,"SOFTWARE ENG. ECONOMICS &gt; Multiple-Attribute Decision-Making")+COUNTIFS('Prácticas_Snowballing'!$AB$2:$AB$281,"T042",'Prácticas_Snowballing'!$AC$2:$AC$281,"SOFTWARE ENG. ECONOMICS &gt; Multiple-Attribute Decision-Making")</f>
        <v>0</v>
      </c>
      <c r="CZ52" s="17">
        <f>COUNTIFS('Prácticas_Revisiones'!$S$2:$S$282,"T042",'Prácticas_Revisiones'!$T$2:$T$282,"SOFTWARE ENG. ECONOMICS &gt; Identifying and Characterizing Intangible Assets")+COUNTIFS('Prácticas_Snowballing'!$AB$2:$AB$281,"T042",'Prácticas_Snowballing'!$AC$2:$AC$281,"SOFTWARE ENG. ECONOMICS &gt; Identifying and Characterizing Intangible Assets")</f>
        <v>0</v>
      </c>
      <c r="DA52" s="17">
        <f>COUNTIFS('Prácticas_Revisiones'!$S$2:$S$282,"T042",'Prácticas_Revisiones'!$T$2:$T$282,"SOFTWARE ENG. ECONOMICS &gt; Estimation")+COUNTIFS('Prácticas_Snowballing'!$AB$2:$AB$281,"T042",'Prácticas_Snowballing'!$AC$2:$AC$281,"SOFTWARE ENG. ECONOMICS &gt; Estimation")</f>
        <v>0</v>
      </c>
      <c r="DB52" s="17">
        <f>COUNTIFS('Prácticas_Revisiones'!$S$2:$S$282,"T042",'Prácticas_Revisiones'!$T$2:$T$282,"SOFTWARE ENG. ECONOMICS &gt; Practical Considerations")+COUNTIFS('Prácticas_Snowballing'!$AB$2:$AB$281,"T042",'Prácticas_Snowballing'!$AC$2:$AC$281,"SOFTWARE ENG. ECONOMICS &gt; Practical Considerations")</f>
        <v>0</v>
      </c>
      <c r="DC52" s="17">
        <f>COUNTIFS('Prácticas_Revisiones'!$S$2:$S$282,"T042",'Prácticas_Revisiones'!$T$2:$T$282,"SOFTWARE ENG. ECONOMICS &gt; Related Concepts")+COUNTIFS('Prácticas_Snowballing'!$AB$2:$AB$281,"T042",'Prácticas_Snowballing'!$AC$2:$AC$281,"SOFTWARE ENG. ECONOMICS &gt; Related Concepts")</f>
        <v>0</v>
      </c>
      <c r="DD52" s="17">
        <f>COUNTIFS('Prácticas_Revisiones'!$S$2:$S$282,"T042",'Prácticas_Revisiones'!$T$2:$T$282,"SOFTWARE ENG. ECONOMICS &gt; Subárea no determinable")+COUNTIFS('Prácticas_Snowballing'!$AB$2:$AB$281,"T042",'Prácticas_Snowballing'!$AC$2:$AC$281,"SOFTWARE ENG. ECONOMICS &gt; Subárea no determinable")</f>
        <v>0</v>
      </c>
      <c r="DE52" s="29">
        <f t="shared" si="48"/>
        <v>0</v>
      </c>
      <c r="DF52" s="17">
        <f>COUNTIFS('Prácticas_Revisiones'!$S$2:$S$282,"T042",'Prácticas_Revisiones'!$T$2:$T$282,"SOFTWARE ENG. MANAGEMENT &gt; Software Engineering Management Fundamentals")+COUNTIFS('Prácticas_Snowballing'!$AB$2:$AB$281,"T042",'Prácticas_Snowballing'!$AC$2:$AC$281,"SOFTWARE ENG. MANAGEMENT &gt; Software Engineering Management Fundamentals")</f>
        <v>0</v>
      </c>
      <c r="DG52" s="17">
        <f>COUNTIFS('Prácticas_Revisiones'!$S$2:$S$282,"T042",'Prácticas_Revisiones'!$T$2:$T$282,"SOFTWARE ENG. MANAGEMENT &gt; Initiation and Scope Definition")+COUNTIFS('Prácticas_Snowballing'!$AB$2:$AB$281,"T042",'Prácticas_Snowballing'!$AC$2:$AC$281,"SOFTWARE ENG. MANAGEMENT &gt; Initiation and Scope Definition")</f>
        <v>0</v>
      </c>
      <c r="DH52" s="17">
        <f>COUNTIFS('Prácticas_Revisiones'!$S$2:$S$282,"T042",'Prácticas_Revisiones'!$T$2:$T$282,"SOFTWARE ENG. MANAGEMENT &gt; Software Project Planning")+COUNTIFS('Prácticas_Snowballing'!$AB$2:$AB$281,"T042",'Prácticas_Snowballing'!$AC$2:$AC$281,"SOFTWARE ENG. MANAGEMENT &gt; Software Project Planning")</f>
        <v>0</v>
      </c>
      <c r="DI52" s="17">
        <f>COUNTIFS('Prácticas_Revisiones'!$S$2:$S$282,"T042",'Prácticas_Revisiones'!$T$2:$T$282,"SOFTWARE ENG. MANAGEMENT &gt; Software Project Enactment")+COUNTIFS('Prácticas_Snowballing'!$AB$2:$AB$281,"T042",'Prácticas_Snowballing'!$AC$2:$AC$281,"SOFTWARE ENG. MANAGEMENT &gt; Software Project Enactment")</f>
        <v>0</v>
      </c>
      <c r="DJ52" s="17">
        <f>COUNTIFS('Prácticas_Revisiones'!$S$2:$S$282,"T042",'Prácticas_Revisiones'!$T$2:$T$282,"SOFTWARE ENG. MANAGEMENT &gt; Review and Evaluation")+COUNTIFS('Prácticas_Snowballing'!$AB$2:$AB$281,"T042",'Prácticas_Snowballing'!$AC$2:$AC$281,"SOFTWARE ENG. MANAGEMENT &gt; Review and Evaluation")</f>
        <v>0</v>
      </c>
      <c r="DK52" s="17">
        <f>COUNTIFS('Prácticas_Revisiones'!$S$2:$S$282,"T042",'Prácticas_Revisiones'!$T$2:$T$282,"SOFTWARE ENG. MANAGEMENT &gt; Closure")+COUNTIFS('Prácticas_Snowballing'!$AB$2:$AB$281,"T042",'Prácticas_Snowballing'!$AC$2:$AC$281,"SOFTWARE ENG. MANAGEMENT &gt; Closure")</f>
        <v>0</v>
      </c>
      <c r="DL52" s="17">
        <f>COUNTIFS('Prácticas_Revisiones'!$S$2:$S$282,"T042",'Prácticas_Revisiones'!$T$2:$T$282,"SOFTWARE ENG. MANAGEMENT &gt; Software Engineering Management Tools")+COUNTIFS('Prácticas_Snowballing'!$AB$2:$AB$281,"T042",'Prácticas_Snowballing'!$AC$2:$AC$281,"SOFTWARE ENG. MANAGEMENT &gt; Software Engineering Management Tools")</f>
        <v>0</v>
      </c>
      <c r="DM52" s="17">
        <f>COUNTIFS('Prácticas_Revisiones'!$S$2:$S$282,"T042",'Prácticas_Revisiones'!$T$2:$T$282,"SOFTWARE ENG. MANAGEMENT &gt; Subárea no determinable")+COUNTIFS('Prácticas_Snowballing'!$AB$2:$AB$281,"T042",'Prácticas_Snowballing'!$AC$2:$AC$281,"SOFTWARE ENG. MANAGEMENT &gt; Subárea no determinable")</f>
        <v>0</v>
      </c>
      <c r="DN52" s="29">
        <f t="shared" si="49"/>
        <v>0</v>
      </c>
      <c r="DO52" s="17">
        <f>COUNTIFS('Prácticas_Revisiones'!$S$2:$S$282,"T042",'Prácticas_Revisiones'!$T$2:$T$282,"Sin área SWEBOK")+COUNTIFS('Prácticas_Snowballing'!$AB$2:$AB$281,"T042",'Prácticas_Snowballing'!$AC$2:$AC$281,"Sin área SWEBOK")</f>
        <v>0</v>
      </c>
      <c r="DP52" s="27">
        <f t="shared" si="50"/>
        <v>4</v>
      </c>
    </row>
    <row r="53" ht="15.75" customHeight="1">
      <c r="A53" s="28"/>
      <c r="B53" s="16" t="s">
        <v>2787</v>
      </c>
      <c r="C53" s="17">
        <f>COUNTIFS('Prácticas_Revisiones'!$S$2:$S$282,"T043",'Prácticas_Revisiones'!$T$2:$T$282,"REQUIREMENTS &gt; Software Requirements Fundamentals")+COUNTIFS('Prácticas_Snowballing'!$AB$2:$AB$281,"T043",'Prácticas_Snowballing'!$AC$2:$AC$281,"REQUIREMENTS &gt; Software Requirements Fundamentals")</f>
        <v>0</v>
      </c>
      <c r="D53" s="17">
        <f>COUNTIFS('Prácticas_Revisiones'!$S$2:$S$282,"T043",'Prácticas_Revisiones'!$T$2:$T$282,"REQUIREMENTS &gt; Requirements Elicitation")+COUNTIFS('Prácticas_Snowballing'!$AB$2:$AB$281,"T043",'Prácticas_Snowballing'!$AC$2:$AC$281,"REQUIREMENTS &gt; Requirements Elicitation")</f>
        <v>0</v>
      </c>
      <c r="E53" s="17">
        <f>COUNTIFS('Prácticas_Revisiones'!$S$2:$S$282,"T043",'Prácticas_Revisiones'!$T$2:$T$282,"REQUIREMENTS &gt; Requirements Analysis")+COUNTIFS('Prácticas_Snowballing'!$AB$2:$AB$281,"T043",'Prácticas_Snowballing'!$AC$2:$AC$281,"REQUIREMENTS &gt; Requirements Analysis")</f>
        <v>0</v>
      </c>
      <c r="F53" s="17">
        <f>COUNTIFS('Prácticas_Revisiones'!$S$2:$S$282,"T043",'Prácticas_Revisiones'!$T$2:$T$282,"REQUIREMENTS &gt; Requirements Specification")+COUNTIFS('Prácticas_Snowballing'!$AB$2:$AB$281,"T043",'Prácticas_Snowballing'!$AC$2:$AC$281,"REQUIREMENTS &gt; Requirements Specification")</f>
        <v>0</v>
      </c>
      <c r="G53" s="17">
        <f>COUNTIFS('Prácticas_Revisiones'!$S$2:$S$282,"T043",'Prácticas_Revisiones'!$T$2:$T$282,"REQUIREMENTS &gt; Requirements Validation")+COUNTIFS('Prácticas_Snowballing'!$AB$2:$AB$281,"T043",'Prácticas_Snowballing'!$AC$2:$AC$281,"REQUIREMENTS &gt; Requirements Validation")</f>
        <v>0</v>
      </c>
      <c r="H53" s="17">
        <f>COUNTIFS('Prácticas_Revisiones'!$S$2:$S$282,"T043",'Prácticas_Revisiones'!$T$2:$T$282,"REQUIREMENTS &gt; Requirements Management Activities")+COUNTIFS('Prácticas_Snowballing'!$AB$2:$AB$281,"T043",'Prácticas_Snowballing'!$AC$2:$AC$281,"REQUIREMENTS &gt; Requirements Management Activities")</f>
        <v>0</v>
      </c>
      <c r="I53" s="17">
        <f>COUNTIFS('Prácticas_Revisiones'!$S$2:$S$282,"T043",'Prácticas_Revisiones'!$T$2:$T$282,"REQUIREMENTS &gt; Practical Considerations")+COUNTIFS('Prácticas_Snowballing'!$AB$2:$AB$281,"T043",'Prácticas_Snowballing'!$AC$2:$AC$281,"REQUIREMENTS &gt; Practical Considerations")</f>
        <v>0</v>
      </c>
      <c r="J53" s="17">
        <f>COUNTIFS('Prácticas_Revisiones'!$S$2:$S$282,"T043",'Prácticas_Revisiones'!$T$2:$T$282,"REQUIREMENTS &gt; Software Requirements Tools")+COUNTIFS('Prácticas_Snowballing'!$AB$2:$AB$281,"T043",'Prácticas_Snowballing'!$AC$2:$AC$281,"REQUIREMENTS &gt; Software Requirements Tools")</f>
        <v>0</v>
      </c>
      <c r="K53" s="17">
        <f>COUNTIFS('Prácticas_Revisiones'!$S$2:$S$282,"T043",'Prácticas_Revisiones'!$T$2:$T$282,"REQUIREMENTS &gt; Subárea no determinable")+COUNTIFS('Prácticas_Snowballing'!$AB$2:$AB$281,"T043",'Prácticas_Snowballing'!$AC$2:$AC$281,"REQUIREMENTS &gt; Subárea no determinable")</f>
        <v>0</v>
      </c>
      <c r="L53" s="29">
        <f t="shared" si="35"/>
        <v>0</v>
      </c>
      <c r="M53" s="17">
        <f>COUNTIFS('Prácticas_Revisiones'!$S$2:$S$282,"T043",'Prácticas_Revisiones'!$T$2:$T$282,"ARCHITECTURE &gt; Software Architecture Fundamentals")+COUNTIFS('Prácticas_Snowballing'!$AB$2:$AB$281,"T043",'Prácticas_Snowballing'!$AC$2:$AC$281,"ARCHITECTURE &gt; Software Architecture Fundamentals")</f>
        <v>0</v>
      </c>
      <c r="N53" s="17">
        <f>COUNTIFS('Prácticas_Revisiones'!$S$2:$S$282,"T043",'Prácticas_Revisiones'!$T$2:$T$282,"ARCHITECTURE &gt; Software Architecture Description")+COUNTIFS('Prácticas_Snowballing'!$AB$2:$AB$281,"T043",'Prácticas_Snowballing'!$AC$2:$AC$281,"ARCHITECTURE &gt; Software Architecture Description")</f>
        <v>0</v>
      </c>
      <c r="O53" s="17">
        <f>COUNTIFS('Prácticas_Revisiones'!$S$2:$S$282,"T043",'Prácticas_Revisiones'!$T$2:$T$282,"ARCHITECTURE &gt; Software Architecture Process")+COUNTIFS('Prácticas_Snowballing'!$AB$2:$AB$281,"T043",'Prácticas_Snowballing'!$AC$2:$AC$281,"ARCHITECTURE &gt; Software Architecture Process")</f>
        <v>0</v>
      </c>
      <c r="P53" s="17">
        <f>COUNTIFS('Prácticas_Revisiones'!$S$2:$S$282,"T043",'Prácticas_Revisiones'!$T$2:$T$282,"ARCHITECTURE &gt; Software Architecture Evaluation")+COUNTIFS('Prácticas_Snowballing'!$AB$2:$AB$281,"T043",'Prácticas_Snowballing'!$AC$2:$AC$281,"ARCHITECTURE &gt; Software Architecture Evaluation")</f>
        <v>0</v>
      </c>
      <c r="Q53" s="17">
        <f>COUNTIFS('Prácticas_Revisiones'!$S$2:$S$282,"T043",'Prácticas_Revisiones'!$T$2:$T$282,"ARCHITECTURE &gt; Subárea no determinable")+COUNTIFS('Prácticas_Snowballing'!$AB$2:$AB$281,"T043",'Prácticas_Snowballing'!$AC$2:$AC$281,"ARCHITECTURE &gt; Subárea no determinable")</f>
        <v>0</v>
      </c>
      <c r="R53" s="29">
        <f t="shared" si="36"/>
        <v>0</v>
      </c>
      <c r="S53" s="17">
        <f>COUNTIFS('Prácticas_Revisiones'!$S$2:$S$282,"T043",'Prácticas_Revisiones'!$T$2:$T$282,"DESIGN &gt; Software Design Fundamentals")+COUNTIFS('Prácticas_Snowballing'!$AB$2:$AB$281,"T043",'Prácticas_Snowballing'!$AC$2:$AC$281,"DESIGN &gt; Software Design Fundamentals")</f>
        <v>0</v>
      </c>
      <c r="T53" s="17">
        <f>COUNTIFS('Prácticas_Revisiones'!$S$2:$S$282,"T043",'Prácticas_Revisiones'!$T$2:$T$282,"DESIGN &gt; Software Design Processes")+COUNTIFS('Prácticas_Snowballing'!$AB$2:$AB$281,"T043",'Prácticas_Snowballing'!$AC$2:$AC$281,"DESIGN &gt; Software Design Processes")</f>
        <v>0</v>
      </c>
      <c r="U53" s="17">
        <f>COUNTIFS('Prácticas_Revisiones'!$S$2:$S$282,"T043",'Prácticas_Revisiones'!$T$2:$T$282,"DESIGN &gt; Software Design Qualities")+COUNTIFS('Prácticas_Snowballing'!$AB$2:$AB$281,"T043",'Prácticas_Snowballing'!$AC$2:$AC$281,"DESIGN &gt; Software Design Qualities")</f>
        <v>0</v>
      </c>
      <c r="V53" s="17">
        <f>COUNTIFS('Prácticas_Revisiones'!$S$2:$S$282,"T043",'Prácticas_Revisiones'!$T$2:$T$282,"DESIGN &gt; Recording Software Design")+COUNTIFS('Prácticas_Snowballing'!$AB$2:$AB$281,"T043",'Prácticas_Snowballing'!$AC$2:$AC$281,"DESIGN &gt; Recording Software Design")</f>
        <v>0</v>
      </c>
      <c r="W53" s="17">
        <f>COUNTIFS('Prácticas_Revisiones'!$S$2:$S$282,"T043",'Prácticas_Revisiones'!$T$2:$T$282,"DESIGN &gt; Software Design Strategies and Methods")+COUNTIFS('Prácticas_Snowballing'!$AB$2:$AB$281,"T043",'Prácticas_Snowballing'!$AC$2:$AC$281,"DESIGN &gt; Software Design Strategies and Methods")</f>
        <v>0</v>
      </c>
      <c r="X53" s="17">
        <f>COUNTIFS('Prácticas_Revisiones'!$S$2:$S$282,"T043",'Prácticas_Revisiones'!$T$2:$T$282,"DESIGN &gt; Software Design Analysis and Evaluations")+COUNTIFS('Prácticas_Snowballing'!$AB$2:$AB$281,"T043",'Prácticas_Snowballing'!$AC$2:$AC$281,"DESIGN &gt; Software Design Analysis and Evaluations")</f>
        <v>0</v>
      </c>
      <c r="Y53" s="17">
        <f>COUNTIFS('Prácticas_Revisiones'!$S$2:$S$282,"T043",'Prácticas_Revisiones'!$T$2:$T$282,"DESIGN &gt; Subárea no determinable")+COUNTIFS('Prácticas_Snowballing'!$AB$2:$AB$281,"T043",'Prácticas_Snowballing'!$AC$2:$AC$281,"DESIGN &gt; Subárea no determinable")</f>
        <v>0</v>
      </c>
      <c r="Z53" s="29">
        <f t="shared" si="37"/>
        <v>0</v>
      </c>
      <c r="AA53" s="17">
        <f>COUNTIFS('Prácticas_Revisiones'!$S$2:$S$282,"T043",'Prácticas_Revisiones'!$T$2:$T$282,"CONSTRUCTION &gt; Software Construction Fundamentals")+COUNTIFS('Prácticas_Snowballing'!$AB$2:$AB$281,"T043",'Prácticas_Snowballing'!$AC$2:$AC$281,"CONSTRUCTION &gt; Software Construction Fundamentals")</f>
        <v>0</v>
      </c>
      <c r="AB53" s="17">
        <f>COUNTIFS('Prácticas_Revisiones'!$S$2:$S$282,"T043",'Prácticas_Revisiones'!$T$2:$T$282,"CONSTRUCTION &gt; Managing Construction")+COUNTIFS('Prácticas_Snowballing'!$AB$2:$AB$281,"T043",'Prácticas_Snowballing'!$AC$2:$AC$281,"CONSTRUCTION &gt; Managing Construction")</f>
        <v>0</v>
      </c>
      <c r="AC53" s="17">
        <f>COUNTIFS('Prácticas_Revisiones'!$S$2:$S$282,"T043",'Prácticas_Revisiones'!$T$2:$T$282,"CONSTRUCTION &gt; Practical Considerations")+COUNTIFS('Prácticas_Snowballing'!$AB$2:$AB$281,"T043",'Prácticas_Snowballing'!$AC$2:$AC$281,"CONSTRUCTION &gt; Practical Considerations")</f>
        <v>0</v>
      </c>
      <c r="AD53" s="17">
        <f>COUNTIFS('Prácticas_Revisiones'!$S$2:$S$282,"T043",'Prácticas_Revisiones'!$T$2:$T$282,"CONSTRUCTION &gt; Construction Technologies")+COUNTIFS('Prácticas_Snowballing'!$AB$2:$AB$281,"T043",'Prácticas_Snowballing'!$AC$2:$AC$281,"CONSTRUCTION &gt; Construction Technologies")</f>
        <v>0</v>
      </c>
      <c r="AE53" s="17">
        <f>COUNTIFS('Prácticas_Revisiones'!$S$2:$S$282,"T043",'Prácticas_Revisiones'!$T$2:$T$282,"CONSTRUCTION &gt; Software Construction Tools")+COUNTIFS('Prácticas_Snowballing'!$AB$2:$AB$281,"T043",'Prácticas_Snowballing'!$AC$2:$AC$281,"CONSTRUCTION &gt; Software Construction Tools")</f>
        <v>0</v>
      </c>
      <c r="AF53" s="17">
        <f>COUNTIFS('Prácticas_Revisiones'!$S$2:$S$282,"T043",'Prácticas_Revisiones'!$T$2:$T$282,"CONSTRUCTION &gt; Subárea no determinable")+COUNTIFS('Prácticas_Snowballing'!$AB$2:$AB$281,"T043",'Prácticas_Snowballing'!$AC$2:$AC$281,"CONSTRUCTION &gt; Subárea no determinable")</f>
        <v>0</v>
      </c>
      <c r="AG53" s="29">
        <f t="shared" si="38"/>
        <v>0</v>
      </c>
      <c r="AH53" s="17">
        <f>COUNTIFS('Prácticas_Revisiones'!$S$2:$S$282,"T043",'Prácticas_Revisiones'!$T$2:$T$282,"SOFTWARE TESTING &gt; Software Testing Fundamentals")+COUNTIFS('Prácticas_Snowballing'!$AB$2:$AB$281,"T043",'Prácticas_Snowballing'!$AC$2:$AC$281,"SOFTWARE TESTING &gt; Software Testing Fundamentals")</f>
        <v>0</v>
      </c>
      <c r="AI53" s="17">
        <f>COUNTIFS('Prácticas_Revisiones'!$S$2:$S$282,"T043",'Prácticas_Revisiones'!$T$2:$T$282,"SOFTWARE TESTING &gt; Test Levels")+COUNTIFS('Prácticas_Snowballing'!$AB$2:$AB$281,"T043",'Prácticas_Snowballing'!$AC$2:$AC$281,"SOFTWARE TESTING &gt; Test Levels")</f>
        <v>0</v>
      </c>
      <c r="AJ53" s="17">
        <f>COUNTIFS('Prácticas_Revisiones'!$S$2:$S$282,"T043",'Prácticas_Revisiones'!$T$2:$T$282,"SOFTWARE TESTING &gt; Test Techniques")+COUNTIFS('Prácticas_Snowballing'!$AB$2:$AB$281,"T043",'Prácticas_Snowballing'!$AC$2:$AC$281,"SOFTWARE TESTING &gt; Test Techniques")</f>
        <v>0</v>
      </c>
      <c r="AK53" s="17">
        <f>COUNTIFS('Prácticas_Revisiones'!$S$2:$S$282,"T043",'Prácticas_Revisiones'!$T$2:$T$282,"SOFTWARE TESTING &gt; Test-Related Measures")+COUNTIFS('Prácticas_Snowballing'!$AB$2:$AB$281,"T043",'Prácticas_Snowballing'!$AC$2:$AC$281,"SOFTWARE TESTING &gt; Test-Related Measures")</f>
        <v>0</v>
      </c>
      <c r="AL53" s="17">
        <f>COUNTIFS('Prácticas_Revisiones'!$S$2:$S$282,"T043",'Prácticas_Revisiones'!$T$2:$T$282,"SOFTWARE TESTING &gt; Test Process")+COUNTIFS('Prácticas_Snowballing'!$AB$2:$AB$281,"T043",'Prácticas_Snowballing'!$AC$2:$AC$281,"SOFTWARE TESTING &gt; Test Process")</f>
        <v>0</v>
      </c>
      <c r="AM53" s="17">
        <f>COUNTIFS('Prácticas_Revisiones'!$S$2:$S$282,"T043",'Prácticas_Revisiones'!$T$2:$T$282,"SOFTWARE TESTING &gt; Software Testing in the Development Processes...")+COUNTIFS('Prácticas_Snowballing'!$AB$2:$AB$281,"T043",'Prácticas_Snowballing'!$AC$2:$AC$281,"SOFTWARE TESTING &gt; Software Testing in the Development Processes...")</f>
        <v>0</v>
      </c>
      <c r="AN53" s="17">
        <f>COUNTIFS('Prácticas_Revisiones'!$S$2:$S$282,"T043",'Prácticas_Revisiones'!$T$2:$T$282,"SOFTWARE TESTING &gt; Testing of and Testing Through Emerging Tech...")+COUNTIFS('Prácticas_Snowballing'!$AB$2:$AB$281,"T043",'Prácticas_Snowballing'!$AC$2:$AC$281,"SOFTWARE TESTING &gt; Testing of and Testing Through Emerging Tech...")</f>
        <v>0</v>
      </c>
      <c r="AO53" s="17">
        <f>COUNTIFS('Prácticas_Revisiones'!$S$2:$S$282,"T043",'Prácticas_Revisiones'!$T$2:$T$282,"SOFTWARE TESTING &gt; Software Testing Tools")+COUNTIFS('Prácticas_Snowballing'!$AB$2:$AB$281,"T043",'Prácticas_Snowballing'!$AC$2:$AC$281,"SOFTWARE TESTING &gt; Software Testing Tools")</f>
        <v>0</v>
      </c>
      <c r="AP53" s="17">
        <f>COUNTIFS('Prácticas_Revisiones'!$S$2:$S$282,"T043",'Prácticas_Revisiones'!$T$2:$T$282,"SOFTWARE TESTING &gt; Subárea no determinable")+COUNTIFS('Prácticas_Snowballing'!$AB$2:$AB$281,"T043",'Prácticas_Snowballing'!$AC$2:$AC$281,"SOFTWARE TESTING &gt; Subárea no determinable")</f>
        <v>0</v>
      </c>
      <c r="AQ53" s="29">
        <f t="shared" si="39"/>
        <v>0</v>
      </c>
      <c r="AR53" s="17">
        <f>COUNTIFS('Prácticas_Revisiones'!$S$2:$S$282,"T043",'Prácticas_Revisiones'!$T$2:$T$282,"SOFTWARE ENG. OPERATIONS &gt; Software Engineering Operations Fundamentals")+COUNTIFS('Prácticas_Snowballing'!$AB$2:$AB$281,"T043",'Prácticas_Snowballing'!$AC$2:$AC$281,"SOFTWARE ENG. OPERATIONS &gt; Software Engineering Operations Fundamentals")</f>
        <v>0</v>
      </c>
      <c r="AS53" s="17">
        <f>COUNTIFS('Prácticas_Revisiones'!$S$2:$S$282,"T043",'Prácticas_Revisiones'!$T$2:$T$282,"SOFTWARE ENG. OPERATIONS &gt; Software Engineering Operations Planning")+COUNTIFS('Prácticas_Snowballing'!$AB$2:$AB$281,"T043",'Prácticas_Snowballing'!$AC$2:$AC$281,"SOFTWARE ENG. OPERATIONS &gt; Software Engineering Operations Planning")</f>
        <v>0</v>
      </c>
      <c r="AT53" s="17">
        <f>COUNTIFS('Prácticas_Revisiones'!$S$2:$S$282,"T043",'Prácticas_Revisiones'!$T$2:$T$282,"SOFTWARE ENG. OPERATIONS &gt; Software Engineering Operations Delivery")+COUNTIFS('Prácticas_Snowballing'!$AB$2:$AB$281,"T043",'Prácticas_Snowballing'!$AC$2:$AC$281,"SOFTWARE ENG. OPERATIONS &gt; Software Engineering Operations Delivery")</f>
        <v>0</v>
      </c>
      <c r="AU53" s="17">
        <f>COUNTIFS('Prácticas_Revisiones'!$S$2:$S$282,"T043",'Prácticas_Revisiones'!$T$2:$T$282,"SOFTWARE ENG. OPERATIONS &gt; Software Engineering Operations Control")+COUNTIFS('Prácticas_Snowballing'!$AB$2:$AB$281,"T043",'Prácticas_Snowballing'!$AC$2:$AC$281,"SOFTWARE ENG. OPERATIONS &gt; Software Engineering Operations Control")</f>
        <v>0</v>
      </c>
      <c r="AV53" s="17">
        <f>COUNTIFS('Prácticas_Revisiones'!$S$2:$S$282,"T043",'Prácticas_Revisiones'!$T$2:$T$282,"SOFTWARE ENG. OPERATIONS &gt; Practical Considerations")+COUNTIFS('Prácticas_Snowballing'!$AB$2:$AB$281,"T043",'Prácticas_Snowballing'!$AC$2:$AC$281,"SOFTWARE ENG. OPERATIONS &gt; Practical Considerations")</f>
        <v>0</v>
      </c>
      <c r="AW53" s="17">
        <f>COUNTIFS('Prácticas_Revisiones'!$S$2:$S$282,"T043",'Prácticas_Revisiones'!$T$2:$T$282,"SOFTWARE ENG. OPERATIONS &gt; Software Engineering Operations Tools")+COUNTIFS('Prácticas_Snowballing'!$AB$2:$AB$281,"T043",'Prácticas_Snowballing'!$AC$2:$AC$281,"SOFTWARE ENG. OPERATIONS &gt; Software Engineering Operations Tools")</f>
        <v>0</v>
      </c>
      <c r="AX53" s="17">
        <f>COUNTIFS('Prácticas_Revisiones'!$S$2:$S$282,"T043",'Prácticas_Revisiones'!$T$2:$T$282,"SOFTWARE ENG. OPERATIONS &gt; Subárea no determinable")+COUNTIFS('Prácticas_Snowballing'!$AB$2:$AB$281,"T043",'Prácticas_Snowballing'!$AC$2:$AC$281,"SOFTWARE ENG. OPERATIONS &gt; Subárea no determinable")</f>
        <v>0</v>
      </c>
      <c r="AY53" s="29">
        <f t="shared" si="40"/>
        <v>0</v>
      </c>
      <c r="AZ53" s="17">
        <f>COUNTIFS('Prácticas_Revisiones'!$S$2:$S$282,"T043",'Prácticas_Revisiones'!$T$2:$T$282,"MAINTENANCE &gt; Software Maintenance Fundamentals")+COUNTIFS('Prácticas_Snowballing'!$AB$2:$AB$281,"T043",'Prácticas_Snowballing'!$AC$2:$AC$281,"MAINTENANCE &gt; Software Maintenance Fundamentals")</f>
        <v>0</v>
      </c>
      <c r="BA53" s="17">
        <f>COUNTIFS('Prácticas_Revisiones'!$S$2:$S$282,"T043",'Prácticas_Revisiones'!$T$2:$T$282,"MAINTENANCE &gt; Key Issues in Software Maintenance")+COUNTIFS('Prácticas_Snowballing'!$AB$2:$AB$281,"T043",'Prácticas_Snowballing'!$AC$2:$AC$281,"MAINTENANCE &gt; Key Issues in Software Maintenance")</f>
        <v>0</v>
      </c>
      <c r="BB53" s="17">
        <f>COUNTIFS('Prácticas_Revisiones'!$S$2:$S$282,"T043",'Prácticas_Revisiones'!$T$2:$T$282,"MAINTENANCE &gt; Software Maintenance Processes")+COUNTIFS('Prácticas_Snowballing'!$AB$2:$AB$281,"T043",'Prácticas_Snowballing'!$AC$2:$AC$281,"MAINTENANCE &gt; Software Maintenance Processes")</f>
        <v>0</v>
      </c>
      <c r="BC53" s="17">
        <f>COUNTIFS('Prácticas_Revisiones'!$S$2:$S$282,"T043",'Prácticas_Revisiones'!$T$2:$T$282,"MAINTENANCE &gt; Software Maintenance Techniques")+COUNTIFS('Prácticas_Snowballing'!$AB$2:$AB$281,"T043",'Prácticas_Snowballing'!$AC$2:$AC$281,"MAINTENANCE &gt; Software Maintenance Techniques")</f>
        <v>0</v>
      </c>
      <c r="BD53" s="17">
        <f>COUNTIFS('Prácticas_Revisiones'!$S$2:$S$282,"T043",'Prácticas_Revisiones'!$T$2:$T$282,"MAINTENANCE &gt; Software Maintenance Tools")+COUNTIFS('Prácticas_Snowballing'!$AB$2:$AB$281,"T043",'Prácticas_Snowballing'!$AC$2:$AC$281,"MAINTENANCE &gt; Software Maintenance Tools")</f>
        <v>0</v>
      </c>
      <c r="BE53" s="17">
        <f>COUNTIFS('Prácticas_Revisiones'!$S$2:$S$282,"T043",'Prácticas_Revisiones'!$T$2:$T$282,"MAINTENANCE &gt; Subárea no determinable")+COUNTIFS('Prácticas_Snowballing'!$AB$2:$AB$281,"T043",'Prácticas_Snowballing'!$AC$2:$AC$281,"MAINTENANCE &gt; Subárea no determinable")</f>
        <v>0</v>
      </c>
      <c r="BF53" s="29">
        <f t="shared" si="41"/>
        <v>0</v>
      </c>
      <c r="BG53" s="17">
        <f>COUNTIFS('Prácticas_Revisiones'!$S$2:$S$282,"T043",'Prácticas_Revisiones'!$T$2:$T$282,"SOFTWARE CONFIG. MGMT. &gt; Management of the SCM Process")+COUNTIFS('Prácticas_Snowballing'!$AB$2:$AB$281,"T043",'Prácticas_Snowballing'!$AC$2:$AC$281,"SOFTWARE CONFIG. MGMT. &gt; Management of the SCM Process")</f>
        <v>0</v>
      </c>
      <c r="BH53" s="17">
        <f>COUNTIFS('Prácticas_Revisiones'!$S$2:$S$282,"T043",'Prácticas_Revisiones'!$T$2:$T$282,"SOFTWARE CONFIG. MGMT. &gt; Software Configuration Identification")+COUNTIFS('Prácticas_Snowballing'!$AB$2:$AB$281,"T043",'Prácticas_Snowballing'!$AC$2:$AC$281,"SOFTWARE CONFIG. MGMT. &gt; Software Configuration Identification")</f>
        <v>0</v>
      </c>
      <c r="BI53" s="17">
        <f>COUNTIFS('Prácticas_Revisiones'!$S$2:$S$282,"T043",'Prácticas_Revisiones'!$T$2:$T$282,"SOFTWARE CONFIG. MGMT. &gt; Software Configuration Change Control")+COUNTIFS('Prácticas_Snowballing'!$AB$2:$AB$281,"T043",'Prácticas_Snowballing'!$AC$2:$AC$281,"SOFTWARE CONFIG. MGMT. &gt; Software Configuration Change Control")</f>
        <v>0</v>
      </c>
      <c r="BJ53" s="17">
        <f>COUNTIFS('Prácticas_Revisiones'!$S$2:$S$282,"T043",'Prácticas_Revisiones'!$T$2:$T$282,"SOFTWARE CONFIG. MGMT. &gt; Software Configuration Status Accounting")+COUNTIFS('Prácticas_Snowballing'!$AB$2:$AB$281,"T043",'Prácticas_Snowballing'!$AC$2:$AC$281,"SOFTWARE CONFIG. MGMT. &gt; Software Configuration Status Accounting")</f>
        <v>0</v>
      </c>
      <c r="BK53" s="17">
        <f>COUNTIFS('Prácticas_Revisiones'!$S$2:$S$282,"T043",'Prácticas_Revisiones'!$T$2:$T$282,"SOFTWARE CONFIG. MGMT. &gt; Software Configuration Auditing")+COUNTIFS('Prácticas_Snowballing'!$AB$2:$AB$281,"T043",'Prácticas_Snowballing'!$AC$2:$AC$281,"SOFTWARE CONFIG. MGMT. &gt; Software Configuration Auditing")</f>
        <v>0</v>
      </c>
      <c r="BL53" s="17">
        <f>COUNTIFS('Prácticas_Revisiones'!$S$2:$S$282,"T043",'Prácticas_Revisiones'!$T$2:$T$282,"SOFTWARE CONFIG. MGMT. &gt; Software Release Management and Delivery")+COUNTIFS('Prácticas_Snowballing'!$AB$2:$AB$281,"T043",'Prácticas_Snowballing'!$AC$2:$AC$281,"SOFTWARE CONFIG. MGMT. &gt; Software Release Management and Delivery")</f>
        <v>0</v>
      </c>
      <c r="BM53" s="17">
        <f>COUNTIFS('Prácticas_Revisiones'!$S$2:$S$282,"T043",'Prácticas_Revisiones'!$T$2:$T$282,"SOFTWARE CONFIG. MGMT. &gt; Software Configuration Management Tools")+COUNTIFS('Prácticas_Snowballing'!$AB$2:$AB$281,"T043",'Prácticas_Snowballing'!$AC$2:$AC$281,"SOFTWARE CONFIG. MGMT. &gt; Software Configuration Management Tools")</f>
        <v>0</v>
      </c>
      <c r="BN53" s="17">
        <f>COUNTIFS('Prácticas_Revisiones'!$S$2:$S$282,"T043",'Prácticas_Revisiones'!$T$2:$T$282,"SOFTWARE CONFIG. MGMT. &gt; Subárea no determinable")+COUNTIFS('Prácticas_Snowballing'!$AB$2:$AB$281,"T043",'Prácticas_Snowballing'!$AC$2:$AC$281,"SOFTWARE CONFIG. MGMT. &gt; Subárea no determinable")</f>
        <v>0</v>
      </c>
      <c r="BO53" s="29">
        <f t="shared" si="42"/>
        <v>0</v>
      </c>
      <c r="BP53" s="17">
        <f>COUNTIFS('Prácticas_Revisiones'!$S$2:$S$282,"T043",'Prácticas_Revisiones'!$T$2:$T$282,"SOFTWARE ENG. PROCESS &gt; Software Engineering Process Fundamentals")+COUNTIFS('Prácticas_Snowballing'!$AB$2:$AB$281,"T043",'Prácticas_Snowballing'!$AC$2:$AC$281,"SOFTWARE ENG. PROCESS &gt; Software Engineering Process Fundamentals")</f>
        <v>0</v>
      </c>
      <c r="BQ53" s="17">
        <f>COUNTIFS('Prácticas_Revisiones'!$S$2:$S$282,"T043",'Prácticas_Revisiones'!$T$2:$T$282,"SOFTWARE ENG. PROCESS &gt; Life Cycles")+COUNTIFS('Prácticas_Snowballing'!$AB$2:$AB$281,"T043",'Prácticas_Snowballing'!$AC$2:$AC$281,"SOFTWARE ENG. PROCESS &gt; Life Cycles")</f>
        <v>0</v>
      </c>
      <c r="BR53" s="17">
        <f>COUNTIFS('Prácticas_Revisiones'!$S$2:$S$282,"T043",'Prácticas_Revisiones'!$T$2:$T$282,"SOFTWARE ENG. PROCESS &gt; Software Process Assessment and Improvement")+COUNTIFS('Prácticas_Snowballing'!$AB$2:$AB$281,"T043",'Prácticas_Snowballing'!$AC$2:$AC$281,"SOFTWARE ENG. PROCESS &gt; Software Process Assessment and Improvement")</f>
        <v>0</v>
      </c>
      <c r="BS53" s="17">
        <f>COUNTIFS('Prácticas_Revisiones'!$S$2:$S$282,"T043",'Prácticas_Revisiones'!$T$2:$T$282,"SOFTWARE ENG. PROCESS &gt; Subárea no determinable")+COUNTIFS('Prácticas_Snowballing'!$AB$2:$AB$281,"T043",'Prácticas_Snowballing'!$AC$2:$AC$281,"SOFTWARE ENG. PROCESS &gt; Subárea no determinable")</f>
        <v>0</v>
      </c>
      <c r="BT53" s="29">
        <f t="shared" si="43"/>
        <v>0</v>
      </c>
      <c r="BU53" s="17">
        <f>COUNTIFS('Prácticas_Revisiones'!$S$2:$S$282,"T043",'Prácticas_Revisiones'!$T$2:$T$282,"SOFTWARE ENG. MODELS/METH. &gt; Modeling")+COUNTIFS('Prácticas_Snowballing'!$AB$2:$AB$281,"T043",'Prácticas_Snowballing'!$AC$2:$AC$281,"SOFTWARE ENG. MODELS/METH. &gt; Modeling")</f>
        <v>0</v>
      </c>
      <c r="BV53" s="17">
        <f>COUNTIFS('Prácticas_Revisiones'!$S$2:$S$282,"T043",'Prácticas_Revisiones'!$T$2:$T$282,"SOFTWARE ENG. MODELS/METH. &gt; Types of Models")+COUNTIFS('Prácticas_Snowballing'!$AB$2:$AB$281,"T043",'Prácticas_Snowballing'!$AC$2:$AC$281,"SOFTWARE ENG. MODELS/METH. &gt; Types of Models")</f>
        <v>0</v>
      </c>
      <c r="BW53" s="17">
        <f>COUNTIFS('Prácticas_Revisiones'!$S$2:$S$282,"T043",'Prácticas_Revisiones'!$T$2:$T$282,"SOFTWARE ENG. MODELS/METH. &gt; Analysis of Models")+COUNTIFS('Prácticas_Snowballing'!$AB$2:$AB$281,"T043",'Prácticas_Snowballing'!$AC$2:$AC$281,"SOFTWARE ENG. MODELS/METH. &gt; Analysis of Models")</f>
        <v>0</v>
      </c>
      <c r="BX53" s="17">
        <f>COUNTIFS('Prácticas_Revisiones'!$S$2:$S$282,"T043",'Prácticas_Revisiones'!$T$2:$T$282,"SOFTWARE ENG. MODELS/METH. &gt; Software Engineering Methods")+COUNTIFS('Prácticas_Snowballing'!$AB$2:$AB$281,"T043",'Prácticas_Snowballing'!$AC$2:$AC$281,"SOFTWARE ENG. MODELS/METH. &gt; Software Engineering Methods")</f>
        <v>0</v>
      </c>
      <c r="BY53" s="17">
        <f>COUNTIFS('Prácticas_Revisiones'!$S$2:$S$282,"T043",'Prácticas_Revisiones'!$T$2:$T$282,"SOFTWARE ENG. MODELS/METH. &gt; Subárea no determinable")+COUNTIFS('Prácticas_Snowballing'!$AB$2:$AB$281,"T043",'Prácticas_Snowballing'!$AC$2:$AC$281,"SOFTWARE ENG. MODELS/METH. &gt; Subárea no determinable")</f>
        <v>0</v>
      </c>
      <c r="BZ53" s="29">
        <f t="shared" si="44"/>
        <v>0</v>
      </c>
      <c r="CA53" s="17">
        <f>COUNTIFS('Prácticas_Revisiones'!$S$2:$S$282,"T043",'Prácticas_Revisiones'!$T$2:$T$282,"SOFTWARE QUALITY &gt; Software Quality Fundamentals")+COUNTIFS('Prácticas_Snowballing'!$AB$2:$AB$281,"T043",'Prácticas_Snowballing'!$AC$2:$AC$281,"SOFTWARE QUALITY &gt; Software Quality Fundamentals")</f>
        <v>0</v>
      </c>
      <c r="CB53" s="17">
        <f>COUNTIFS('Prácticas_Revisiones'!$S$2:$S$282,"T043",'Prácticas_Revisiones'!$T$2:$T$282,"SOFTWARE QUALITY &gt; Software Quality Management Process")+COUNTIFS('Prácticas_Snowballing'!$AB$2:$AB$281,"T043",'Prácticas_Snowballing'!$AC$2:$AC$281,"SOFTWARE QUALITY &gt; Software Quality Management Process")</f>
        <v>0</v>
      </c>
      <c r="CC53" s="17">
        <f>COUNTIFS('Prácticas_Revisiones'!$S$2:$S$282,"T043",'Prácticas_Revisiones'!$T$2:$T$282,"SOFTWARE QUALITY &gt; Software Quality Assurance Process")+COUNTIFS('Prácticas_Snowballing'!$AB$2:$AB$281,"T043",'Prácticas_Snowballing'!$AC$2:$AC$281,"SOFTWARE QUALITY &gt; Software Quality Assurance Process")</f>
        <v>0</v>
      </c>
      <c r="CD53" s="17">
        <f>COUNTIFS('Prácticas_Revisiones'!$S$2:$S$282,"T043",'Prácticas_Revisiones'!$T$2:$T$282,"SOFTWARE QUALITY &gt; Software Quality Tools")+COUNTIFS('Prácticas_Snowballing'!$AB$2:$AB$281,"T043",'Prácticas_Snowballing'!$AC$2:$AC$281,"SOFTWARE QUALITY &gt; Software Quality Tools")</f>
        <v>0</v>
      </c>
      <c r="CE53" s="17">
        <f>COUNTIFS('Prácticas_Revisiones'!$S$2:$S$282,"T043",'Prácticas_Revisiones'!$T$2:$T$282,"SOFTWARE QUALITY &gt; Subárea no determinable")+COUNTIFS('Prácticas_Snowballing'!$AB$2:$AB$281,"T043",'Prácticas_Snowballing'!$AC$2:$AC$281,"SOFTWARE QUALITY &gt; Subárea no determinable")</f>
        <v>0</v>
      </c>
      <c r="CF53" s="29">
        <f t="shared" si="45"/>
        <v>0</v>
      </c>
      <c r="CG53" s="17">
        <f>COUNTIFS('Prácticas_Revisiones'!$S$2:$S$282,"T043",'Prácticas_Revisiones'!$T$2:$T$282,"SOFTWARE SECURITY &gt; Software Security Fundamentals")+COUNTIFS('Prácticas_Snowballing'!$AB$2:$AB$281,"T043",'Prácticas_Snowballing'!$AC$2:$AC$281,"SOFTWARE SECURITY &gt; Software Security Fundamentals")</f>
        <v>0</v>
      </c>
      <c r="CH53" s="17">
        <f>COUNTIFS('Prácticas_Revisiones'!$S$2:$S$282,"T043",'Prácticas_Revisiones'!$T$2:$T$282,"SOFTWARE SECURITY &gt; Security Management and Organization")+COUNTIFS('Prácticas_Snowballing'!$AB$2:$AB$281,"T043",'Prácticas_Snowballing'!$AC$2:$AC$281,"SOFTWARE SECURITY &gt; Security Management and Organization")</f>
        <v>0</v>
      </c>
      <c r="CI53" s="17">
        <f>COUNTIFS('Prácticas_Revisiones'!$S$2:$S$282,"T043",'Prácticas_Revisiones'!$T$2:$T$282,"SOFTWARE SECURITY &gt; Software Security Engineering and Process")+COUNTIFS('Prácticas_Snowballing'!$AB$2:$AB$281,"T043",'Prácticas_Snowballing'!$AC$2:$AC$281,"SOFTWARE SECURITY &gt; Software Security Engineering and Process")</f>
        <v>0</v>
      </c>
      <c r="CJ53" s="17">
        <f>COUNTIFS('Prácticas_Revisiones'!$S$2:$S$282,"T043",'Prácticas_Revisiones'!$T$2:$T$282,"SOFTWARE SECURITY &gt; Security Engineering for Software Systems")+COUNTIFS('Prácticas_Snowballing'!$AB$2:$AB$281,"T043",'Prácticas_Snowballing'!$AC$2:$AC$281,"SOFTWARE SECURITY &gt; Security Engineering for Software Systems")</f>
        <v>0</v>
      </c>
      <c r="CK53" s="17">
        <f>COUNTIFS('Prácticas_Revisiones'!$S$2:$S$282,"T043",'Prácticas_Revisiones'!$T$2:$T$282,"SOFTWARE SECURITY &gt; Software Security Tools")+COUNTIFS('Prácticas_Snowballing'!$AB$2:$AB$281,"T043",'Prácticas_Snowballing'!$AC$2:$AC$281,"SOFTWARE SECURITY &gt; Software Security Tools")</f>
        <v>0</v>
      </c>
      <c r="CL53" s="17">
        <f>COUNTIFS('Prácticas_Revisiones'!$S$2:$S$282,"T043",'Prácticas_Revisiones'!$T$2:$T$282,"SOFTWARE SECURITY &gt; Domain Specific Software Security")+COUNTIFS('Prácticas_Snowballing'!$AB$2:$AB$281,"T043",'Prácticas_Snowballing'!$AC$2:$AC$281,"SOFTWARE SECURITY &gt; Domain Specific Software Security")</f>
        <v>0</v>
      </c>
      <c r="CM53" s="17">
        <f>COUNTIFS('Prácticas_Revisiones'!$S$2:$S$282,"T043",'Prácticas_Revisiones'!$T$2:$T$282,"SOFTWARE SECURITY &gt; Subárea no determinable")+COUNTIFS('Prácticas_Snowballing'!$AB$2:$AB$281,"T043",'Prácticas_Snowballing'!$AC$2:$AC$281,"SOFTWARE SECURITY &gt; Subárea no determinable")</f>
        <v>0</v>
      </c>
      <c r="CN53" s="29">
        <f t="shared" si="46"/>
        <v>0</v>
      </c>
      <c r="CO53" s="17">
        <f>COUNTIFS('Prácticas_Revisiones'!$S$2:$S$282,"T043",'Prácticas_Revisiones'!$T$2:$T$282,"PROFESSIONAL PRACTICE &gt; Professionalism")+COUNTIFS('Prácticas_Snowballing'!$AB$2:$AB$281,"T043",'Prácticas_Snowballing'!$AC$2:$AC$281,"PROFESSIONAL PRACTICE &gt; Professionalism")</f>
        <v>0</v>
      </c>
      <c r="CP53" s="17">
        <f>COUNTIFS('Prácticas_Revisiones'!$S$2:$S$282,"T043",'Prácticas_Revisiones'!$T$2:$T$282,"PROFESSIONAL PRACTICE &gt; Group Dynamics and Psychology")+COUNTIFS('Prácticas_Snowballing'!$AB$2:$AB$281,"T043",'Prácticas_Snowballing'!$AC$2:$AC$281,"PROFESSIONAL PRACTICE &gt; Group Dynamics and Psychology")</f>
        <v>0</v>
      </c>
      <c r="CQ53" s="17">
        <f>COUNTIFS('Prácticas_Revisiones'!$S$2:$S$282,"T043",'Prácticas_Revisiones'!$T$2:$T$282,"PROFESSIONAL PRACTICE &gt; Communication Skills")+COUNTIFS('Prácticas_Snowballing'!$AB$2:$AB$281,"T043",'Prácticas_Snowballing'!$AC$2:$AC$281,"PROFESSIONAL PRACTICE &gt; Communication Skills")</f>
        <v>0</v>
      </c>
      <c r="CR53" s="17">
        <f>COUNTIFS('Prácticas_Revisiones'!$S$2:$S$282,"T043",'Prácticas_Revisiones'!$T$2:$T$282,"PROFESSIONAL PRACTICE &gt; Subárea no determinable")+COUNTIFS('Prácticas_Snowballing'!$AB$2:$AB$281,"T043",'Prácticas_Snowballing'!$AC$2:$AC$281,"PROFESSIONAL PRACTICE &gt; Subárea no determinable")</f>
        <v>0</v>
      </c>
      <c r="CS53" s="29">
        <f t="shared" si="47"/>
        <v>0</v>
      </c>
      <c r="CT53" s="17">
        <f>COUNTIFS('Prácticas_Revisiones'!$S$2:$S$282,"T043",'Prácticas_Revisiones'!$T$2:$T$282,"SOFTWARE ENG. ECONOMICS &gt; Software Engineering Economics Fundamentals")+COUNTIFS('Prácticas_Snowballing'!$AB$2:$AB$281,"T043",'Prácticas_Snowballing'!$AC$2:$AC$281,"SOFTWARE ENG. ECONOMICS &gt; Software Engineering Economics Fundamentals")</f>
        <v>0</v>
      </c>
      <c r="CU53" s="17">
        <f>COUNTIFS('Prácticas_Revisiones'!$S$2:$S$282,"T043",'Prácticas_Revisiones'!$T$2:$T$282,"SOFTWARE ENG. ECONOMICS &gt; The Engineering Decision-Making Process")+COUNTIFS('Prácticas_Snowballing'!$AB$2:$AB$281,"T043",'Prácticas_Snowballing'!$AC$2:$AC$281,"SOFTWARE ENG. ECONOMICS &gt; The Engineering Decision-Making Process")</f>
        <v>0</v>
      </c>
      <c r="CV53" s="17">
        <f>COUNTIFS('Prácticas_Revisiones'!$S$2:$S$282,"T043",'Prácticas_Revisiones'!$T$2:$T$282,"SOFTWARE ENG. ECONOMICS &gt; For-Profit Decision-Making")+COUNTIFS('Prácticas_Snowballing'!$AB$2:$AB$281,"T043",'Prácticas_Snowballing'!$AC$2:$AC$281,"SOFTWARE ENG. ECONOMICS &gt; For-Profit Decision-Making")</f>
        <v>0</v>
      </c>
      <c r="CW53" s="17">
        <f>COUNTIFS('Prácticas_Revisiones'!$S$2:$S$282,"T043",'Prácticas_Revisiones'!$T$2:$T$282,"SOFTWARE ENG. ECONOMICS &gt; Nonprofit Decision-Making")+COUNTIFS('Prácticas_Snowballing'!$AB$2:$AB$281,"T043",'Prácticas_Snowballing'!$AC$2:$AC$281,"SOFTWARE ENG. ECONOMICS &gt; Nonprofit Decision-Making")</f>
        <v>0</v>
      </c>
      <c r="CX53" s="17">
        <f>COUNTIFS('Prácticas_Revisiones'!$S$2:$S$282,"T043",'Prácticas_Revisiones'!$T$2:$T$282,"SOFTWARE ENG. ECONOMICS &gt; Present Economy Decision-Making")+COUNTIFS('Prácticas_Snowballing'!$AB$2:$AB$281,"T043",'Prácticas_Snowballing'!$AC$2:$AC$281,"SOFTWARE ENG. ECONOMICS &gt; Present Economy Decision-Making")</f>
        <v>0</v>
      </c>
      <c r="CY53" s="17">
        <f>COUNTIFS('Prácticas_Revisiones'!$S$2:$S$282,"T043",'Prácticas_Revisiones'!$T$2:$T$282,"SOFTWARE ENG. ECONOMICS &gt; Multiple-Attribute Decision-Making")+COUNTIFS('Prácticas_Snowballing'!$AB$2:$AB$281,"T043",'Prácticas_Snowballing'!$AC$2:$AC$281,"SOFTWARE ENG. ECONOMICS &gt; Multiple-Attribute Decision-Making")</f>
        <v>0</v>
      </c>
      <c r="CZ53" s="17">
        <f>COUNTIFS('Prácticas_Revisiones'!$S$2:$S$282,"T043",'Prácticas_Revisiones'!$T$2:$T$282,"SOFTWARE ENG. ECONOMICS &gt; Identifying and Characterizing Intangible Assets")+COUNTIFS('Prácticas_Snowballing'!$AB$2:$AB$281,"T043",'Prácticas_Snowballing'!$AC$2:$AC$281,"SOFTWARE ENG. ECONOMICS &gt; Identifying and Characterizing Intangible Assets")</f>
        <v>0</v>
      </c>
      <c r="DA53" s="17">
        <f>COUNTIFS('Prácticas_Revisiones'!$S$2:$S$282,"T043",'Prácticas_Revisiones'!$T$2:$T$282,"SOFTWARE ENG. ECONOMICS &gt; Estimation")+COUNTIFS('Prácticas_Snowballing'!$AB$2:$AB$281,"T043",'Prácticas_Snowballing'!$AC$2:$AC$281,"SOFTWARE ENG. ECONOMICS &gt; Estimation")</f>
        <v>0</v>
      </c>
      <c r="DB53" s="17">
        <f>COUNTIFS('Prácticas_Revisiones'!$S$2:$S$282,"T043",'Prácticas_Revisiones'!$T$2:$T$282,"SOFTWARE ENG. ECONOMICS &gt; Practical Considerations")+COUNTIFS('Prácticas_Snowballing'!$AB$2:$AB$281,"T043",'Prácticas_Snowballing'!$AC$2:$AC$281,"SOFTWARE ENG. ECONOMICS &gt; Practical Considerations")</f>
        <v>0</v>
      </c>
      <c r="DC53" s="17">
        <f>COUNTIFS('Prácticas_Revisiones'!$S$2:$S$282,"T043",'Prácticas_Revisiones'!$T$2:$T$282,"SOFTWARE ENG. ECONOMICS &gt; Related Concepts")+COUNTIFS('Prácticas_Snowballing'!$AB$2:$AB$281,"T043",'Prácticas_Snowballing'!$AC$2:$AC$281,"SOFTWARE ENG. ECONOMICS &gt; Related Concepts")</f>
        <v>0</v>
      </c>
      <c r="DD53" s="17">
        <f>COUNTIFS('Prácticas_Revisiones'!$S$2:$S$282,"T043",'Prácticas_Revisiones'!$T$2:$T$282,"SOFTWARE ENG. ECONOMICS &gt; Subárea no determinable")+COUNTIFS('Prácticas_Snowballing'!$AB$2:$AB$281,"T043",'Prácticas_Snowballing'!$AC$2:$AC$281,"SOFTWARE ENG. ECONOMICS &gt; Subárea no determinable")</f>
        <v>0</v>
      </c>
      <c r="DE53" s="29">
        <f t="shared" si="48"/>
        <v>0</v>
      </c>
      <c r="DF53" s="17">
        <f>COUNTIFS('Prácticas_Revisiones'!$S$2:$S$282,"T043",'Prácticas_Revisiones'!$T$2:$T$282,"SOFTWARE ENG. MANAGEMENT &gt; Software Engineering Management Fundamentals")+COUNTIFS('Prácticas_Snowballing'!$AB$2:$AB$281,"T043",'Prácticas_Snowballing'!$AC$2:$AC$281,"SOFTWARE ENG. MANAGEMENT &gt; Software Engineering Management Fundamentals")</f>
        <v>0</v>
      </c>
      <c r="DG53" s="17">
        <f>COUNTIFS('Prácticas_Revisiones'!$S$2:$S$282,"T043",'Prácticas_Revisiones'!$T$2:$T$282,"SOFTWARE ENG. MANAGEMENT &gt; Initiation and Scope Definition")+COUNTIFS('Prácticas_Snowballing'!$AB$2:$AB$281,"T043",'Prácticas_Snowballing'!$AC$2:$AC$281,"SOFTWARE ENG. MANAGEMENT &gt; Initiation and Scope Definition")</f>
        <v>0</v>
      </c>
      <c r="DH53" s="17">
        <f>COUNTIFS('Prácticas_Revisiones'!$S$2:$S$282,"T043",'Prácticas_Revisiones'!$T$2:$T$282,"SOFTWARE ENG. MANAGEMENT &gt; Software Project Planning")+COUNTIFS('Prácticas_Snowballing'!$AB$2:$AB$281,"T043",'Prácticas_Snowballing'!$AC$2:$AC$281,"SOFTWARE ENG. MANAGEMENT &gt; Software Project Planning")</f>
        <v>0</v>
      </c>
      <c r="DI53" s="17">
        <f>COUNTIFS('Prácticas_Revisiones'!$S$2:$S$282,"T043",'Prácticas_Revisiones'!$T$2:$T$282,"SOFTWARE ENG. MANAGEMENT &gt; Software Project Enactment")+COUNTIFS('Prácticas_Snowballing'!$AB$2:$AB$281,"T043",'Prácticas_Snowballing'!$AC$2:$AC$281,"SOFTWARE ENG. MANAGEMENT &gt; Software Project Enactment")</f>
        <v>0</v>
      </c>
      <c r="DJ53" s="17">
        <f>COUNTIFS('Prácticas_Revisiones'!$S$2:$S$282,"T043",'Prácticas_Revisiones'!$T$2:$T$282,"SOFTWARE ENG. MANAGEMENT &gt; Review and Evaluation")+COUNTIFS('Prácticas_Snowballing'!$AB$2:$AB$281,"T043",'Prácticas_Snowballing'!$AC$2:$AC$281,"SOFTWARE ENG. MANAGEMENT &gt; Review and Evaluation")</f>
        <v>0</v>
      </c>
      <c r="DK53" s="17">
        <f>COUNTIFS('Prácticas_Revisiones'!$S$2:$S$282,"T043",'Prácticas_Revisiones'!$T$2:$T$282,"SOFTWARE ENG. MANAGEMENT &gt; Closure")+COUNTIFS('Prácticas_Snowballing'!$AB$2:$AB$281,"T043",'Prácticas_Snowballing'!$AC$2:$AC$281,"SOFTWARE ENG. MANAGEMENT &gt; Closure")</f>
        <v>0</v>
      </c>
      <c r="DL53" s="17">
        <f>COUNTIFS('Prácticas_Revisiones'!$S$2:$S$282,"T043",'Prácticas_Revisiones'!$T$2:$T$282,"SOFTWARE ENG. MANAGEMENT &gt; Software Engineering Management Tools")+COUNTIFS('Prácticas_Snowballing'!$AB$2:$AB$281,"T043",'Prácticas_Snowballing'!$AC$2:$AC$281,"SOFTWARE ENG. MANAGEMENT &gt; Software Engineering Management Tools")</f>
        <v>0</v>
      </c>
      <c r="DM53" s="17">
        <f>COUNTIFS('Prácticas_Revisiones'!$S$2:$S$282,"T043",'Prácticas_Revisiones'!$T$2:$T$282,"SOFTWARE ENG. MANAGEMENT &gt; Subárea no determinable")+COUNTIFS('Prácticas_Snowballing'!$AB$2:$AB$281,"T043",'Prácticas_Snowballing'!$AC$2:$AC$281,"SOFTWARE ENG. MANAGEMENT &gt; Subárea no determinable")</f>
        <v>0</v>
      </c>
      <c r="DN53" s="29">
        <f t="shared" si="49"/>
        <v>0</v>
      </c>
      <c r="DO53" s="17">
        <f>COUNTIFS('Prácticas_Revisiones'!$S$2:$S$282,"T043",'Prácticas_Revisiones'!$T$2:$T$282,"Sin área SWEBOK")+COUNTIFS('Prácticas_Snowballing'!$AB$2:$AB$281,"T043",'Prácticas_Snowballing'!$AC$2:$AC$281,"Sin área SWEBOK")</f>
        <v>0</v>
      </c>
      <c r="DP53" s="27">
        <f t="shared" si="50"/>
        <v>0</v>
      </c>
    </row>
    <row r="54" ht="15.75" customHeight="1">
      <c r="A54" s="28"/>
      <c r="B54" s="16" t="s">
        <v>2789</v>
      </c>
      <c r="C54" s="17">
        <f>COUNTIFS('Prácticas_Revisiones'!$S$2:$S$282,"T044",'Prácticas_Revisiones'!$T$2:$T$282,"REQUIREMENTS &gt; Software Requirements Fundamentals")+COUNTIFS('Prácticas_Snowballing'!$AB$2:$AB$281,"T044",'Prácticas_Snowballing'!$AC$2:$AC$281,"REQUIREMENTS &gt; Software Requirements Fundamentals")</f>
        <v>0</v>
      </c>
      <c r="D54" s="17">
        <f>COUNTIFS('Prácticas_Revisiones'!$S$2:$S$282,"T044",'Prácticas_Revisiones'!$T$2:$T$282,"REQUIREMENTS &gt; Requirements Elicitation")+COUNTIFS('Prácticas_Snowballing'!$AB$2:$AB$281,"T044",'Prácticas_Snowballing'!$AC$2:$AC$281,"REQUIREMENTS &gt; Requirements Elicitation")</f>
        <v>0</v>
      </c>
      <c r="E54" s="17">
        <f>COUNTIFS('Prácticas_Revisiones'!$S$2:$S$282,"T044",'Prácticas_Revisiones'!$T$2:$T$282,"REQUIREMENTS &gt; Requirements Analysis")+COUNTIFS('Prácticas_Snowballing'!$AB$2:$AB$281,"T044",'Prácticas_Snowballing'!$AC$2:$AC$281,"REQUIREMENTS &gt; Requirements Analysis")</f>
        <v>0</v>
      </c>
      <c r="F54" s="17">
        <f>COUNTIFS('Prácticas_Revisiones'!$S$2:$S$282,"T044",'Prácticas_Revisiones'!$T$2:$T$282,"REQUIREMENTS &gt; Requirements Specification")+COUNTIFS('Prácticas_Snowballing'!$AB$2:$AB$281,"T044",'Prácticas_Snowballing'!$AC$2:$AC$281,"REQUIREMENTS &gt; Requirements Specification")</f>
        <v>1</v>
      </c>
      <c r="G54" s="17">
        <f>COUNTIFS('Prácticas_Revisiones'!$S$2:$S$282,"T044",'Prácticas_Revisiones'!$T$2:$T$282,"REQUIREMENTS &gt; Requirements Validation")+COUNTIFS('Prácticas_Snowballing'!$AB$2:$AB$281,"T044",'Prácticas_Snowballing'!$AC$2:$AC$281,"REQUIREMENTS &gt; Requirements Validation")</f>
        <v>0</v>
      </c>
      <c r="H54" s="17">
        <f>COUNTIFS('Prácticas_Revisiones'!$S$2:$S$282,"T044",'Prácticas_Revisiones'!$T$2:$T$282,"REQUIREMENTS &gt; Requirements Management Activities")+COUNTIFS('Prácticas_Snowballing'!$AB$2:$AB$281,"T044",'Prácticas_Snowballing'!$AC$2:$AC$281,"REQUIREMENTS &gt; Requirements Management Activities")</f>
        <v>0</v>
      </c>
      <c r="I54" s="17">
        <f>COUNTIFS('Prácticas_Revisiones'!$S$2:$S$282,"T044",'Prácticas_Revisiones'!$T$2:$T$282,"REQUIREMENTS &gt; Practical Considerations")+COUNTIFS('Prácticas_Snowballing'!$AB$2:$AB$281,"T044",'Prácticas_Snowballing'!$AC$2:$AC$281,"REQUIREMENTS &gt; Practical Considerations")</f>
        <v>0</v>
      </c>
      <c r="J54" s="17">
        <f>COUNTIFS('Prácticas_Revisiones'!$S$2:$S$282,"T044",'Prácticas_Revisiones'!$T$2:$T$282,"REQUIREMENTS &gt; Software Requirements Tools")+COUNTIFS('Prácticas_Snowballing'!$AB$2:$AB$281,"T044",'Prácticas_Snowballing'!$AC$2:$AC$281,"REQUIREMENTS &gt; Software Requirements Tools")</f>
        <v>0</v>
      </c>
      <c r="K54" s="17">
        <f>COUNTIFS('Prácticas_Revisiones'!$S$2:$S$282,"T044",'Prácticas_Revisiones'!$T$2:$T$282,"REQUIREMENTS &gt; Subárea no determinable")+COUNTIFS('Prácticas_Snowballing'!$AB$2:$AB$281,"T044",'Prácticas_Snowballing'!$AC$2:$AC$281,"REQUIREMENTS &gt; Subárea no determinable")</f>
        <v>0</v>
      </c>
      <c r="L54" s="29">
        <f t="shared" si="35"/>
        <v>1</v>
      </c>
      <c r="M54" s="17">
        <f>COUNTIFS('Prácticas_Revisiones'!$S$2:$S$282,"T044",'Prácticas_Revisiones'!$T$2:$T$282,"ARCHITECTURE &gt; Software Architecture Fundamentals")+COUNTIFS('Prácticas_Snowballing'!$AB$2:$AB$281,"T044",'Prácticas_Snowballing'!$AC$2:$AC$281,"ARCHITECTURE &gt; Software Architecture Fundamentals")</f>
        <v>0</v>
      </c>
      <c r="N54" s="17">
        <f>COUNTIFS('Prácticas_Revisiones'!$S$2:$S$282,"T044",'Prácticas_Revisiones'!$T$2:$T$282,"ARCHITECTURE &gt; Software Architecture Description")+COUNTIFS('Prácticas_Snowballing'!$AB$2:$AB$281,"T044",'Prácticas_Snowballing'!$AC$2:$AC$281,"ARCHITECTURE &gt; Software Architecture Description")</f>
        <v>0</v>
      </c>
      <c r="O54" s="17">
        <f>COUNTIFS('Prácticas_Revisiones'!$S$2:$S$282,"T044",'Prácticas_Revisiones'!$T$2:$T$282,"ARCHITECTURE &gt; Software Architecture Process")+COUNTIFS('Prácticas_Snowballing'!$AB$2:$AB$281,"T044",'Prácticas_Snowballing'!$AC$2:$AC$281,"ARCHITECTURE &gt; Software Architecture Process")</f>
        <v>0</v>
      </c>
      <c r="P54" s="17">
        <f>COUNTIFS('Prácticas_Revisiones'!$S$2:$S$282,"T044",'Prácticas_Revisiones'!$T$2:$T$282,"ARCHITECTURE &gt; Software Architecture Evaluation")+COUNTIFS('Prácticas_Snowballing'!$AB$2:$AB$281,"T044",'Prácticas_Snowballing'!$AC$2:$AC$281,"ARCHITECTURE &gt; Software Architecture Evaluation")</f>
        <v>0</v>
      </c>
      <c r="Q54" s="17">
        <f>COUNTIFS('Prácticas_Revisiones'!$S$2:$S$282,"T044",'Prácticas_Revisiones'!$T$2:$T$282,"ARCHITECTURE &gt; Subárea no determinable")+COUNTIFS('Prácticas_Snowballing'!$AB$2:$AB$281,"T044",'Prácticas_Snowballing'!$AC$2:$AC$281,"ARCHITECTURE &gt; Subárea no determinable")</f>
        <v>0</v>
      </c>
      <c r="R54" s="29">
        <f t="shared" si="36"/>
        <v>0</v>
      </c>
      <c r="S54" s="17">
        <f>COUNTIFS('Prácticas_Revisiones'!$S$2:$S$282,"T044",'Prácticas_Revisiones'!$T$2:$T$282,"DESIGN &gt; Software Design Fundamentals")+COUNTIFS('Prácticas_Snowballing'!$AB$2:$AB$281,"T044",'Prácticas_Snowballing'!$AC$2:$AC$281,"DESIGN &gt; Software Design Fundamentals")</f>
        <v>2</v>
      </c>
      <c r="T54" s="17">
        <f>COUNTIFS('Prácticas_Revisiones'!$S$2:$S$282,"T044",'Prácticas_Revisiones'!$T$2:$T$282,"DESIGN &gt; Software Design Processes")+COUNTIFS('Prácticas_Snowballing'!$AB$2:$AB$281,"T044",'Prácticas_Snowballing'!$AC$2:$AC$281,"DESIGN &gt; Software Design Processes")</f>
        <v>0</v>
      </c>
      <c r="U54" s="17">
        <f>COUNTIFS('Prácticas_Revisiones'!$S$2:$S$282,"T044",'Prácticas_Revisiones'!$T$2:$T$282,"DESIGN &gt; Software Design Qualities")+COUNTIFS('Prácticas_Snowballing'!$AB$2:$AB$281,"T044",'Prácticas_Snowballing'!$AC$2:$AC$281,"DESIGN &gt; Software Design Qualities")</f>
        <v>0</v>
      </c>
      <c r="V54" s="17">
        <f>COUNTIFS('Prácticas_Revisiones'!$S$2:$S$282,"T044",'Prácticas_Revisiones'!$T$2:$T$282,"DESIGN &gt; Recording Software Design")+COUNTIFS('Prácticas_Snowballing'!$AB$2:$AB$281,"T044",'Prácticas_Snowballing'!$AC$2:$AC$281,"DESIGN &gt; Recording Software Design")</f>
        <v>0</v>
      </c>
      <c r="W54" s="17">
        <f>COUNTIFS('Prácticas_Revisiones'!$S$2:$S$282,"T044",'Prácticas_Revisiones'!$T$2:$T$282,"DESIGN &gt; Software Design Strategies and Methods")+COUNTIFS('Prácticas_Snowballing'!$AB$2:$AB$281,"T044",'Prácticas_Snowballing'!$AC$2:$AC$281,"DESIGN &gt; Software Design Strategies and Methods")</f>
        <v>0</v>
      </c>
      <c r="X54" s="17">
        <f>COUNTIFS('Prácticas_Revisiones'!$S$2:$S$282,"T044",'Prácticas_Revisiones'!$T$2:$T$282,"DESIGN &gt; Software Design Analysis and Evaluations")+COUNTIFS('Prácticas_Snowballing'!$AB$2:$AB$281,"T044",'Prácticas_Snowballing'!$AC$2:$AC$281,"DESIGN &gt; Software Design Analysis and Evaluations")</f>
        <v>0</v>
      </c>
      <c r="Y54" s="17">
        <f>COUNTIFS('Prácticas_Revisiones'!$S$2:$S$282,"T044",'Prácticas_Revisiones'!$T$2:$T$282,"DESIGN &gt; Subárea no determinable")+COUNTIFS('Prácticas_Snowballing'!$AB$2:$AB$281,"T044",'Prácticas_Snowballing'!$AC$2:$AC$281,"DESIGN &gt; Subárea no determinable")</f>
        <v>0</v>
      </c>
      <c r="Z54" s="29">
        <f t="shared" si="37"/>
        <v>2</v>
      </c>
      <c r="AA54" s="17">
        <f>COUNTIFS('Prácticas_Revisiones'!$S$2:$S$282,"T044",'Prácticas_Revisiones'!$T$2:$T$282,"CONSTRUCTION &gt; Software Construction Fundamentals")+COUNTIFS('Prácticas_Snowballing'!$AB$2:$AB$281,"T044",'Prácticas_Snowballing'!$AC$2:$AC$281,"CONSTRUCTION &gt; Software Construction Fundamentals")</f>
        <v>30</v>
      </c>
      <c r="AB54" s="17">
        <f>COUNTIFS('Prácticas_Revisiones'!$S$2:$S$282,"T044",'Prácticas_Revisiones'!$T$2:$T$282,"CONSTRUCTION &gt; Managing Construction")+COUNTIFS('Prácticas_Snowballing'!$AB$2:$AB$281,"T044",'Prácticas_Snowballing'!$AC$2:$AC$281,"CONSTRUCTION &gt; Managing Construction")</f>
        <v>1</v>
      </c>
      <c r="AC54" s="17">
        <f>COUNTIFS('Prácticas_Revisiones'!$S$2:$S$282,"T044",'Prácticas_Revisiones'!$T$2:$T$282,"CONSTRUCTION &gt; Practical Considerations")+COUNTIFS('Prácticas_Snowballing'!$AB$2:$AB$281,"T044",'Prácticas_Snowballing'!$AC$2:$AC$281,"CONSTRUCTION &gt; Practical Considerations")</f>
        <v>30</v>
      </c>
      <c r="AD54" s="17">
        <f>COUNTIFS('Prácticas_Revisiones'!$S$2:$S$282,"T044",'Prácticas_Revisiones'!$T$2:$T$282,"CONSTRUCTION &gt; Construction Technologies")+COUNTIFS('Prácticas_Snowballing'!$AB$2:$AB$281,"T044",'Prácticas_Snowballing'!$AC$2:$AC$281,"CONSTRUCTION &gt; Construction Technologies")</f>
        <v>15</v>
      </c>
      <c r="AE54" s="17">
        <f>COUNTIFS('Prácticas_Revisiones'!$S$2:$S$282,"T044",'Prácticas_Revisiones'!$T$2:$T$282,"CONSTRUCTION &gt; Software Construction Tools")+COUNTIFS('Prácticas_Snowballing'!$AB$2:$AB$281,"T044",'Prácticas_Snowballing'!$AC$2:$AC$281,"CONSTRUCTION &gt; Software Construction Tools")</f>
        <v>8</v>
      </c>
      <c r="AF54" s="17">
        <f>COUNTIFS('Prácticas_Revisiones'!$S$2:$S$282,"T044",'Prácticas_Revisiones'!$T$2:$T$282,"CONSTRUCTION &gt; Subárea no determinable")+COUNTIFS('Prácticas_Snowballing'!$AB$2:$AB$281,"T044",'Prácticas_Snowballing'!$AC$2:$AC$281,"CONSTRUCTION &gt; Subárea no determinable")</f>
        <v>2</v>
      </c>
      <c r="AG54" s="29">
        <f t="shared" si="38"/>
        <v>86</v>
      </c>
      <c r="AH54" s="17">
        <f>COUNTIFS('Prácticas_Revisiones'!$S$2:$S$282,"T044",'Prácticas_Revisiones'!$T$2:$T$282,"SOFTWARE TESTING &gt; Software Testing Fundamentals")+COUNTIFS('Prácticas_Snowballing'!$AB$2:$AB$281,"T044",'Prácticas_Snowballing'!$AC$2:$AC$281,"SOFTWARE TESTING &gt; Software Testing Fundamentals")</f>
        <v>0</v>
      </c>
      <c r="AI54" s="17">
        <f>COUNTIFS('Prácticas_Revisiones'!$S$2:$S$282,"T044",'Prácticas_Revisiones'!$T$2:$T$282,"SOFTWARE TESTING &gt; Test Levels")+COUNTIFS('Prácticas_Snowballing'!$AB$2:$AB$281,"T044",'Prácticas_Snowballing'!$AC$2:$AC$281,"SOFTWARE TESTING &gt; Test Levels")</f>
        <v>0</v>
      </c>
      <c r="AJ54" s="17">
        <f>COUNTIFS('Prácticas_Revisiones'!$S$2:$S$282,"T044",'Prácticas_Revisiones'!$T$2:$T$282,"SOFTWARE TESTING &gt; Test Techniques")+COUNTIFS('Prácticas_Snowballing'!$AB$2:$AB$281,"T044",'Prácticas_Snowballing'!$AC$2:$AC$281,"SOFTWARE TESTING &gt; Test Techniques")</f>
        <v>0</v>
      </c>
      <c r="AK54" s="17">
        <f>COUNTIFS('Prácticas_Revisiones'!$S$2:$S$282,"T044",'Prácticas_Revisiones'!$T$2:$T$282,"SOFTWARE TESTING &gt; Test-Related Measures")+COUNTIFS('Prácticas_Snowballing'!$AB$2:$AB$281,"T044",'Prácticas_Snowballing'!$AC$2:$AC$281,"SOFTWARE TESTING &gt; Test-Related Measures")</f>
        <v>0</v>
      </c>
      <c r="AL54" s="17">
        <f>COUNTIFS('Prácticas_Revisiones'!$S$2:$S$282,"T044",'Prácticas_Revisiones'!$T$2:$T$282,"SOFTWARE TESTING &gt; Test Process")+COUNTIFS('Prácticas_Snowballing'!$AB$2:$AB$281,"T044",'Prácticas_Snowballing'!$AC$2:$AC$281,"SOFTWARE TESTING &gt; Test Process")</f>
        <v>0</v>
      </c>
      <c r="AM54" s="17">
        <f>COUNTIFS('Prácticas_Revisiones'!$S$2:$S$282,"T044",'Prácticas_Revisiones'!$T$2:$T$282,"SOFTWARE TESTING &gt; Software Testing in the Development Processes...")+COUNTIFS('Prácticas_Snowballing'!$AB$2:$AB$281,"T044",'Prácticas_Snowballing'!$AC$2:$AC$281,"SOFTWARE TESTING &gt; Software Testing in the Development Processes...")</f>
        <v>0</v>
      </c>
      <c r="AN54" s="17">
        <f>COUNTIFS('Prácticas_Revisiones'!$S$2:$S$282,"T044",'Prácticas_Revisiones'!$T$2:$T$282,"SOFTWARE TESTING &gt; Testing of and Testing Through Emerging Tech...")+COUNTIFS('Prácticas_Snowballing'!$AB$2:$AB$281,"T044",'Prácticas_Snowballing'!$AC$2:$AC$281,"SOFTWARE TESTING &gt; Testing of and Testing Through Emerging Tech...")</f>
        <v>0</v>
      </c>
      <c r="AO54" s="17">
        <f>COUNTIFS('Prácticas_Revisiones'!$S$2:$S$282,"T044",'Prácticas_Revisiones'!$T$2:$T$282,"SOFTWARE TESTING &gt; Software Testing Tools")+COUNTIFS('Prácticas_Snowballing'!$AB$2:$AB$281,"T044",'Prácticas_Snowballing'!$AC$2:$AC$281,"SOFTWARE TESTING &gt; Software Testing Tools")</f>
        <v>0</v>
      </c>
      <c r="AP54" s="17">
        <f>COUNTIFS('Prácticas_Revisiones'!$S$2:$S$282,"T044",'Prácticas_Revisiones'!$T$2:$T$282,"SOFTWARE TESTING &gt; Subárea no determinable")+COUNTIFS('Prácticas_Snowballing'!$AB$2:$AB$281,"T044",'Prácticas_Snowballing'!$AC$2:$AC$281,"SOFTWARE TESTING &gt; Subárea no determinable")</f>
        <v>0</v>
      </c>
      <c r="AQ54" s="29">
        <f t="shared" si="39"/>
        <v>0</v>
      </c>
      <c r="AR54" s="17">
        <f>COUNTIFS('Prácticas_Revisiones'!$S$2:$S$282,"T044",'Prácticas_Revisiones'!$T$2:$T$282,"SOFTWARE ENG. OPERATIONS &gt; Software Engineering Operations Fundamentals")+COUNTIFS('Prácticas_Snowballing'!$AB$2:$AB$281,"T044",'Prácticas_Snowballing'!$AC$2:$AC$281,"SOFTWARE ENG. OPERATIONS &gt; Software Engineering Operations Fundamentals")</f>
        <v>0</v>
      </c>
      <c r="AS54" s="17">
        <f>COUNTIFS('Prácticas_Revisiones'!$S$2:$S$282,"T044",'Prácticas_Revisiones'!$T$2:$T$282,"SOFTWARE ENG. OPERATIONS &gt; Software Engineering Operations Planning")+COUNTIFS('Prácticas_Snowballing'!$AB$2:$AB$281,"T044",'Prácticas_Snowballing'!$AC$2:$AC$281,"SOFTWARE ENG. OPERATIONS &gt; Software Engineering Operations Planning")</f>
        <v>0</v>
      </c>
      <c r="AT54" s="17">
        <f>COUNTIFS('Prácticas_Revisiones'!$S$2:$S$282,"T044",'Prácticas_Revisiones'!$T$2:$T$282,"SOFTWARE ENG. OPERATIONS &gt; Software Engineering Operations Delivery")+COUNTIFS('Prácticas_Snowballing'!$AB$2:$AB$281,"T044",'Prácticas_Snowballing'!$AC$2:$AC$281,"SOFTWARE ENG. OPERATIONS &gt; Software Engineering Operations Delivery")</f>
        <v>0</v>
      </c>
      <c r="AU54" s="17">
        <f>COUNTIFS('Prácticas_Revisiones'!$S$2:$S$282,"T044",'Prácticas_Revisiones'!$T$2:$T$282,"SOFTWARE ENG. OPERATIONS &gt; Software Engineering Operations Control")+COUNTIFS('Prácticas_Snowballing'!$AB$2:$AB$281,"T044",'Prácticas_Snowballing'!$AC$2:$AC$281,"SOFTWARE ENG. OPERATIONS &gt; Software Engineering Operations Control")</f>
        <v>0</v>
      </c>
      <c r="AV54" s="17">
        <f>COUNTIFS('Prácticas_Revisiones'!$S$2:$S$282,"T044",'Prácticas_Revisiones'!$T$2:$T$282,"SOFTWARE ENG. OPERATIONS &gt; Practical Considerations")+COUNTIFS('Prácticas_Snowballing'!$AB$2:$AB$281,"T044",'Prácticas_Snowballing'!$AC$2:$AC$281,"SOFTWARE ENG. OPERATIONS &gt; Practical Considerations")</f>
        <v>0</v>
      </c>
      <c r="AW54" s="17">
        <f>COUNTIFS('Prácticas_Revisiones'!$S$2:$S$282,"T044",'Prácticas_Revisiones'!$T$2:$T$282,"SOFTWARE ENG. OPERATIONS &gt; Software Engineering Operations Tools")+COUNTIFS('Prácticas_Snowballing'!$AB$2:$AB$281,"T044",'Prácticas_Snowballing'!$AC$2:$AC$281,"SOFTWARE ENG. OPERATIONS &gt; Software Engineering Operations Tools")</f>
        <v>0</v>
      </c>
      <c r="AX54" s="17">
        <f>COUNTIFS('Prácticas_Revisiones'!$S$2:$S$282,"T044",'Prácticas_Revisiones'!$T$2:$T$282,"SOFTWARE ENG. OPERATIONS &gt; Subárea no determinable")+COUNTIFS('Prácticas_Snowballing'!$AB$2:$AB$281,"T044",'Prácticas_Snowballing'!$AC$2:$AC$281,"SOFTWARE ENG. OPERATIONS &gt; Subárea no determinable")</f>
        <v>0</v>
      </c>
      <c r="AY54" s="29">
        <f t="shared" si="40"/>
        <v>0</v>
      </c>
      <c r="AZ54" s="17">
        <f>COUNTIFS('Prácticas_Revisiones'!$S$2:$S$282,"T044",'Prácticas_Revisiones'!$T$2:$T$282,"MAINTENANCE &gt; Software Maintenance Fundamentals")+COUNTIFS('Prácticas_Snowballing'!$AB$2:$AB$281,"T044",'Prácticas_Snowballing'!$AC$2:$AC$281,"MAINTENANCE &gt; Software Maintenance Fundamentals")</f>
        <v>0</v>
      </c>
      <c r="BA54" s="17">
        <f>COUNTIFS('Prácticas_Revisiones'!$S$2:$S$282,"T044",'Prácticas_Revisiones'!$T$2:$T$282,"MAINTENANCE &gt; Key Issues in Software Maintenance")+COUNTIFS('Prácticas_Snowballing'!$AB$2:$AB$281,"T044",'Prácticas_Snowballing'!$AC$2:$AC$281,"MAINTENANCE &gt; Key Issues in Software Maintenance")</f>
        <v>0</v>
      </c>
      <c r="BB54" s="17">
        <f>COUNTIFS('Prácticas_Revisiones'!$S$2:$S$282,"T044",'Prácticas_Revisiones'!$T$2:$T$282,"MAINTENANCE &gt; Software Maintenance Processes")+COUNTIFS('Prácticas_Snowballing'!$AB$2:$AB$281,"T044",'Prácticas_Snowballing'!$AC$2:$AC$281,"MAINTENANCE &gt; Software Maintenance Processes")</f>
        <v>0</v>
      </c>
      <c r="BC54" s="17">
        <f>COUNTIFS('Prácticas_Revisiones'!$S$2:$S$282,"T044",'Prácticas_Revisiones'!$T$2:$T$282,"MAINTENANCE &gt; Software Maintenance Techniques")+COUNTIFS('Prácticas_Snowballing'!$AB$2:$AB$281,"T044",'Prácticas_Snowballing'!$AC$2:$AC$281,"MAINTENANCE &gt; Software Maintenance Techniques")</f>
        <v>1</v>
      </c>
      <c r="BD54" s="17">
        <f>COUNTIFS('Prácticas_Revisiones'!$S$2:$S$282,"T044",'Prácticas_Revisiones'!$T$2:$T$282,"MAINTENANCE &gt; Software Maintenance Tools")+COUNTIFS('Prácticas_Snowballing'!$AB$2:$AB$281,"T044",'Prácticas_Snowballing'!$AC$2:$AC$281,"MAINTENANCE &gt; Software Maintenance Tools")</f>
        <v>0</v>
      </c>
      <c r="BE54" s="17">
        <f>COUNTIFS('Prácticas_Revisiones'!$S$2:$S$282,"T044",'Prácticas_Revisiones'!$T$2:$T$282,"MAINTENANCE &gt; Subárea no determinable")+COUNTIFS('Prácticas_Snowballing'!$AB$2:$AB$281,"T044",'Prácticas_Snowballing'!$AC$2:$AC$281,"MAINTENANCE &gt; Subárea no determinable")</f>
        <v>0</v>
      </c>
      <c r="BF54" s="29">
        <f t="shared" si="41"/>
        <v>1</v>
      </c>
      <c r="BG54" s="17">
        <f>COUNTIFS('Prácticas_Revisiones'!$S$2:$S$282,"T044",'Prácticas_Revisiones'!$T$2:$T$282,"SOFTWARE CONFIG. MGMT. &gt; Management of the SCM Process")+COUNTIFS('Prácticas_Snowballing'!$AB$2:$AB$281,"T044",'Prácticas_Snowballing'!$AC$2:$AC$281,"SOFTWARE CONFIG. MGMT. &gt; Management of the SCM Process")</f>
        <v>0</v>
      </c>
      <c r="BH54" s="17">
        <f>COUNTIFS('Prácticas_Revisiones'!$S$2:$S$282,"T044",'Prácticas_Revisiones'!$T$2:$T$282,"SOFTWARE CONFIG. MGMT. &gt; Software Configuration Identification")+COUNTIFS('Prácticas_Snowballing'!$AB$2:$AB$281,"T044",'Prácticas_Snowballing'!$AC$2:$AC$281,"SOFTWARE CONFIG. MGMT. &gt; Software Configuration Identification")</f>
        <v>0</v>
      </c>
      <c r="BI54" s="17">
        <f>COUNTIFS('Prácticas_Revisiones'!$S$2:$S$282,"T044",'Prácticas_Revisiones'!$T$2:$T$282,"SOFTWARE CONFIG. MGMT. &gt; Software Configuration Change Control")+COUNTIFS('Prácticas_Snowballing'!$AB$2:$AB$281,"T044",'Prácticas_Snowballing'!$AC$2:$AC$281,"SOFTWARE CONFIG. MGMT. &gt; Software Configuration Change Control")</f>
        <v>0</v>
      </c>
      <c r="BJ54" s="17">
        <f>COUNTIFS('Prácticas_Revisiones'!$S$2:$S$282,"T044",'Prácticas_Revisiones'!$T$2:$T$282,"SOFTWARE CONFIG. MGMT. &gt; Software Configuration Status Accounting")+COUNTIFS('Prácticas_Snowballing'!$AB$2:$AB$281,"T044",'Prácticas_Snowballing'!$AC$2:$AC$281,"SOFTWARE CONFIG. MGMT. &gt; Software Configuration Status Accounting")</f>
        <v>0</v>
      </c>
      <c r="BK54" s="17">
        <f>COUNTIFS('Prácticas_Revisiones'!$S$2:$S$282,"T044",'Prácticas_Revisiones'!$T$2:$T$282,"SOFTWARE CONFIG. MGMT. &gt; Software Configuration Auditing")+COUNTIFS('Prácticas_Snowballing'!$AB$2:$AB$281,"T044",'Prácticas_Snowballing'!$AC$2:$AC$281,"SOFTWARE CONFIG. MGMT. &gt; Software Configuration Auditing")</f>
        <v>0</v>
      </c>
      <c r="BL54" s="17">
        <f>COUNTIFS('Prácticas_Revisiones'!$S$2:$S$282,"T044",'Prácticas_Revisiones'!$T$2:$T$282,"SOFTWARE CONFIG. MGMT. &gt; Software Release Management and Delivery")+COUNTIFS('Prácticas_Snowballing'!$AB$2:$AB$281,"T044",'Prácticas_Snowballing'!$AC$2:$AC$281,"SOFTWARE CONFIG. MGMT. &gt; Software Release Management and Delivery")</f>
        <v>0</v>
      </c>
      <c r="BM54" s="17">
        <f>COUNTIFS('Prácticas_Revisiones'!$S$2:$S$282,"T044",'Prácticas_Revisiones'!$T$2:$T$282,"SOFTWARE CONFIG. MGMT. &gt; Software Configuration Management Tools")+COUNTIFS('Prácticas_Snowballing'!$AB$2:$AB$281,"T044",'Prácticas_Snowballing'!$AC$2:$AC$281,"SOFTWARE CONFIG. MGMT. &gt; Software Configuration Management Tools")</f>
        <v>0</v>
      </c>
      <c r="BN54" s="17">
        <f>COUNTIFS('Prácticas_Revisiones'!$S$2:$S$282,"T044",'Prácticas_Revisiones'!$T$2:$T$282,"SOFTWARE CONFIG. MGMT. &gt; Subárea no determinable")+COUNTIFS('Prácticas_Snowballing'!$AB$2:$AB$281,"T044",'Prácticas_Snowballing'!$AC$2:$AC$281,"SOFTWARE CONFIG. MGMT. &gt; Subárea no determinable")</f>
        <v>0</v>
      </c>
      <c r="BO54" s="29">
        <f t="shared" si="42"/>
        <v>0</v>
      </c>
      <c r="BP54" s="17">
        <f>COUNTIFS('Prácticas_Revisiones'!$S$2:$S$282,"T044",'Prácticas_Revisiones'!$T$2:$T$282,"SOFTWARE ENG. PROCESS &gt; Software Engineering Process Fundamentals")+COUNTIFS('Prácticas_Snowballing'!$AB$2:$AB$281,"T044",'Prácticas_Snowballing'!$AC$2:$AC$281,"SOFTWARE ENG. PROCESS &gt; Software Engineering Process Fundamentals")</f>
        <v>0</v>
      </c>
      <c r="BQ54" s="17">
        <f>COUNTIFS('Prácticas_Revisiones'!$S$2:$S$282,"T044",'Prácticas_Revisiones'!$T$2:$T$282,"SOFTWARE ENG. PROCESS &gt; Life Cycles")+COUNTIFS('Prácticas_Snowballing'!$AB$2:$AB$281,"T044",'Prácticas_Snowballing'!$AC$2:$AC$281,"SOFTWARE ENG. PROCESS &gt; Life Cycles")</f>
        <v>0</v>
      </c>
      <c r="BR54" s="17">
        <f>COUNTIFS('Prácticas_Revisiones'!$S$2:$S$282,"T044",'Prácticas_Revisiones'!$T$2:$T$282,"SOFTWARE ENG. PROCESS &gt; Software Process Assessment and Improvement")+COUNTIFS('Prácticas_Snowballing'!$AB$2:$AB$281,"T044",'Prácticas_Snowballing'!$AC$2:$AC$281,"SOFTWARE ENG. PROCESS &gt; Software Process Assessment and Improvement")</f>
        <v>0</v>
      </c>
      <c r="BS54" s="17">
        <f>COUNTIFS('Prácticas_Revisiones'!$S$2:$S$282,"T044",'Prácticas_Revisiones'!$T$2:$T$282,"SOFTWARE ENG. PROCESS &gt; Subárea no determinable")+COUNTIFS('Prácticas_Snowballing'!$AB$2:$AB$281,"T044",'Prácticas_Snowballing'!$AC$2:$AC$281,"SOFTWARE ENG. PROCESS &gt; Subárea no determinable")</f>
        <v>0</v>
      </c>
      <c r="BT54" s="29">
        <f t="shared" si="43"/>
        <v>0</v>
      </c>
      <c r="BU54" s="17">
        <f>COUNTIFS('Prácticas_Revisiones'!$S$2:$S$282,"T044",'Prácticas_Revisiones'!$T$2:$T$282,"SOFTWARE ENG. MODELS/METH. &gt; Modeling")+COUNTIFS('Prácticas_Snowballing'!$AB$2:$AB$281,"T044",'Prácticas_Snowballing'!$AC$2:$AC$281,"SOFTWARE ENG. MODELS/METH. &gt; Modeling")</f>
        <v>1</v>
      </c>
      <c r="BV54" s="17">
        <f>COUNTIFS('Prácticas_Revisiones'!$S$2:$S$282,"T044",'Prácticas_Revisiones'!$T$2:$T$282,"SOFTWARE ENG. MODELS/METH. &gt; Types of Models")+COUNTIFS('Prácticas_Snowballing'!$AB$2:$AB$281,"T044",'Prácticas_Snowballing'!$AC$2:$AC$281,"SOFTWARE ENG. MODELS/METH. &gt; Types of Models")</f>
        <v>0</v>
      </c>
      <c r="BW54" s="17">
        <f>COUNTIFS('Prácticas_Revisiones'!$S$2:$S$282,"T044",'Prácticas_Revisiones'!$T$2:$T$282,"SOFTWARE ENG. MODELS/METH. &gt; Analysis of Models")+COUNTIFS('Prácticas_Snowballing'!$AB$2:$AB$281,"T044",'Prácticas_Snowballing'!$AC$2:$AC$281,"SOFTWARE ENG. MODELS/METH. &gt; Analysis of Models")</f>
        <v>0</v>
      </c>
      <c r="BX54" s="17">
        <f>COUNTIFS('Prácticas_Revisiones'!$S$2:$S$282,"T044",'Prácticas_Revisiones'!$T$2:$T$282,"SOFTWARE ENG. MODELS/METH. &gt; Software Engineering Methods")+COUNTIFS('Prácticas_Snowballing'!$AB$2:$AB$281,"T044",'Prácticas_Snowballing'!$AC$2:$AC$281,"SOFTWARE ENG. MODELS/METH. &gt; Software Engineering Methods")</f>
        <v>0</v>
      </c>
      <c r="BY54" s="17">
        <f>COUNTIFS('Prácticas_Revisiones'!$S$2:$S$282,"T044",'Prácticas_Revisiones'!$T$2:$T$282,"SOFTWARE ENG. MODELS/METH. &gt; Subárea no determinable")+COUNTIFS('Prácticas_Snowballing'!$AB$2:$AB$281,"T044",'Prácticas_Snowballing'!$AC$2:$AC$281,"SOFTWARE ENG. MODELS/METH. &gt; Subárea no determinable")</f>
        <v>0</v>
      </c>
      <c r="BZ54" s="29">
        <f t="shared" si="44"/>
        <v>1</v>
      </c>
      <c r="CA54" s="17">
        <f>COUNTIFS('Prácticas_Revisiones'!$S$2:$S$282,"T044",'Prácticas_Revisiones'!$T$2:$T$282,"SOFTWARE QUALITY &gt; Software Quality Fundamentals")+COUNTIFS('Prácticas_Snowballing'!$AB$2:$AB$281,"T044",'Prácticas_Snowballing'!$AC$2:$AC$281,"SOFTWARE QUALITY &gt; Software Quality Fundamentals")</f>
        <v>0</v>
      </c>
      <c r="CB54" s="17">
        <f>COUNTIFS('Prácticas_Revisiones'!$S$2:$S$282,"T044",'Prácticas_Revisiones'!$T$2:$T$282,"SOFTWARE QUALITY &gt; Software Quality Management Process")+COUNTIFS('Prácticas_Snowballing'!$AB$2:$AB$281,"T044",'Prácticas_Snowballing'!$AC$2:$AC$281,"SOFTWARE QUALITY &gt; Software Quality Management Process")</f>
        <v>0</v>
      </c>
      <c r="CC54" s="17">
        <f>COUNTIFS('Prácticas_Revisiones'!$S$2:$S$282,"T044",'Prácticas_Revisiones'!$T$2:$T$282,"SOFTWARE QUALITY &gt; Software Quality Assurance Process")+COUNTIFS('Prácticas_Snowballing'!$AB$2:$AB$281,"T044",'Prácticas_Snowballing'!$AC$2:$AC$281,"SOFTWARE QUALITY &gt; Software Quality Assurance Process")</f>
        <v>2</v>
      </c>
      <c r="CD54" s="17">
        <f>COUNTIFS('Prácticas_Revisiones'!$S$2:$S$282,"T044",'Prácticas_Revisiones'!$T$2:$T$282,"SOFTWARE QUALITY &gt; Software Quality Tools")+COUNTIFS('Prácticas_Snowballing'!$AB$2:$AB$281,"T044",'Prácticas_Snowballing'!$AC$2:$AC$281,"SOFTWARE QUALITY &gt; Software Quality Tools")</f>
        <v>0</v>
      </c>
      <c r="CE54" s="17">
        <f>COUNTIFS('Prácticas_Revisiones'!$S$2:$S$282,"T044",'Prácticas_Revisiones'!$T$2:$T$282,"SOFTWARE QUALITY &gt; Subárea no determinable")+COUNTIFS('Prácticas_Snowballing'!$AB$2:$AB$281,"T044",'Prácticas_Snowballing'!$AC$2:$AC$281,"SOFTWARE QUALITY &gt; Subárea no determinable")</f>
        <v>0</v>
      </c>
      <c r="CF54" s="29">
        <f t="shared" si="45"/>
        <v>2</v>
      </c>
      <c r="CG54" s="17">
        <f>COUNTIFS('Prácticas_Revisiones'!$S$2:$S$282,"T044",'Prácticas_Revisiones'!$T$2:$T$282,"SOFTWARE SECURITY &gt; Software Security Fundamentals")+COUNTIFS('Prácticas_Snowballing'!$AB$2:$AB$281,"T044",'Prácticas_Snowballing'!$AC$2:$AC$281,"SOFTWARE SECURITY &gt; Software Security Fundamentals")</f>
        <v>0</v>
      </c>
      <c r="CH54" s="17">
        <f>COUNTIFS('Prácticas_Revisiones'!$S$2:$S$282,"T044",'Prácticas_Revisiones'!$T$2:$T$282,"SOFTWARE SECURITY &gt; Security Management and Organization")+COUNTIFS('Prácticas_Snowballing'!$AB$2:$AB$281,"T044",'Prácticas_Snowballing'!$AC$2:$AC$281,"SOFTWARE SECURITY &gt; Security Management and Organization")</f>
        <v>0</v>
      </c>
      <c r="CI54" s="17">
        <f>COUNTIFS('Prácticas_Revisiones'!$S$2:$S$282,"T044",'Prácticas_Revisiones'!$T$2:$T$282,"SOFTWARE SECURITY &gt; Software Security Engineering and Process")+COUNTIFS('Prácticas_Snowballing'!$AB$2:$AB$281,"T044",'Prácticas_Snowballing'!$AC$2:$AC$281,"SOFTWARE SECURITY &gt; Software Security Engineering and Process")</f>
        <v>1</v>
      </c>
      <c r="CJ54" s="17">
        <f>COUNTIFS('Prácticas_Revisiones'!$S$2:$S$282,"T044",'Prácticas_Revisiones'!$T$2:$T$282,"SOFTWARE SECURITY &gt; Security Engineering for Software Systems")+COUNTIFS('Prácticas_Snowballing'!$AB$2:$AB$281,"T044",'Prácticas_Snowballing'!$AC$2:$AC$281,"SOFTWARE SECURITY &gt; Security Engineering for Software Systems")</f>
        <v>0</v>
      </c>
      <c r="CK54" s="17">
        <f>COUNTIFS('Prácticas_Revisiones'!$S$2:$S$282,"T044",'Prácticas_Revisiones'!$T$2:$T$282,"SOFTWARE SECURITY &gt; Software Security Tools")+COUNTIFS('Prácticas_Snowballing'!$AB$2:$AB$281,"T044",'Prácticas_Snowballing'!$AC$2:$AC$281,"SOFTWARE SECURITY &gt; Software Security Tools")</f>
        <v>0</v>
      </c>
      <c r="CL54" s="17">
        <f>COUNTIFS('Prácticas_Revisiones'!$S$2:$S$282,"T044",'Prácticas_Revisiones'!$T$2:$T$282,"SOFTWARE SECURITY &gt; Domain Specific Software Security")+COUNTIFS('Prácticas_Snowballing'!$AB$2:$AB$281,"T044",'Prácticas_Snowballing'!$AC$2:$AC$281,"SOFTWARE SECURITY &gt; Domain Specific Software Security")</f>
        <v>0</v>
      </c>
      <c r="CM54" s="17">
        <f>COUNTIFS('Prácticas_Revisiones'!$S$2:$S$282,"T044",'Prácticas_Revisiones'!$T$2:$T$282,"SOFTWARE SECURITY &gt; Subárea no determinable")+COUNTIFS('Prácticas_Snowballing'!$AB$2:$AB$281,"T044",'Prácticas_Snowballing'!$AC$2:$AC$281,"SOFTWARE SECURITY &gt; Subárea no determinable")</f>
        <v>0</v>
      </c>
      <c r="CN54" s="29">
        <f t="shared" si="46"/>
        <v>1</v>
      </c>
      <c r="CO54" s="17">
        <f>COUNTIFS('Prácticas_Revisiones'!$S$2:$S$282,"T044",'Prácticas_Revisiones'!$T$2:$T$282,"PROFESSIONAL PRACTICE &gt; Professionalism")+COUNTIFS('Prácticas_Snowballing'!$AB$2:$AB$281,"T044",'Prácticas_Snowballing'!$AC$2:$AC$281,"PROFESSIONAL PRACTICE &gt; Professionalism")</f>
        <v>0</v>
      </c>
      <c r="CP54" s="17">
        <f>COUNTIFS('Prácticas_Revisiones'!$S$2:$S$282,"T044",'Prácticas_Revisiones'!$T$2:$T$282,"PROFESSIONAL PRACTICE &gt; Group Dynamics and Psychology")+COUNTIFS('Prácticas_Snowballing'!$AB$2:$AB$281,"T044",'Prácticas_Snowballing'!$AC$2:$AC$281,"PROFESSIONAL PRACTICE &gt; Group Dynamics and Psychology")</f>
        <v>0</v>
      </c>
      <c r="CQ54" s="17">
        <f>COUNTIFS('Prácticas_Revisiones'!$S$2:$S$282,"T044",'Prácticas_Revisiones'!$T$2:$T$282,"PROFESSIONAL PRACTICE &gt; Communication Skills")+COUNTIFS('Prácticas_Snowballing'!$AB$2:$AB$281,"T044",'Prácticas_Snowballing'!$AC$2:$AC$281,"PROFESSIONAL PRACTICE &gt; Communication Skills")</f>
        <v>0</v>
      </c>
      <c r="CR54" s="17">
        <f>COUNTIFS('Prácticas_Revisiones'!$S$2:$S$282,"T044",'Prácticas_Revisiones'!$T$2:$T$282,"PROFESSIONAL PRACTICE &gt; Subárea no determinable")+COUNTIFS('Prácticas_Snowballing'!$AB$2:$AB$281,"T044",'Prácticas_Snowballing'!$AC$2:$AC$281,"PROFESSIONAL PRACTICE &gt; Subárea no determinable")</f>
        <v>0</v>
      </c>
      <c r="CS54" s="29">
        <f t="shared" si="47"/>
        <v>0</v>
      </c>
      <c r="CT54" s="17">
        <f>COUNTIFS('Prácticas_Revisiones'!$S$2:$S$282,"T044",'Prácticas_Revisiones'!$T$2:$T$282,"SOFTWARE ENG. ECONOMICS &gt; Software Engineering Economics Fundamentals")+COUNTIFS('Prácticas_Snowballing'!$AB$2:$AB$281,"T044",'Prácticas_Snowballing'!$AC$2:$AC$281,"SOFTWARE ENG. ECONOMICS &gt; Software Engineering Economics Fundamentals")</f>
        <v>0</v>
      </c>
      <c r="CU54" s="17">
        <f>COUNTIFS('Prácticas_Revisiones'!$S$2:$S$282,"T044",'Prácticas_Revisiones'!$T$2:$T$282,"SOFTWARE ENG. ECONOMICS &gt; The Engineering Decision-Making Process")+COUNTIFS('Prácticas_Snowballing'!$AB$2:$AB$281,"T044",'Prácticas_Snowballing'!$AC$2:$AC$281,"SOFTWARE ENG. ECONOMICS &gt; The Engineering Decision-Making Process")</f>
        <v>0</v>
      </c>
      <c r="CV54" s="17">
        <f>COUNTIFS('Prácticas_Revisiones'!$S$2:$S$282,"T044",'Prácticas_Revisiones'!$T$2:$T$282,"SOFTWARE ENG. ECONOMICS &gt; For-Profit Decision-Making")+COUNTIFS('Prácticas_Snowballing'!$AB$2:$AB$281,"T044",'Prácticas_Snowballing'!$AC$2:$AC$281,"SOFTWARE ENG. ECONOMICS &gt; For-Profit Decision-Making")</f>
        <v>0</v>
      </c>
      <c r="CW54" s="17">
        <f>COUNTIFS('Prácticas_Revisiones'!$S$2:$S$282,"T044",'Prácticas_Revisiones'!$T$2:$T$282,"SOFTWARE ENG. ECONOMICS &gt; Nonprofit Decision-Making")+COUNTIFS('Prácticas_Snowballing'!$AB$2:$AB$281,"T044",'Prácticas_Snowballing'!$AC$2:$AC$281,"SOFTWARE ENG. ECONOMICS &gt; Nonprofit Decision-Making")</f>
        <v>0</v>
      </c>
      <c r="CX54" s="17">
        <f>COUNTIFS('Prácticas_Revisiones'!$S$2:$S$282,"T044",'Prácticas_Revisiones'!$T$2:$T$282,"SOFTWARE ENG. ECONOMICS &gt; Present Economy Decision-Making")+COUNTIFS('Prácticas_Snowballing'!$AB$2:$AB$281,"T044",'Prácticas_Snowballing'!$AC$2:$AC$281,"SOFTWARE ENG. ECONOMICS &gt; Present Economy Decision-Making")</f>
        <v>0</v>
      </c>
      <c r="CY54" s="17">
        <f>COUNTIFS('Prácticas_Revisiones'!$S$2:$S$282,"T044",'Prácticas_Revisiones'!$T$2:$T$282,"SOFTWARE ENG. ECONOMICS &gt; Multiple-Attribute Decision-Making")+COUNTIFS('Prácticas_Snowballing'!$AB$2:$AB$281,"T044",'Prácticas_Snowballing'!$AC$2:$AC$281,"SOFTWARE ENG. ECONOMICS &gt; Multiple-Attribute Decision-Making")</f>
        <v>0</v>
      </c>
      <c r="CZ54" s="17">
        <f>COUNTIFS('Prácticas_Revisiones'!$S$2:$S$282,"T044",'Prácticas_Revisiones'!$T$2:$T$282,"SOFTWARE ENG. ECONOMICS &gt; Identifying and Characterizing Intangible Assets")+COUNTIFS('Prácticas_Snowballing'!$AB$2:$AB$281,"T044",'Prácticas_Snowballing'!$AC$2:$AC$281,"SOFTWARE ENG. ECONOMICS &gt; Identifying and Characterizing Intangible Assets")</f>
        <v>0</v>
      </c>
      <c r="DA54" s="17">
        <f>COUNTIFS('Prácticas_Revisiones'!$S$2:$S$282,"T044",'Prácticas_Revisiones'!$T$2:$T$282,"SOFTWARE ENG. ECONOMICS &gt; Estimation")+COUNTIFS('Prácticas_Snowballing'!$AB$2:$AB$281,"T044",'Prácticas_Snowballing'!$AC$2:$AC$281,"SOFTWARE ENG. ECONOMICS &gt; Estimation")</f>
        <v>0</v>
      </c>
      <c r="DB54" s="17">
        <f>COUNTIFS('Prácticas_Revisiones'!$S$2:$S$282,"T044",'Prácticas_Revisiones'!$T$2:$T$282,"SOFTWARE ENG. ECONOMICS &gt; Practical Considerations")+COUNTIFS('Prácticas_Snowballing'!$AB$2:$AB$281,"T044",'Prácticas_Snowballing'!$AC$2:$AC$281,"SOFTWARE ENG. ECONOMICS &gt; Practical Considerations")</f>
        <v>0</v>
      </c>
      <c r="DC54" s="17">
        <f>COUNTIFS('Prácticas_Revisiones'!$S$2:$S$282,"T044",'Prácticas_Revisiones'!$T$2:$T$282,"SOFTWARE ENG. ECONOMICS &gt; Related Concepts")+COUNTIFS('Prácticas_Snowballing'!$AB$2:$AB$281,"T044",'Prácticas_Snowballing'!$AC$2:$AC$281,"SOFTWARE ENG. ECONOMICS &gt; Related Concepts")</f>
        <v>0</v>
      </c>
      <c r="DD54" s="17">
        <f>COUNTIFS('Prácticas_Revisiones'!$S$2:$S$282,"T044",'Prácticas_Revisiones'!$T$2:$T$282,"SOFTWARE ENG. ECONOMICS &gt; Subárea no determinable")+COUNTIFS('Prácticas_Snowballing'!$AB$2:$AB$281,"T044",'Prácticas_Snowballing'!$AC$2:$AC$281,"SOFTWARE ENG. ECONOMICS &gt; Subárea no determinable")</f>
        <v>0</v>
      </c>
      <c r="DE54" s="29">
        <f t="shared" si="48"/>
        <v>0</v>
      </c>
      <c r="DF54" s="17">
        <f>COUNTIFS('Prácticas_Revisiones'!$S$2:$S$282,"T044",'Prácticas_Revisiones'!$T$2:$T$282,"SOFTWARE ENG. MANAGEMENT &gt; Software Engineering Management Fundamentals")+COUNTIFS('Prácticas_Snowballing'!$AB$2:$AB$281,"T044",'Prácticas_Snowballing'!$AC$2:$AC$281,"SOFTWARE ENG. MANAGEMENT &gt; Software Engineering Management Fundamentals")</f>
        <v>0</v>
      </c>
      <c r="DG54" s="17">
        <f>COUNTIFS('Prácticas_Revisiones'!$S$2:$S$282,"T044",'Prácticas_Revisiones'!$T$2:$T$282,"SOFTWARE ENG. MANAGEMENT &gt; Initiation and Scope Definition")+COUNTIFS('Prácticas_Snowballing'!$AB$2:$AB$281,"T044",'Prácticas_Snowballing'!$AC$2:$AC$281,"SOFTWARE ENG. MANAGEMENT &gt; Initiation and Scope Definition")</f>
        <v>0</v>
      </c>
      <c r="DH54" s="17">
        <f>COUNTIFS('Prácticas_Revisiones'!$S$2:$S$282,"T044",'Prácticas_Revisiones'!$T$2:$T$282,"SOFTWARE ENG. MANAGEMENT &gt; Software Project Planning")+COUNTIFS('Prácticas_Snowballing'!$AB$2:$AB$281,"T044",'Prácticas_Snowballing'!$AC$2:$AC$281,"SOFTWARE ENG. MANAGEMENT &gt; Software Project Planning")</f>
        <v>0</v>
      </c>
      <c r="DI54" s="17">
        <f>COUNTIFS('Prácticas_Revisiones'!$S$2:$S$282,"T044",'Prácticas_Revisiones'!$T$2:$T$282,"SOFTWARE ENG. MANAGEMENT &gt; Software Project Enactment")+COUNTIFS('Prácticas_Snowballing'!$AB$2:$AB$281,"T044",'Prácticas_Snowballing'!$AC$2:$AC$281,"SOFTWARE ENG. MANAGEMENT &gt; Software Project Enactment")</f>
        <v>1</v>
      </c>
      <c r="DJ54" s="17">
        <f>COUNTIFS('Prácticas_Revisiones'!$S$2:$S$282,"T044",'Prácticas_Revisiones'!$T$2:$T$282,"SOFTWARE ENG. MANAGEMENT &gt; Review and Evaluation")+COUNTIFS('Prácticas_Snowballing'!$AB$2:$AB$281,"T044",'Prácticas_Snowballing'!$AC$2:$AC$281,"SOFTWARE ENG. MANAGEMENT &gt; Review and Evaluation")</f>
        <v>0</v>
      </c>
      <c r="DK54" s="17">
        <f>COUNTIFS('Prácticas_Revisiones'!$S$2:$S$282,"T044",'Prácticas_Revisiones'!$T$2:$T$282,"SOFTWARE ENG. MANAGEMENT &gt; Closure")+COUNTIFS('Prácticas_Snowballing'!$AB$2:$AB$281,"T044",'Prácticas_Snowballing'!$AC$2:$AC$281,"SOFTWARE ENG. MANAGEMENT &gt; Closure")</f>
        <v>0</v>
      </c>
      <c r="DL54" s="17">
        <f>COUNTIFS('Prácticas_Revisiones'!$S$2:$S$282,"T044",'Prácticas_Revisiones'!$T$2:$T$282,"SOFTWARE ENG. MANAGEMENT &gt; Software Engineering Management Tools")+COUNTIFS('Prácticas_Snowballing'!$AB$2:$AB$281,"T044",'Prácticas_Snowballing'!$AC$2:$AC$281,"SOFTWARE ENG. MANAGEMENT &gt; Software Engineering Management Tools")</f>
        <v>0</v>
      </c>
      <c r="DM54" s="17">
        <f>COUNTIFS('Prácticas_Revisiones'!$S$2:$S$282,"T044",'Prácticas_Revisiones'!$T$2:$T$282,"SOFTWARE ENG. MANAGEMENT &gt; Subárea no determinable")+COUNTIFS('Prácticas_Snowballing'!$AB$2:$AB$281,"T044",'Prácticas_Snowballing'!$AC$2:$AC$281,"SOFTWARE ENG. MANAGEMENT &gt; Subárea no determinable")</f>
        <v>0</v>
      </c>
      <c r="DN54" s="29">
        <f t="shared" si="49"/>
        <v>1</v>
      </c>
      <c r="DO54" s="17">
        <f>COUNTIFS('Prácticas_Revisiones'!$S$2:$S$282,"T044",'Prácticas_Revisiones'!$T$2:$T$282,"Sin área SWEBOK")+COUNTIFS('Prácticas_Snowballing'!$AB$2:$AB$281,"T044",'Prácticas_Snowballing'!$AC$2:$AC$281,"Sin área SWEBOK")</f>
        <v>0</v>
      </c>
      <c r="DP54" s="27">
        <f t="shared" si="50"/>
        <v>95</v>
      </c>
    </row>
    <row r="55" ht="15.75" customHeight="1">
      <c r="A55" s="28"/>
      <c r="B55" s="16" t="s">
        <v>2790</v>
      </c>
      <c r="C55" s="17">
        <f>COUNTIFS('Prácticas_Revisiones'!$S$2:$S$282,"T045",'Prácticas_Revisiones'!$T$2:$T$282,"REQUIREMENTS &gt; Software Requirements Fundamentals")+COUNTIFS('Prácticas_Snowballing'!$AB$2:$AB$281,"T045",'Prácticas_Snowballing'!$AC$2:$AC$281,"REQUIREMENTS &gt; Software Requirements Fundamentals")</f>
        <v>0</v>
      </c>
      <c r="D55" s="17">
        <f>COUNTIFS('Prácticas_Revisiones'!$S$2:$S$282,"T045",'Prácticas_Revisiones'!$T$2:$T$282,"REQUIREMENTS &gt; Requirements Elicitation")+COUNTIFS('Prácticas_Snowballing'!$AB$2:$AB$281,"T045",'Prácticas_Snowballing'!$AC$2:$AC$281,"REQUIREMENTS &gt; Requirements Elicitation")</f>
        <v>1</v>
      </c>
      <c r="E55" s="17">
        <f>COUNTIFS('Prácticas_Revisiones'!$S$2:$S$282,"T045",'Prácticas_Revisiones'!$T$2:$T$282,"REQUIREMENTS &gt; Requirements Analysis")+COUNTIFS('Prácticas_Snowballing'!$AB$2:$AB$281,"T045",'Prácticas_Snowballing'!$AC$2:$AC$281,"REQUIREMENTS &gt; Requirements Analysis")</f>
        <v>0</v>
      </c>
      <c r="F55" s="17">
        <f>COUNTIFS('Prácticas_Revisiones'!$S$2:$S$282,"T045",'Prácticas_Revisiones'!$T$2:$T$282,"REQUIREMENTS &gt; Requirements Specification")+COUNTIFS('Prácticas_Snowballing'!$AB$2:$AB$281,"T045",'Prácticas_Snowballing'!$AC$2:$AC$281,"REQUIREMENTS &gt; Requirements Specification")</f>
        <v>0</v>
      </c>
      <c r="G55" s="17">
        <f>COUNTIFS('Prácticas_Revisiones'!$S$2:$S$282,"T045",'Prácticas_Revisiones'!$T$2:$T$282,"REQUIREMENTS &gt; Requirements Validation")+COUNTIFS('Prácticas_Snowballing'!$AB$2:$AB$281,"T045",'Prácticas_Snowballing'!$AC$2:$AC$281,"REQUIREMENTS &gt; Requirements Validation")</f>
        <v>0</v>
      </c>
      <c r="H55" s="17">
        <f>COUNTIFS('Prácticas_Revisiones'!$S$2:$S$282,"T045",'Prácticas_Revisiones'!$T$2:$T$282,"REQUIREMENTS &gt; Requirements Management Activities")+COUNTIFS('Prácticas_Snowballing'!$AB$2:$AB$281,"T045",'Prácticas_Snowballing'!$AC$2:$AC$281,"REQUIREMENTS &gt; Requirements Management Activities")</f>
        <v>0</v>
      </c>
      <c r="I55" s="17">
        <f>COUNTIFS('Prácticas_Revisiones'!$S$2:$S$282,"T045",'Prácticas_Revisiones'!$T$2:$T$282,"REQUIREMENTS &gt; Practical Considerations")+COUNTIFS('Prácticas_Snowballing'!$AB$2:$AB$281,"T045",'Prácticas_Snowballing'!$AC$2:$AC$281,"REQUIREMENTS &gt; Practical Considerations")</f>
        <v>0</v>
      </c>
      <c r="J55" s="17">
        <f>COUNTIFS('Prácticas_Revisiones'!$S$2:$S$282,"T045",'Prácticas_Revisiones'!$T$2:$T$282,"REQUIREMENTS &gt; Software Requirements Tools")+COUNTIFS('Prácticas_Snowballing'!$AB$2:$AB$281,"T045",'Prácticas_Snowballing'!$AC$2:$AC$281,"REQUIREMENTS &gt; Software Requirements Tools")</f>
        <v>0</v>
      </c>
      <c r="K55" s="17">
        <f>COUNTIFS('Prácticas_Revisiones'!$S$2:$S$282,"T045",'Prácticas_Revisiones'!$T$2:$T$282,"REQUIREMENTS &gt; Subárea no determinable")+COUNTIFS('Prácticas_Snowballing'!$AB$2:$AB$281,"T045",'Prácticas_Snowballing'!$AC$2:$AC$281,"REQUIREMENTS &gt; Subárea no determinable")</f>
        <v>0</v>
      </c>
      <c r="L55" s="29">
        <f t="shared" si="35"/>
        <v>1</v>
      </c>
      <c r="M55" s="17">
        <f>COUNTIFS('Prácticas_Revisiones'!$S$2:$S$282,"T045",'Prácticas_Revisiones'!$T$2:$T$282,"ARCHITECTURE &gt; Software Architecture Fundamentals")+COUNTIFS('Prácticas_Snowballing'!$AB$2:$AB$281,"T045",'Prácticas_Snowballing'!$AC$2:$AC$281,"ARCHITECTURE &gt; Software Architecture Fundamentals")</f>
        <v>0</v>
      </c>
      <c r="N55" s="17">
        <f>COUNTIFS('Prácticas_Revisiones'!$S$2:$S$282,"T045",'Prácticas_Revisiones'!$T$2:$T$282,"ARCHITECTURE &gt; Software Architecture Description")+COUNTIFS('Prácticas_Snowballing'!$AB$2:$AB$281,"T045",'Prácticas_Snowballing'!$AC$2:$AC$281,"ARCHITECTURE &gt; Software Architecture Description")</f>
        <v>0</v>
      </c>
      <c r="O55" s="17">
        <f>COUNTIFS('Prácticas_Revisiones'!$S$2:$S$282,"T045",'Prácticas_Revisiones'!$T$2:$T$282,"ARCHITECTURE &gt; Software Architecture Process")+COUNTIFS('Prácticas_Snowballing'!$AB$2:$AB$281,"T045",'Prácticas_Snowballing'!$AC$2:$AC$281,"ARCHITECTURE &gt; Software Architecture Process")</f>
        <v>0</v>
      </c>
      <c r="P55" s="17">
        <f>COUNTIFS('Prácticas_Revisiones'!$S$2:$S$282,"T045",'Prácticas_Revisiones'!$T$2:$T$282,"ARCHITECTURE &gt; Software Architecture Evaluation")+COUNTIFS('Prácticas_Snowballing'!$AB$2:$AB$281,"T045",'Prácticas_Snowballing'!$AC$2:$AC$281,"ARCHITECTURE &gt; Software Architecture Evaluation")</f>
        <v>0</v>
      </c>
      <c r="Q55" s="17">
        <f>COUNTIFS('Prácticas_Revisiones'!$S$2:$S$282,"T045",'Prácticas_Revisiones'!$T$2:$T$282,"ARCHITECTURE &gt; Subárea no determinable")+COUNTIFS('Prácticas_Snowballing'!$AB$2:$AB$281,"T045",'Prácticas_Snowballing'!$AC$2:$AC$281,"ARCHITECTURE &gt; Subárea no determinable")</f>
        <v>0</v>
      </c>
      <c r="R55" s="29">
        <f t="shared" si="36"/>
        <v>0</v>
      </c>
      <c r="S55" s="17">
        <f>COUNTIFS('Prácticas_Revisiones'!$S$2:$S$282,"T045",'Prácticas_Revisiones'!$T$2:$T$282,"DESIGN &gt; Software Design Fundamentals")+COUNTIFS('Prácticas_Snowballing'!$AB$2:$AB$281,"T045",'Prácticas_Snowballing'!$AC$2:$AC$281,"DESIGN &gt; Software Design Fundamentals")</f>
        <v>0</v>
      </c>
      <c r="T55" s="17">
        <f>COUNTIFS('Prácticas_Revisiones'!$S$2:$S$282,"T045",'Prácticas_Revisiones'!$T$2:$T$282,"DESIGN &gt; Software Design Processes")+COUNTIFS('Prácticas_Snowballing'!$AB$2:$AB$281,"T045",'Prácticas_Snowballing'!$AC$2:$AC$281,"DESIGN &gt; Software Design Processes")</f>
        <v>0</v>
      </c>
      <c r="U55" s="17">
        <f>COUNTIFS('Prácticas_Revisiones'!$S$2:$S$282,"T045",'Prácticas_Revisiones'!$T$2:$T$282,"DESIGN &gt; Software Design Qualities")+COUNTIFS('Prácticas_Snowballing'!$AB$2:$AB$281,"T045",'Prácticas_Snowballing'!$AC$2:$AC$281,"DESIGN &gt; Software Design Qualities")</f>
        <v>0</v>
      </c>
      <c r="V55" s="17">
        <f>COUNTIFS('Prácticas_Revisiones'!$S$2:$S$282,"T045",'Prácticas_Revisiones'!$T$2:$T$282,"DESIGN &gt; Recording Software Design")+COUNTIFS('Prácticas_Snowballing'!$AB$2:$AB$281,"T045",'Prácticas_Snowballing'!$AC$2:$AC$281,"DESIGN &gt; Recording Software Design")</f>
        <v>0</v>
      </c>
      <c r="W55" s="17">
        <f>COUNTIFS('Prácticas_Revisiones'!$S$2:$S$282,"T045",'Prácticas_Revisiones'!$T$2:$T$282,"DESIGN &gt; Software Design Strategies and Methods")+COUNTIFS('Prácticas_Snowballing'!$AB$2:$AB$281,"T045",'Prácticas_Snowballing'!$AC$2:$AC$281,"DESIGN &gt; Software Design Strategies and Methods")</f>
        <v>0</v>
      </c>
      <c r="X55" s="17">
        <f>COUNTIFS('Prácticas_Revisiones'!$S$2:$S$282,"T045",'Prácticas_Revisiones'!$T$2:$T$282,"DESIGN &gt; Software Design Analysis and Evaluations")+COUNTIFS('Prácticas_Snowballing'!$AB$2:$AB$281,"T045",'Prácticas_Snowballing'!$AC$2:$AC$281,"DESIGN &gt; Software Design Analysis and Evaluations")</f>
        <v>0</v>
      </c>
      <c r="Y55" s="17">
        <f>COUNTIFS('Prácticas_Revisiones'!$S$2:$S$282,"T045",'Prácticas_Revisiones'!$T$2:$T$282,"DESIGN &gt; Subárea no determinable")+COUNTIFS('Prácticas_Snowballing'!$AB$2:$AB$281,"T045",'Prácticas_Snowballing'!$AC$2:$AC$281,"DESIGN &gt; Subárea no determinable")</f>
        <v>0</v>
      </c>
      <c r="Z55" s="29">
        <f t="shared" si="37"/>
        <v>0</v>
      </c>
      <c r="AA55" s="17">
        <f>COUNTIFS('Prácticas_Revisiones'!$S$2:$S$282,"T045",'Prácticas_Revisiones'!$T$2:$T$282,"CONSTRUCTION &gt; Software Construction Fundamentals")+COUNTIFS('Prácticas_Snowballing'!$AB$2:$AB$281,"T045",'Prácticas_Snowballing'!$AC$2:$AC$281,"CONSTRUCTION &gt; Software Construction Fundamentals")</f>
        <v>3</v>
      </c>
      <c r="AB55" s="17">
        <f>COUNTIFS('Prácticas_Revisiones'!$S$2:$S$282,"T045",'Prácticas_Revisiones'!$T$2:$T$282,"CONSTRUCTION &gt; Managing Construction")+COUNTIFS('Prácticas_Snowballing'!$AB$2:$AB$281,"T045",'Prácticas_Snowballing'!$AC$2:$AC$281,"CONSTRUCTION &gt; Managing Construction")</f>
        <v>0</v>
      </c>
      <c r="AC55" s="17">
        <f>COUNTIFS('Prácticas_Revisiones'!$S$2:$S$282,"T045",'Prácticas_Revisiones'!$T$2:$T$282,"CONSTRUCTION &gt; Practical Considerations")+COUNTIFS('Prácticas_Snowballing'!$AB$2:$AB$281,"T045",'Prácticas_Snowballing'!$AC$2:$AC$281,"CONSTRUCTION &gt; Practical Considerations")</f>
        <v>2</v>
      </c>
      <c r="AD55" s="17">
        <f>COUNTIFS('Prácticas_Revisiones'!$S$2:$S$282,"T045",'Prácticas_Revisiones'!$T$2:$T$282,"CONSTRUCTION &gt; Construction Technologies")+COUNTIFS('Prácticas_Snowballing'!$AB$2:$AB$281,"T045",'Prácticas_Snowballing'!$AC$2:$AC$281,"CONSTRUCTION &gt; Construction Technologies")</f>
        <v>0</v>
      </c>
      <c r="AE55" s="17">
        <f>COUNTIFS('Prácticas_Revisiones'!$S$2:$S$282,"T045",'Prácticas_Revisiones'!$T$2:$T$282,"CONSTRUCTION &gt; Software Construction Tools")+COUNTIFS('Prácticas_Snowballing'!$AB$2:$AB$281,"T045",'Prácticas_Snowballing'!$AC$2:$AC$281,"CONSTRUCTION &gt; Software Construction Tools")</f>
        <v>0</v>
      </c>
      <c r="AF55" s="17">
        <f>COUNTIFS('Prácticas_Revisiones'!$S$2:$S$282,"T045",'Prácticas_Revisiones'!$T$2:$T$282,"CONSTRUCTION &gt; Subárea no determinable")+COUNTIFS('Prácticas_Snowballing'!$AB$2:$AB$281,"T045",'Prácticas_Snowballing'!$AC$2:$AC$281,"CONSTRUCTION &gt; Subárea no determinable")</f>
        <v>0</v>
      </c>
      <c r="AG55" s="29">
        <f t="shared" si="38"/>
        <v>5</v>
      </c>
      <c r="AH55" s="17">
        <f>COUNTIFS('Prácticas_Revisiones'!$S$2:$S$282,"T045",'Prácticas_Revisiones'!$T$2:$T$282,"SOFTWARE TESTING &gt; Software Testing Fundamentals")+COUNTIFS('Prácticas_Snowballing'!$AB$2:$AB$281,"T045",'Prácticas_Snowballing'!$AC$2:$AC$281,"SOFTWARE TESTING &gt; Software Testing Fundamentals")</f>
        <v>0</v>
      </c>
      <c r="AI55" s="17">
        <f>COUNTIFS('Prácticas_Revisiones'!$S$2:$S$282,"T045",'Prácticas_Revisiones'!$T$2:$T$282,"SOFTWARE TESTING &gt; Test Levels")+COUNTIFS('Prácticas_Snowballing'!$AB$2:$AB$281,"T045",'Prácticas_Snowballing'!$AC$2:$AC$281,"SOFTWARE TESTING &gt; Test Levels")</f>
        <v>0</v>
      </c>
      <c r="AJ55" s="17">
        <f>COUNTIFS('Prácticas_Revisiones'!$S$2:$S$282,"T045",'Prácticas_Revisiones'!$T$2:$T$282,"SOFTWARE TESTING &gt; Test Techniques")+COUNTIFS('Prácticas_Snowballing'!$AB$2:$AB$281,"T045",'Prácticas_Snowballing'!$AC$2:$AC$281,"SOFTWARE TESTING &gt; Test Techniques")</f>
        <v>2</v>
      </c>
      <c r="AK55" s="17">
        <f>COUNTIFS('Prácticas_Revisiones'!$S$2:$S$282,"T045",'Prácticas_Revisiones'!$T$2:$T$282,"SOFTWARE TESTING &gt; Test-Related Measures")+COUNTIFS('Prácticas_Snowballing'!$AB$2:$AB$281,"T045",'Prácticas_Snowballing'!$AC$2:$AC$281,"SOFTWARE TESTING &gt; Test-Related Measures")</f>
        <v>0</v>
      </c>
      <c r="AL55" s="17">
        <f>COUNTIFS('Prácticas_Revisiones'!$S$2:$S$282,"T045",'Prácticas_Revisiones'!$T$2:$T$282,"SOFTWARE TESTING &gt; Test Process")+COUNTIFS('Prácticas_Snowballing'!$AB$2:$AB$281,"T045",'Prácticas_Snowballing'!$AC$2:$AC$281,"SOFTWARE TESTING &gt; Test Process")</f>
        <v>0</v>
      </c>
      <c r="AM55" s="17">
        <f>COUNTIFS('Prácticas_Revisiones'!$S$2:$S$282,"T045",'Prácticas_Revisiones'!$T$2:$T$282,"SOFTWARE TESTING &gt; Software Testing in the Development Processes...")+COUNTIFS('Prácticas_Snowballing'!$AB$2:$AB$281,"T045",'Prácticas_Snowballing'!$AC$2:$AC$281,"SOFTWARE TESTING &gt; Software Testing in the Development Processes...")</f>
        <v>0</v>
      </c>
      <c r="AN55" s="17">
        <f>COUNTIFS('Prácticas_Revisiones'!$S$2:$S$282,"T045",'Prácticas_Revisiones'!$T$2:$T$282,"SOFTWARE TESTING &gt; Testing of and Testing Through Emerging Tech...")+COUNTIFS('Prácticas_Snowballing'!$AB$2:$AB$281,"T045",'Prácticas_Snowballing'!$AC$2:$AC$281,"SOFTWARE TESTING &gt; Testing of and Testing Through Emerging Tech...")</f>
        <v>0</v>
      </c>
      <c r="AO55" s="17">
        <f>COUNTIFS('Prácticas_Revisiones'!$S$2:$S$282,"T045",'Prácticas_Revisiones'!$T$2:$T$282,"SOFTWARE TESTING &gt; Software Testing Tools")+COUNTIFS('Prácticas_Snowballing'!$AB$2:$AB$281,"T045",'Prácticas_Snowballing'!$AC$2:$AC$281,"SOFTWARE TESTING &gt; Software Testing Tools")</f>
        <v>0</v>
      </c>
      <c r="AP55" s="17">
        <f>COUNTIFS('Prácticas_Revisiones'!$S$2:$S$282,"T045",'Prácticas_Revisiones'!$T$2:$T$282,"SOFTWARE TESTING &gt; Subárea no determinable")+COUNTIFS('Prácticas_Snowballing'!$AB$2:$AB$281,"T045",'Prácticas_Snowballing'!$AC$2:$AC$281,"SOFTWARE TESTING &gt; Subárea no determinable")</f>
        <v>0</v>
      </c>
      <c r="AQ55" s="29">
        <f t="shared" si="39"/>
        <v>2</v>
      </c>
      <c r="AR55" s="17">
        <f>COUNTIFS('Prácticas_Revisiones'!$S$2:$S$282,"T045",'Prácticas_Revisiones'!$T$2:$T$282,"SOFTWARE ENG. OPERATIONS &gt; Software Engineering Operations Fundamentals")+COUNTIFS('Prácticas_Snowballing'!$AB$2:$AB$281,"T045",'Prácticas_Snowballing'!$AC$2:$AC$281,"SOFTWARE ENG. OPERATIONS &gt; Software Engineering Operations Fundamentals")</f>
        <v>0</v>
      </c>
      <c r="AS55" s="17">
        <f>COUNTIFS('Prácticas_Revisiones'!$S$2:$S$282,"T045",'Prácticas_Revisiones'!$T$2:$T$282,"SOFTWARE ENG. OPERATIONS &gt; Software Engineering Operations Planning")+COUNTIFS('Prácticas_Snowballing'!$AB$2:$AB$281,"T045",'Prácticas_Snowballing'!$AC$2:$AC$281,"SOFTWARE ENG. OPERATIONS &gt; Software Engineering Operations Planning")</f>
        <v>0</v>
      </c>
      <c r="AT55" s="17">
        <f>COUNTIFS('Prácticas_Revisiones'!$S$2:$S$282,"T045",'Prácticas_Revisiones'!$T$2:$T$282,"SOFTWARE ENG. OPERATIONS &gt; Software Engineering Operations Delivery")+COUNTIFS('Prácticas_Snowballing'!$AB$2:$AB$281,"T045",'Prácticas_Snowballing'!$AC$2:$AC$281,"SOFTWARE ENG. OPERATIONS &gt; Software Engineering Operations Delivery")</f>
        <v>0</v>
      </c>
      <c r="AU55" s="17">
        <f>COUNTIFS('Prácticas_Revisiones'!$S$2:$S$282,"T045",'Prácticas_Revisiones'!$T$2:$T$282,"SOFTWARE ENG. OPERATIONS &gt; Software Engineering Operations Control")+COUNTIFS('Prácticas_Snowballing'!$AB$2:$AB$281,"T045",'Prácticas_Snowballing'!$AC$2:$AC$281,"SOFTWARE ENG. OPERATIONS &gt; Software Engineering Operations Control")</f>
        <v>0</v>
      </c>
      <c r="AV55" s="17">
        <f>COUNTIFS('Prácticas_Revisiones'!$S$2:$S$282,"T045",'Prácticas_Revisiones'!$T$2:$T$282,"SOFTWARE ENG. OPERATIONS &gt; Practical Considerations")+COUNTIFS('Prácticas_Snowballing'!$AB$2:$AB$281,"T045",'Prácticas_Snowballing'!$AC$2:$AC$281,"SOFTWARE ENG. OPERATIONS &gt; Practical Considerations")</f>
        <v>0</v>
      </c>
      <c r="AW55" s="17">
        <f>COUNTIFS('Prácticas_Revisiones'!$S$2:$S$282,"T045",'Prácticas_Revisiones'!$T$2:$T$282,"SOFTWARE ENG. OPERATIONS &gt; Software Engineering Operations Tools")+COUNTIFS('Prácticas_Snowballing'!$AB$2:$AB$281,"T045",'Prácticas_Snowballing'!$AC$2:$AC$281,"SOFTWARE ENG. OPERATIONS &gt; Software Engineering Operations Tools")</f>
        <v>0</v>
      </c>
      <c r="AX55" s="17">
        <f>COUNTIFS('Prácticas_Revisiones'!$S$2:$S$282,"T045",'Prácticas_Revisiones'!$T$2:$T$282,"SOFTWARE ENG. OPERATIONS &gt; Subárea no determinable")+COUNTIFS('Prácticas_Snowballing'!$AB$2:$AB$281,"T045",'Prácticas_Snowballing'!$AC$2:$AC$281,"SOFTWARE ENG. OPERATIONS &gt; Subárea no determinable")</f>
        <v>0</v>
      </c>
      <c r="AY55" s="29">
        <f t="shared" si="40"/>
        <v>0</v>
      </c>
      <c r="AZ55" s="17">
        <f>COUNTIFS('Prácticas_Revisiones'!$S$2:$S$282,"T045",'Prácticas_Revisiones'!$T$2:$T$282,"MAINTENANCE &gt; Software Maintenance Fundamentals")+COUNTIFS('Prácticas_Snowballing'!$AB$2:$AB$281,"T045",'Prácticas_Snowballing'!$AC$2:$AC$281,"MAINTENANCE &gt; Software Maintenance Fundamentals")</f>
        <v>0</v>
      </c>
      <c r="BA55" s="17">
        <f>COUNTIFS('Prácticas_Revisiones'!$S$2:$S$282,"T045",'Prácticas_Revisiones'!$T$2:$T$282,"MAINTENANCE &gt; Key Issues in Software Maintenance")+COUNTIFS('Prácticas_Snowballing'!$AB$2:$AB$281,"T045",'Prácticas_Snowballing'!$AC$2:$AC$281,"MAINTENANCE &gt; Key Issues in Software Maintenance")</f>
        <v>0</v>
      </c>
      <c r="BB55" s="17">
        <f>COUNTIFS('Prácticas_Revisiones'!$S$2:$S$282,"T045",'Prácticas_Revisiones'!$T$2:$T$282,"MAINTENANCE &gt; Software Maintenance Processes")+COUNTIFS('Prácticas_Snowballing'!$AB$2:$AB$281,"T045",'Prácticas_Snowballing'!$AC$2:$AC$281,"MAINTENANCE &gt; Software Maintenance Processes")</f>
        <v>0</v>
      </c>
      <c r="BC55" s="17">
        <f>COUNTIFS('Prácticas_Revisiones'!$S$2:$S$282,"T045",'Prácticas_Revisiones'!$T$2:$T$282,"MAINTENANCE &gt; Software Maintenance Techniques")+COUNTIFS('Prácticas_Snowballing'!$AB$2:$AB$281,"T045",'Prácticas_Snowballing'!$AC$2:$AC$281,"MAINTENANCE &gt; Software Maintenance Techniques")</f>
        <v>0</v>
      </c>
      <c r="BD55" s="17">
        <f>COUNTIFS('Prácticas_Revisiones'!$S$2:$S$282,"T045",'Prácticas_Revisiones'!$T$2:$T$282,"MAINTENANCE &gt; Software Maintenance Tools")+COUNTIFS('Prácticas_Snowballing'!$AB$2:$AB$281,"T045",'Prácticas_Snowballing'!$AC$2:$AC$281,"MAINTENANCE &gt; Software Maintenance Tools")</f>
        <v>0</v>
      </c>
      <c r="BE55" s="17">
        <f>COUNTIFS('Prácticas_Revisiones'!$S$2:$S$282,"T045",'Prácticas_Revisiones'!$T$2:$T$282,"MAINTENANCE &gt; Subárea no determinable")+COUNTIFS('Prácticas_Snowballing'!$AB$2:$AB$281,"T045",'Prácticas_Snowballing'!$AC$2:$AC$281,"MAINTENANCE &gt; Subárea no determinable")</f>
        <v>0</v>
      </c>
      <c r="BF55" s="29">
        <f t="shared" si="41"/>
        <v>0</v>
      </c>
      <c r="BG55" s="17">
        <f>COUNTIFS('Prácticas_Revisiones'!$S$2:$S$282,"T045",'Prácticas_Revisiones'!$T$2:$T$282,"SOFTWARE CONFIG. MGMT. &gt; Management of the SCM Process")+COUNTIFS('Prácticas_Snowballing'!$AB$2:$AB$281,"T045",'Prácticas_Snowballing'!$AC$2:$AC$281,"SOFTWARE CONFIG. MGMT. &gt; Management of the SCM Process")</f>
        <v>0</v>
      </c>
      <c r="BH55" s="17">
        <f>COUNTIFS('Prácticas_Revisiones'!$S$2:$S$282,"T045",'Prácticas_Revisiones'!$T$2:$T$282,"SOFTWARE CONFIG. MGMT. &gt; Software Configuration Identification")+COUNTIFS('Prácticas_Snowballing'!$AB$2:$AB$281,"T045",'Prácticas_Snowballing'!$AC$2:$AC$281,"SOFTWARE CONFIG. MGMT. &gt; Software Configuration Identification")</f>
        <v>0</v>
      </c>
      <c r="BI55" s="17">
        <f>COUNTIFS('Prácticas_Revisiones'!$S$2:$S$282,"T045",'Prácticas_Revisiones'!$T$2:$T$282,"SOFTWARE CONFIG. MGMT. &gt; Software Configuration Change Control")+COUNTIFS('Prácticas_Snowballing'!$AB$2:$AB$281,"T045",'Prácticas_Snowballing'!$AC$2:$AC$281,"SOFTWARE CONFIG. MGMT. &gt; Software Configuration Change Control")</f>
        <v>0</v>
      </c>
      <c r="BJ55" s="17">
        <f>COUNTIFS('Prácticas_Revisiones'!$S$2:$S$282,"T045",'Prácticas_Revisiones'!$T$2:$T$282,"SOFTWARE CONFIG. MGMT. &gt; Software Configuration Status Accounting")+COUNTIFS('Prácticas_Snowballing'!$AB$2:$AB$281,"T045",'Prácticas_Snowballing'!$AC$2:$AC$281,"SOFTWARE CONFIG. MGMT. &gt; Software Configuration Status Accounting")</f>
        <v>0</v>
      </c>
      <c r="BK55" s="17">
        <f>COUNTIFS('Prácticas_Revisiones'!$S$2:$S$282,"T045",'Prácticas_Revisiones'!$T$2:$T$282,"SOFTWARE CONFIG. MGMT. &gt; Software Configuration Auditing")+COUNTIFS('Prácticas_Snowballing'!$AB$2:$AB$281,"T045",'Prácticas_Snowballing'!$AC$2:$AC$281,"SOFTWARE CONFIG. MGMT. &gt; Software Configuration Auditing")</f>
        <v>0</v>
      </c>
      <c r="BL55" s="17">
        <f>COUNTIFS('Prácticas_Revisiones'!$S$2:$S$282,"T045",'Prácticas_Revisiones'!$T$2:$T$282,"SOFTWARE CONFIG. MGMT. &gt; Software Release Management and Delivery")+COUNTIFS('Prácticas_Snowballing'!$AB$2:$AB$281,"T045",'Prácticas_Snowballing'!$AC$2:$AC$281,"SOFTWARE CONFIG. MGMT. &gt; Software Release Management and Delivery")</f>
        <v>0</v>
      </c>
      <c r="BM55" s="17">
        <f>COUNTIFS('Prácticas_Revisiones'!$S$2:$S$282,"T045",'Prácticas_Revisiones'!$T$2:$T$282,"SOFTWARE CONFIG. MGMT. &gt; Software Configuration Management Tools")+COUNTIFS('Prácticas_Snowballing'!$AB$2:$AB$281,"T045",'Prácticas_Snowballing'!$AC$2:$AC$281,"SOFTWARE CONFIG. MGMT. &gt; Software Configuration Management Tools")</f>
        <v>0</v>
      </c>
      <c r="BN55" s="17">
        <f>COUNTIFS('Prácticas_Revisiones'!$S$2:$S$282,"T045",'Prácticas_Revisiones'!$T$2:$T$282,"SOFTWARE CONFIG. MGMT. &gt; Subárea no determinable")+COUNTIFS('Prácticas_Snowballing'!$AB$2:$AB$281,"T045",'Prácticas_Snowballing'!$AC$2:$AC$281,"SOFTWARE CONFIG. MGMT. &gt; Subárea no determinable")</f>
        <v>0</v>
      </c>
      <c r="BO55" s="29">
        <f t="shared" si="42"/>
        <v>0</v>
      </c>
      <c r="BP55" s="17">
        <f>COUNTIFS('Prácticas_Revisiones'!$S$2:$S$282,"T045",'Prácticas_Revisiones'!$T$2:$T$282,"SOFTWARE ENG. PROCESS &gt; Software Engineering Process Fundamentals")+COUNTIFS('Prácticas_Snowballing'!$AB$2:$AB$281,"T045",'Prácticas_Snowballing'!$AC$2:$AC$281,"SOFTWARE ENG. PROCESS &gt; Software Engineering Process Fundamentals")</f>
        <v>0</v>
      </c>
      <c r="BQ55" s="17">
        <f>COUNTIFS('Prácticas_Revisiones'!$S$2:$S$282,"T045",'Prácticas_Revisiones'!$T$2:$T$282,"SOFTWARE ENG. PROCESS &gt; Life Cycles")+COUNTIFS('Prácticas_Snowballing'!$AB$2:$AB$281,"T045",'Prácticas_Snowballing'!$AC$2:$AC$281,"SOFTWARE ENG. PROCESS &gt; Life Cycles")</f>
        <v>1</v>
      </c>
      <c r="BR55" s="17">
        <f>COUNTIFS('Prácticas_Revisiones'!$S$2:$S$282,"T045",'Prácticas_Revisiones'!$T$2:$T$282,"SOFTWARE ENG. PROCESS &gt; Software Process Assessment and Improvement")+COUNTIFS('Prácticas_Snowballing'!$AB$2:$AB$281,"T045",'Prácticas_Snowballing'!$AC$2:$AC$281,"SOFTWARE ENG. PROCESS &gt; Software Process Assessment and Improvement")</f>
        <v>0</v>
      </c>
      <c r="BS55" s="17">
        <f>COUNTIFS('Prácticas_Revisiones'!$S$2:$S$282,"T045",'Prácticas_Revisiones'!$T$2:$T$282,"SOFTWARE ENG. PROCESS &gt; Subárea no determinable")+COUNTIFS('Prácticas_Snowballing'!$AB$2:$AB$281,"T045",'Prácticas_Snowballing'!$AC$2:$AC$281,"SOFTWARE ENG. PROCESS &gt; Subárea no determinable")</f>
        <v>0</v>
      </c>
      <c r="BT55" s="29">
        <f t="shared" si="43"/>
        <v>1</v>
      </c>
      <c r="BU55" s="17">
        <f>COUNTIFS('Prácticas_Revisiones'!$S$2:$S$282,"T045",'Prácticas_Revisiones'!$T$2:$T$282,"SOFTWARE ENG. MODELS/METH. &gt; Modeling")+COUNTIFS('Prácticas_Snowballing'!$AB$2:$AB$281,"T045",'Prácticas_Snowballing'!$AC$2:$AC$281,"SOFTWARE ENG. MODELS/METH. &gt; Modeling")</f>
        <v>0</v>
      </c>
      <c r="BV55" s="17">
        <f>COUNTIFS('Prácticas_Revisiones'!$S$2:$S$282,"T045",'Prácticas_Revisiones'!$T$2:$T$282,"SOFTWARE ENG. MODELS/METH. &gt; Types of Models")+COUNTIFS('Prácticas_Snowballing'!$AB$2:$AB$281,"T045",'Prácticas_Snowballing'!$AC$2:$AC$281,"SOFTWARE ENG. MODELS/METH. &gt; Types of Models")</f>
        <v>0</v>
      </c>
      <c r="BW55" s="17">
        <f>COUNTIFS('Prácticas_Revisiones'!$S$2:$S$282,"T045",'Prácticas_Revisiones'!$T$2:$T$282,"SOFTWARE ENG. MODELS/METH. &gt; Analysis of Models")+COUNTIFS('Prácticas_Snowballing'!$AB$2:$AB$281,"T045",'Prácticas_Snowballing'!$AC$2:$AC$281,"SOFTWARE ENG. MODELS/METH. &gt; Analysis of Models")</f>
        <v>0</v>
      </c>
      <c r="BX55" s="17">
        <f>COUNTIFS('Prácticas_Revisiones'!$S$2:$S$282,"T045",'Prácticas_Revisiones'!$T$2:$T$282,"SOFTWARE ENG. MODELS/METH. &gt; Software Engineering Methods")+COUNTIFS('Prácticas_Snowballing'!$AB$2:$AB$281,"T045",'Prácticas_Snowballing'!$AC$2:$AC$281,"SOFTWARE ENG. MODELS/METH. &gt; Software Engineering Methods")</f>
        <v>0</v>
      </c>
      <c r="BY55" s="17">
        <f>COUNTIFS('Prácticas_Revisiones'!$S$2:$S$282,"T045",'Prácticas_Revisiones'!$T$2:$T$282,"SOFTWARE ENG. MODELS/METH. &gt; Subárea no determinable")+COUNTIFS('Prácticas_Snowballing'!$AB$2:$AB$281,"T045",'Prácticas_Snowballing'!$AC$2:$AC$281,"SOFTWARE ENG. MODELS/METH. &gt; Subárea no determinable")</f>
        <v>0</v>
      </c>
      <c r="BZ55" s="29">
        <f t="shared" si="44"/>
        <v>0</v>
      </c>
      <c r="CA55" s="17">
        <f>COUNTIFS('Prácticas_Revisiones'!$S$2:$S$282,"T045",'Prácticas_Revisiones'!$T$2:$T$282,"SOFTWARE QUALITY &gt; Software Quality Fundamentals")+COUNTIFS('Prácticas_Snowballing'!$AB$2:$AB$281,"T045",'Prácticas_Snowballing'!$AC$2:$AC$281,"SOFTWARE QUALITY &gt; Software Quality Fundamentals")</f>
        <v>0</v>
      </c>
      <c r="CB55" s="17">
        <f>COUNTIFS('Prácticas_Revisiones'!$S$2:$S$282,"T045",'Prácticas_Revisiones'!$T$2:$T$282,"SOFTWARE QUALITY &gt; Software Quality Management Process")+COUNTIFS('Prácticas_Snowballing'!$AB$2:$AB$281,"T045",'Prácticas_Snowballing'!$AC$2:$AC$281,"SOFTWARE QUALITY &gt; Software Quality Management Process")</f>
        <v>0</v>
      </c>
      <c r="CC55" s="17">
        <f>COUNTIFS('Prácticas_Revisiones'!$S$2:$S$282,"T045",'Prácticas_Revisiones'!$T$2:$T$282,"SOFTWARE QUALITY &gt; Software Quality Assurance Process")+COUNTIFS('Prácticas_Snowballing'!$AB$2:$AB$281,"T045",'Prácticas_Snowballing'!$AC$2:$AC$281,"SOFTWARE QUALITY &gt; Software Quality Assurance Process")</f>
        <v>0</v>
      </c>
      <c r="CD55" s="17">
        <f>COUNTIFS('Prácticas_Revisiones'!$S$2:$S$282,"T045",'Prácticas_Revisiones'!$T$2:$T$282,"SOFTWARE QUALITY &gt; Software Quality Tools")+COUNTIFS('Prácticas_Snowballing'!$AB$2:$AB$281,"T045",'Prácticas_Snowballing'!$AC$2:$AC$281,"SOFTWARE QUALITY &gt; Software Quality Tools")</f>
        <v>0</v>
      </c>
      <c r="CE55" s="17">
        <f>COUNTIFS('Prácticas_Revisiones'!$S$2:$S$282,"T045",'Prácticas_Revisiones'!$T$2:$T$282,"SOFTWARE QUALITY &gt; Subárea no determinable")+COUNTIFS('Prácticas_Snowballing'!$AB$2:$AB$281,"T045",'Prácticas_Snowballing'!$AC$2:$AC$281,"SOFTWARE QUALITY &gt; Subárea no determinable")</f>
        <v>0</v>
      </c>
      <c r="CF55" s="29">
        <f t="shared" si="45"/>
        <v>0</v>
      </c>
      <c r="CG55" s="17">
        <f>COUNTIFS('Prácticas_Revisiones'!$S$2:$S$282,"T045",'Prácticas_Revisiones'!$T$2:$T$282,"SOFTWARE SECURITY &gt; Software Security Fundamentals")+COUNTIFS('Prácticas_Snowballing'!$AB$2:$AB$281,"T045",'Prácticas_Snowballing'!$AC$2:$AC$281,"SOFTWARE SECURITY &gt; Software Security Fundamentals")</f>
        <v>0</v>
      </c>
      <c r="CH55" s="17">
        <f>COUNTIFS('Prácticas_Revisiones'!$S$2:$S$282,"T045",'Prácticas_Revisiones'!$T$2:$T$282,"SOFTWARE SECURITY &gt; Security Management and Organization")+COUNTIFS('Prácticas_Snowballing'!$AB$2:$AB$281,"T045",'Prácticas_Snowballing'!$AC$2:$AC$281,"SOFTWARE SECURITY &gt; Security Management and Organization")</f>
        <v>0</v>
      </c>
      <c r="CI55" s="17">
        <f>COUNTIFS('Prácticas_Revisiones'!$S$2:$S$282,"T045",'Prácticas_Revisiones'!$T$2:$T$282,"SOFTWARE SECURITY &gt; Software Security Engineering and Process")+COUNTIFS('Prácticas_Snowballing'!$AB$2:$AB$281,"T045",'Prácticas_Snowballing'!$AC$2:$AC$281,"SOFTWARE SECURITY &gt; Software Security Engineering and Process")</f>
        <v>0</v>
      </c>
      <c r="CJ55" s="17">
        <f>COUNTIFS('Prácticas_Revisiones'!$S$2:$S$282,"T045",'Prácticas_Revisiones'!$T$2:$T$282,"SOFTWARE SECURITY &gt; Security Engineering for Software Systems")+COUNTIFS('Prácticas_Snowballing'!$AB$2:$AB$281,"T045",'Prácticas_Snowballing'!$AC$2:$AC$281,"SOFTWARE SECURITY &gt; Security Engineering for Software Systems")</f>
        <v>0</v>
      </c>
      <c r="CK55" s="17">
        <f>COUNTIFS('Prácticas_Revisiones'!$S$2:$S$282,"T045",'Prácticas_Revisiones'!$T$2:$T$282,"SOFTWARE SECURITY &gt; Software Security Tools")+COUNTIFS('Prácticas_Snowballing'!$AB$2:$AB$281,"T045",'Prácticas_Snowballing'!$AC$2:$AC$281,"SOFTWARE SECURITY &gt; Software Security Tools")</f>
        <v>0</v>
      </c>
      <c r="CL55" s="17">
        <f>COUNTIFS('Prácticas_Revisiones'!$S$2:$S$282,"T045",'Prácticas_Revisiones'!$T$2:$T$282,"SOFTWARE SECURITY &gt; Domain Specific Software Security")+COUNTIFS('Prácticas_Snowballing'!$AB$2:$AB$281,"T045",'Prácticas_Snowballing'!$AC$2:$AC$281,"SOFTWARE SECURITY &gt; Domain Specific Software Security")</f>
        <v>0</v>
      </c>
      <c r="CM55" s="17">
        <f>COUNTIFS('Prácticas_Revisiones'!$S$2:$S$282,"T045",'Prácticas_Revisiones'!$T$2:$T$282,"SOFTWARE SECURITY &gt; Subárea no determinable")+COUNTIFS('Prácticas_Snowballing'!$AB$2:$AB$281,"T045",'Prácticas_Snowballing'!$AC$2:$AC$281,"SOFTWARE SECURITY &gt; Subárea no determinable")</f>
        <v>0</v>
      </c>
      <c r="CN55" s="29">
        <f t="shared" si="46"/>
        <v>0</v>
      </c>
      <c r="CO55" s="17">
        <f>COUNTIFS('Prácticas_Revisiones'!$S$2:$S$282,"T045",'Prácticas_Revisiones'!$T$2:$T$282,"PROFESSIONAL PRACTICE &gt; Professionalism")+COUNTIFS('Prácticas_Snowballing'!$AB$2:$AB$281,"T045",'Prácticas_Snowballing'!$AC$2:$AC$281,"PROFESSIONAL PRACTICE &gt; Professionalism")</f>
        <v>0</v>
      </c>
      <c r="CP55" s="17">
        <f>COUNTIFS('Prácticas_Revisiones'!$S$2:$S$282,"T045",'Prácticas_Revisiones'!$T$2:$T$282,"PROFESSIONAL PRACTICE &gt; Group Dynamics and Psychology")+COUNTIFS('Prácticas_Snowballing'!$AB$2:$AB$281,"T045",'Prácticas_Snowballing'!$AC$2:$AC$281,"PROFESSIONAL PRACTICE &gt; Group Dynamics and Psychology")</f>
        <v>1</v>
      </c>
      <c r="CQ55" s="17">
        <f>COUNTIFS('Prácticas_Revisiones'!$S$2:$S$282,"T045",'Prácticas_Revisiones'!$T$2:$T$282,"PROFESSIONAL PRACTICE &gt; Communication Skills")+COUNTIFS('Prácticas_Snowballing'!$AB$2:$AB$281,"T045",'Prácticas_Snowballing'!$AC$2:$AC$281,"PROFESSIONAL PRACTICE &gt; Communication Skills")</f>
        <v>1</v>
      </c>
      <c r="CR55" s="17">
        <f>COUNTIFS('Prácticas_Revisiones'!$S$2:$S$282,"T045",'Prácticas_Revisiones'!$T$2:$T$282,"PROFESSIONAL PRACTICE &gt; Subárea no determinable")+COUNTIFS('Prácticas_Snowballing'!$AB$2:$AB$281,"T045",'Prácticas_Snowballing'!$AC$2:$AC$281,"PROFESSIONAL PRACTICE &gt; Subárea no determinable")</f>
        <v>1</v>
      </c>
      <c r="CS55" s="29">
        <f t="shared" si="47"/>
        <v>3</v>
      </c>
      <c r="CT55" s="17">
        <f>COUNTIFS('Prácticas_Revisiones'!$S$2:$S$282,"T045",'Prácticas_Revisiones'!$T$2:$T$282,"SOFTWARE ENG. ECONOMICS &gt; Software Engineering Economics Fundamentals")+COUNTIFS('Prácticas_Snowballing'!$AB$2:$AB$281,"T045",'Prácticas_Snowballing'!$AC$2:$AC$281,"SOFTWARE ENG. ECONOMICS &gt; Software Engineering Economics Fundamentals")</f>
        <v>0</v>
      </c>
      <c r="CU55" s="17">
        <f>COUNTIFS('Prácticas_Revisiones'!$S$2:$S$282,"T045",'Prácticas_Revisiones'!$T$2:$T$282,"SOFTWARE ENG. ECONOMICS &gt; The Engineering Decision-Making Process")+COUNTIFS('Prácticas_Snowballing'!$AB$2:$AB$281,"T045",'Prácticas_Snowballing'!$AC$2:$AC$281,"SOFTWARE ENG. ECONOMICS &gt; The Engineering Decision-Making Process")</f>
        <v>0</v>
      </c>
      <c r="CV55" s="17">
        <f>COUNTIFS('Prácticas_Revisiones'!$S$2:$S$282,"T045",'Prácticas_Revisiones'!$T$2:$T$282,"SOFTWARE ENG. ECONOMICS &gt; For-Profit Decision-Making")+COUNTIFS('Prácticas_Snowballing'!$AB$2:$AB$281,"T045",'Prácticas_Snowballing'!$AC$2:$AC$281,"SOFTWARE ENG. ECONOMICS &gt; For-Profit Decision-Making")</f>
        <v>0</v>
      </c>
      <c r="CW55" s="17">
        <f>COUNTIFS('Prácticas_Revisiones'!$S$2:$S$282,"T045",'Prácticas_Revisiones'!$T$2:$T$282,"SOFTWARE ENG. ECONOMICS &gt; Nonprofit Decision-Making")+COUNTIFS('Prácticas_Snowballing'!$AB$2:$AB$281,"T045",'Prácticas_Snowballing'!$AC$2:$AC$281,"SOFTWARE ENG. ECONOMICS &gt; Nonprofit Decision-Making")</f>
        <v>0</v>
      </c>
      <c r="CX55" s="17">
        <f>COUNTIFS('Prácticas_Revisiones'!$S$2:$S$282,"T045",'Prácticas_Revisiones'!$T$2:$T$282,"SOFTWARE ENG. ECONOMICS &gt; Present Economy Decision-Making")+COUNTIFS('Prácticas_Snowballing'!$AB$2:$AB$281,"T045",'Prácticas_Snowballing'!$AC$2:$AC$281,"SOFTWARE ENG. ECONOMICS &gt; Present Economy Decision-Making")</f>
        <v>0</v>
      </c>
      <c r="CY55" s="17">
        <f>COUNTIFS('Prácticas_Revisiones'!$S$2:$S$282,"T045",'Prácticas_Revisiones'!$T$2:$T$282,"SOFTWARE ENG. ECONOMICS &gt; Multiple-Attribute Decision-Making")+COUNTIFS('Prácticas_Snowballing'!$AB$2:$AB$281,"T045",'Prácticas_Snowballing'!$AC$2:$AC$281,"SOFTWARE ENG. ECONOMICS &gt; Multiple-Attribute Decision-Making")</f>
        <v>0</v>
      </c>
      <c r="CZ55" s="17">
        <f>COUNTIFS('Prácticas_Revisiones'!$S$2:$S$282,"T045",'Prácticas_Revisiones'!$T$2:$T$282,"SOFTWARE ENG. ECONOMICS &gt; Identifying and Characterizing Intangible Assets")+COUNTIFS('Prácticas_Snowballing'!$AB$2:$AB$281,"T045",'Prácticas_Snowballing'!$AC$2:$AC$281,"SOFTWARE ENG. ECONOMICS &gt; Identifying and Characterizing Intangible Assets")</f>
        <v>0</v>
      </c>
      <c r="DA55" s="17">
        <f>COUNTIFS('Prácticas_Revisiones'!$S$2:$S$282,"T045",'Prácticas_Revisiones'!$T$2:$T$282,"SOFTWARE ENG. ECONOMICS &gt; Estimation")+COUNTIFS('Prácticas_Snowballing'!$AB$2:$AB$281,"T045",'Prácticas_Snowballing'!$AC$2:$AC$281,"SOFTWARE ENG. ECONOMICS &gt; Estimation")</f>
        <v>0</v>
      </c>
      <c r="DB55" s="17">
        <f>COUNTIFS('Prácticas_Revisiones'!$S$2:$S$282,"T045",'Prácticas_Revisiones'!$T$2:$T$282,"SOFTWARE ENG. ECONOMICS &gt; Practical Considerations")+COUNTIFS('Prácticas_Snowballing'!$AB$2:$AB$281,"T045",'Prácticas_Snowballing'!$AC$2:$AC$281,"SOFTWARE ENG. ECONOMICS &gt; Practical Considerations")</f>
        <v>0</v>
      </c>
      <c r="DC55" s="17">
        <f>COUNTIFS('Prácticas_Revisiones'!$S$2:$S$282,"T045",'Prácticas_Revisiones'!$T$2:$T$282,"SOFTWARE ENG. ECONOMICS &gt; Related Concepts")+COUNTIFS('Prácticas_Snowballing'!$AB$2:$AB$281,"T045",'Prácticas_Snowballing'!$AC$2:$AC$281,"SOFTWARE ENG. ECONOMICS &gt; Related Concepts")</f>
        <v>0</v>
      </c>
      <c r="DD55" s="17">
        <f>COUNTIFS('Prácticas_Revisiones'!$S$2:$S$282,"T045",'Prácticas_Revisiones'!$T$2:$T$282,"SOFTWARE ENG. ECONOMICS &gt; Subárea no determinable")+COUNTIFS('Prácticas_Snowballing'!$AB$2:$AB$281,"T045",'Prácticas_Snowballing'!$AC$2:$AC$281,"SOFTWARE ENG. ECONOMICS &gt; Subárea no determinable")</f>
        <v>0</v>
      </c>
      <c r="DE55" s="29">
        <f t="shared" si="48"/>
        <v>0</v>
      </c>
      <c r="DF55" s="17">
        <f>COUNTIFS('Prácticas_Revisiones'!$S$2:$S$282,"T045",'Prácticas_Revisiones'!$T$2:$T$282,"SOFTWARE ENG. MANAGEMENT &gt; Software Engineering Management Fundamentals")+COUNTIFS('Prácticas_Snowballing'!$AB$2:$AB$281,"T045",'Prácticas_Snowballing'!$AC$2:$AC$281,"SOFTWARE ENG. MANAGEMENT &gt; Software Engineering Management Fundamentals")</f>
        <v>0</v>
      </c>
      <c r="DG55" s="17">
        <f>COUNTIFS('Prácticas_Revisiones'!$S$2:$S$282,"T045",'Prácticas_Revisiones'!$T$2:$T$282,"SOFTWARE ENG. MANAGEMENT &gt; Initiation and Scope Definition")+COUNTIFS('Prácticas_Snowballing'!$AB$2:$AB$281,"T045",'Prácticas_Snowballing'!$AC$2:$AC$281,"SOFTWARE ENG. MANAGEMENT &gt; Initiation and Scope Definition")</f>
        <v>0</v>
      </c>
      <c r="DH55" s="17">
        <f>COUNTIFS('Prácticas_Revisiones'!$S$2:$S$282,"T045",'Prácticas_Revisiones'!$T$2:$T$282,"SOFTWARE ENG. MANAGEMENT &gt; Software Project Planning")+COUNTIFS('Prácticas_Snowballing'!$AB$2:$AB$281,"T045",'Prácticas_Snowballing'!$AC$2:$AC$281,"SOFTWARE ENG. MANAGEMENT &gt; Software Project Planning")</f>
        <v>0</v>
      </c>
      <c r="DI55" s="17">
        <f>COUNTIFS('Prácticas_Revisiones'!$S$2:$S$282,"T045",'Prácticas_Revisiones'!$T$2:$T$282,"SOFTWARE ENG. MANAGEMENT &gt; Software Project Enactment")+COUNTIFS('Prácticas_Snowballing'!$AB$2:$AB$281,"T045",'Prácticas_Snowballing'!$AC$2:$AC$281,"SOFTWARE ENG. MANAGEMENT &gt; Software Project Enactment")</f>
        <v>0</v>
      </c>
      <c r="DJ55" s="17">
        <f>COUNTIFS('Prácticas_Revisiones'!$S$2:$S$282,"T045",'Prácticas_Revisiones'!$T$2:$T$282,"SOFTWARE ENG. MANAGEMENT &gt; Review and Evaluation")+COUNTIFS('Prácticas_Snowballing'!$AB$2:$AB$281,"T045",'Prácticas_Snowballing'!$AC$2:$AC$281,"SOFTWARE ENG. MANAGEMENT &gt; Review and Evaluation")</f>
        <v>0</v>
      </c>
      <c r="DK55" s="17">
        <f>COUNTIFS('Prácticas_Revisiones'!$S$2:$S$282,"T045",'Prácticas_Revisiones'!$T$2:$T$282,"SOFTWARE ENG. MANAGEMENT &gt; Closure")+COUNTIFS('Prácticas_Snowballing'!$AB$2:$AB$281,"T045",'Prácticas_Snowballing'!$AC$2:$AC$281,"SOFTWARE ENG. MANAGEMENT &gt; Closure")</f>
        <v>0</v>
      </c>
      <c r="DL55" s="17">
        <f>COUNTIFS('Prácticas_Revisiones'!$S$2:$S$282,"T045",'Prácticas_Revisiones'!$T$2:$T$282,"SOFTWARE ENG. MANAGEMENT &gt; Software Engineering Management Tools")+COUNTIFS('Prácticas_Snowballing'!$AB$2:$AB$281,"T045",'Prácticas_Snowballing'!$AC$2:$AC$281,"SOFTWARE ENG. MANAGEMENT &gt; Software Engineering Management Tools")</f>
        <v>0</v>
      </c>
      <c r="DM55" s="17">
        <f>COUNTIFS('Prácticas_Revisiones'!$S$2:$S$282,"T045",'Prácticas_Revisiones'!$T$2:$T$282,"SOFTWARE ENG. MANAGEMENT &gt; Subárea no determinable")+COUNTIFS('Prácticas_Snowballing'!$AB$2:$AB$281,"T045",'Prácticas_Snowballing'!$AC$2:$AC$281,"SOFTWARE ENG. MANAGEMENT &gt; Subárea no determinable")</f>
        <v>0</v>
      </c>
      <c r="DN55" s="29">
        <f t="shared" si="49"/>
        <v>0</v>
      </c>
      <c r="DO55" s="17">
        <f>COUNTIFS('Prácticas_Revisiones'!$S$2:$S$282,"T045",'Prácticas_Revisiones'!$T$2:$T$282,"Sin área SWEBOK")+COUNTIFS('Prácticas_Snowballing'!$AB$2:$AB$281,"T045",'Prácticas_Snowballing'!$AC$2:$AC$281,"Sin área SWEBOK")</f>
        <v>0</v>
      </c>
      <c r="DP55" s="27">
        <f t="shared" si="50"/>
        <v>12</v>
      </c>
    </row>
    <row r="56" ht="15.75" customHeight="1">
      <c r="A56" s="28"/>
      <c r="B56" s="16" t="s">
        <v>2792</v>
      </c>
      <c r="C56" s="17">
        <f>COUNTIFS('Prácticas_Revisiones'!$S$2:$S$282,"T046",'Prácticas_Revisiones'!$T$2:$T$282,"REQUIREMENTS &gt; Software Requirements Fundamentals")+COUNTIFS('Prácticas_Snowballing'!$AB$2:$AB$281,"T046",'Prácticas_Snowballing'!$AC$2:$AC$281,"REQUIREMENTS &gt; Software Requirements Fundamentals")</f>
        <v>0</v>
      </c>
      <c r="D56" s="17">
        <f>COUNTIFS('Prácticas_Revisiones'!$S$2:$S$282,"T046",'Prácticas_Revisiones'!$T$2:$T$282,"REQUIREMENTS &gt; Requirements Elicitation")+COUNTIFS('Prácticas_Snowballing'!$AB$2:$AB$281,"T046",'Prácticas_Snowballing'!$AC$2:$AC$281,"REQUIREMENTS &gt; Requirements Elicitation")</f>
        <v>0</v>
      </c>
      <c r="E56" s="17">
        <f>COUNTIFS('Prácticas_Revisiones'!$S$2:$S$282,"T046",'Prácticas_Revisiones'!$T$2:$T$282,"REQUIREMENTS &gt; Requirements Analysis")+COUNTIFS('Prácticas_Snowballing'!$AB$2:$AB$281,"T046",'Prácticas_Snowballing'!$AC$2:$AC$281,"REQUIREMENTS &gt; Requirements Analysis")</f>
        <v>0</v>
      </c>
      <c r="F56" s="17">
        <f>COUNTIFS('Prácticas_Revisiones'!$S$2:$S$282,"T046",'Prácticas_Revisiones'!$T$2:$T$282,"REQUIREMENTS &gt; Requirements Specification")+COUNTIFS('Prácticas_Snowballing'!$AB$2:$AB$281,"T046",'Prácticas_Snowballing'!$AC$2:$AC$281,"REQUIREMENTS &gt; Requirements Specification")</f>
        <v>0</v>
      </c>
      <c r="G56" s="17">
        <f>COUNTIFS('Prácticas_Revisiones'!$S$2:$S$282,"T046",'Prácticas_Revisiones'!$T$2:$T$282,"REQUIREMENTS &gt; Requirements Validation")+COUNTIFS('Prácticas_Snowballing'!$AB$2:$AB$281,"T046",'Prácticas_Snowballing'!$AC$2:$AC$281,"REQUIREMENTS &gt; Requirements Validation")</f>
        <v>0</v>
      </c>
      <c r="H56" s="17">
        <f>COUNTIFS('Prácticas_Revisiones'!$S$2:$S$282,"T046",'Prácticas_Revisiones'!$T$2:$T$282,"REQUIREMENTS &gt; Requirements Management Activities")+COUNTIFS('Prácticas_Snowballing'!$AB$2:$AB$281,"T046",'Prácticas_Snowballing'!$AC$2:$AC$281,"REQUIREMENTS &gt; Requirements Management Activities")</f>
        <v>0</v>
      </c>
      <c r="I56" s="17">
        <f>COUNTIFS('Prácticas_Revisiones'!$S$2:$S$282,"T046",'Prácticas_Revisiones'!$T$2:$T$282,"REQUIREMENTS &gt; Practical Considerations")+COUNTIFS('Prácticas_Snowballing'!$AB$2:$AB$281,"T046",'Prácticas_Snowballing'!$AC$2:$AC$281,"REQUIREMENTS &gt; Practical Considerations")</f>
        <v>0</v>
      </c>
      <c r="J56" s="17">
        <f>COUNTIFS('Prácticas_Revisiones'!$S$2:$S$282,"T046",'Prácticas_Revisiones'!$T$2:$T$282,"REQUIREMENTS &gt; Software Requirements Tools")+COUNTIFS('Prácticas_Snowballing'!$AB$2:$AB$281,"T046",'Prácticas_Snowballing'!$AC$2:$AC$281,"REQUIREMENTS &gt; Software Requirements Tools")</f>
        <v>0</v>
      </c>
      <c r="K56" s="17">
        <f>COUNTIFS('Prácticas_Revisiones'!$S$2:$S$282,"T046",'Prácticas_Revisiones'!$T$2:$T$282,"REQUIREMENTS &gt; Subárea no determinable")+COUNTIFS('Prácticas_Snowballing'!$AB$2:$AB$281,"T046",'Prácticas_Snowballing'!$AC$2:$AC$281,"REQUIREMENTS &gt; Subárea no determinable")</f>
        <v>0</v>
      </c>
      <c r="L56" s="29">
        <f t="shared" si="35"/>
        <v>0</v>
      </c>
      <c r="M56" s="17">
        <f>COUNTIFS('Prácticas_Revisiones'!$S$2:$S$282,"T046",'Prácticas_Revisiones'!$T$2:$T$282,"ARCHITECTURE &gt; Software Architecture Fundamentals")+COUNTIFS('Prácticas_Snowballing'!$AB$2:$AB$281,"T046",'Prácticas_Snowballing'!$AC$2:$AC$281,"ARCHITECTURE &gt; Software Architecture Fundamentals")</f>
        <v>0</v>
      </c>
      <c r="N56" s="17">
        <f>COUNTIFS('Prácticas_Revisiones'!$S$2:$S$282,"T046",'Prácticas_Revisiones'!$T$2:$T$282,"ARCHITECTURE &gt; Software Architecture Description")+COUNTIFS('Prácticas_Snowballing'!$AB$2:$AB$281,"T046",'Prácticas_Snowballing'!$AC$2:$AC$281,"ARCHITECTURE &gt; Software Architecture Description")</f>
        <v>0</v>
      </c>
      <c r="O56" s="17">
        <f>COUNTIFS('Prácticas_Revisiones'!$S$2:$S$282,"T046",'Prácticas_Revisiones'!$T$2:$T$282,"ARCHITECTURE &gt; Software Architecture Process")+COUNTIFS('Prácticas_Snowballing'!$AB$2:$AB$281,"T046",'Prácticas_Snowballing'!$AC$2:$AC$281,"ARCHITECTURE &gt; Software Architecture Process")</f>
        <v>0</v>
      </c>
      <c r="P56" s="17">
        <f>COUNTIFS('Prácticas_Revisiones'!$S$2:$S$282,"T046",'Prácticas_Revisiones'!$T$2:$T$282,"ARCHITECTURE &gt; Software Architecture Evaluation")+COUNTIFS('Prácticas_Snowballing'!$AB$2:$AB$281,"T046",'Prácticas_Snowballing'!$AC$2:$AC$281,"ARCHITECTURE &gt; Software Architecture Evaluation")</f>
        <v>0</v>
      </c>
      <c r="Q56" s="17">
        <f>COUNTIFS('Prácticas_Revisiones'!$S$2:$S$282,"T046",'Prácticas_Revisiones'!$T$2:$T$282,"ARCHITECTURE &gt; Subárea no determinable")+COUNTIFS('Prácticas_Snowballing'!$AB$2:$AB$281,"T046",'Prácticas_Snowballing'!$AC$2:$AC$281,"ARCHITECTURE &gt; Subárea no determinable")</f>
        <v>0</v>
      </c>
      <c r="R56" s="29">
        <f t="shared" si="36"/>
        <v>0</v>
      </c>
      <c r="S56" s="17">
        <f>COUNTIFS('Prácticas_Revisiones'!$S$2:$S$282,"T046",'Prácticas_Revisiones'!$T$2:$T$282,"DESIGN &gt; Software Design Fundamentals")+COUNTIFS('Prácticas_Snowballing'!$AB$2:$AB$281,"T046",'Prácticas_Snowballing'!$AC$2:$AC$281,"DESIGN &gt; Software Design Fundamentals")</f>
        <v>0</v>
      </c>
      <c r="T56" s="17">
        <f>COUNTIFS('Prácticas_Revisiones'!$S$2:$S$282,"T046",'Prácticas_Revisiones'!$T$2:$T$282,"DESIGN &gt; Software Design Processes")+COUNTIFS('Prácticas_Snowballing'!$AB$2:$AB$281,"T046",'Prácticas_Snowballing'!$AC$2:$AC$281,"DESIGN &gt; Software Design Processes")</f>
        <v>0</v>
      </c>
      <c r="U56" s="17">
        <f>COUNTIFS('Prácticas_Revisiones'!$S$2:$S$282,"T046",'Prácticas_Revisiones'!$T$2:$T$282,"DESIGN &gt; Software Design Qualities")+COUNTIFS('Prácticas_Snowballing'!$AB$2:$AB$281,"T046",'Prácticas_Snowballing'!$AC$2:$AC$281,"DESIGN &gt; Software Design Qualities")</f>
        <v>0</v>
      </c>
      <c r="V56" s="17">
        <f>COUNTIFS('Prácticas_Revisiones'!$S$2:$S$282,"T046",'Prácticas_Revisiones'!$T$2:$T$282,"DESIGN &gt; Recording Software Design")+COUNTIFS('Prácticas_Snowballing'!$AB$2:$AB$281,"T046",'Prácticas_Snowballing'!$AC$2:$AC$281,"DESIGN &gt; Recording Software Design")</f>
        <v>0</v>
      </c>
      <c r="W56" s="17">
        <f>COUNTIFS('Prácticas_Revisiones'!$S$2:$S$282,"T046",'Prácticas_Revisiones'!$T$2:$T$282,"DESIGN &gt; Software Design Strategies and Methods")+COUNTIFS('Prácticas_Snowballing'!$AB$2:$AB$281,"T046",'Prácticas_Snowballing'!$AC$2:$AC$281,"DESIGN &gt; Software Design Strategies and Methods")</f>
        <v>0</v>
      </c>
      <c r="X56" s="17">
        <f>COUNTIFS('Prácticas_Revisiones'!$S$2:$S$282,"T046",'Prácticas_Revisiones'!$T$2:$T$282,"DESIGN &gt; Software Design Analysis and Evaluations")+COUNTIFS('Prácticas_Snowballing'!$AB$2:$AB$281,"T046",'Prácticas_Snowballing'!$AC$2:$AC$281,"DESIGN &gt; Software Design Analysis and Evaluations")</f>
        <v>0</v>
      </c>
      <c r="Y56" s="17">
        <f>COUNTIFS('Prácticas_Revisiones'!$S$2:$S$282,"T046",'Prácticas_Revisiones'!$T$2:$T$282,"DESIGN &gt; Subárea no determinable")+COUNTIFS('Prácticas_Snowballing'!$AB$2:$AB$281,"T046",'Prácticas_Snowballing'!$AC$2:$AC$281,"DESIGN &gt; Subárea no determinable")</f>
        <v>0</v>
      </c>
      <c r="Z56" s="29">
        <f t="shared" si="37"/>
        <v>0</v>
      </c>
      <c r="AA56" s="17">
        <f>COUNTIFS('Prácticas_Revisiones'!$S$2:$S$282,"T046",'Prácticas_Revisiones'!$T$2:$T$282,"CONSTRUCTION &gt; Software Construction Fundamentals")+COUNTIFS('Prácticas_Snowballing'!$AB$2:$AB$281,"T046",'Prácticas_Snowballing'!$AC$2:$AC$281,"CONSTRUCTION &gt; Software Construction Fundamentals")</f>
        <v>0</v>
      </c>
      <c r="AB56" s="17">
        <f>COUNTIFS('Prácticas_Revisiones'!$S$2:$S$282,"T046",'Prácticas_Revisiones'!$T$2:$T$282,"CONSTRUCTION &gt; Managing Construction")+COUNTIFS('Prácticas_Snowballing'!$AB$2:$AB$281,"T046",'Prácticas_Snowballing'!$AC$2:$AC$281,"CONSTRUCTION &gt; Managing Construction")</f>
        <v>0</v>
      </c>
      <c r="AC56" s="17">
        <f>COUNTIFS('Prácticas_Revisiones'!$S$2:$S$282,"T046",'Prácticas_Revisiones'!$T$2:$T$282,"CONSTRUCTION &gt; Practical Considerations")+COUNTIFS('Prácticas_Snowballing'!$AB$2:$AB$281,"T046",'Prácticas_Snowballing'!$AC$2:$AC$281,"CONSTRUCTION &gt; Practical Considerations")</f>
        <v>0</v>
      </c>
      <c r="AD56" s="17">
        <f>COUNTIFS('Prácticas_Revisiones'!$S$2:$S$282,"T046",'Prácticas_Revisiones'!$T$2:$T$282,"CONSTRUCTION &gt; Construction Technologies")+COUNTIFS('Prácticas_Snowballing'!$AB$2:$AB$281,"T046",'Prácticas_Snowballing'!$AC$2:$AC$281,"CONSTRUCTION &gt; Construction Technologies")</f>
        <v>0</v>
      </c>
      <c r="AE56" s="17">
        <f>COUNTIFS('Prácticas_Revisiones'!$S$2:$S$282,"T046",'Prácticas_Revisiones'!$T$2:$T$282,"CONSTRUCTION &gt; Software Construction Tools")+COUNTIFS('Prácticas_Snowballing'!$AB$2:$AB$281,"T046",'Prácticas_Snowballing'!$AC$2:$AC$281,"CONSTRUCTION &gt; Software Construction Tools")</f>
        <v>0</v>
      </c>
      <c r="AF56" s="17">
        <f>COUNTIFS('Prácticas_Revisiones'!$S$2:$S$282,"T046",'Prácticas_Revisiones'!$T$2:$T$282,"CONSTRUCTION &gt; Subárea no determinable")+COUNTIFS('Prácticas_Snowballing'!$AB$2:$AB$281,"T046",'Prácticas_Snowballing'!$AC$2:$AC$281,"CONSTRUCTION &gt; Subárea no determinable")</f>
        <v>0</v>
      </c>
      <c r="AG56" s="29">
        <f t="shared" si="38"/>
        <v>0</v>
      </c>
      <c r="AH56" s="17">
        <f>COUNTIFS('Prácticas_Revisiones'!$S$2:$S$282,"T046",'Prácticas_Revisiones'!$T$2:$T$282,"SOFTWARE TESTING &gt; Software Testing Fundamentals")+COUNTIFS('Prácticas_Snowballing'!$AB$2:$AB$281,"T046",'Prácticas_Snowballing'!$AC$2:$AC$281,"SOFTWARE TESTING &gt; Software Testing Fundamentals")</f>
        <v>0</v>
      </c>
      <c r="AI56" s="17">
        <f>COUNTIFS('Prácticas_Revisiones'!$S$2:$S$282,"T046",'Prácticas_Revisiones'!$T$2:$T$282,"SOFTWARE TESTING &gt; Test Levels")+COUNTIFS('Prácticas_Snowballing'!$AB$2:$AB$281,"T046",'Prácticas_Snowballing'!$AC$2:$AC$281,"SOFTWARE TESTING &gt; Test Levels")</f>
        <v>0</v>
      </c>
      <c r="AJ56" s="17">
        <f>COUNTIFS('Prácticas_Revisiones'!$S$2:$S$282,"T046",'Prácticas_Revisiones'!$T$2:$T$282,"SOFTWARE TESTING &gt; Test Techniques")+COUNTIFS('Prácticas_Snowballing'!$AB$2:$AB$281,"T046",'Prácticas_Snowballing'!$AC$2:$AC$281,"SOFTWARE TESTING &gt; Test Techniques")</f>
        <v>0</v>
      </c>
      <c r="AK56" s="17">
        <f>COUNTIFS('Prácticas_Revisiones'!$S$2:$S$282,"T046",'Prácticas_Revisiones'!$T$2:$T$282,"SOFTWARE TESTING &gt; Test-Related Measures")+COUNTIFS('Prácticas_Snowballing'!$AB$2:$AB$281,"T046",'Prácticas_Snowballing'!$AC$2:$AC$281,"SOFTWARE TESTING &gt; Test-Related Measures")</f>
        <v>0</v>
      </c>
      <c r="AL56" s="17">
        <f>COUNTIFS('Prácticas_Revisiones'!$S$2:$S$282,"T046",'Prácticas_Revisiones'!$T$2:$T$282,"SOFTWARE TESTING &gt; Test Process")+COUNTIFS('Prácticas_Snowballing'!$AB$2:$AB$281,"T046",'Prácticas_Snowballing'!$AC$2:$AC$281,"SOFTWARE TESTING &gt; Test Process")</f>
        <v>0</v>
      </c>
      <c r="AM56" s="17">
        <f>COUNTIFS('Prácticas_Revisiones'!$S$2:$S$282,"T046",'Prácticas_Revisiones'!$T$2:$T$282,"SOFTWARE TESTING &gt; Software Testing in the Development Processes...")+COUNTIFS('Prácticas_Snowballing'!$AB$2:$AB$281,"T046",'Prácticas_Snowballing'!$AC$2:$AC$281,"SOFTWARE TESTING &gt; Software Testing in the Development Processes...")</f>
        <v>0</v>
      </c>
      <c r="AN56" s="17">
        <f>COUNTIFS('Prácticas_Revisiones'!$S$2:$S$282,"T046",'Prácticas_Revisiones'!$T$2:$T$282,"SOFTWARE TESTING &gt; Testing of and Testing Through Emerging Tech...")+COUNTIFS('Prácticas_Snowballing'!$AB$2:$AB$281,"T046",'Prácticas_Snowballing'!$AC$2:$AC$281,"SOFTWARE TESTING &gt; Testing of and Testing Through Emerging Tech...")</f>
        <v>0</v>
      </c>
      <c r="AO56" s="17">
        <f>COUNTIFS('Prácticas_Revisiones'!$S$2:$S$282,"T046",'Prácticas_Revisiones'!$T$2:$T$282,"SOFTWARE TESTING &gt; Software Testing Tools")+COUNTIFS('Prácticas_Snowballing'!$AB$2:$AB$281,"T046",'Prácticas_Snowballing'!$AC$2:$AC$281,"SOFTWARE TESTING &gt; Software Testing Tools")</f>
        <v>0</v>
      </c>
      <c r="AP56" s="17">
        <f>COUNTIFS('Prácticas_Revisiones'!$S$2:$S$282,"T046",'Prácticas_Revisiones'!$T$2:$T$282,"SOFTWARE TESTING &gt; Subárea no determinable")+COUNTIFS('Prácticas_Snowballing'!$AB$2:$AB$281,"T046",'Prácticas_Snowballing'!$AC$2:$AC$281,"SOFTWARE TESTING &gt; Subárea no determinable")</f>
        <v>0</v>
      </c>
      <c r="AQ56" s="29">
        <f t="shared" si="39"/>
        <v>0</v>
      </c>
      <c r="AR56" s="17">
        <f>COUNTIFS('Prácticas_Revisiones'!$S$2:$S$282,"T046",'Prácticas_Revisiones'!$T$2:$T$282,"SOFTWARE ENG. OPERATIONS &gt; Software Engineering Operations Fundamentals")+COUNTIFS('Prácticas_Snowballing'!$AB$2:$AB$281,"T046",'Prácticas_Snowballing'!$AC$2:$AC$281,"SOFTWARE ENG. OPERATIONS &gt; Software Engineering Operations Fundamentals")</f>
        <v>0</v>
      </c>
      <c r="AS56" s="17">
        <f>COUNTIFS('Prácticas_Revisiones'!$S$2:$S$282,"T046",'Prácticas_Revisiones'!$T$2:$T$282,"SOFTWARE ENG. OPERATIONS &gt; Software Engineering Operations Planning")+COUNTIFS('Prácticas_Snowballing'!$AB$2:$AB$281,"T046",'Prácticas_Snowballing'!$AC$2:$AC$281,"SOFTWARE ENG. OPERATIONS &gt; Software Engineering Operations Planning")</f>
        <v>0</v>
      </c>
      <c r="AT56" s="17">
        <f>COUNTIFS('Prácticas_Revisiones'!$S$2:$S$282,"T046",'Prácticas_Revisiones'!$T$2:$T$282,"SOFTWARE ENG. OPERATIONS &gt; Software Engineering Operations Delivery")+COUNTIFS('Prácticas_Snowballing'!$AB$2:$AB$281,"T046",'Prácticas_Snowballing'!$AC$2:$AC$281,"SOFTWARE ENG. OPERATIONS &gt; Software Engineering Operations Delivery")</f>
        <v>0</v>
      </c>
      <c r="AU56" s="17">
        <f>COUNTIFS('Prácticas_Revisiones'!$S$2:$S$282,"T046",'Prácticas_Revisiones'!$T$2:$T$282,"SOFTWARE ENG. OPERATIONS &gt; Software Engineering Operations Control")+COUNTIFS('Prácticas_Snowballing'!$AB$2:$AB$281,"T046",'Prácticas_Snowballing'!$AC$2:$AC$281,"SOFTWARE ENG. OPERATIONS &gt; Software Engineering Operations Control")</f>
        <v>0</v>
      </c>
      <c r="AV56" s="17">
        <f>COUNTIFS('Prácticas_Revisiones'!$S$2:$S$282,"T046",'Prácticas_Revisiones'!$T$2:$T$282,"SOFTWARE ENG. OPERATIONS &gt; Practical Considerations")+COUNTIFS('Prácticas_Snowballing'!$AB$2:$AB$281,"T046",'Prácticas_Snowballing'!$AC$2:$AC$281,"SOFTWARE ENG. OPERATIONS &gt; Practical Considerations")</f>
        <v>0</v>
      </c>
      <c r="AW56" s="17">
        <f>COUNTIFS('Prácticas_Revisiones'!$S$2:$S$282,"T046",'Prácticas_Revisiones'!$T$2:$T$282,"SOFTWARE ENG. OPERATIONS &gt; Software Engineering Operations Tools")+COUNTIFS('Prácticas_Snowballing'!$AB$2:$AB$281,"T046",'Prácticas_Snowballing'!$AC$2:$AC$281,"SOFTWARE ENG. OPERATIONS &gt; Software Engineering Operations Tools")</f>
        <v>0</v>
      </c>
      <c r="AX56" s="17">
        <f>COUNTIFS('Prácticas_Revisiones'!$S$2:$S$282,"T046",'Prácticas_Revisiones'!$T$2:$T$282,"SOFTWARE ENG. OPERATIONS &gt; Subárea no determinable")+COUNTIFS('Prácticas_Snowballing'!$AB$2:$AB$281,"T046",'Prácticas_Snowballing'!$AC$2:$AC$281,"SOFTWARE ENG. OPERATIONS &gt; Subárea no determinable")</f>
        <v>0</v>
      </c>
      <c r="AY56" s="29">
        <f t="shared" si="40"/>
        <v>0</v>
      </c>
      <c r="AZ56" s="17">
        <f>COUNTIFS('Prácticas_Revisiones'!$S$2:$S$282,"T046",'Prácticas_Revisiones'!$T$2:$T$282,"MAINTENANCE &gt; Software Maintenance Fundamentals")+COUNTIFS('Prácticas_Snowballing'!$AB$2:$AB$281,"T046",'Prácticas_Snowballing'!$AC$2:$AC$281,"MAINTENANCE &gt; Software Maintenance Fundamentals")</f>
        <v>0</v>
      </c>
      <c r="BA56" s="17">
        <f>COUNTIFS('Prácticas_Revisiones'!$S$2:$S$282,"T046",'Prácticas_Revisiones'!$T$2:$T$282,"MAINTENANCE &gt; Key Issues in Software Maintenance")+COUNTIFS('Prácticas_Snowballing'!$AB$2:$AB$281,"T046",'Prácticas_Snowballing'!$AC$2:$AC$281,"MAINTENANCE &gt; Key Issues in Software Maintenance")</f>
        <v>0</v>
      </c>
      <c r="BB56" s="17">
        <f>COUNTIFS('Prácticas_Revisiones'!$S$2:$S$282,"T046",'Prácticas_Revisiones'!$T$2:$T$282,"MAINTENANCE &gt; Software Maintenance Processes")+COUNTIFS('Prácticas_Snowballing'!$AB$2:$AB$281,"T046",'Prácticas_Snowballing'!$AC$2:$AC$281,"MAINTENANCE &gt; Software Maintenance Processes")</f>
        <v>0</v>
      </c>
      <c r="BC56" s="17">
        <f>COUNTIFS('Prácticas_Revisiones'!$S$2:$S$282,"T046",'Prácticas_Revisiones'!$T$2:$T$282,"MAINTENANCE &gt; Software Maintenance Techniques")+COUNTIFS('Prácticas_Snowballing'!$AB$2:$AB$281,"T046",'Prácticas_Snowballing'!$AC$2:$AC$281,"MAINTENANCE &gt; Software Maintenance Techniques")</f>
        <v>0</v>
      </c>
      <c r="BD56" s="17">
        <f>COUNTIFS('Prácticas_Revisiones'!$S$2:$S$282,"T046",'Prácticas_Revisiones'!$T$2:$T$282,"MAINTENANCE &gt; Software Maintenance Tools")+COUNTIFS('Prácticas_Snowballing'!$AB$2:$AB$281,"T046",'Prácticas_Snowballing'!$AC$2:$AC$281,"MAINTENANCE &gt; Software Maintenance Tools")</f>
        <v>0</v>
      </c>
      <c r="BE56" s="17">
        <f>COUNTIFS('Prácticas_Revisiones'!$S$2:$S$282,"T046",'Prácticas_Revisiones'!$T$2:$T$282,"MAINTENANCE &gt; Subárea no determinable")+COUNTIFS('Prácticas_Snowballing'!$AB$2:$AB$281,"T046",'Prácticas_Snowballing'!$AC$2:$AC$281,"MAINTENANCE &gt; Subárea no determinable")</f>
        <v>0</v>
      </c>
      <c r="BF56" s="29">
        <f t="shared" si="41"/>
        <v>0</v>
      </c>
      <c r="BG56" s="17">
        <f>COUNTIFS('Prácticas_Revisiones'!$S$2:$S$282,"T046",'Prácticas_Revisiones'!$T$2:$T$282,"SOFTWARE CONFIG. MGMT. &gt; Management of the SCM Process")+COUNTIFS('Prácticas_Snowballing'!$AB$2:$AB$281,"T046",'Prácticas_Snowballing'!$AC$2:$AC$281,"SOFTWARE CONFIG. MGMT. &gt; Management of the SCM Process")</f>
        <v>0</v>
      </c>
      <c r="BH56" s="17">
        <f>COUNTIFS('Prácticas_Revisiones'!$S$2:$S$282,"T046",'Prácticas_Revisiones'!$T$2:$T$282,"SOFTWARE CONFIG. MGMT. &gt; Software Configuration Identification")+COUNTIFS('Prácticas_Snowballing'!$AB$2:$AB$281,"T046",'Prácticas_Snowballing'!$AC$2:$AC$281,"SOFTWARE CONFIG. MGMT. &gt; Software Configuration Identification")</f>
        <v>0</v>
      </c>
      <c r="BI56" s="17">
        <f>COUNTIFS('Prácticas_Revisiones'!$S$2:$S$282,"T046",'Prácticas_Revisiones'!$T$2:$T$282,"SOFTWARE CONFIG. MGMT. &gt; Software Configuration Change Control")+COUNTIFS('Prácticas_Snowballing'!$AB$2:$AB$281,"T046",'Prácticas_Snowballing'!$AC$2:$AC$281,"SOFTWARE CONFIG. MGMT. &gt; Software Configuration Change Control")</f>
        <v>0</v>
      </c>
      <c r="BJ56" s="17">
        <f>COUNTIFS('Prácticas_Revisiones'!$S$2:$S$282,"T046",'Prácticas_Revisiones'!$T$2:$T$282,"SOFTWARE CONFIG. MGMT. &gt; Software Configuration Status Accounting")+COUNTIFS('Prácticas_Snowballing'!$AB$2:$AB$281,"T046",'Prácticas_Snowballing'!$AC$2:$AC$281,"SOFTWARE CONFIG. MGMT. &gt; Software Configuration Status Accounting")</f>
        <v>0</v>
      </c>
      <c r="BK56" s="17">
        <f>COUNTIFS('Prácticas_Revisiones'!$S$2:$S$282,"T046",'Prácticas_Revisiones'!$T$2:$T$282,"SOFTWARE CONFIG. MGMT. &gt; Software Configuration Auditing")+COUNTIFS('Prácticas_Snowballing'!$AB$2:$AB$281,"T046",'Prácticas_Snowballing'!$AC$2:$AC$281,"SOFTWARE CONFIG. MGMT. &gt; Software Configuration Auditing")</f>
        <v>0</v>
      </c>
      <c r="BL56" s="17">
        <f>COUNTIFS('Prácticas_Revisiones'!$S$2:$S$282,"T046",'Prácticas_Revisiones'!$T$2:$T$282,"SOFTWARE CONFIG. MGMT. &gt; Software Release Management and Delivery")+COUNTIFS('Prácticas_Snowballing'!$AB$2:$AB$281,"T046",'Prácticas_Snowballing'!$AC$2:$AC$281,"SOFTWARE CONFIG. MGMT. &gt; Software Release Management and Delivery")</f>
        <v>0</v>
      </c>
      <c r="BM56" s="17">
        <f>COUNTIFS('Prácticas_Revisiones'!$S$2:$S$282,"T046",'Prácticas_Revisiones'!$T$2:$T$282,"SOFTWARE CONFIG. MGMT. &gt; Software Configuration Management Tools")+COUNTIFS('Prácticas_Snowballing'!$AB$2:$AB$281,"T046",'Prácticas_Snowballing'!$AC$2:$AC$281,"SOFTWARE CONFIG. MGMT. &gt; Software Configuration Management Tools")</f>
        <v>0</v>
      </c>
      <c r="BN56" s="17">
        <f>COUNTIFS('Prácticas_Revisiones'!$S$2:$S$282,"T046",'Prácticas_Revisiones'!$T$2:$T$282,"SOFTWARE CONFIG. MGMT. &gt; Subárea no determinable")+COUNTIFS('Prácticas_Snowballing'!$AB$2:$AB$281,"T046",'Prácticas_Snowballing'!$AC$2:$AC$281,"SOFTWARE CONFIG. MGMT. &gt; Subárea no determinable")</f>
        <v>0</v>
      </c>
      <c r="BO56" s="29">
        <f t="shared" si="42"/>
        <v>0</v>
      </c>
      <c r="BP56" s="17">
        <f>COUNTIFS('Prácticas_Revisiones'!$S$2:$S$282,"T046",'Prácticas_Revisiones'!$T$2:$T$282,"SOFTWARE ENG. PROCESS &gt; Software Engineering Process Fundamentals")+COUNTIFS('Prácticas_Snowballing'!$AB$2:$AB$281,"T046",'Prácticas_Snowballing'!$AC$2:$AC$281,"SOFTWARE ENG. PROCESS &gt; Software Engineering Process Fundamentals")</f>
        <v>0</v>
      </c>
      <c r="BQ56" s="17">
        <f>COUNTIFS('Prácticas_Revisiones'!$S$2:$S$282,"T046",'Prácticas_Revisiones'!$T$2:$T$282,"SOFTWARE ENG. PROCESS &gt; Life Cycles")+COUNTIFS('Prácticas_Snowballing'!$AB$2:$AB$281,"T046",'Prácticas_Snowballing'!$AC$2:$AC$281,"SOFTWARE ENG. PROCESS &gt; Life Cycles")</f>
        <v>0</v>
      </c>
      <c r="BR56" s="17">
        <f>COUNTIFS('Prácticas_Revisiones'!$S$2:$S$282,"T046",'Prácticas_Revisiones'!$T$2:$T$282,"SOFTWARE ENG. PROCESS &gt; Software Process Assessment and Improvement")+COUNTIFS('Prácticas_Snowballing'!$AB$2:$AB$281,"T046",'Prácticas_Snowballing'!$AC$2:$AC$281,"SOFTWARE ENG. PROCESS &gt; Software Process Assessment and Improvement")</f>
        <v>0</v>
      </c>
      <c r="BS56" s="17">
        <f>COUNTIFS('Prácticas_Revisiones'!$S$2:$S$282,"T046",'Prácticas_Revisiones'!$T$2:$T$282,"SOFTWARE ENG. PROCESS &gt; Subárea no determinable")+COUNTIFS('Prácticas_Snowballing'!$AB$2:$AB$281,"T046",'Prácticas_Snowballing'!$AC$2:$AC$281,"SOFTWARE ENG. PROCESS &gt; Subárea no determinable")</f>
        <v>0</v>
      </c>
      <c r="BT56" s="29">
        <f t="shared" si="43"/>
        <v>0</v>
      </c>
      <c r="BU56" s="17">
        <f>COUNTIFS('Prácticas_Revisiones'!$S$2:$S$282,"T046",'Prácticas_Revisiones'!$T$2:$T$282,"SOFTWARE ENG. MODELS/METH. &gt; Modeling")+COUNTIFS('Prácticas_Snowballing'!$AB$2:$AB$281,"T046",'Prácticas_Snowballing'!$AC$2:$AC$281,"SOFTWARE ENG. MODELS/METH. &gt; Modeling")</f>
        <v>0</v>
      </c>
      <c r="BV56" s="17">
        <f>COUNTIFS('Prácticas_Revisiones'!$S$2:$S$282,"T046",'Prácticas_Revisiones'!$T$2:$T$282,"SOFTWARE ENG. MODELS/METH. &gt; Types of Models")+COUNTIFS('Prácticas_Snowballing'!$AB$2:$AB$281,"T046",'Prácticas_Snowballing'!$AC$2:$AC$281,"SOFTWARE ENG. MODELS/METH. &gt; Types of Models")</f>
        <v>0</v>
      </c>
      <c r="BW56" s="17">
        <f>COUNTIFS('Prácticas_Revisiones'!$S$2:$S$282,"T046",'Prácticas_Revisiones'!$T$2:$T$282,"SOFTWARE ENG. MODELS/METH. &gt; Analysis of Models")+COUNTIFS('Prácticas_Snowballing'!$AB$2:$AB$281,"T046",'Prácticas_Snowballing'!$AC$2:$AC$281,"SOFTWARE ENG. MODELS/METH. &gt; Analysis of Models")</f>
        <v>0</v>
      </c>
      <c r="BX56" s="17">
        <f>COUNTIFS('Prácticas_Revisiones'!$S$2:$S$282,"T046",'Prácticas_Revisiones'!$T$2:$T$282,"SOFTWARE ENG. MODELS/METH. &gt; Software Engineering Methods")+COUNTIFS('Prácticas_Snowballing'!$AB$2:$AB$281,"T046",'Prácticas_Snowballing'!$AC$2:$AC$281,"SOFTWARE ENG. MODELS/METH. &gt; Software Engineering Methods")</f>
        <v>0</v>
      </c>
      <c r="BY56" s="17">
        <f>COUNTIFS('Prácticas_Revisiones'!$S$2:$S$282,"T046",'Prácticas_Revisiones'!$T$2:$T$282,"SOFTWARE ENG. MODELS/METH. &gt; Subárea no determinable")+COUNTIFS('Prácticas_Snowballing'!$AB$2:$AB$281,"T046",'Prácticas_Snowballing'!$AC$2:$AC$281,"SOFTWARE ENG. MODELS/METH. &gt; Subárea no determinable")</f>
        <v>0</v>
      </c>
      <c r="BZ56" s="29">
        <f t="shared" si="44"/>
        <v>0</v>
      </c>
      <c r="CA56" s="17">
        <f>COUNTIFS('Prácticas_Revisiones'!$S$2:$S$282,"T046",'Prácticas_Revisiones'!$T$2:$T$282,"SOFTWARE QUALITY &gt; Software Quality Fundamentals")+COUNTIFS('Prácticas_Snowballing'!$AB$2:$AB$281,"T046",'Prácticas_Snowballing'!$AC$2:$AC$281,"SOFTWARE QUALITY &gt; Software Quality Fundamentals")</f>
        <v>0</v>
      </c>
      <c r="CB56" s="17">
        <f>COUNTIFS('Prácticas_Revisiones'!$S$2:$S$282,"T046",'Prácticas_Revisiones'!$T$2:$T$282,"SOFTWARE QUALITY &gt; Software Quality Management Process")+COUNTIFS('Prácticas_Snowballing'!$AB$2:$AB$281,"T046",'Prácticas_Snowballing'!$AC$2:$AC$281,"SOFTWARE QUALITY &gt; Software Quality Management Process")</f>
        <v>0</v>
      </c>
      <c r="CC56" s="17">
        <f>COUNTIFS('Prácticas_Revisiones'!$S$2:$S$282,"T046",'Prácticas_Revisiones'!$T$2:$T$282,"SOFTWARE QUALITY &gt; Software Quality Assurance Process")+COUNTIFS('Prácticas_Snowballing'!$AB$2:$AB$281,"T046",'Prácticas_Snowballing'!$AC$2:$AC$281,"SOFTWARE QUALITY &gt; Software Quality Assurance Process")</f>
        <v>0</v>
      </c>
      <c r="CD56" s="17">
        <f>COUNTIFS('Prácticas_Revisiones'!$S$2:$S$282,"T046",'Prácticas_Revisiones'!$T$2:$T$282,"SOFTWARE QUALITY &gt; Software Quality Tools")+COUNTIFS('Prácticas_Snowballing'!$AB$2:$AB$281,"T046",'Prácticas_Snowballing'!$AC$2:$AC$281,"SOFTWARE QUALITY &gt; Software Quality Tools")</f>
        <v>0</v>
      </c>
      <c r="CE56" s="17">
        <f>COUNTIFS('Prácticas_Revisiones'!$S$2:$S$282,"T046",'Prácticas_Revisiones'!$T$2:$T$282,"SOFTWARE QUALITY &gt; Subárea no determinable")+COUNTIFS('Prácticas_Snowballing'!$AB$2:$AB$281,"T046",'Prácticas_Snowballing'!$AC$2:$AC$281,"SOFTWARE QUALITY &gt; Subárea no determinable")</f>
        <v>0</v>
      </c>
      <c r="CF56" s="29">
        <f t="shared" si="45"/>
        <v>0</v>
      </c>
      <c r="CG56" s="17">
        <f>COUNTIFS('Prácticas_Revisiones'!$S$2:$S$282,"T046",'Prácticas_Revisiones'!$T$2:$T$282,"SOFTWARE SECURITY &gt; Software Security Fundamentals")+COUNTIFS('Prácticas_Snowballing'!$AB$2:$AB$281,"T046",'Prácticas_Snowballing'!$AC$2:$AC$281,"SOFTWARE SECURITY &gt; Software Security Fundamentals")</f>
        <v>0</v>
      </c>
      <c r="CH56" s="17">
        <f>COUNTIFS('Prácticas_Revisiones'!$S$2:$S$282,"T046",'Prácticas_Revisiones'!$T$2:$T$282,"SOFTWARE SECURITY &gt; Security Management and Organization")+COUNTIFS('Prácticas_Snowballing'!$AB$2:$AB$281,"T046",'Prácticas_Snowballing'!$AC$2:$AC$281,"SOFTWARE SECURITY &gt; Security Management and Organization")</f>
        <v>0</v>
      </c>
      <c r="CI56" s="17">
        <f>COUNTIFS('Prácticas_Revisiones'!$S$2:$S$282,"T046",'Prácticas_Revisiones'!$T$2:$T$282,"SOFTWARE SECURITY &gt; Software Security Engineering and Process")+COUNTIFS('Prácticas_Snowballing'!$AB$2:$AB$281,"T046",'Prácticas_Snowballing'!$AC$2:$AC$281,"SOFTWARE SECURITY &gt; Software Security Engineering and Process")</f>
        <v>0</v>
      </c>
      <c r="CJ56" s="17">
        <f>COUNTIFS('Prácticas_Revisiones'!$S$2:$S$282,"T046",'Prácticas_Revisiones'!$T$2:$T$282,"SOFTWARE SECURITY &gt; Security Engineering for Software Systems")+COUNTIFS('Prácticas_Snowballing'!$AB$2:$AB$281,"T046",'Prácticas_Snowballing'!$AC$2:$AC$281,"SOFTWARE SECURITY &gt; Security Engineering for Software Systems")</f>
        <v>0</v>
      </c>
      <c r="CK56" s="17">
        <f>COUNTIFS('Prácticas_Revisiones'!$S$2:$S$282,"T046",'Prácticas_Revisiones'!$T$2:$T$282,"SOFTWARE SECURITY &gt; Software Security Tools")+COUNTIFS('Prácticas_Snowballing'!$AB$2:$AB$281,"T046",'Prácticas_Snowballing'!$AC$2:$AC$281,"SOFTWARE SECURITY &gt; Software Security Tools")</f>
        <v>0</v>
      </c>
      <c r="CL56" s="17">
        <f>COUNTIFS('Prácticas_Revisiones'!$S$2:$S$282,"T046",'Prácticas_Revisiones'!$T$2:$T$282,"SOFTWARE SECURITY &gt; Domain Specific Software Security")+COUNTIFS('Prácticas_Snowballing'!$AB$2:$AB$281,"T046",'Prácticas_Snowballing'!$AC$2:$AC$281,"SOFTWARE SECURITY &gt; Domain Specific Software Security")</f>
        <v>0</v>
      </c>
      <c r="CM56" s="17">
        <f>COUNTIFS('Prácticas_Revisiones'!$S$2:$S$282,"T046",'Prácticas_Revisiones'!$T$2:$T$282,"SOFTWARE SECURITY &gt; Subárea no determinable")+COUNTIFS('Prácticas_Snowballing'!$AB$2:$AB$281,"T046",'Prácticas_Snowballing'!$AC$2:$AC$281,"SOFTWARE SECURITY &gt; Subárea no determinable")</f>
        <v>0</v>
      </c>
      <c r="CN56" s="29">
        <f t="shared" si="46"/>
        <v>0</v>
      </c>
      <c r="CO56" s="17">
        <f>COUNTIFS('Prácticas_Revisiones'!$S$2:$S$282,"T046",'Prácticas_Revisiones'!$T$2:$T$282,"PROFESSIONAL PRACTICE &gt; Professionalism")+COUNTIFS('Prácticas_Snowballing'!$AB$2:$AB$281,"T046",'Prácticas_Snowballing'!$AC$2:$AC$281,"PROFESSIONAL PRACTICE &gt; Professionalism")</f>
        <v>0</v>
      </c>
      <c r="CP56" s="17">
        <f>COUNTIFS('Prácticas_Revisiones'!$S$2:$S$282,"T046",'Prácticas_Revisiones'!$T$2:$T$282,"PROFESSIONAL PRACTICE &gt; Group Dynamics and Psychology")+COUNTIFS('Prácticas_Snowballing'!$AB$2:$AB$281,"T046",'Prácticas_Snowballing'!$AC$2:$AC$281,"PROFESSIONAL PRACTICE &gt; Group Dynamics and Psychology")</f>
        <v>0</v>
      </c>
      <c r="CQ56" s="17">
        <f>COUNTIFS('Prácticas_Revisiones'!$S$2:$S$282,"T046",'Prácticas_Revisiones'!$T$2:$T$282,"PROFESSIONAL PRACTICE &gt; Communication Skills")+COUNTIFS('Prácticas_Snowballing'!$AB$2:$AB$281,"T046",'Prácticas_Snowballing'!$AC$2:$AC$281,"PROFESSIONAL PRACTICE &gt; Communication Skills")</f>
        <v>0</v>
      </c>
      <c r="CR56" s="17">
        <f>COUNTIFS('Prácticas_Revisiones'!$S$2:$S$282,"T046",'Prácticas_Revisiones'!$T$2:$T$282,"PROFESSIONAL PRACTICE &gt; Subárea no determinable")+COUNTIFS('Prácticas_Snowballing'!$AB$2:$AB$281,"T046",'Prácticas_Snowballing'!$AC$2:$AC$281,"PROFESSIONAL PRACTICE &gt; Subárea no determinable")</f>
        <v>0</v>
      </c>
      <c r="CS56" s="29">
        <f t="shared" si="47"/>
        <v>0</v>
      </c>
      <c r="CT56" s="17">
        <f>COUNTIFS('Prácticas_Revisiones'!$S$2:$S$282,"T046",'Prácticas_Revisiones'!$T$2:$T$282,"SOFTWARE ENG. ECONOMICS &gt; Software Engineering Economics Fundamentals")+COUNTIFS('Prácticas_Snowballing'!$AB$2:$AB$281,"T046",'Prácticas_Snowballing'!$AC$2:$AC$281,"SOFTWARE ENG. ECONOMICS &gt; Software Engineering Economics Fundamentals")</f>
        <v>0</v>
      </c>
      <c r="CU56" s="17">
        <f>COUNTIFS('Prácticas_Revisiones'!$S$2:$S$282,"T046",'Prácticas_Revisiones'!$T$2:$T$282,"SOFTWARE ENG. ECONOMICS &gt; The Engineering Decision-Making Process")+COUNTIFS('Prácticas_Snowballing'!$AB$2:$AB$281,"T046",'Prácticas_Snowballing'!$AC$2:$AC$281,"SOFTWARE ENG. ECONOMICS &gt; The Engineering Decision-Making Process")</f>
        <v>0</v>
      </c>
      <c r="CV56" s="17">
        <f>COUNTIFS('Prácticas_Revisiones'!$S$2:$S$282,"T046",'Prácticas_Revisiones'!$T$2:$T$282,"SOFTWARE ENG. ECONOMICS &gt; For-Profit Decision-Making")+COUNTIFS('Prácticas_Snowballing'!$AB$2:$AB$281,"T046",'Prácticas_Snowballing'!$AC$2:$AC$281,"SOFTWARE ENG. ECONOMICS &gt; For-Profit Decision-Making")</f>
        <v>0</v>
      </c>
      <c r="CW56" s="17">
        <f>COUNTIFS('Prácticas_Revisiones'!$S$2:$S$282,"T046",'Prácticas_Revisiones'!$T$2:$T$282,"SOFTWARE ENG. ECONOMICS &gt; Nonprofit Decision-Making")+COUNTIFS('Prácticas_Snowballing'!$AB$2:$AB$281,"T046",'Prácticas_Snowballing'!$AC$2:$AC$281,"SOFTWARE ENG. ECONOMICS &gt; Nonprofit Decision-Making")</f>
        <v>0</v>
      </c>
      <c r="CX56" s="17">
        <f>COUNTIFS('Prácticas_Revisiones'!$S$2:$S$282,"T046",'Prácticas_Revisiones'!$T$2:$T$282,"SOFTWARE ENG. ECONOMICS &gt; Present Economy Decision-Making")+COUNTIFS('Prácticas_Snowballing'!$AB$2:$AB$281,"T046",'Prácticas_Snowballing'!$AC$2:$AC$281,"SOFTWARE ENG. ECONOMICS &gt; Present Economy Decision-Making")</f>
        <v>0</v>
      </c>
      <c r="CY56" s="17">
        <f>COUNTIFS('Prácticas_Revisiones'!$S$2:$S$282,"T046",'Prácticas_Revisiones'!$T$2:$T$282,"SOFTWARE ENG. ECONOMICS &gt; Multiple-Attribute Decision-Making")+COUNTIFS('Prácticas_Snowballing'!$AB$2:$AB$281,"T046",'Prácticas_Snowballing'!$AC$2:$AC$281,"SOFTWARE ENG. ECONOMICS &gt; Multiple-Attribute Decision-Making")</f>
        <v>0</v>
      </c>
      <c r="CZ56" s="17">
        <f>COUNTIFS('Prácticas_Revisiones'!$S$2:$S$282,"T046",'Prácticas_Revisiones'!$T$2:$T$282,"SOFTWARE ENG. ECONOMICS &gt; Identifying and Characterizing Intangible Assets")+COUNTIFS('Prácticas_Snowballing'!$AB$2:$AB$281,"T046",'Prácticas_Snowballing'!$AC$2:$AC$281,"SOFTWARE ENG. ECONOMICS &gt; Identifying and Characterizing Intangible Assets")</f>
        <v>0</v>
      </c>
      <c r="DA56" s="17">
        <f>COUNTIFS('Prácticas_Revisiones'!$S$2:$S$282,"T046",'Prácticas_Revisiones'!$T$2:$T$282,"SOFTWARE ENG. ECONOMICS &gt; Estimation")+COUNTIFS('Prácticas_Snowballing'!$AB$2:$AB$281,"T046",'Prácticas_Snowballing'!$AC$2:$AC$281,"SOFTWARE ENG. ECONOMICS &gt; Estimation")</f>
        <v>0</v>
      </c>
      <c r="DB56" s="17">
        <f>COUNTIFS('Prácticas_Revisiones'!$S$2:$S$282,"T046",'Prácticas_Revisiones'!$T$2:$T$282,"SOFTWARE ENG. ECONOMICS &gt; Practical Considerations")+COUNTIFS('Prácticas_Snowballing'!$AB$2:$AB$281,"T046",'Prácticas_Snowballing'!$AC$2:$AC$281,"SOFTWARE ENG. ECONOMICS &gt; Practical Considerations")</f>
        <v>0</v>
      </c>
      <c r="DC56" s="17">
        <f>COUNTIFS('Prácticas_Revisiones'!$S$2:$S$282,"T046",'Prácticas_Revisiones'!$T$2:$T$282,"SOFTWARE ENG. ECONOMICS &gt; Related Concepts")+COUNTIFS('Prácticas_Snowballing'!$AB$2:$AB$281,"T046",'Prácticas_Snowballing'!$AC$2:$AC$281,"SOFTWARE ENG. ECONOMICS &gt; Related Concepts")</f>
        <v>0</v>
      </c>
      <c r="DD56" s="17">
        <f>COUNTIFS('Prácticas_Revisiones'!$S$2:$S$282,"T046",'Prácticas_Revisiones'!$T$2:$T$282,"SOFTWARE ENG. ECONOMICS &gt; Subárea no determinable")+COUNTIFS('Prácticas_Snowballing'!$AB$2:$AB$281,"T046",'Prácticas_Snowballing'!$AC$2:$AC$281,"SOFTWARE ENG. ECONOMICS &gt; Subárea no determinable")</f>
        <v>0</v>
      </c>
      <c r="DE56" s="29">
        <f t="shared" si="48"/>
        <v>0</v>
      </c>
      <c r="DF56" s="17">
        <f>COUNTIFS('Prácticas_Revisiones'!$S$2:$S$282,"T046",'Prácticas_Revisiones'!$T$2:$T$282,"SOFTWARE ENG. MANAGEMENT &gt; Software Engineering Management Fundamentals")+COUNTIFS('Prácticas_Snowballing'!$AB$2:$AB$281,"T046",'Prácticas_Snowballing'!$AC$2:$AC$281,"SOFTWARE ENG. MANAGEMENT &gt; Software Engineering Management Fundamentals")</f>
        <v>0</v>
      </c>
      <c r="DG56" s="17">
        <f>COUNTIFS('Prácticas_Revisiones'!$S$2:$S$282,"T046",'Prácticas_Revisiones'!$T$2:$T$282,"SOFTWARE ENG. MANAGEMENT &gt; Initiation and Scope Definition")+COUNTIFS('Prácticas_Snowballing'!$AB$2:$AB$281,"T046",'Prácticas_Snowballing'!$AC$2:$AC$281,"SOFTWARE ENG. MANAGEMENT &gt; Initiation and Scope Definition")</f>
        <v>0</v>
      </c>
      <c r="DH56" s="17">
        <f>COUNTIFS('Prácticas_Revisiones'!$S$2:$S$282,"T046",'Prácticas_Revisiones'!$T$2:$T$282,"SOFTWARE ENG. MANAGEMENT &gt; Software Project Planning")+COUNTIFS('Prácticas_Snowballing'!$AB$2:$AB$281,"T046",'Prácticas_Snowballing'!$AC$2:$AC$281,"SOFTWARE ENG. MANAGEMENT &gt; Software Project Planning")</f>
        <v>0</v>
      </c>
      <c r="DI56" s="17">
        <f>COUNTIFS('Prácticas_Revisiones'!$S$2:$S$282,"T046",'Prácticas_Revisiones'!$T$2:$T$282,"SOFTWARE ENG. MANAGEMENT &gt; Software Project Enactment")+COUNTIFS('Prácticas_Snowballing'!$AB$2:$AB$281,"T046",'Prácticas_Snowballing'!$AC$2:$AC$281,"SOFTWARE ENG. MANAGEMENT &gt; Software Project Enactment")</f>
        <v>0</v>
      </c>
      <c r="DJ56" s="17">
        <f>COUNTIFS('Prácticas_Revisiones'!$S$2:$S$282,"T046",'Prácticas_Revisiones'!$T$2:$T$282,"SOFTWARE ENG. MANAGEMENT &gt; Review and Evaluation")+COUNTIFS('Prácticas_Snowballing'!$AB$2:$AB$281,"T046",'Prácticas_Snowballing'!$AC$2:$AC$281,"SOFTWARE ENG. MANAGEMENT &gt; Review and Evaluation")</f>
        <v>0</v>
      </c>
      <c r="DK56" s="17">
        <f>COUNTIFS('Prácticas_Revisiones'!$S$2:$S$282,"T046",'Prácticas_Revisiones'!$T$2:$T$282,"SOFTWARE ENG. MANAGEMENT &gt; Closure")+COUNTIFS('Prácticas_Snowballing'!$AB$2:$AB$281,"T046",'Prácticas_Snowballing'!$AC$2:$AC$281,"SOFTWARE ENG. MANAGEMENT &gt; Closure")</f>
        <v>0</v>
      </c>
      <c r="DL56" s="17">
        <f>COUNTIFS('Prácticas_Revisiones'!$S$2:$S$282,"T046",'Prácticas_Revisiones'!$T$2:$T$282,"SOFTWARE ENG. MANAGEMENT &gt; Software Engineering Management Tools")+COUNTIFS('Prácticas_Snowballing'!$AB$2:$AB$281,"T046",'Prácticas_Snowballing'!$AC$2:$AC$281,"SOFTWARE ENG. MANAGEMENT &gt; Software Engineering Management Tools")</f>
        <v>0</v>
      </c>
      <c r="DM56" s="17">
        <f>COUNTIFS('Prácticas_Revisiones'!$S$2:$S$282,"T046",'Prácticas_Revisiones'!$T$2:$T$282,"SOFTWARE ENG. MANAGEMENT &gt; Subárea no determinable")+COUNTIFS('Prácticas_Snowballing'!$AB$2:$AB$281,"T046",'Prácticas_Snowballing'!$AC$2:$AC$281,"SOFTWARE ENG. MANAGEMENT &gt; Subárea no determinable")</f>
        <v>0</v>
      </c>
      <c r="DN56" s="29">
        <f t="shared" si="49"/>
        <v>0</v>
      </c>
      <c r="DO56" s="17">
        <f>COUNTIFS('Prácticas_Revisiones'!$S$2:$S$282,"T046",'Prácticas_Revisiones'!$T$2:$T$282,"Sin área SWEBOK")+COUNTIFS('Prácticas_Snowballing'!$AB$2:$AB$281,"T046",'Prácticas_Snowballing'!$AC$2:$AC$281,"Sin área SWEBOK")</f>
        <v>0</v>
      </c>
      <c r="DP56" s="27">
        <f t="shared" si="50"/>
        <v>0</v>
      </c>
    </row>
    <row r="57" ht="15.75" customHeight="1">
      <c r="A57" s="28"/>
      <c r="B57" s="16" t="s">
        <v>2795</v>
      </c>
      <c r="C57" s="17">
        <f>COUNTIFS('Prácticas_Revisiones'!$S$2:$S$282,"T047",'Prácticas_Revisiones'!$T$2:$T$282,"REQUIREMENTS &gt; Software Requirements Fundamentals")+COUNTIFS('Prácticas_Snowballing'!$AB$2:$AB$281,"T047",'Prácticas_Snowballing'!$AC$2:$AC$281,"REQUIREMENTS &gt; Software Requirements Fundamentals")</f>
        <v>0</v>
      </c>
      <c r="D57" s="17">
        <f>COUNTIFS('Prácticas_Revisiones'!$S$2:$S$282,"T047",'Prácticas_Revisiones'!$T$2:$T$282,"REQUIREMENTS &gt; Requirements Elicitation")+COUNTIFS('Prácticas_Snowballing'!$AB$2:$AB$281,"T047",'Prácticas_Snowballing'!$AC$2:$AC$281,"REQUIREMENTS &gt; Requirements Elicitation")</f>
        <v>0</v>
      </c>
      <c r="E57" s="17">
        <f>COUNTIFS('Prácticas_Revisiones'!$S$2:$S$282,"T047",'Prácticas_Revisiones'!$T$2:$T$282,"REQUIREMENTS &gt; Requirements Analysis")+COUNTIFS('Prácticas_Snowballing'!$AB$2:$AB$281,"T047",'Prácticas_Snowballing'!$AC$2:$AC$281,"REQUIREMENTS &gt; Requirements Analysis")</f>
        <v>0</v>
      </c>
      <c r="F57" s="17">
        <f>COUNTIFS('Prácticas_Revisiones'!$S$2:$S$282,"T047",'Prácticas_Revisiones'!$T$2:$T$282,"REQUIREMENTS &gt; Requirements Specification")+COUNTIFS('Prácticas_Snowballing'!$AB$2:$AB$281,"T047",'Prácticas_Snowballing'!$AC$2:$AC$281,"REQUIREMENTS &gt; Requirements Specification")</f>
        <v>0</v>
      </c>
      <c r="G57" s="17">
        <f>COUNTIFS('Prácticas_Revisiones'!$S$2:$S$282,"T047",'Prácticas_Revisiones'!$T$2:$T$282,"REQUIREMENTS &gt; Requirements Validation")+COUNTIFS('Prácticas_Snowballing'!$AB$2:$AB$281,"T047",'Prácticas_Snowballing'!$AC$2:$AC$281,"REQUIREMENTS &gt; Requirements Validation")</f>
        <v>0</v>
      </c>
      <c r="H57" s="17">
        <f>COUNTIFS('Prácticas_Revisiones'!$S$2:$S$282,"T047",'Prácticas_Revisiones'!$T$2:$T$282,"REQUIREMENTS &gt; Requirements Management Activities")+COUNTIFS('Prácticas_Snowballing'!$AB$2:$AB$281,"T047",'Prácticas_Snowballing'!$AC$2:$AC$281,"REQUIREMENTS &gt; Requirements Management Activities")</f>
        <v>0</v>
      </c>
      <c r="I57" s="17">
        <f>COUNTIFS('Prácticas_Revisiones'!$S$2:$S$282,"T047",'Prácticas_Revisiones'!$T$2:$T$282,"REQUIREMENTS &gt; Practical Considerations")+COUNTIFS('Prácticas_Snowballing'!$AB$2:$AB$281,"T047",'Prácticas_Snowballing'!$AC$2:$AC$281,"REQUIREMENTS &gt; Practical Considerations")</f>
        <v>0</v>
      </c>
      <c r="J57" s="17">
        <f>COUNTIFS('Prácticas_Revisiones'!$S$2:$S$282,"T047",'Prácticas_Revisiones'!$T$2:$T$282,"REQUIREMENTS &gt; Software Requirements Tools")+COUNTIFS('Prácticas_Snowballing'!$AB$2:$AB$281,"T047",'Prácticas_Snowballing'!$AC$2:$AC$281,"REQUIREMENTS &gt; Software Requirements Tools")</f>
        <v>0</v>
      </c>
      <c r="K57" s="17">
        <f>COUNTIFS('Prácticas_Revisiones'!$S$2:$S$282,"T047",'Prácticas_Revisiones'!$T$2:$T$282,"REQUIREMENTS &gt; Subárea no determinable")+COUNTIFS('Prácticas_Snowballing'!$AB$2:$AB$281,"T047",'Prácticas_Snowballing'!$AC$2:$AC$281,"REQUIREMENTS &gt; Subárea no determinable")</f>
        <v>0</v>
      </c>
      <c r="L57" s="29">
        <f t="shared" si="35"/>
        <v>0</v>
      </c>
      <c r="M57" s="17">
        <f>COUNTIFS('Prácticas_Revisiones'!$S$2:$S$282,"T047",'Prácticas_Revisiones'!$T$2:$T$282,"ARCHITECTURE &gt; Software Architecture Fundamentals")+COUNTIFS('Prácticas_Snowballing'!$AB$2:$AB$281,"T047",'Prácticas_Snowballing'!$AC$2:$AC$281,"ARCHITECTURE &gt; Software Architecture Fundamentals")</f>
        <v>0</v>
      </c>
      <c r="N57" s="17">
        <f>COUNTIFS('Prácticas_Revisiones'!$S$2:$S$282,"T047",'Prácticas_Revisiones'!$T$2:$T$282,"ARCHITECTURE &gt; Software Architecture Description")+COUNTIFS('Prácticas_Snowballing'!$AB$2:$AB$281,"T047",'Prácticas_Snowballing'!$AC$2:$AC$281,"ARCHITECTURE &gt; Software Architecture Description")</f>
        <v>0</v>
      </c>
      <c r="O57" s="17">
        <f>COUNTIFS('Prácticas_Revisiones'!$S$2:$S$282,"T047",'Prácticas_Revisiones'!$T$2:$T$282,"ARCHITECTURE &gt; Software Architecture Process")+COUNTIFS('Prácticas_Snowballing'!$AB$2:$AB$281,"T047",'Prácticas_Snowballing'!$AC$2:$AC$281,"ARCHITECTURE &gt; Software Architecture Process")</f>
        <v>0</v>
      </c>
      <c r="P57" s="17">
        <f>COUNTIFS('Prácticas_Revisiones'!$S$2:$S$282,"T047",'Prácticas_Revisiones'!$T$2:$T$282,"ARCHITECTURE &gt; Software Architecture Evaluation")+COUNTIFS('Prácticas_Snowballing'!$AB$2:$AB$281,"T047",'Prácticas_Snowballing'!$AC$2:$AC$281,"ARCHITECTURE &gt; Software Architecture Evaluation")</f>
        <v>0</v>
      </c>
      <c r="Q57" s="17">
        <f>COUNTIFS('Prácticas_Revisiones'!$S$2:$S$282,"T047",'Prácticas_Revisiones'!$T$2:$T$282,"ARCHITECTURE &gt; Subárea no determinable")+COUNTIFS('Prácticas_Snowballing'!$AB$2:$AB$281,"T047",'Prácticas_Snowballing'!$AC$2:$AC$281,"ARCHITECTURE &gt; Subárea no determinable")</f>
        <v>0</v>
      </c>
      <c r="R57" s="29">
        <f t="shared" si="36"/>
        <v>0</v>
      </c>
      <c r="S57" s="17">
        <f>COUNTIFS('Prácticas_Revisiones'!$S$2:$S$282,"T047",'Prácticas_Revisiones'!$T$2:$T$282,"DESIGN &gt; Software Design Fundamentals")+COUNTIFS('Prácticas_Snowballing'!$AB$2:$AB$281,"T047",'Prácticas_Snowballing'!$AC$2:$AC$281,"DESIGN &gt; Software Design Fundamentals")</f>
        <v>0</v>
      </c>
      <c r="T57" s="17">
        <f>COUNTIFS('Prácticas_Revisiones'!$S$2:$S$282,"T047",'Prácticas_Revisiones'!$T$2:$T$282,"DESIGN &gt; Software Design Processes")+COUNTIFS('Prácticas_Snowballing'!$AB$2:$AB$281,"T047",'Prácticas_Snowballing'!$AC$2:$AC$281,"DESIGN &gt; Software Design Processes")</f>
        <v>0</v>
      </c>
      <c r="U57" s="17">
        <f>COUNTIFS('Prácticas_Revisiones'!$S$2:$S$282,"T047",'Prácticas_Revisiones'!$T$2:$T$282,"DESIGN &gt; Software Design Qualities")+COUNTIFS('Prácticas_Snowballing'!$AB$2:$AB$281,"T047",'Prácticas_Snowballing'!$AC$2:$AC$281,"DESIGN &gt; Software Design Qualities")</f>
        <v>0</v>
      </c>
      <c r="V57" s="17">
        <f>COUNTIFS('Prácticas_Revisiones'!$S$2:$S$282,"T047",'Prácticas_Revisiones'!$T$2:$T$282,"DESIGN &gt; Recording Software Design")+COUNTIFS('Prácticas_Snowballing'!$AB$2:$AB$281,"T047",'Prácticas_Snowballing'!$AC$2:$AC$281,"DESIGN &gt; Recording Software Design")</f>
        <v>0</v>
      </c>
      <c r="W57" s="17">
        <f>COUNTIFS('Prácticas_Revisiones'!$S$2:$S$282,"T047",'Prácticas_Revisiones'!$T$2:$T$282,"DESIGN &gt; Software Design Strategies and Methods")+COUNTIFS('Prácticas_Snowballing'!$AB$2:$AB$281,"T047",'Prácticas_Snowballing'!$AC$2:$AC$281,"DESIGN &gt; Software Design Strategies and Methods")</f>
        <v>0</v>
      </c>
      <c r="X57" s="17">
        <f>COUNTIFS('Prácticas_Revisiones'!$S$2:$S$282,"T047",'Prácticas_Revisiones'!$T$2:$T$282,"DESIGN &gt; Software Design Analysis and Evaluations")+COUNTIFS('Prácticas_Snowballing'!$AB$2:$AB$281,"T047",'Prácticas_Snowballing'!$AC$2:$AC$281,"DESIGN &gt; Software Design Analysis and Evaluations")</f>
        <v>0</v>
      </c>
      <c r="Y57" s="17">
        <f>COUNTIFS('Prácticas_Revisiones'!$S$2:$S$282,"T047",'Prácticas_Revisiones'!$T$2:$T$282,"DESIGN &gt; Subárea no determinable")+COUNTIFS('Prácticas_Snowballing'!$AB$2:$AB$281,"T047",'Prácticas_Snowballing'!$AC$2:$AC$281,"DESIGN &gt; Subárea no determinable")</f>
        <v>0</v>
      </c>
      <c r="Z57" s="29">
        <f t="shared" si="37"/>
        <v>0</v>
      </c>
      <c r="AA57" s="17">
        <f>COUNTIFS('Prácticas_Revisiones'!$S$2:$S$282,"T047",'Prácticas_Revisiones'!$T$2:$T$282,"CONSTRUCTION &gt; Software Construction Fundamentals")+COUNTIFS('Prácticas_Snowballing'!$AB$2:$AB$281,"T047",'Prácticas_Snowballing'!$AC$2:$AC$281,"CONSTRUCTION &gt; Software Construction Fundamentals")</f>
        <v>0</v>
      </c>
      <c r="AB57" s="17">
        <f>COUNTIFS('Prácticas_Revisiones'!$S$2:$S$282,"T047",'Prácticas_Revisiones'!$T$2:$T$282,"CONSTRUCTION &gt; Managing Construction")+COUNTIFS('Prácticas_Snowballing'!$AB$2:$AB$281,"T047",'Prácticas_Snowballing'!$AC$2:$AC$281,"CONSTRUCTION &gt; Managing Construction")</f>
        <v>0</v>
      </c>
      <c r="AC57" s="17">
        <f>COUNTIFS('Prácticas_Revisiones'!$S$2:$S$282,"T047",'Prácticas_Revisiones'!$T$2:$T$282,"CONSTRUCTION &gt; Practical Considerations")+COUNTIFS('Prácticas_Snowballing'!$AB$2:$AB$281,"T047",'Prácticas_Snowballing'!$AC$2:$AC$281,"CONSTRUCTION &gt; Practical Considerations")</f>
        <v>0</v>
      </c>
      <c r="AD57" s="17">
        <f>COUNTIFS('Prácticas_Revisiones'!$S$2:$S$282,"T047",'Prácticas_Revisiones'!$T$2:$T$282,"CONSTRUCTION &gt; Construction Technologies")+COUNTIFS('Prácticas_Snowballing'!$AB$2:$AB$281,"T047",'Prácticas_Snowballing'!$AC$2:$AC$281,"CONSTRUCTION &gt; Construction Technologies")</f>
        <v>0</v>
      </c>
      <c r="AE57" s="17">
        <f>COUNTIFS('Prácticas_Revisiones'!$S$2:$S$282,"T047",'Prácticas_Revisiones'!$T$2:$T$282,"CONSTRUCTION &gt; Software Construction Tools")+COUNTIFS('Prácticas_Snowballing'!$AB$2:$AB$281,"T047",'Prácticas_Snowballing'!$AC$2:$AC$281,"CONSTRUCTION &gt; Software Construction Tools")</f>
        <v>0</v>
      </c>
      <c r="AF57" s="17">
        <f>COUNTIFS('Prácticas_Revisiones'!$S$2:$S$282,"T047",'Prácticas_Revisiones'!$T$2:$T$282,"CONSTRUCTION &gt; Subárea no determinable")+COUNTIFS('Prácticas_Snowballing'!$AB$2:$AB$281,"T047",'Prácticas_Snowballing'!$AC$2:$AC$281,"CONSTRUCTION &gt; Subárea no determinable")</f>
        <v>0</v>
      </c>
      <c r="AG57" s="29">
        <f t="shared" si="38"/>
        <v>0</v>
      </c>
      <c r="AH57" s="17">
        <f>COUNTIFS('Prácticas_Revisiones'!$S$2:$S$282,"T047",'Prácticas_Revisiones'!$T$2:$T$282,"SOFTWARE TESTING &gt; Software Testing Fundamentals")+COUNTIFS('Prácticas_Snowballing'!$AB$2:$AB$281,"T047",'Prácticas_Snowballing'!$AC$2:$AC$281,"SOFTWARE TESTING &gt; Software Testing Fundamentals")</f>
        <v>0</v>
      </c>
      <c r="AI57" s="17">
        <f>COUNTIFS('Prácticas_Revisiones'!$S$2:$S$282,"T047",'Prácticas_Revisiones'!$T$2:$T$282,"SOFTWARE TESTING &gt; Test Levels")+COUNTIFS('Prácticas_Snowballing'!$AB$2:$AB$281,"T047",'Prácticas_Snowballing'!$AC$2:$AC$281,"SOFTWARE TESTING &gt; Test Levels")</f>
        <v>0</v>
      </c>
      <c r="AJ57" s="17">
        <f>COUNTIFS('Prácticas_Revisiones'!$S$2:$S$282,"T047",'Prácticas_Revisiones'!$T$2:$T$282,"SOFTWARE TESTING &gt; Test Techniques")+COUNTIFS('Prácticas_Snowballing'!$AB$2:$AB$281,"T047",'Prácticas_Snowballing'!$AC$2:$AC$281,"SOFTWARE TESTING &gt; Test Techniques")</f>
        <v>0</v>
      </c>
      <c r="AK57" s="17">
        <f>COUNTIFS('Prácticas_Revisiones'!$S$2:$S$282,"T047",'Prácticas_Revisiones'!$T$2:$T$282,"SOFTWARE TESTING &gt; Test-Related Measures")+COUNTIFS('Prácticas_Snowballing'!$AB$2:$AB$281,"T047",'Prácticas_Snowballing'!$AC$2:$AC$281,"SOFTWARE TESTING &gt; Test-Related Measures")</f>
        <v>0</v>
      </c>
      <c r="AL57" s="17">
        <f>COUNTIFS('Prácticas_Revisiones'!$S$2:$S$282,"T047",'Prácticas_Revisiones'!$T$2:$T$282,"SOFTWARE TESTING &gt; Test Process")+COUNTIFS('Prácticas_Snowballing'!$AB$2:$AB$281,"T047",'Prácticas_Snowballing'!$AC$2:$AC$281,"SOFTWARE TESTING &gt; Test Process")</f>
        <v>0</v>
      </c>
      <c r="AM57" s="17">
        <f>COUNTIFS('Prácticas_Revisiones'!$S$2:$S$282,"T047",'Prácticas_Revisiones'!$T$2:$T$282,"SOFTWARE TESTING &gt; Software Testing in the Development Processes...")+COUNTIFS('Prácticas_Snowballing'!$AB$2:$AB$281,"T047",'Prácticas_Snowballing'!$AC$2:$AC$281,"SOFTWARE TESTING &gt; Software Testing in the Development Processes...")</f>
        <v>0</v>
      </c>
      <c r="AN57" s="17">
        <f>COUNTIFS('Prácticas_Revisiones'!$S$2:$S$282,"T047",'Prácticas_Revisiones'!$T$2:$T$282,"SOFTWARE TESTING &gt; Testing of and Testing Through Emerging Tech...")+COUNTIFS('Prácticas_Snowballing'!$AB$2:$AB$281,"T047",'Prácticas_Snowballing'!$AC$2:$AC$281,"SOFTWARE TESTING &gt; Testing of and Testing Through Emerging Tech...")</f>
        <v>0</v>
      </c>
      <c r="AO57" s="17">
        <f>COUNTIFS('Prácticas_Revisiones'!$S$2:$S$282,"T047",'Prácticas_Revisiones'!$T$2:$T$282,"SOFTWARE TESTING &gt; Software Testing Tools")+COUNTIFS('Prácticas_Snowballing'!$AB$2:$AB$281,"T047",'Prácticas_Snowballing'!$AC$2:$AC$281,"SOFTWARE TESTING &gt; Software Testing Tools")</f>
        <v>0</v>
      </c>
      <c r="AP57" s="17">
        <f>COUNTIFS('Prácticas_Revisiones'!$S$2:$S$282,"T047",'Prácticas_Revisiones'!$T$2:$T$282,"SOFTWARE TESTING &gt; Subárea no determinable")+COUNTIFS('Prácticas_Snowballing'!$AB$2:$AB$281,"T047",'Prácticas_Snowballing'!$AC$2:$AC$281,"SOFTWARE TESTING &gt; Subárea no determinable")</f>
        <v>0</v>
      </c>
      <c r="AQ57" s="29">
        <f t="shared" si="39"/>
        <v>0</v>
      </c>
      <c r="AR57" s="17">
        <f>COUNTIFS('Prácticas_Revisiones'!$S$2:$S$282,"T047",'Prácticas_Revisiones'!$T$2:$T$282,"SOFTWARE ENG. OPERATIONS &gt; Software Engineering Operations Fundamentals")+COUNTIFS('Prácticas_Snowballing'!$AB$2:$AB$281,"T047",'Prácticas_Snowballing'!$AC$2:$AC$281,"SOFTWARE ENG. OPERATIONS &gt; Software Engineering Operations Fundamentals")</f>
        <v>0</v>
      </c>
      <c r="AS57" s="17">
        <f>COUNTIFS('Prácticas_Revisiones'!$S$2:$S$282,"T047",'Prácticas_Revisiones'!$T$2:$T$282,"SOFTWARE ENG. OPERATIONS &gt; Software Engineering Operations Planning")+COUNTIFS('Prácticas_Snowballing'!$AB$2:$AB$281,"T047",'Prácticas_Snowballing'!$AC$2:$AC$281,"SOFTWARE ENG. OPERATIONS &gt; Software Engineering Operations Planning")</f>
        <v>0</v>
      </c>
      <c r="AT57" s="17">
        <f>COUNTIFS('Prácticas_Revisiones'!$S$2:$S$282,"T047",'Prácticas_Revisiones'!$T$2:$T$282,"SOFTWARE ENG. OPERATIONS &gt; Software Engineering Operations Delivery")+COUNTIFS('Prácticas_Snowballing'!$AB$2:$AB$281,"T047",'Prácticas_Snowballing'!$AC$2:$AC$281,"SOFTWARE ENG. OPERATIONS &gt; Software Engineering Operations Delivery")</f>
        <v>0</v>
      </c>
      <c r="AU57" s="17">
        <f>COUNTIFS('Prácticas_Revisiones'!$S$2:$S$282,"T047",'Prácticas_Revisiones'!$T$2:$T$282,"SOFTWARE ENG. OPERATIONS &gt; Software Engineering Operations Control")+COUNTIFS('Prácticas_Snowballing'!$AB$2:$AB$281,"T047",'Prácticas_Snowballing'!$AC$2:$AC$281,"SOFTWARE ENG. OPERATIONS &gt; Software Engineering Operations Control")</f>
        <v>0</v>
      </c>
      <c r="AV57" s="17">
        <f>COUNTIFS('Prácticas_Revisiones'!$S$2:$S$282,"T047",'Prácticas_Revisiones'!$T$2:$T$282,"SOFTWARE ENG. OPERATIONS &gt; Practical Considerations")+COUNTIFS('Prácticas_Snowballing'!$AB$2:$AB$281,"T047",'Prácticas_Snowballing'!$AC$2:$AC$281,"SOFTWARE ENG. OPERATIONS &gt; Practical Considerations")</f>
        <v>0</v>
      </c>
      <c r="AW57" s="17">
        <f>COUNTIFS('Prácticas_Revisiones'!$S$2:$S$282,"T047",'Prácticas_Revisiones'!$T$2:$T$282,"SOFTWARE ENG. OPERATIONS &gt; Software Engineering Operations Tools")+COUNTIFS('Prácticas_Snowballing'!$AB$2:$AB$281,"T047",'Prácticas_Snowballing'!$AC$2:$AC$281,"SOFTWARE ENG. OPERATIONS &gt; Software Engineering Operations Tools")</f>
        <v>0</v>
      </c>
      <c r="AX57" s="17">
        <f>COUNTIFS('Prácticas_Revisiones'!$S$2:$S$282,"T047",'Prácticas_Revisiones'!$T$2:$T$282,"SOFTWARE ENG. OPERATIONS &gt; Subárea no determinable")+COUNTIFS('Prácticas_Snowballing'!$AB$2:$AB$281,"T047",'Prácticas_Snowballing'!$AC$2:$AC$281,"SOFTWARE ENG. OPERATIONS &gt; Subárea no determinable")</f>
        <v>0</v>
      </c>
      <c r="AY57" s="29">
        <f t="shared" si="40"/>
        <v>0</v>
      </c>
      <c r="AZ57" s="17">
        <f>COUNTIFS('Prácticas_Revisiones'!$S$2:$S$282,"T047",'Prácticas_Revisiones'!$T$2:$T$282,"MAINTENANCE &gt; Software Maintenance Fundamentals")+COUNTIFS('Prácticas_Snowballing'!$AB$2:$AB$281,"T047",'Prácticas_Snowballing'!$AC$2:$AC$281,"MAINTENANCE &gt; Software Maintenance Fundamentals")</f>
        <v>0</v>
      </c>
      <c r="BA57" s="17">
        <f>COUNTIFS('Prácticas_Revisiones'!$S$2:$S$282,"T047",'Prácticas_Revisiones'!$T$2:$T$282,"MAINTENANCE &gt; Key Issues in Software Maintenance")+COUNTIFS('Prácticas_Snowballing'!$AB$2:$AB$281,"T047",'Prácticas_Snowballing'!$AC$2:$AC$281,"MAINTENANCE &gt; Key Issues in Software Maintenance")</f>
        <v>0</v>
      </c>
      <c r="BB57" s="17">
        <f>COUNTIFS('Prácticas_Revisiones'!$S$2:$S$282,"T047",'Prácticas_Revisiones'!$T$2:$T$282,"MAINTENANCE &gt; Software Maintenance Processes")+COUNTIFS('Prácticas_Snowballing'!$AB$2:$AB$281,"T047",'Prácticas_Snowballing'!$AC$2:$AC$281,"MAINTENANCE &gt; Software Maintenance Processes")</f>
        <v>0</v>
      </c>
      <c r="BC57" s="17">
        <f>COUNTIFS('Prácticas_Revisiones'!$S$2:$S$282,"T047",'Prácticas_Revisiones'!$T$2:$T$282,"MAINTENANCE &gt; Software Maintenance Techniques")+COUNTIFS('Prácticas_Snowballing'!$AB$2:$AB$281,"T047",'Prácticas_Snowballing'!$AC$2:$AC$281,"MAINTENANCE &gt; Software Maintenance Techniques")</f>
        <v>0</v>
      </c>
      <c r="BD57" s="17">
        <f>COUNTIFS('Prácticas_Revisiones'!$S$2:$S$282,"T047",'Prácticas_Revisiones'!$T$2:$T$282,"MAINTENANCE &gt; Software Maintenance Tools")+COUNTIFS('Prácticas_Snowballing'!$AB$2:$AB$281,"T047",'Prácticas_Snowballing'!$AC$2:$AC$281,"MAINTENANCE &gt; Software Maintenance Tools")</f>
        <v>0</v>
      </c>
      <c r="BE57" s="17">
        <f>COUNTIFS('Prácticas_Revisiones'!$S$2:$S$282,"T047",'Prácticas_Revisiones'!$T$2:$T$282,"MAINTENANCE &gt; Subárea no determinable")+COUNTIFS('Prácticas_Snowballing'!$AB$2:$AB$281,"T047",'Prácticas_Snowballing'!$AC$2:$AC$281,"MAINTENANCE &gt; Subárea no determinable")</f>
        <v>0</v>
      </c>
      <c r="BF57" s="29">
        <f t="shared" si="41"/>
        <v>0</v>
      </c>
      <c r="BG57" s="17">
        <f>COUNTIFS('Prácticas_Revisiones'!$S$2:$S$282,"T047",'Prácticas_Revisiones'!$T$2:$T$282,"SOFTWARE CONFIG. MGMT. &gt; Management of the SCM Process")+COUNTIFS('Prácticas_Snowballing'!$AB$2:$AB$281,"T047",'Prácticas_Snowballing'!$AC$2:$AC$281,"SOFTWARE CONFIG. MGMT. &gt; Management of the SCM Process")</f>
        <v>0</v>
      </c>
      <c r="BH57" s="17">
        <f>COUNTIFS('Prácticas_Revisiones'!$S$2:$S$282,"T047",'Prácticas_Revisiones'!$T$2:$T$282,"SOFTWARE CONFIG. MGMT. &gt; Software Configuration Identification")+COUNTIFS('Prácticas_Snowballing'!$AB$2:$AB$281,"T047",'Prácticas_Snowballing'!$AC$2:$AC$281,"SOFTWARE CONFIG. MGMT. &gt; Software Configuration Identification")</f>
        <v>0</v>
      </c>
      <c r="BI57" s="17">
        <f>COUNTIFS('Prácticas_Revisiones'!$S$2:$S$282,"T047",'Prácticas_Revisiones'!$T$2:$T$282,"SOFTWARE CONFIG. MGMT. &gt; Software Configuration Change Control")+COUNTIFS('Prácticas_Snowballing'!$AB$2:$AB$281,"T047",'Prácticas_Snowballing'!$AC$2:$AC$281,"SOFTWARE CONFIG. MGMT. &gt; Software Configuration Change Control")</f>
        <v>0</v>
      </c>
      <c r="BJ57" s="17">
        <f>COUNTIFS('Prácticas_Revisiones'!$S$2:$S$282,"T047",'Prácticas_Revisiones'!$T$2:$T$282,"SOFTWARE CONFIG. MGMT. &gt; Software Configuration Status Accounting")+COUNTIFS('Prácticas_Snowballing'!$AB$2:$AB$281,"T047",'Prácticas_Snowballing'!$AC$2:$AC$281,"SOFTWARE CONFIG. MGMT. &gt; Software Configuration Status Accounting")</f>
        <v>0</v>
      </c>
      <c r="BK57" s="17">
        <f>COUNTIFS('Prácticas_Revisiones'!$S$2:$S$282,"T047",'Prácticas_Revisiones'!$T$2:$T$282,"SOFTWARE CONFIG. MGMT. &gt; Software Configuration Auditing")+COUNTIFS('Prácticas_Snowballing'!$AB$2:$AB$281,"T047",'Prácticas_Snowballing'!$AC$2:$AC$281,"SOFTWARE CONFIG. MGMT. &gt; Software Configuration Auditing")</f>
        <v>0</v>
      </c>
      <c r="BL57" s="17">
        <f>COUNTIFS('Prácticas_Revisiones'!$S$2:$S$282,"T047",'Prácticas_Revisiones'!$T$2:$T$282,"SOFTWARE CONFIG. MGMT. &gt; Software Release Management and Delivery")+COUNTIFS('Prácticas_Snowballing'!$AB$2:$AB$281,"T047",'Prácticas_Snowballing'!$AC$2:$AC$281,"SOFTWARE CONFIG. MGMT. &gt; Software Release Management and Delivery")</f>
        <v>0</v>
      </c>
      <c r="BM57" s="17">
        <f>COUNTIFS('Prácticas_Revisiones'!$S$2:$S$282,"T047",'Prácticas_Revisiones'!$T$2:$T$282,"SOFTWARE CONFIG. MGMT. &gt; Software Configuration Management Tools")+COUNTIFS('Prácticas_Snowballing'!$AB$2:$AB$281,"T047",'Prácticas_Snowballing'!$AC$2:$AC$281,"SOFTWARE CONFIG. MGMT. &gt; Software Configuration Management Tools")</f>
        <v>0</v>
      </c>
      <c r="BN57" s="17">
        <f>COUNTIFS('Prácticas_Revisiones'!$S$2:$S$282,"T047",'Prácticas_Revisiones'!$T$2:$T$282,"SOFTWARE CONFIG. MGMT. &gt; Subárea no determinable")+COUNTIFS('Prácticas_Snowballing'!$AB$2:$AB$281,"T047",'Prácticas_Snowballing'!$AC$2:$AC$281,"SOFTWARE CONFIG. MGMT. &gt; Subárea no determinable")</f>
        <v>0</v>
      </c>
      <c r="BO57" s="29">
        <f t="shared" si="42"/>
        <v>0</v>
      </c>
      <c r="BP57" s="17">
        <f>COUNTIFS('Prácticas_Revisiones'!$S$2:$S$282,"T047",'Prácticas_Revisiones'!$T$2:$T$282,"SOFTWARE ENG. PROCESS &gt; Software Engineering Process Fundamentals")+COUNTIFS('Prácticas_Snowballing'!$AB$2:$AB$281,"T047",'Prácticas_Snowballing'!$AC$2:$AC$281,"SOFTWARE ENG. PROCESS &gt; Software Engineering Process Fundamentals")</f>
        <v>0</v>
      </c>
      <c r="BQ57" s="17">
        <f>COUNTIFS('Prácticas_Revisiones'!$S$2:$S$282,"T047",'Prácticas_Revisiones'!$T$2:$T$282,"SOFTWARE ENG. PROCESS &gt; Life Cycles")+COUNTIFS('Prácticas_Snowballing'!$AB$2:$AB$281,"T047",'Prácticas_Snowballing'!$AC$2:$AC$281,"SOFTWARE ENG. PROCESS &gt; Life Cycles")</f>
        <v>0</v>
      </c>
      <c r="BR57" s="17">
        <f>COUNTIFS('Prácticas_Revisiones'!$S$2:$S$282,"T047",'Prácticas_Revisiones'!$T$2:$T$282,"SOFTWARE ENG. PROCESS &gt; Software Process Assessment and Improvement")+COUNTIFS('Prácticas_Snowballing'!$AB$2:$AB$281,"T047",'Prácticas_Snowballing'!$AC$2:$AC$281,"SOFTWARE ENG. PROCESS &gt; Software Process Assessment and Improvement")</f>
        <v>0</v>
      </c>
      <c r="BS57" s="17">
        <f>COUNTIFS('Prácticas_Revisiones'!$S$2:$S$282,"T047",'Prácticas_Revisiones'!$T$2:$T$282,"SOFTWARE ENG. PROCESS &gt; Subárea no determinable")+COUNTIFS('Prácticas_Snowballing'!$AB$2:$AB$281,"T047",'Prácticas_Snowballing'!$AC$2:$AC$281,"SOFTWARE ENG. PROCESS &gt; Subárea no determinable")</f>
        <v>0</v>
      </c>
      <c r="BT57" s="29">
        <f t="shared" si="43"/>
        <v>0</v>
      </c>
      <c r="BU57" s="17">
        <f>COUNTIFS('Prácticas_Revisiones'!$S$2:$S$282,"T047",'Prácticas_Revisiones'!$T$2:$T$282,"SOFTWARE ENG. MODELS/METH. &gt; Modeling")+COUNTIFS('Prácticas_Snowballing'!$AB$2:$AB$281,"T047",'Prácticas_Snowballing'!$AC$2:$AC$281,"SOFTWARE ENG. MODELS/METH. &gt; Modeling")</f>
        <v>0</v>
      </c>
      <c r="BV57" s="17">
        <f>COUNTIFS('Prácticas_Revisiones'!$S$2:$S$282,"T047",'Prácticas_Revisiones'!$T$2:$T$282,"SOFTWARE ENG. MODELS/METH. &gt; Types of Models")+COUNTIFS('Prácticas_Snowballing'!$AB$2:$AB$281,"T047",'Prácticas_Snowballing'!$AC$2:$AC$281,"SOFTWARE ENG. MODELS/METH. &gt; Types of Models")</f>
        <v>0</v>
      </c>
      <c r="BW57" s="17">
        <f>COUNTIFS('Prácticas_Revisiones'!$S$2:$S$282,"T047",'Prácticas_Revisiones'!$T$2:$T$282,"SOFTWARE ENG. MODELS/METH. &gt; Analysis of Models")+COUNTIFS('Prácticas_Snowballing'!$AB$2:$AB$281,"T047",'Prácticas_Snowballing'!$AC$2:$AC$281,"SOFTWARE ENG. MODELS/METH. &gt; Analysis of Models")</f>
        <v>0</v>
      </c>
      <c r="BX57" s="17">
        <f>COUNTIFS('Prácticas_Revisiones'!$S$2:$S$282,"T047",'Prácticas_Revisiones'!$T$2:$T$282,"SOFTWARE ENG. MODELS/METH. &gt; Software Engineering Methods")+COUNTIFS('Prácticas_Snowballing'!$AB$2:$AB$281,"T047",'Prácticas_Snowballing'!$AC$2:$AC$281,"SOFTWARE ENG. MODELS/METH. &gt; Software Engineering Methods")</f>
        <v>0</v>
      </c>
      <c r="BY57" s="17">
        <f>COUNTIFS('Prácticas_Revisiones'!$S$2:$S$282,"T047",'Prácticas_Revisiones'!$T$2:$T$282,"SOFTWARE ENG. MODELS/METH. &gt; Subárea no determinable")+COUNTIFS('Prácticas_Snowballing'!$AB$2:$AB$281,"T047",'Prácticas_Snowballing'!$AC$2:$AC$281,"SOFTWARE ENG. MODELS/METH. &gt; Subárea no determinable")</f>
        <v>0</v>
      </c>
      <c r="BZ57" s="29">
        <f t="shared" si="44"/>
        <v>0</v>
      </c>
      <c r="CA57" s="17">
        <f>COUNTIFS('Prácticas_Revisiones'!$S$2:$S$282,"T047",'Prácticas_Revisiones'!$T$2:$T$282,"SOFTWARE QUALITY &gt; Software Quality Fundamentals")+COUNTIFS('Prácticas_Snowballing'!$AB$2:$AB$281,"T047",'Prácticas_Snowballing'!$AC$2:$AC$281,"SOFTWARE QUALITY &gt; Software Quality Fundamentals")</f>
        <v>0</v>
      </c>
      <c r="CB57" s="17">
        <f>COUNTIFS('Prácticas_Revisiones'!$S$2:$S$282,"T047",'Prácticas_Revisiones'!$T$2:$T$282,"SOFTWARE QUALITY &gt; Software Quality Management Process")+COUNTIFS('Prácticas_Snowballing'!$AB$2:$AB$281,"T047",'Prácticas_Snowballing'!$AC$2:$AC$281,"SOFTWARE QUALITY &gt; Software Quality Management Process")</f>
        <v>0</v>
      </c>
      <c r="CC57" s="17">
        <f>COUNTIFS('Prácticas_Revisiones'!$S$2:$S$282,"T047",'Prácticas_Revisiones'!$T$2:$T$282,"SOFTWARE QUALITY &gt; Software Quality Assurance Process")+COUNTIFS('Prácticas_Snowballing'!$AB$2:$AB$281,"T047",'Prácticas_Snowballing'!$AC$2:$AC$281,"SOFTWARE QUALITY &gt; Software Quality Assurance Process")</f>
        <v>0</v>
      </c>
      <c r="CD57" s="17">
        <f>COUNTIFS('Prácticas_Revisiones'!$S$2:$S$282,"T047",'Prácticas_Revisiones'!$T$2:$T$282,"SOFTWARE QUALITY &gt; Software Quality Tools")+COUNTIFS('Prácticas_Snowballing'!$AB$2:$AB$281,"T047",'Prácticas_Snowballing'!$AC$2:$AC$281,"SOFTWARE QUALITY &gt; Software Quality Tools")</f>
        <v>0</v>
      </c>
      <c r="CE57" s="17">
        <f>COUNTIFS('Prácticas_Revisiones'!$S$2:$S$282,"T047",'Prácticas_Revisiones'!$T$2:$T$282,"SOFTWARE QUALITY &gt; Subárea no determinable")+COUNTIFS('Prácticas_Snowballing'!$AB$2:$AB$281,"T047",'Prácticas_Snowballing'!$AC$2:$AC$281,"SOFTWARE QUALITY &gt; Subárea no determinable")</f>
        <v>0</v>
      </c>
      <c r="CF57" s="29">
        <f t="shared" si="45"/>
        <v>0</v>
      </c>
      <c r="CG57" s="17">
        <f>COUNTIFS('Prácticas_Revisiones'!$S$2:$S$282,"T047",'Prácticas_Revisiones'!$T$2:$T$282,"SOFTWARE SECURITY &gt; Software Security Fundamentals")+COUNTIFS('Prácticas_Snowballing'!$AB$2:$AB$281,"T047",'Prácticas_Snowballing'!$AC$2:$AC$281,"SOFTWARE SECURITY &gt; Software Security Fundamentals")</f>
        <v>0</v>
      </c>
      <c r="CH57" s="17">
        <f>COUNTIFS('Prácticas_Revisiones'!$S$2:$S$282,"T047",'Prácticas_Revisiones'!$T$2:$T$282,"SOFTWARE SECURITY &gt; Security Management and Organization")+COUNTIFS('Prácticas_Snowballing'!$AB$2:$AB$281,"T047",'Prácticas_Snowballing'!$AC$2:$AC$281,"SOFTWARE SECURITY &gt; Security Management and Organization")</f>
        <v>0</v>
      </c>
      <c r="CI57" s="17">
        <f>COUNTIFS('Prácticas_Revisiones'!$S$2:$S$282,"T047",'Prácticas_Revisiones'!$T$2:$T$282,"SOFTWARE SECURITY &gt; Software Security Engineering and Process")+COUNTIFS('Prácticas_Snowballing'!$AB$2:$AB$281,"T047",'Prácticas_Snowballing'!$AC$2:$AC$281,"SOFTWARE SECURITY &gt; Software Security Engineering and Process")</f>
        <v>0</v>
      </c>
      <c r="CJ57" s="17">
        <f>COUNTIFS('Prácticas_Revisiones'!$S$2:$S$282,"T047",'Prácticas_Revisiones'!$T$2:$T$282,"SOFTWARE SECURITY &gt; Security Engineering for Software Systems")+COUNTIFS('Prácticas_Snowballing'!$AB$2:$AB$281,"T047",'Prácticas_Snowballing'!$AC$2:$AC$281,"SOFTWARE SECURITY &gt; Security Engineering for Software Systems")</f>
        <v>0</v>
      </c>
      <c r="CK57" s="17">
        <f>COUNTIFS('Prácticas_Revisiones'!$S$2:$S$282,"T047",'Prácticas_Revisiones'!$T$2:$T$282,"SOFTWARE SECURITY &gt; Software Security Tools")+COUNTIFS('Prácticas_Snowballing'!$AB$2:$AB$281,"T047",'Prácticas_Snowballing'!$AC$2:$AC$281,"SOFTWARE SECURITY &gt; Software Security Tools")</f>
        <v>0</v>
      </c>
      <c r="CL57" s="17">
        <f>COUNTIFS('Prácticas_Revisiones'!$S$2:$S$282,"T047",'Prácticas_Revisiones'!$T$2:$T$282,"SOFTWARE SECURITY &gt; Domain Specific Software Security")+COUNTIFS('Prácticas_Snowballing'!$AB$2:$AB$281,"T047",'Prácticas_Snowballing'!$AC$2:$AC$281,"SOFTWARE SECURITY &gt; Domain Specific Software Security")</f>
        <v>0</v>
      </c>
      <c r="CM57" s="17">
        <f>COUNTIFS('Prácticas_Revisiones'!$S$2:$S$282,"T047",'Prácticas_Revisiones'!$T$2:$T$282,"SOFTWARE SECURITY &gt; Subárea no determinable")+COUNTIFS('Prácticas_Snowballing'!$AB$2:$AB$281,"T047",'Prácticas_Snowballing'!$AC$2:$AC$281,"SOFTWARE SECURITY &gt; Subárea no determinable")</f>
        <v>0</v>
      </c>
      <c r="CN57" s="29">
        <f t="shared" si="46"/>
        <v>0</v>
      </c>
      <c r="CO57" s="17">
        <f>COUNTIFS('Prácticas_Revisiones'!$S$2:$S$282,"T047",'Prácticas_Revisiones'!$T$2:$T$282,"PROFESSIONAL PRACTICE &gt; Professionalism")+COUNTIFS('Prácticas_Snowballing'!$AB$2:$AB$281,"T047",'Prácticas_Snowballing'!$AC$2:$AC$281,"PROFESSIONAL PRACTICE &gt; Professionalism")</f>
        <v>0</v>
      </c>
      <c r="CP57" s="17">
        <f>COUNTIFS('Prácticas_Revisiones'!$S$2:$S$282,"T047",'Prácticas_Revisiones'!$T$2:$T$282,"PROFESSIONAL PRACTICE &gt; Group Dynamics and Psychology")+COUNTIFS('Prácticas_Snowballing'!$AB$2:$AB$281,"T047",'Prácticas_Snowballing'!$AC$2:$AC$281,"PROFESSIONAL PRACTICE &gt; Group Dynamics and Psychology")</f>
        <v>0</v>
      </c>
      <c r="CQ57" s="17">
        <f>COUNTIFS('Prácticas_Revisiones'!$S$2:$S$282,"T047",'Prácticas_Revisiones'!$T$2:$T$282,"PROFESSIONAL PRACTICE &gt; Communication Skills")+COUNTIFS('Prácticas_Snowballing'!$AB$2:$AB$281,"T047",'Prácticas_Snowballing'!$AC$2:$AC$281,"PROFESSIONAL PRACTICE &gt; Communication Skills")</f>
        <v>0</v>
      </c>
      <c r="CR57" s="17">
        <f>COUNTIFS('Prácticas_Revisiones'!$S$2:$S$282,"T047",'Prácticas_Revisiones'!$T$2:$T$282,"PROFESSIONAL PRACTICE &gt; Subárea no determinable")+COUNTIFS('Prácticas_Snowballing'!$AB$2:$AB$281,"T047",'Prácticas_Snowballing'!$AC$2:$AC$281,"PROFESSIONAL PRACTICE &gt; Subárea no determinable")</f>
        <v>0</v>
      </c>
      <c r="CS57" s="29">
        <f t="shared" si="47"/>
        <v>0</v>
      </c>
      <c r="CT57" s="17">
        <f>COUNTIFS('Prácticas_Revisiones'!$S$2:$S$282,"T047",'Prácticas_Revisiones'!$T$2:$T$282,"SOFTWARE ENG. ECONOMICS &gt; Software Engineering Economics Fundamentals")+COUNTIFS('Prácticas_Snowballing'!$AB$2:$AB$281,"T047",'Prácticas_Snowballing'!$AC$2:$AC$281,"SOFTWARE ENG. ECONOMICS &gt; Software Engineering Economics Fundamentals")</f>
        <v>0</v>
      </c>
      <c r="CU57" s="17">
        <f>COUNTIFS('Prácticas_Revisiones'!$S$2:$S$282,"T047",'Prácticas_Revisiones'!$T$2:$T$282,"SOFTWARE ENG. ECONOMICS &gt; The Engineering Decision-Making Process")+COUNTIFS('Prácticas_Snowballing'!$AB$2:$AB$281,"T047",'Prácticas_Snowballing'!$AC$2:$AC$281,"SOFTWARE ENG. ECONOMICS &gt; The Engineering Decision-Making Process")</f>
        <v>0</v>
      </c>
      <c r="CV57" s="17">
        <f>COUNTIFS('Prácticas_Revisiones'!$S$2:$S$282,"T047",'Prácticas_Revisiones'!$T$2:$T$282,"SOFTWARE ENG. ECONOMICS &gt; For-Profit Decision-Making")+COUNTIFS('Prácticas_Snowballing'!$AB$2:$AB$281,"T047",'Prácticas_Snowballing'!$AC$2:$AC$281,"SOFTWARE ENG. ECONOMICS &gt; For-Profit Decision-Making")</f>
        <v>0</v>
      </c>
      <c r="CW57" s="17">
        <f>COUNTIFS('Prácticas_Revisiones'!$S$2:$S$282,"T047",'Prácticas_Revisiones'!$T$2:$T$282,"SOFTWARE ENG. ECONOMICS &gt; Nonprofit Decision-Making")+COUNTIFS('Prácticas_Snowballing'!$AB$2:$AB$281,"T047",'Prácticas_Snowballing'!$AC$2:$AC$281,"SOFTWARE ENG. ECONOMICS &gt; Nonprofit Decision-Making")</f>
        <v>0</v>
      </c>
      <c r="CX57" s="17">
        <f>COUNTIFS('Prácticas_Revisiones'!$S$2:$S$282,"T047",'Prácticas_Revisiones'!$T$2:$T$282,"SOFTWARE ENG. ECONOMICS &gt; Present Economy Decision-Making")+COUNTIFS('Prácticas_Snowballing'!$AB$2:$AB$281,"T047",'Prácticas_Snowballing'!$AC$2:$AC$281,"SOFTWARE ENG. ECONOMICS &gt; Present Economy Decision-Making")</f>
        <v>0</v>
      </c>
      <c r="CY57" s="17">
        <f>COUNTIFS('Prácticas_Revisiones'!$S$2:$S$282,"T047",'Prácticas_Revisiones'!$T$2:$T$282,"SOFTWARE ENG. ECONOMICS &gt; Multiple-Attribute Decision-Making")+COUNTIFS('Prácticas_Snowballing'!$AB$2:$AB$281,"T047",'Prácticas_Snowballing'!$AC$2:$AC$281,"SOFTWARE ENG. ECONOMICS &gt; Multiple-Attribute Decision-Making")</f>
        <v>0</v>
      </c>
      <c r="CZ57" s="17">
        <f>COUNTIFS('Prácticas_Revisiones'!$S$2:$S$282,"T047",'Prácticas_Revisiones'!$T$2:$T$282,"SOFTWARE ENG. ECONOMICS &gt; Identifying and Characterizing Intangible Assets")+COUNTIFS('Prácticas_Snowballing'!$AB$2:$AB$281,"T047",'Prácticas_Snowballing'!$AC$2:$AC$281,"SOFTWARE ENG. ECONOMICS &gt; Identifying and Characterizing Intangible Assets")</f>
        <v>0</v>
      </c>
      <c r="DA57" s="17">
        <f>COUNTIFS('Prácticas_Revisiones'!$S$2:$S$282,"T047",'Prácticas_Revisiones'!$T$2:$T$282,"SOFTWARE ENG. ECONOMICS &gt; Estimation")+COUNTIFS('Prácticas_Snowballing'!$AB$2:$AB$281,"T047",'Prácticas_Snowballing'!$AC$2:$AC$281,"SOFTWARE ENG. ECONOMICS &gt; Estimation")</f>
        <v>0</v>
      </c>
      <c r="DB57" s="17">
        <f>COUNTIFS('Prácticas_Revisiones'!$S$2:$S$282,"T047",'Prácticas_Revisiones'!$T$2:$T$282,"SOFTWARE ENG. ECONOMICS &gt; Practical Considerations")+COUNTIFS('Prácticas_Snowballing'!$AB$2:$AB$281,"T047",'Prácticas_Snowballing'!$AC$2:$AC$281,"SOFTWARE ENG. ECONOMICS &gt; Practical Considerations")</f>
        <v>0</v>
      </c>
      <c r="DC57" s="17">
        <f>COUNTIFS('Prácticas_Revisiones'!$S$2:$S$282,"T047",'Prácticas_Revisiones'!$T$2:$T$282,"SOFTWARE ENG. ECONOMICS &gt; Related Concepts")+COUNTIFS('Prácticas_Snowballing'!$AB$2:$AB$281,"T047",'Prácticas_Snowballing'!$AC$2:$AC$281,"SOFTWARE ENG. ECONOMICS &gt; Related Concepts")</f>
        <v>0</v>
      </c>
      <c r="DD57" s="17">
        <f>COUNTIFS('Prácticas_Revisiones'!$S$2:$S$282,"T047",'Prácticas_Revisiones'!$T$2:$T$282,"SOFTWARE ENG. ECONOMICS &gt; Subárea no determinable")+COUNTIFS('Prácticas_Snowballing'!$AB$2:$AB$281,"T047",'Prácticas_Snowballing'!$AC$2:$AC$281,"SOFTWARE ENG. ECONOMICS &gt; Subárea no determinable")</f>
        <v>0</v>
      </c>
      <c r="DE57" s="29">
        <f t="shared" si="48"/>
        <v>0</v>
      </c>
      <c r="DF57" s="17">
        <f>COUNTIFS('Prácticas_Revisiones'!$S$2:$S$282,"T047",'Prácticas_Revisiones'!$T$2:$T$282,"SOFTWARE ENG. MANAGEMENT &gt; Software Engineering Management Fundamentals")+COUNTIFS('Prácticas_Snowballing'!$AB$2:$AB$281,"T047",'Prácticas_Snowballing'!$AC$2:$AC$281,"SOFTWARE ENG. MANAGEMENT &gt; Software Engineering Management Fundamentals")</f>
        <v>0</v>
      </c>
      <c r="DG57" s="17">
        <f>COUNTIFS('Prácticas_Revisiones'!$S$2:$S$282,"T047",'Prácticas_Revisiones'!$T$2:$T$282,"SOFTWARE ENG. MANAGEMENT &gt; Initiation and Scope Definition")+COUNTIFS('Prácticas_Snowballing'!$AB$2:$AB$281,"T047",'Prácticas_Snowballing'!$AC$2:$AC$281,"SOFTWARE ENG. MANAGEMENT &gt; Initiation and Scope Definition")</f>
        <v>0</v>
      </c>
      <c r="DH57" s="17">
        <f>COUNTIFS('Prácticas_Revisiones'!$S$2:$S$282,"T047",'Prácticas_Revisiones'!$T$2:$T$282,"SOFTWARE ENG. MANAGEMENT &gt; Software Project Planning")+COUNTIFS('Prácticas_Snowballing'!$AB$2:$AB$281,"T047",'Prácticas_Snowballing'!$AC$2:$AC$281,"SOFTWARE ENG. MANAGEMENT &gt; Software Project Planning")</f>
        <v>0</v>
      </c>
      <c r="DI57" s="17">
        <f>COUNTIFS('Prácticas_Revisiones'!$S$2:$S$282,"T047",'Prácticas_Revisiones'!$T$2:$T$282,"SOFTWARE ENG. MANAGEMENT &gt; Software Project Enactment")+COUNTIFS('Prácticas_Snowballing'!$AB$2:$AB$281,"T047",'Prácticas_Snowballing'!$AC$2:$AC$281,"SOFTWARE ENG. MANAGEMENT &gt; Software Project Enactment")</f>
        <v>0</v>
      </c>
      <c r="DJ57" s="17">
        <f>COUNTIFS('Prácticas_Revisiones'!$S$2:$S$282,"T047",'Prácticas_Revisiones'!$T$2:$T$282,"SOFTWARE ENG. MANAGEMENT &gt; Review and Evaluation")+COUNTIFS('Prácticas_Snowballing'!$AB$2:$AB$281,"T047",'Prácticas_Snowballing'!$AC$2:$AC$281,"SOFTWARE ENG. MANAGEMENT &gt; Review and Evaluation")</f>
        <v>0</v>
      </c>
      <c r="DK57" s="17">
        <f>COUNTIFS('Prácticas_Revisiones'!$S$2:$S$282,"T047",'Prácticas_Revisiones'!$T$2:$T$282,"SOFTWARE ENG. MANAGEMENT &gt; Closure")+COUNTIFS('Prácticas_Snowballing'!$AB$2:$AB$281,"T047",'Prácticas_Snowballing'!$AC$2:$AC$281,"SOFTWARE ENG. MANAGEMENT &gt; Closure")</f>
        <v>0</v>
      </c>
      <c r="DL57" s="17">
        <f>COUNTIFS('Prácticas_Revisiones'!$S$2:$S$282,"T047",'Prácticas_Revisiones'!$T$2:$T$282,"SOFTWARE ENG. MANAGEMENT &gt; Software Engineering Management Tools")+COUNTIFS('Prácticas_Snowballing'!$AB$2:$AB$281,"T047",'Prácticas_Snowballing'!$AC$2:$AC$281,"SOFTWARE ENG. MANAGEMENT &gt; Software Engineering Management Tools")</f>
        <v>0</v>
      </c>
      <c r="DM57" s="17">
        <f>COUNTIFS('Prácticas_Revisiones'!$S$2:$S$282,"T047",'Prácticas_Revisiones'!$T$2:$T$282,"SOFTWARE ENG. MANAGEMENT &gt; Subárea no determinable")+COUNTIFS('Prácticas_Snowballing'!$AB$2:$AB$281,"T047",'Prácticas_Snowballing'!$AC$2:$AC$281,"SOFTWARE ENG. MANAGEMENT &gt; Subárea no determinable")</f>
        <v>0</v>
      </c>
      <c r="DN57" s="29">
        <f t="shared" si="49"/>
        <v>0</v>
      </c>
      <c r="DO57" s="17">
        <f>COUNTIFS('Prácticas_Revisiones'!$S$2:$S$282,"T047",'Prácticas_Revisiones'!$T$2:$T$282,"Sin área SWEBOK")+COUNTIFS('Prácticas_Snowballing'!$AB$2:$AB$281,"T047",'Prácticas_Snowballing'!$AC$2:$AC$281,"Sin área SWEBOK")</f>
        <v>0</v>
      </c>
      <c r="DP57" s="27">
        <f t="shared" si="50"/>
        <v>0</v>
      </c>
    </row>
    <row r="58" ht="15.75" customHeight="1">
      <c r="A58" s="28"/>
      <c r="B58" s="16" t="s">
        <v>2798</v>
      </c>
      <c r="C58" s="17">
        <f>COUNTIFS('Prácticas_Revisiones'!$S$2:$S$282,"T048",'Prácticas_Revisiones'!$T$2:$T$282,"REQUIREMENTS &gt; Software Requirements Fundamentals")+COUNTIFS('Prácticas_Snowballing'!$AB$2:$AB$281,"T048",'Prácticas_Snowballing'!$AC$2:$AC$281,"REQUIREMENTS &gt; Software Requirements Fundamentals")</f>
        <v>0</v>
      </c>
      <c r="D58" s="17">
        <f>COUNTIFS('Prácticas_Revisiones'!$S$2:$S$282,"T048",'Prácticas_Revisiones'!$T$2:$T$282,"REQUIREMENTS &gt; Requirements Elicitation")+COUNTIFS('Prácticas_Snowballing'!$AB$2:$AB$281,"T048",'Prácticas_Snowballing'!$AC$2:$AC$281,"REQUIREMENTS &gt; Requirements Elicitation")</f>
        <v>0</v>
      </c>
      <c r="E58" s="17">
        <f>COUNTIFS('Prácticas_Revisiones'!$S$2:$S$282,"T048",'Prácticas_Revisiones'!$T$2:$T$282,"REQUIREMENTS &gt; Requirements Analysis")+COUNTIFS('Prácticas_Snowballing'!$AB$2:$AB$281,"T048",'Prácticas_Snowballing'!$AC$2:$AC$281,"REQUIREMENTS &gt; Requirements Analysis")</f>
        <v>0</v>
      </c>
      <c r="F58" s="17">
        <f>COUNTIFS('Prácticas_Revisiones'!$S$2:$S$282,"T048",'Prácticas_Revisiones'!$T$2:$T$282,"REQUIREMENTS &gt; Requirements Specification")+COUNTIFS('Prácticas_Snowballing'!$AB$2:$AB$281,"T048",'Prácticas_Snowballing'!$AC$2:$AC$281,"REQUIREMENTS &gt; Requirements Specification")</f>
        <v>0</v>
      </c>
      <c r="G58" s="17">
        <f>COUNTIFS('Prácticas_Revisiones'!$S$2:$S$282,"T048",'Prácticas_Revisiones'!$T$2:$T$282,"REQUIREMENTS &gt; Requirements Validation")+COUNTIFS('Prácticas_Snowballing'!$AB$2:$AB$281,"T048",'Prácticas_Snowballing'!$AC$2:$AC$281,"REQUIREMENTS &gt; Requirements Validation")</f>
        <v>0</v>
      </c>
      <c r="H58" s="17">
        <f>COUNTIFS('Prácticas_Revisiones'!$S$2:$S$282,"T048",'Prácticas_Revisiones'!$T$2:$T$282,"REQUIREMENTS &gt; Requirements Management Activities")+COUNTIFS('Prácticas_Snowballing'!$AB$2:$AB$281,"T048",'Prácticas_Snowballing'!$AC$2:$AC$281,"REQUIREMENTS &gt; Requirements Management Activities")</f>
        <v>0</v>
      </c>
      <c r="I58" s="17">
        <f>COUNTIFS('Prácticas_Revisiones'!$S$2:$S$282,"T048",'Prácticas_Revisiones'!$T$2:$T$282,"REQUIREMENTS &gt; Practical Considerations")+COUNTIFS('Prácticas_Snowballing'!$AB$2:$AB$281,"T048",'Prácticas_Snowballing'!$AC$2:$AC$281,"REQUIREMENTS &gt; Practical Considerations")</f>
        <v>0</v>
      </c>
      <c r="J58" s="17">
        <f>COUNTIFS('Prácticas_Revisiones'!$S$2:$S$282,"T048",'Prácticas_Revisiones'!$T$2:$T$282,"REQUIREMENTS &gt; Software Requirements Tools")+COUNTIFS('Prácticas_Snowballing'!$AB$2:$AB$281,"T048",'Prácticas_Snowballing'!$AC$2:$AC$281,"REQUIREMENTS &gt; Software Requirements Tools")</f>
        <v>0</v>
      </c>
      <c r="K58" s="17">
        <f>COUNTIFS('Prácticas_Revisiones'!$S$2:$S$282,"T048",'Prácticas_Revisiones'!$T$2:$T$282,"REQUIREMENTS &gt; Subárea no determinable")+COUNTIFS('Prácticas_Snowballing'!$AB$2:$AB$281,"T048",'Prácticas_Snowballing'!$AC$2:$AC$281,"REQUIREMENTS &gt; Subárea no determinable")</f>
        <v>0</v>
      </c>
      <c r="L58" s="29">
        <f t="shared" si="35"/>
        <v>0</v>
      </c>
      <c r="M58" s="17">
        <f>COUNTIFS('Prácticas_Revisiones'!$S$2:$S$282,"T048",'Prácticas_Revisiones'!$T$2:$T$282,"ARCHITECTURE &gt; Software Architecture Fundamentals")+COUNTIFS('Prácticas_Snowballing'!$AB$2:$AB$281,"T048",'Prácticas_Snowballing'!$AC$2:$AC$281,"ARCHITECTURE &gt; Software Architecture Fundamentals")</f>
        <v>0</v>
      </c>
      <c r="N58" s="17">
        <f>COUNTIFS('Prácticas_Revisiones'!$S$2:$S$282,"T048",'Prácticas_Revisiones'!$T$2:$T$282,"ARCHITECTURE &gt; Software Architecture Description")+COUNTIFS('Prácticas_Snowballing'!$AB$2:$AB$281,"T048",'Prácticas_Snowballing'!$AC$2:$AC$281,"ARCHITECTURE &gt; Software Architecture Description")</f>
        <v>0</v>
      </c>
      <c r="O58" s="17">
        <f>COUNTIFS('Prácticas_Revisiones'!$S$2:$S$282,"T048",'Prácticas_Revisiones'!$T$2:$T$282,"ARCHITECTURE &gt; Software Architecture Process")+COUNTIFS('Prácticas_Snowballing'!$AB$2:$AB$281,"T048",'Prácticas_Snowballing'!$AC$2:$AC$281,"ARCHITECTURE &gt; Software Architecture Process")</f>
        <v>0</v>
      </c>
      <c r="P58" s="17">
        <f>COUNTIFS('Prácticas_Revisiones'!$S$2:$S$282,"T048",'Prácticas_Revisiones'!$T$2:$T$282,"ARCHITECTURE &gt; Software Architecture Evaluation")+COUNTIFS('Prácticas_Snowballing'!$AB$2:$AB$281,"T048",'Prácticas_Snowballing'!$AC$2:$AC$281,"ARCHITECTURE &gt; Software Architecture Evaluation")</f>
        <v>0</v>
      </c>
      <c r="Q58" s="17">
        <f>COUNTIFS('Prácticas_Revisiones'!$S$2:$S$282,"T048",'Prácticas_Revisiones'!$T$2:$T$282,"ARCHITECTURE &gt; Subárea no determinable")+COUNTIFS('Prácticas_Snowballing'!$AB$2:$AB$281,"T048",'Prácticas_Snowballing'!$AC$2:$AC$281,"ARCHITECTURE &gt; Subárea no determinable")</f>
        <v>0</v>
      </c>
      <c r="R58" s="29">
        <f t="shared" si="36"/>
        <v>0</v>
      </c>
      <c r="S58" s="17">
        <f>COUNTIFS('Prácticas_Revisiones'!$S$2:$S$282,"T048",'Prácticas_Revisiones'!$T$2:$T$282,"DESIGN &gt; Software Design Fundamentals")+COUNTIFS('Prácticas_Snowballing'!$AB$2:$AB$281,"T048",'Prácticas_Snowballing'!$AC$2:$AC$281,"DESIGN &gt; Software Design Fundamentals")</f>
        <v>0</v>
      </c>
      <c r="T58" s="17">
        <f>COUNTIFS('Prácticas_Revisiones'!$S$2:$S$282,"T048",'Prácticas_Revisiones'!$T$2:$T$282,"DESIGN &gt; Software Design Processes")+COUNTIFS('Prácticas_Snowballing'!$AB$2:$AB$281,"T048",'Prácticas_Snowballing'!$AC$2:$AC$281,"DESIGN &gt; Software Design Processes")</f>
        <v>0</v>
      </c>
      <c r="U58" s="17">
        <f>COUNTIFS('Prácticas_Revisiones'!$S$2:$S$282,"T048",'Prácticas_Revisiones'!$T$2:$T$282,"DESIGN &gt; Software Design Qualities")+COUNTIFS('Prácticas_Snowballing'!$AB$2:$AB$281,"T048",'Prácticas_Snowballing'!$AC$2:$AC$281,"DESIGN &gt; Software Design Qualities")</f>
        <v>0</v>
      </c>
      <c r="V58" s="17">
        <f>COUNTIFS('Prácticas_Revisiones'!$S$2:$S$282,"T048",'Prácticas_Revisiones'!$T$2:$T$282,"DESIGN &gt; Recording Software Design")+COUNTIFS('Prácticas_Snowballing'!$AB$2:$AB$281,"T048",'Prácticas_Snowballing'!$AC$2:$AC$281,"DESIGN &gt; Recording Software Design")</f>
        <v>0</v>
      </c>
      <c r="W58" s="17">
        <f>COUNTIFS('Prácticas_Revisiones'!$S$2:$S$282,"T048",'Prácticas_Revisiones'!$T$2:$T$282,"DESIGN &gt; Software Design Strategies and Methods")+COUNTIFS('Prácticas_Snowballing'!$AB$2:$AB$281,"T048",'Prácticas_Snowballing'!$AC$2:$AC$281,"DESIGN &gt; Software Design Strategies and Methods")</f>
        <v>0</v>
      </c>
      <c r="X58" s="17">
        <f>COUNTIFS('Prácticas_Revisiones'!$S$2:$S$282,"T048",'Prácticas_Revisiones'!$T$2:$T$282,"DESIGN &gt; Software Design Analysis and Evaluations")+COUNTIFS('Prácticas_Snowballing'!$AB$2:$AB$281,"T048",'Prácticas_Snowballing'!$AC$2:$AC$281,"DESIGN &gt; Software Design Analysis and Evaluations")</f>
        <v>0</v>
      </c>
      <c r="Y58" s="17">
        <f>COUNTIFS('Prácticas_Revisiones'!$S$2:$S$282,"T048",'Prácticas_Revisiones'!$T$2:$T$282,"DESIGN &gt; Subárea no determinable")+COUNTIFS('Prácticas_Snowballing'!$AB$2:$AB$281,"T048",'Prácticas_Snowballing'!$AC$2:$AC$281,"DESIGN &gt; Subárea no determinable")</f>
        <v>0</v>
      </c>
      <c r="Z58" s="29">
        <f t="shared" si="37"/>
        <v>0</v>
      </c>
      <c r="AA58" s="17">
        <f>COUNTIFS('Prácticas_Revisiones'!$S$2:$S$282,"T048",'Prácticas_Revisiones'!$T$2:$T$282,"CONSTRUCTION &gt; Software Construction Fundamentals")+COUNTIFS('Prácticas_Snowballing'!$AB$2:$AB$281,"T048",'Prácticas_Snowballing'!$AC$2:$AC$281,"CONSTRUCTION &gt; Software Construction Fundamentals")</f>
        <v>0</v>
      </c>
      <c r="AB58" s="17">
        <f>COUNTIFS('Prácticas_Revisiones'!$S$2:$S$282,"T048",'Prácticas_Revisiones'!$T$2:$T$282,"CONSTRUCTION &gt; Managing Construction")+COUNTIFS('Prácticas_Snowballing'!$AB$2:$AB$281,"T048",'Prácticas_Snowballing'!$AC$2:$AC$281,"CONSTRUCTION &gt; Managing Construction")</f>
        <v>0</v>
      </c>
      <c r="AC58" s="17">
        <f>COUNTIFS('Prácticas_Revisiones'!$S$2:$S$282,"T048",'Prácticas_Revisiones'!$T$2:$T$282,"CONSTRUCTION &gt; Practical Considerations")+COUNTIFS('Prácticas_Snowballing'!$AB$2:$AB$281,"T048",'Prácticas_Snowballing'!$AC$2:$AC$281,"CONSTRUCTION &gt; Practical Considerations")</f>
        <v>0</v>
      </c>
      <c r="AD58" s="17">
        <f>COUNTIFS('Prácticas_Revisiones'!$S$2:$S$282,"T048",'Prácticas_Revisiones'!$T$2:$T$282,"CONSTRUCTION &gt; Construction Technologies")+COUNTIFS('Prácticas_Snowballing'!$AB$2:$AB$281,"T048",'Prácticas_Snowballing'!$AC$2:$AC$281,"CONSTRUCTION &gt; Construction Technologies")</f>
        <v>0</v>
      </c>
      <c r="AE58" s="17">
        <f>COUNTIFS('Prácticas_Revisiones'!$S$2:$S$282,"T048",'Prácticas_Revisiones'!$T$2:$T$282,"CONSTRUCTION &gt; Software Construction Tools")+COUNTIFS('Prácticas_Snowballing'!$AB$2:$AB$281,"T048",'Prácticas_Snowballing'!$AC$2:$AC$281,"CONSTRUCTION &gt; Software Construction Tools")</f>
        <v>0</v>
      </c>
      <c r="AF58" s="17">
        <f>COUNTIFS('Prácticas_Revisiones'!$S$2:$S$282,"T048",'Prácticas_Revisiones'!$T$2:$T$282,"CONSTRUCTION &gt; Subárea no determinable")+COUNTIFS('Prácticas_Snowballing'!$AB$2:$AB$281,"T048",'Prácticas_Snowballing'!$AC$2:$AC$281,"CONSTRUCTION &gt; Subárea no determinable")</f>
        <v>0</v>
      </c>
      <c r="AG58" s="29">
        <f t="shared" si="38"/>
        <v>0</v>
      </c>
      <c r="AH58" s="17">
        <f>COUNTIFS('Prácticas_Revisiones'!$S$2:$S$282,"T048",'Prácticas_Revisiones'!$T$2:$T$282,"SOFTWARE TESTING &gt; Software Testing Fundamentals")+COUNTIFS('Prácticas_Snowballing'!$AB$2:$AB$281,"T048",'Prácticas_Snowballing'!$AC$2:$AC$281,"SOFTWARE TESTING &gt; Software Testing Fundamentals")</f>
        <v>0</v>
      </c>
      <c r="AI58" s="17">
        <f>COUNTIFS('Prácticas_Revisiones'!$S$2:$S$282,"T048",'Prácticas_Revisiones'!$T$2:$T$282,"SOFTWARE TESTING &gt; Test Levels")+COUNTIFS('Prácticas_Snowballing'!$AB$2:$AB$281,"T048",'Prácticas_Snowballing'!$AC$2:$AC$281,"SOFTWARE TESTING &gt; Test Levels")</f>
        <v>0</v>
      </c>
      <c r="AJ58" s="17">
        <f>COUNTIFS('Prácticas_Revisiones'!$S$2:$S$282,"T048",'Prácticas_Revisiones'!$T$2:$T$282,"SOFTWARE TESTING &gt; Test Techniques")+COUNTIFS('Prácticas_Snowballing'!$AB$2:$AB$281,"T048",'Prácticas_Snowballing'!$AC$2:$AC$281,"SOFTWARE TESTING &gt; Test Techniques")</f>
        <v>0</v>
      </c>
      <c r="AK58" s="17">
        <f>COUNTIFS('Prácticas_Revisiones'!$S$2:$S$282,"T048",'Prácticas_Revisiones'!$T$2:$T$282,"SOFTWARE TESTING &gt; Test-Related Measures")+COUNTIFS('Prácticas_Snowballing'!$AB$2:$AB$281,"T048",'Prácticas_Snowballing'!$AC$2:$AC$281,"SOFTWARE TESTING &gt; Test-Related Measures")</f>
        <v>0</v>
      </c>
      <c r="AL58" s="17">
        <f>COUNTIFS('Prácticas_Revisiones'!$S$2:$S$282,"T048",'Prácticas_Revisiones'!$T$2:$T$282,"SOFTWARE TESTING &gt; Test Process")+COUNTIFS('Prácticas_Snowballing'!$AB$2:$AB$281,"T048",'Prácticas_Snowballing'!$AC$2:$AC$281,"SOFTWARE TESTING &gt; Test Process")</f>
        <v>0</v>
      </c>
      <c r="AM58" s="17">
        <f>COUNTIFS('Prácticas_Revisiones'!$S$2:$S$282,"T048",'Prácticas_Revisiones'!$T$2:$T$282,"SOFTWARE TESTING &gt; Software Testing in the Development Processes...")+COUNTIFS('Prácticas_Snowballing'!$AB$2:$AB$281,"T048",'Prácticas_Snowballing'!$AC$2:$AC$281,"SOFTWARE TESTING &gt; Software Testing in the Development Processes...")</f>
        <v>0</v>
      </c>
      <c r="AN58" s="17">
        <f>COUNTIFS('Prácticas_Revisiones'!$S$2:$S$282,"T048",'Prácticas_Revisiones'!$T$2:$T$282,"SOFTWARE TESTING &gt; Testing of and Testing Through Emerging Tech...")+COUNTIFS('Prácticas_Snowballing'!$AB$2:$AB$281,"T048",'Prácticas_Snowballing'!$AC$2:$AC$281,"SOFTWARE TESTING &gt; Testing of and Testing Through Emerging Tech...")</f>
        <v>0</v>
      </c>
      <c r="AO58" s="17">
        <f>COUNTIFS('Prácticas_Revisiones'!$S$2:$S$282,"T048",'Prácticas_Revisiones'!$T$2:$T$282,"SOFTWARE TESTING &gt; Software Testing Tools")+COUNTIFS('Prácticas_Snowballing'!$AB$2:$AB$281,"T048",'Prácticas_Snowballing'!$AC$2:$AC$281,"SOFTWARE TESTING &gt; Software Testing Tools")</f>
        <v>0</v>
      </c>
      <c r="AP58" s="17">
        <f>COUNTIFS('Prácticas_Revisiones'!$S$2:$S$282,"T048",'Prácticas_Revisiones'!$T$2:$T$282,"SOFTWARE TESTING &gt; Subárea no determinable")+COUNTIFS('Prácticas_Snowballing'!$AB$2:$AB$281,"T048",'Prácticas_Snowballing'!$AC$2:$AC$281,"SOFTWARE TESTING &gt; Subárea no determinable")</f>
        <v>0</v>
      </c>
      <c r="AQ58" s="29">
        <f t="shared" si="39"/>
        <v>0</v>
      </c>
      <c r="AR58" s="17">
        <f>COUNTIFS('Prácticas_Revisiones'!$S$2:$S$282,"T048",'Prácticas_Revisiones'!$T$2:$T$282,"SOFTWARE ENG. OPERATIONS &gt; Software Engineering Operations Fundamentals")+COUNTIFS('Prácticas_Snowballing'!$AB$2:$AB$281,"T048",'Prácticas_Snowballing'!$AC$2:$AC$281,"SOFTWARE ENG. OPERATIONS &gt; Software Engineering Operations Fundamentals")</f>
        <v>0</v>
      </c>
      <c r="AS58" s="17">
        <f>COUNTIFS('Prácticas_Revisiones'!$S$2:$S$282,"T048",'Prácticas_Revisiones'!$T$2:$T$282,"SOFTWARE ENG. OPERATIONS &gt; Software Engineering Operations Planning")+COUNTIFS('Prácticas_Snowballing'!$AB$2:$AB$281,"T048",'Prácticas_Snowballing'!$AC$2:$AC$281,"SOFTWARE ENG. OPERATIONS &gt; Software Engineering Operations Planning")</f>
        <v>0</v>
      </c>
      <c r="AT58" s="17">
        <f>COUNTIFS('Prácticas_Revisiones'!$S$2:$S$282,"T048",'Prácticas_Revisiones'!$T$2:$T$282,"SOFTWARE ENG. OPERATIONS &gt; Software Engineering Operations Delivery")+COUNTIFS('Prácticas_Snowballing'!$AB$2:$AB$281,"T048",'Prácticas_Snowballing'!$AC$2:$AC$281,"SOFTWARE ENG. OPERATIONS &gt; Software Engineering Operations Delivery")</f>
        <v>0</v>
      </c>
      <c r="AU58" s="17">
        <f>COUNTIFS('Prácticas_Revisiones'!$S$2:$S$282,"T048",'Prácticas_Revisiones'!$T$2:$T$282,"SOFTWARE ENG. OPERATIONS &gt; Software Engineering Operations Control")+COUNTIFS('Prácticas_Snowballing'!$AB$2:$AB$281,"T048",'Prácticas_Snowballing'!$AC$2:$AC$281,"SOFTWARE ENG. OPERATIONS &gt; Software Engineering Operations Control")</f>
        <v>0</v>
      </c>
      <c r="AV58" s="17">
        <f>COUNTIFS('Prácticas_Revisiones'!$S$2:$S$282,"T048",'Prácticas_Revisiones'!$T$2:$T$282,"SOFTWARE ENG. OPERATIONS &gt; Practical Considerations")+COUNTIFS('Prácticas_Snowballing'!$AB$2:$AB$281,"T048",'Prácticas_Snowballing'!$AC$2:$AC$281,"SOFTWARE ENG. OPERATIONS &gt; Practical Considerations")</f>
        <v>0</v>
      </c>
      <c r="AW58" s="17">
        <f>COUNTIFS('Prácticas_Revisiones'!$S$2:$S$282,"T048",'Prácticas_Revisiones'!$T$2:$T$282,"SOFTWARE ENG. OPERATIONS &gt; Software Engineering Operations Tools")+COUNTIFS('Prácticas_Snowballing'!$AB$2:$AB$281,"T048",'Prácticas_Snowballing'!$AC$2:$AC$281,"SOFTWARE ENG. OPERATIONS &gt; Software Engineering Operations Tools")</f>
        <v>0</v>
      </c>
      <c r="AX58" s="17">
        <f>COUNTIFS('Prácticas_Revisiones'!$S$2:$S$282,"T048",'Prácticas_Revisiones'!$T$2:$T$282,"SOFTWARE ENG. OPERATIONS &gt; Subárea no determinable")+COUNTIFS('Prácticas_Snowballing'!$AB$2:$AB$281,"T048",'Prácticas_Snowballing'!$AC$2:$AC$281,"SOFTWARE ENG. OPERATIONS &gt; Subárea no determinable")</f>
        <v>0</v>
      </c>
      <c r="AY58" s="29">
        <f t="shared" si="40"/>
        <v>0</v>
      </c>
      <c r="AZ58" s="17">
        <f>COUNTIFS('Prácticas_Revisiones'!$S$2:$S$282,"T048",'Prácticas_Revisiones'!$T$2:$T$282,"MAINTENANCE &gt; Software Maintenance Fundamentals")+COUNTIFS('Prácticas_Snowballing'!$AB$2:$AB$281,"T048",'Prácticas_Snowballing'!$AC$2:$AC$281,"MAINTENANCE &gt; Software Maintenance Fundamentals")</f>
        <v>0</v>
      </c>
      <c r="BA58" s="17">
        <f>COUNTIFS('Prácticas_Revisiones'!$S$2:$S$282,"T048",'Prácticas_Revisiones'!$T$2:$T$282,"MAINTENANCE &gt; Key Issues in Software Maintenance")+COUNTIFS('Prácticas_Snowballing'!$AB$2:$AB$281,"T048",'Prácticas_Snowballing'!$AC$2:$AC$281,"MAINTENANCE &gt; Key Issues in Software Maintenance")</f>
        <v>0</v>
      </c>
      <c r="BB58" s="17">
        <f>COUNTIFS('Prácticas_Revisiones'!$S$2:$S$282,"T048",'Prácticas_Revisiones'!$T$2:$T$282,"MAINTENANCE &gt; Software Maintenance Processes")+COUNTIFS('Prácticas_Snowballing'!$AB$2:$AB$281,"T048",'Prácticas_Snowballing'!$AC$2:$AC$281,"MAINTENANCE &gt; Software Maintenance Processes")</f>
        <v>0</v>
      </c>
      <c r="BC58" s="17">
        <f>COUNTIFS('Prácticas_Revisiones'!$S$2:$S$282,"T048",'Prácticas_Revisiones'!$T$2:$T$282,"MAINTENANCE &gt; Software Maintenance Techniques")+COUNTIFS('Prácticas_Snowballing'!$AB$2:$AB$281,"T048",'Prácticas_Snowballing'!$AC$2:$AC$281,"MAINTENANCE &gt; Software Maintenance Techniques")</f>
        <v>0</v>
      </c>
      <c r="BD58" s="17">
        <f>COUNTIFS('Prácticas_Revisiones'!$S$2:$S$282,"T048",'Prácticas_Revisiones'!$T$2:$T$282,"MAINTENANCE &gt; Software Maintenance Tools")+COUNTIFS('Prácticas_Snowballing'!$AB$2:$AB$281,"T048",'Prácticas_Snowballing'!$AC$2:$AC$281,"MAINTENANCE &gt; Software Maintenance Tools")</f>
        <v>0</v>
      </c>
      <c r="BE58" s="17">
        <f>COUNTIFS('Prácticas_Revisiones'!$S$2:$S$282,"T048",'Prácticas_Revisiones'!$T$2:$T$282,"MAINTENANCE &gt; Subárea no determinable")+COUNTIFS('Prácticas_Snowballing'!$AB$2:$AB$281,"T048",'Prácticas_Snowballing'!$AC$2:$AC$281,"MAINTENANCE &gt; Subárea no determinable")</f>
        <v>0</v>
      </c>
      <c r="BF58" s="29">
        <f t="shared" si="41"/>
        <v>0</v>
      </c>
      <c r="BG58" s="17">
        <f>COUNTIFS('Prácticas_Revisiones'!$S$2:$S$282,"T048",'Prácticas_Revisiones'!$T$2:$T$282,"SOFTWARE CONFIG. MGMT. &gt; Management of the SCM Process")+COUNTIFS('Prácticas_Snowballing'!$AB$2:$AB$281,"T048",'Prácticas_Snowballing'!$AC$2:$AC$281,"SOFTWARE CONFIG. MGMT. &gt; Management of the SCM Process")</f>
        <v>0</v>
      </c>
      <c r="BH58" s="17">
        <f>COUNTIFS('Prácticas_Revisiones'!$S$2:$S$282,"T048",'Prácticas_Revisiones'!$T$2:$T$282,"SOFTWARE CONFIG. MGMT. &gt; Software Configuration Identification")+COUNTIFS('Prácticas_Snowballing'!$AB$2:$AB$281,"T048",'Prácticas_Snowballing'!$AC$2:$AC$281,"SOFTWARE CONFIG. MGMT. &gt; Software Configuration Identification")</f>
        <v>0</v>
      </c>
      <c r="BI58" s="17">
        <f>COUNTIFS('Prácticas_Revisiones'!$S$2:$S$282,"T048",'Prácticas_Revisiones'!$T$2:$T$282,"SOFTWARE CONFIG. MGMT. &gt; Software Configuration Change Control")+COUNTIFS('Prácticas_Snowballing'!$AB$2:$AB$281,"T048",'Prácticas_Snowballing'!$AC$2:$AC$281,"SOFTWARE CONFIG. MGMT. &gt; Software Configuration Change Control")</f>
        <v>0</v>
      </c>
      <c r="BJ58" s="17">
        <f>COUNTIFS('Prácticas_Revisiones'!$S$2:$S$282,"T048",'Prácticas_Revisiones'!$T$2:$T$282,"SOFTWARE CONFIG. MGMT. &gt; Software Configuration Status Accounting")+COUNTIFS('Prácticas_Snowballing'!$AB$2:$AB$281,"T048",'Prácticas_Snowballing'!$AC$2:$AC$281,"SOFTWARE CONFIG. MGMT. &gt; Software Configuration Status Accounting")</f>
        <v>0</v>
      </c>
      <c r="BK58" s="17">
        <f>COUNTIFS('Prácticas_Revisiones'!$S$2:$S$282,"T048",'Prácticas_Revisiones'!$T$2:$T$282,"SOFTWARE CONFIG. MGMT. &gt; Software Configuration Auditing")+COUNTIFS('Prácticas_Snowballing'!$AB$2:$AB$281,"T048",'Prácticas_Snowballing'!$AC$2:$AC$281,"SOFTWARE CONFIG. MGMT. &gt; Software Configuration Auditing")</f>
        <v>0</v>
      </c>
      <c r="BL58" s="17">
        <f>COUNTIFS('Prácticas_Revisiones'!$S$2:$S$282,"T048",'Prácticas_Revisiones'!$T$2:$T$282,"SOFTWARE CONFIG. MGMT. &gt; Software Release Management and Delivery")+COUNTIFS('Prácticas_Snowballing'!$AB$2:$AB$281,"T048",'Prácticas_Snowballing'!$AC$2:$AC$281,"SOFTWARE CONFIG. MGMT. &gt; Software Release Management and Delivery")</f>
        <v>0</v>
      </c>
      <c r="BM58" s="17">
        <f>COUNTIFS('Prácticas_Revisiones'!$S$2:$S$282,"T048",'Prácticas_Revisiones'!$T$2:$T$282,"SOFTWARE CONFIG. MGMT. &gt; Software Configuration Management Tools")+COUNTIFS('Prácticas_Snowballing'!$AB$2:$AB$281,"T048",'Prácticas_Snowballing'!$AC$2:$AC$281,"SOFTWARE CONFIG. MGMT. &gt; Software Configuration Management Tools")</f>
        <v>0</v>
      </c>
      <c r="BN58" s="17">
        <f>COUNTIFS('Prácticas_Revisiones'!$S$2:$S$282,"T048",'Prácticas_Revisiones'!$T$2:$T$282,"SOFTWARE CONFIG. MGMT. &gt; Subárea no determinable")+COUNTIFS('Prácticas_Snowballing'!$AB$2:$AB$281,"T048",'Prácticas_Snowballing'!$AC$2:$AC$281,"SOFTWARE CONFIG. MGMT. &gt; Subárea no determinable")</f>
        <v>0</v>
      </c>
      <c r="BO58" s="29">
        <f t="shared" si="42"/>
        <v>0</v>
      </c>
      <c r="BP58" s="17">
        <f>COUNTIFS('Prácticas_Revisiones'!$S$2:$S$282,"T048",'Prácticas_Revisiones'!$T$2:$T$282,"SOFTWARE ENG. PROCESS &gt; Software Engineering Process Fundamentals")+COUNTIFS('Prácticas_Snowballing'!$AB$2:$AB$281,"T048",'Prácticas_Snowballing'!$AC$2:$AC$281,"SOFTWARE ENG. PROCESS &gt; Software Engineering Process Fundamentals")</f>
        <v>0</v>
      </c>
      <c r="BQ58" s="17">
        <f>COUNTIFS('Prácticas_Revisiones'!$S$2:$S$282,"T048",'Prácticas_Revisiones'!$T$2:$T$282,"SOFTWARE ENG. PROCESS &gt; Life Cycles")+COUNTIFS('Prácticas_Snowballing'!$AB$2:$AB$281,"T048",'Prácticas_Snowballing'!$AC$2:$AC$281,"SOFTWARE ENG. PROCESS &gt; Life Cycles")</f>
        <v>0</v>
      </c>
      <c r="BR58" s="17">
        <f>COUNTIFS('Prácticas_Revisiones'!$S$2:$S$282,"T048",'Prácticas_Revisiones'!$T$2:$T$282,"SOFTWARE ENG. PROCESS &gt; Software Process Assessment and Improvement")+COUNTIFS('Prácticas_Snowballing'!$AB$2:$AB$281,"T048",'Prácticas_Snowballing'!$AC$2:$AC$281,"SOFTWARE ENG. PROCESS &gt; Software Process Assessment and Improvement")</f>
        <v>0</v>
      </c>
      <c r="BS58" s="17">
        <f>COUNTIFS('Prácticas_Revisiones'!$S$2:$S$282,"T048",'Prácticas_Revisiones'!$T$2:$T$282,"SOFTWARE ENG. PROCESS &gt; Subárea no determinable")+COUNTIFS('Prácticas_Snowballing'!$AB$2:$AB$281,"T048",'Prácticas_Snowballing'!$AC$2:$AC$281,"SOFTWARE ENG. PROCESS &gt; Subárea no determinable")</f>
        <v>0</v>
      </c>
      <c r="BT58" s="29">
        <f t="shared" si="43"/>
        <v>0</v>
      </c>
      <c r="BU58" s="17">
        <f>COUNTIFS('Prácticas_Revisiones'!$S$2:$S$282,"T048",'Prácticas_Revisiones'!$T$2:$T$282,"SOFTWARE ENG. MODELS/METH. &gt; Modeling")+COUNTIFS('Prácticas_Snowballing'!$AB$2:$AB$281,"T048",'Prácticas_Snowballing'!$AC$2:$AC$281,"SOFTWARE ENG. MODELS/METH. &gt; Modeling")</f>
        <v>0</v>
      </c>
      <c r="BV58" s="17">
        <f>COUNTIFS('Prácticas_Revisiones'!$S$2:$S$282,"T048",'Prácticas_Revisiones'!$T$2:$T$282,"SOFTWARE ENG. MODELS/METH. &gt; Types of Models")+COUNTIFS('Prácticas_Snowballing'!$AB$2:$AB$281,"T048",'Prácticas_Snowballing'!$AC$2:$AC$281,"SOFTWARE ENG. MODELS/METH. &gt; Types of Models")</f>
        <v>0</v>
      </c>
      <c r="BW58" s="17">
        <f>COUNTIFS('Prácticas_Revisiones'!$S$2:$S$282,"T048",'Prácticas_Revisiones'!$T$2:$T$282,"SOFTWARE ENG. MODELS/METH. &gt; Analysis of Models")+COUNTIFS('Prácticas_Snowballing'!$AB$2:$AB$281,"T048",'Prácticas_Snowballing'!$AC$2:$AC$281,"SOFTWARE ENG. MODELS/METH. &gt; Analysis of Models")</f>
        <v>0</v>
      </c>
      <c r="BX58" s="17">
        <f>COUNTIFS('Prácticas_Revisiones'!$S$2:$S$282,"T048",'Prácticas_Revisiones'!$T$2:$T$282,"SOFTWARE ENG. MODELS/METH. &gt; Software Engineering Methods")+COUNTIFS('Prácticas_Snowballing'!$AB$2:$AB$281,"T048",'Prácticas_Snowballing'!$AC$2:$AC$281,"SOFTWARE ENG. MODELS/METH. &gt; Software Engineering Methods")</f>
        <v>0</v>
      </c>
      <c r="BY58" s="17">
        <f>COUNTIFS('Prácticas_Revisiones'!$S$2:$S$282,"T048",'Prácticas_Revisiones'!$T$2:$T$282,"SOFTWARE ENG. MODELS/METH. &gt; Subárea no determinable")+COUNTIFS('Prácticas_Snowballing'!$AB$2:$AB$281,"T048",'Prácticas_Snowballing'!$AC$2:$AC$281,"SOFTWARE ENG. MODELS/METH. &gt; Subárea no determinable")</f>
        <v>0</v>
      </c>
      <c r="BZ58" s="29">
        <f t="shared" si="44"/>
        <v>0</v>
      </c>
      <c r="CA58" s="17">
        <f>COUNTIFS('Prácticas_Revisiones'!$S$2:$S$282,"T048",'Prácticas_Revisiones'!$T$2:$T$282,"SOFTWARE QUALITY &gt; Software Quality Fundamentals")+COUNTIFS('Prácticas_Snowballing'!$AB$2:$AB$281,"T048",'Prácticas_Snowballing'!$AC$2:$AC$281,"SOFTWARE QUALITY &gt; Software Quality Fundamentals")</f>
        <v>0</v>
      </c>
      <c r="CB58" s="17">
        <f>COUNTIFS('Prácticas_Revisiones'!$S$2:$S$282,"T048",'Prácticas_Revisiones'!$T$2:$T$282,"SOFTWARE QUALITY &gt; Software Quality Management Process")+COUNTIFS('Prácticas_Snowballing'!$AB$2:$AB$281,"T048",'Prácticas_Snowballing'!$AC$2:$AC$281,"SOFTWARE QUALITY &gt; Software Quality Management Process")</f>
        <v>0</v>
      </c>
      <c r="CC58" s="17">
        <f>COUNTIFS('Prácticas_Revisiones'!$S$2:$S$282,"T048",'Prácticas_Revisiones'!$T$2:$T$282,"SOFTWARE QUALITY &gt; Software Quality Assurance Process")+COUNTIFS('Prácticas_Snowballing'!$AB$2:$AB$281,"T048",'Prácticas_Snowballing'!$AC$2:$AC$281,"SOFTWARE QUALITY &gt; Software Quality Assurance Process")</f>
        <v>0</v>
      </c>
      <c r="CD58" s="17">
        <f>COUNTIFS('Prácticas_Revisiones'!$S$2:$S$282,"T048",'Prácticas_Revisiones'!$T$2:$T$282,"SOFTWARE QUALITY &gt; Software Quality Tools")+COUNTIFS('Prácticas_Snowballing'!$AB$2:$AB$281,"T048",'Prácticas_Snowballing'!$AC$2:$AC$281,"SOFTWARE QUALITY &gt; Software Quality Tools")</f>
        <v>0</v>
      </c>
      <c r="CE58" s="17">
        <f>COUNTIFS('Prácticas_Revisiones'!$S$2:$S$282,"T048",'Prácticas_Revisiones'!$T$2:$T$282,"SOFTWARE QUALITY &gt; Subárea no determinable")+COUNTIFS('Prácticas_Snowballing'!$AB$2:$AB$281,"T048",'Prácticas_Snowballing'!$AC$2:$AC$281,"SOFTWARE QUALITY &gt; Subárea no determinable")</f>
        <v>0</v>
      </c>
      <c r="CF58" s="29">
        <f t="shared" si="45"/>
        <v>0</v>
      </c>
      <c r="CG58" s="17">
        <f>COUNTIFS('Prácticas_Revisiones'!$S$2:$S$282,"T048",'Prácticas_Revisiones'!$T$2:$T$282,"SOFTWARE SECURITY &gt; Software Security Fundamentals")+COUNTIFS('Prácticas_Snowballing'!$AB$2:$AB$281,"T048",'Prácticas_Snowballing'!$AC$2:$AC$281,"SOFTWARE SECURITY &gt; Software Security Fundamentals")</f>
        <v>0</v>
      </c>
      <c r="CH58" s="17">
        <f>COUNTIFS('Prácticas_Revisiones'!$S$2:$S$282,"T048",'Prácticas_Revisiones'!$T$2:$T$282,"SOFTWARE SECURITY &gt; Security Management and Organization")+COUNTIFS('Prácticas_Snowballing'!$AB$2:$AB$281,"T048",'Prácticas_Snowballing'!$AC$2:$AC$281,"SOFTWARE SECURITY &gt; Security Management and Organization")</f>
        <v>0</v>
      </c>
      <c r="CI58" s="17">
        <f>COUNTIFS('Prácticas_Revisiones'!$S$2:$S$282,"T048",'Prácticas_Revisiones'!$T$2:$T$282,"SOFTWARE SECURITY &gt; Software Security Engineering and Process")+COUNTIFS('Prácticas_Snowballing'!$AB$2:$AB$281,"T048",'Prácticas_Snowballing'!$AC$2:$AC$281,"SOFTWARE SECURITY &gt; Software Security Engineering and Process")</f>
        <v>0</v>
      </c>
      <c r="CJ58" s="17">
        <f>COUNTIFS('Prácticas_Revisiones'!$S$2:$S$282,"T048",'Prácticas_Revisiones'!$T$2:$T$282,"SOFTWARE SECURITY &gt; Security Engineering for Software Systems")+COUNTIFS('Prácticas_Snowballing'!$AB$2:$AB$281,"T048",'Prácticas_Snowballing'!$AC$2:$AC$281,"SOFTWARE SECURITY &gt; Security Engineering for Software Systems")</f>
        <v>0</v>
      </c>
      <c r="CK58" s="17">
        <f>COUNTIFS('Prácticas_Revisiones'!$S$2:$S$282,"T048",'Prácticas_Revisiones'!$T$2:$T$282,"SOFTWARE SECURITY &gt; Software Security Tools")+COUNTIFS('Prácticas_Snowballing'!$AB$2:$AB$281,"T048",'Prácticas_Snowballing'!$AC$2:$AC$281,"SOFTWARE SECURITY &gt; Software Security Tools")</f>
        <v>0</v>
      </c>
      <c r="CL58" s="17">
        <f>COUNTIFS('Prácticas_Revisiones'!$S$2:$S$282,"T048",'Prácticas_Revisiones'!$T$2:$T$282,"SOFTWARE SECURITY &gt; Domain Specific Software Security")+COUNTIFS('Prácticas_Snowballing'!$AB$2:$AB$281,"T048",'Prácticas_Snowballing'!$AC$2:$AC$281,"SOFTWARE SECURITY &gt; Domain Specific Software Security")</f>
        <v>0</v>
      </c>
      <c r="CM58" s="17">
        <f>COUNTIFS('Prácticas_Revisiones'!$S$2:$S$282,"T048",'Prácticas_Revisiones'!$T$2:$T$282,"SOFTWARE SECURITY &gt; Subárea no determinable")+COUNTIFS('Prácticas_Snowballing'!$AB$2:$AB$281,"T048",'Prácticas_Snowballing'!$AC$2:$AC$281,"SOFTWARE SECURITY &gt; Subárea no determinable")</f>
        <v>0</v>
      </c>
      <c r="CN58" s="29">
        <f t="shared" si="46"/>
        <v>0</v>
      </c>
      <c r="CO58" s="17">
        <f>COUNTIFS('Prácticas_Revisiones'!$S$2:$S$282,"T048",'Prácticas_Revisiones'!$T$2:$T$282,"PROFESSIONAL PRACTICE &gt; Professionalism")+COUNTIFS('Prácticas_Snowballing'!$AB$2:$AB$281,"T048",'Prácticas_Snowballing'!$AC$2:$AC$281,"PROFESSIONAL PRACTICE &gt; Professionalism")</f>
        <v>0</v>
      </c>
      <c r="CP58" s="17">
        <f>COUNTIFS('Prácticas_Revisiones'!$S$2:$S$282,"T048",'Prácticas_Revisiones'!$T$2:$T$282,"PROFESSIONAL PRACTICE &gt; Group Dynamics and Psychology")+COUNTIFS('Prácticas_Snowballing'!$AB$2:$AB$281,"T048",'Prácticas_Snowballing'!$AC$2:$AC$281,"PROFESSIONAL PRACTICE &gt; Group Dynamics and Psychology")</f>
        <v>0</v>
      </c>
      <c r="CQ58" s="17">
        <f>COUNTIFS('Prácticas_Revisiones'!$S$2:$S$282,"T048",'Prácticas_Revisiones'!$T$2:$T$282,"PROFESSIONAL PRACTICE &gt; Communication Skills")+COUNTIFS('Prácticas_Snowballing'!$AB$2:$AB$281,"T048",'Prácticas_Snowballing'!$AC$2:$AC$281,"PROFESSIONAL PRACTICE &gt; Communication Skills")</f>
        <v>0</v>
      </c>
      <c r="CR58" s="17">
        <f>COUNTIFS('Prácticas_Revisiones'!$S$2:$S$282,"T048",'Prácticas_Revisiones'!$T$2:$T$282,"PROFESSIONAL PRACTICE &gt; Subárea no determinable")+COUNTIFS('Prácticas_Snowballing'!$AB$2:$AB$281,"T048",'Prácticas_Snowballing'!$AC$2:$AC$281,"PROFESSIONAL PRACTICE &gt; Subárea no determinable")</f>
        <v>0</v>
      </c>
      <c r="CS58" s="29">
        <f t="shared" si="47"/>
        <v>0</v>
      </c>
      <c r="CT58" s="17">
        <f>COUNTIFS('Prácticas_Revisiones'!$S$2:$S$282,"T048",'Prácticas_Revisiones'!$T$2:$T$282,"SOFTWARE ENG. ECONOMICS &gt; Software Engineering Economics Fundamentals")+COUNTIFS('Prácticas_Snowballing'!$AB$2:$AB$281,"T048",'Prácticas_Snowballing'!$AC$2:$AC$281,"SOFTWARE ENG. ECONOMICS &gt; Software Engineering Economics Fundamentals")</f>
        <v>0</v>
      </c>
      <c r="CU58" s="17">
        <f>COUNTIFS('Prácticas_Revisiones'!$S$2:$S$282,"T048",'Prácticas_Revisiones'!$T$2:$T$282,"SOFTWARE ENG. ECONOMICS &gt; The Engineering Decision-Making Process")+COUNTIFS('Prácticas_Snowballing'!$AB$2:$AB$281,"T048",'Prácticas_Snowballing'!$AC$2:$AC$281,"SOFTWARE ENG. ECONOMICS &gt; The Engineering Decision-Making Process")</f>
        <v>0</v>
      </c>
      <c r="CV58" s="17">
        <f>COUNTIFS('Prácticas_Revisiones'!$S$2:$S$282,"T048",'Prácticas_Revisiones'!$T$2:$T$282,"SOFTWARE ENG. ECONOMICS &gt; For-Profit Decision-Making")+COUNTIFS('Prácticas_Snowballing'!$AB$2:$AB$281,"T048",'Prácticas_Snowballing'!$AC$2:$AC$281,"SOFTWARE ENG. ECONOMICS &gt; For-Profit Decision-Making")</f>
        <v>0</v>
      </c>
      <c r="CW58" s="17">
        <f>COUNTIFS('Prácticas_Revisiones'!$S$2:$S$282,"T048",'Prácticas_Revisiones'!$T$2:$T$282,"SOFTWARE ENG. ECONOMICS &gt; Nonprofit Decision-Making")+COUNTIFS('Prácticas_Snowballing'!$AB$2:$AB$281,"T048",'Prácticas_Snowballing'!$AC$2:$AC$281,"SOFTWARE ENG. ECONOMICS &gt; Nonprofit Decision-Making")</f>
        <v>0</v>
      </c>
      <c r="CX58" s="17">
        <f>COUNTIFS('Prácticas_Revisiones'!$S$2:$S$282,"T048",'Prácticas_Revisiones'!$T$2:$T$282,"SOFTWARE ENG. ECONOMICS &gt; Present Economy Decision-Making")+COUNTIFS('Prácticas_Snowballing'!$AB$2:$AB$281,"T048",'Prácticas_Snowballing'!$AC$2:$AC$281,"SOFTWARE ENG. ECONOMICS &gt; Present Economy Decision-Making")</f>
        <v>0</v>
      </c>
      <c r="CY58" s="17">
        <f>COUNTIFS('Prácticas_Revisiones'!$S$2:$S$282,"T048",'Prácticas_Revisiones'!$T$2:$T$282,"SOFTWARE ENG. ECONOMICS &gt; Multiple-Attribute Decision-Making")+COUNTIFS('Prácticas_Snowballing'!$AB$2:$AB$281,"T048",'Prácticas_Snowballing'!$AC$2:$AC$281,"SOFTWARE ENG. ECONOMICS &gt; Multiple-Attribute Decision-Making")</f>
        <v>0</v>
      </c>
      <c r="CZ58" s="17">
        <f>COUNTIFS('Prácticas_Revisiones'!$S$2:$S$282,"T048",'Prácticas_Revisiones'!$T$2:$T$282,"SOFTWARE ENG. ECONOMICS &gt; Identifying and Characterizing Intangible Assets")+COUNTIFS('Prácticas_Snowballing'!$AB$2:$AB$281,"T048",'Prácticas_Snowballing'!$AC$2:$AC$281,"SOFTWARE ENG. ECONOMICS &gt; Identifying and Characterizing Intangible Assets")</f>
        <v>0</v>
      </c>
      <c r="DA58" s="17">
        <f>COUNTIFS('Prácticas_Revisiones'!$S$2:$S$282,"T048",'Prácticas_Revisiones'!$T$2:$T$282,"SOFTWARE ENG. ECONOMICS &gt; Estimation")+COUNTIFS('Prácticas_Snowballing'!$AB$2:$AB$281,"T048",'Prácticas_Snowballing'!$AC$2:$AC$281,"SOFTWARE ENG. ECONOMICS &gt; Estimation")</f>
        <v>0</v>
      </c>
      <c r="DB58" s="17">
        <f>COUNTIFS('Prácticas_Revisiones'!$S$2:$S$282,"T048",'Prácticas_Revisiones'!$T$2:$T$282,"SOFTWARE ENG. ECONOMICS &gt; Practical Considerations")+COUNTIFS('Prácticas_Snowballing'!$AB$2:$AB$281,"T048",'Prácticas_Snowballing'!$AC$2:$AC$281,"SOFTWARE ENG. ECONOMICS &gt; Practical Considerations")</f>
        <v>0</v>
      </c>
      <c r="DC58" s="17">
        <f>COUNTIFS('Prácticas_Revisiones'!$S$2:$S$282,"T048",'Prácticas_Revisiones'!$T$2:$T$282,"SOFTWARE ENG. ECONOMICS &gt; Related Concepts")+COUNTIFS('Prácticas_Snowballing'!$AB$2:$AB$281,"T048",'Prácticas_Snowballing'!$AC$2:$AC$281,"SOFTWARE ENG. ECONOMICS &gt; Related Concepts")</f>
        <v>0</v>
      </c>
      <c r="DD58" s="17">
        <f>COUNTIFS('Prácticas_Revisiones'!$S$2:$S$282,"T048",'Prácticas_Revisiones'!$T$2:$T$282,"SOFTWARE ENG. ECONOMICS &gt; Subárea no determinable")+COUNTIFS('Prácticas_Snowballing'!$AB$2:$AB$281,"T048",'Prácticas_Snowballing'!$AC$2:$AC$281,"SOFTWARE ENG. ECONOMICS &gt; Subárea no determinable")</f>
        <v>0</v>
      </c>
      <c r="DE58" s="29">
        <f t="shared" si="48"/>
        <v>0</v>
      </c>
      <c r="DF58" s="17">
        <f>COUNTIFS('Prácticas_Revisiones'!$S$2:$S$282,"T048",'Prácticas_Revisiones'!$T$2:$T$282,"SOFTWARE ENG. MANAGEMENT &gt; Software Engineering Management Fundamentals")+COUNTIFS('Prácticas_Snowballing'!$AB$2:$AB$281,"T048",'Prácticas_Snowballing'!$AC$2:$AC$281,"SOFTWARE ENG. MANAGEMENT &gt; Software Engineering Management Fundamentals")</f>
        <v>0</v>
      </c>
      <c r="DG58" s="17">
        <f>COUNTIFS('Prácticas_Revisiones'!$S$2:$S$282,"T048",'Prácticas_Revisiones'!$T$2:$T$282,"SOFTWARE ENG. MANAGEMENT &gt; Initiation and Scope Definition")+COUNTIFS('Prácticas_Snowballing'!$AB$2:$AB$281,"T048",'Prácticas_Snowballing'!$AC$2:$AC$281,"SOFTWARE ENG. MANAGEMENT &gt; Initiation and Scope Definition")</f>
        <v>0</v>
      </c>
      <c r="DH58" s="17">
        <f>COUNTIFS('Prácticas_Revisiones'!$S$2:$S$282,"T048",'Prácticas_Revisiones'!$T$2:$T$282,"SOFTWARE ENG. MANAGEMENT &gt; Software Project Planning")+COUNTIFS('Prácticas_Snowballing'!$AB$2:$AB$281,"T048",'Prácticas_Snowballing'!$AC$2:$AC$281,"SOFTWARE ENG. MANAGEMENT &gt; Software Project Planning")</f>
        <v>0</v>
      </c>
      <c r="DI58" s="17">
        <f>COUNTIFS('Prácticas_Revisiones'!$S$2:$S$282,"T048",'Prácticas_Revisiones'!$T$2:$T$282,"SOFTWARE ENG. MANAGEMENT &gt; Software Project Enactment")+COUNTIFS('Prácticas_Snowballing'!$AB$2:$AB$281,"T048",'Prácticas_Snowballing'!$AC$2:$AC$281,"SOFTWARE ENG. MANAGEMENT &gt; Software Project Enactment")</f>
        <v>0</v>
      </c>
      <c r="DJ58" s="17">
        <f>COUNTIFS('Prácticas_Revisiones'!$S$2:$S$282,"T048",'Prácticas_Revisiones'!$T$2:$T$282,"SOFTWARE ENG. MANAGEMENT &gt; Review and Evaluation")+COUNTIFS('Prácticas_Snowballing'!$AB$2:$AB$281,"T048",'Prácticas_Snowballing'!$AC$2:$AC$281,"SOFTWARE ENG. MANAGEMENT &gt; Review and Evaluation")</f>
        <v>0</v>
      </c>
      <c r="DK58" s="17">
        <f>COUNTIFS('Prácticas_Revisiones'!$S$2:$S$282,"T048",'Prácticas_Revisiones'!$T$2:$T$282,"SOFTWARE ENG. MANAGEMENT &gt; Closure")+COUNTIFS('Prácticas_Snowballing'!$AB$2:$AB$281,"T048",'Prácticas_Snowballing'!$AC$2:$AC$281,"SOFTWARE ENG. MANAGEMENT &gt; Closure")</f>
        <v>0</v>
      </c>
      <c r="DL58" s="17">
        <f>COUNTIFS('Prácticas_Revisiones'!$S$2:$S$282,"T048",'Prácticas_Revisiones'!$T$2:$T$282,"SOFTWARE ENG. MANAGEMENT &gt; Software Engineering Management Tools")+COUNTIFS('Prácticas_Snowballing'!$AB$2:$AB$281,"T048",'Prácticas_Snowballing'!$AC$2:$AC$281,"SOFTWARE ENG. MANAGEMENT &gt; Software Engineering Management Tools")</f>
        <v>0</v>
      </c>
      <c r="DM58" s="17">
        <f>COUNTIFS('Prácticas_Revisiones'!$S$2:$S$282,"T048",'Prácticas_Revisiones'!$T$2:$T$282,"SOFTWARE ENG. MANAGEMENT &gt; Subárea no determinable")+COUNTIFS('Prácticas_Snowballing'!$AB$2:$AB$281,"T048",'Prácticas_Snowballing'!$AC$2:$AC$281,"SOFTWARE ENG. MANAGEMENT &gt; Subárea no determinable")</f>
        <v>0</v>
      </c>
      <c r="DN58" s="29">
        <f t="shared" si="49"/>
        <v>0</v>
      </c>
      <c r="DO58" s="17">
        <f>COUNTIFS('Prácticas_Revisiones'!$S$2:$S$282,"T048",'Prácticas_Revisiones'!$T$2:$T$282,"Sin área SWEBOK")+COUNTIFS('Prácticas_Snowballing'!$AB$2:$AB$281,"T048",'Prácticas_Snowballing'!$AC$2:$AC$281,"Sin área SWEBOK")</f>
        <v>0</v>
      </c>
      <c r="DP58" s="27">
        <f t="shared" si="50"/>
        <v>0</v>
      </c>
    </row>
    <row r="59" ht="15.75" customHeight="1">
      <c r="A59" s="28"/>
      <c r="B59" s="16" t="s">
        <v>2801</v>
      </c>
      <c r="C59" s="17">
        <f>COUNTIFS('Prácticas_Revisiones'!$S$2:$S$282,"T049",'Prácticas_Revisiones'!$T$2:$T$282,"REQUIREMENTS &gt; Software Requirements Fundamentals")+COUNTIFS('Prácticas_Snowballing'!$AB$2:$AB$281,"T049",'Prácticas_Snowballing'!$AC$2:$AC$281,"REQUIREMENTS &gt; Software Requirements Fundamentals")</f>
        <v>0</v>
      </c>
      <c r="D59" s="17">
        <f>COUNTIFS('Prácticas_Revisiones'!$S$2:$S$282,"T049",'Prácticas_Revisiones'!$T$2:$T$282,"REQUIREMENTS &gt; Requirements Elicitation")+COUNTIFS('Prácticas_Snowballing'!$AB$2:$AB$281,"T049",'Prácticas_Snowballing'!$AC$2:$AC$281,"REQUIREMENTS &gt; Requirements Elicitation")</f>
        <v>0</v>
      </c>
      <c r="E59" s="17">
        <f>COUNTIFS('Prácticas_Revisiones'!$S$2:$S$282,"T049",'Prácticas_Revisiones'!$T$2:$T$282,"REQUIREMENTS &gt; Requirements Analysis")+COUNTIFS('Prácticas_Snowballing'!$AB$2:$AB$281,"T049",'Prácticas_Snowballing'!$AC$2:$AC$281,"REQUIREMENTS &gt; Requirements Analysis")</f>
        <v>0</v>
      </c>
      <c r="F59" s="17">
        <f>COUNTIFS('Prácticas_Revisiones'!$S$2:$S$282,"T049",'Prácticas_Revisiones'!$T$2:$T$282,"REQUIREMENTS &gt; Requirements Specification")+COUNTIFS('Prácticas_Snowballing'!$AB$2:$AB$281,"T049",'Prácticas_Snowballing'!$AC$2:$AC$281,"REQUIREMENTS &gt; Requirements Specification")</f>
        <v>0</v>
      </c>
      <c r="G59" s="17">
        <f>COUNTIFS('Prácticas_Revisiones'!$S$2:$S$282,"T049",'Prácticas_Revisiones'!$T$2:$T$282,"REQUIREMENTS &gt; Requirements Validation")+COUNTIFS('Prácticas_Snowballing'!$AB$2:$AB$281,"T049",'Prácticas_Snowballing'!$AC$2:$AC$281,"REQUIREMENTS &gt; Requirements Validation")</f>
        <v>0</v>
      </c>
      <c r="H59" s="17">
        <f>COUNTIFS('Prácticas_Revisiones'!$S$2:$S$282,"T049",'Prácticas_Revisiones'!$T$2:$T$282,"REQUIREMENTS &gt; Requirements Management Activities")+COUNTIFS('Prácticas_Snowballing'!$AB$2:$AB$281,"T049",'Prácticas_Snowballing'!$AC$2:$AC$281,"REQUIREMENTS &gt; Requirements Management Activities")</f>
        <v>0</v>
      </c>
      <c r="I59" s="17">
        <f>COUNTIFS('Prácticas_Revisiones'!$S$2:$S$282,"T049",'Prácticas_Revisiones'!$T$2:$T$282,"REQUIREMENTS &gt; Practical Considerations")+COUNTIFS('Prácticas_Snowballing'!$AB$2:$AB$281,"T049",'Prácticas_Snowballing'!$AC$2:$AC$281,"REQUIREMENTS &gt; Practical Considerations")</f>
        <v>0</v>
      </c>
      <c r="J59" s="17">
        <f>COUNTIFS('Prácticas_Revisiones'!$S$2:$S$282,"T049",'Prácticas_Revisiones'!$T$2:$T$282,"REQUIREMENTS &gt; Software Requirements Tools")+COUNTIFS('Prácticas_Snowballing'!$AB$2:$AB$281,"T049",'Prácticas_Snowballing'!$AC$2:$AC$281,"REQUIREMENTS &gt; Software Requirements Tools")</f>
        <v>0</v>
      </c>
      <c r="K59" s="17">
        <f>COUNTIFS('Prácticas_Revisiones'!$S$2:$S$282,"T049",'Prácticas_Revisiones'!$T$2:$T$282,"REQUIREMENTS &gt; Subárea no determinable")+COUNTIFS('Prácticas_Snowballing'!$AB$2:$AB$281,"T049",'Prácticas_Snowballing'!$AC$2:$AC$281,"REQUIREMENTS &gt; Subárea no determinable")</f>
        <v>0</v>
      </c>
      <c r="L59" s="29">
        <f t="shared" si="35"/>
        <v>0</v>
      </c>
      <c r="M59" s="17">
        <f>COUNTIFS('Prácticas_Revisiones'!$S$2:$S$282,"T049",'Prácticas_Revisiones'!$T$2:$T$282,"ARCHITECTURE &gt; Software Architecture Fundamentals")+COUNTIFS('Prácticas_Snowballing'!$AB$2:$AB$281,"T049",'Prácticas_Snowballing'!$AC$2:$AC$281,"ARCHITECTURE &gt; Software Architecture Fundamentals")</f>
        <v>0</v>
      </c>
      <c r="N59" s="17">
        <f>COUNTIFS('Prácticas_Revisiones'!$S$2:$S$282,"T049",'Prácticas_Revisiones'!$T$2:$T$282,"ARCHITECTURE &gt; Software Architecture Description")+COUNTIFS('Prácticas_Snowballing'!$AB$2:$AB$281,"T049",'Prácticas_Snowballing'!$AC$2:$AC$281,"ARCHITECTURE &gt; Software Architecture Description")</f>
        <v>0</v>
      </c>
      <c r="O59" s="17">
        <f>COUNTIFS('Prácticas_Revisiones'!$S$2:$S$282,"T049",'Prácticas_Revisiones'!$T$2:$T$282,"ARCHITECTURE &gt; Software Architecture Process")+COUNTIFS('Prácticas_Snowballing'!$AB$2:$AB$281,"T049",'Prácticas_Snowballing'!$AC$2:$AC$281,"ARCHITECTURE &gt; Software Architecture Process")</f>
        <v>0</v>
      </c>
      <c r="P59" s="17">
        <f>COUNTIFS('Prácticas_Revisiones'!$S$2:$S$282,"T049",'Prácticas_Revisiones'!$T$2:$T$282,"ARCHITECTURE &gt; Software Architecture Evaluation")+COUNTIFS('Prácticas_Snowballing'!$AB$2:$AB$281,"T049",'Prácticas_Snowballing'!$AC$2:$AC$281,"ARCHITECTURE &gt; Software Architecture Evaluation")</f>
        <v>0</v>
      </c>
      <c r="Q59" s="17">
        <f>COUNTIFS('Prácticas_Revisiones'!$S$2:$S$282,"T049",'Prácticas_Revisiones'!$T$2:$T$282,"ARCHITECTURE &gt; Subárea no determinable")+COUNTIFS('Prácticas_Snowballing'!$AB$2:$AB$281,"T049",'Prácticas_Snowballing'!$AC$2:$AC$281,"ARCHITECTURE &gt; Subárea no determinable")</f>
        <v>0</v>
      </c>
      <c r="R59" s="29">
        <f t="shared" si="36"/>
        <v>0</v>
      </c>
      <c r="S59" s="17">
        <f>COUNTIFS('Prácticas_Revisiones'!$S$2:$S$282,"T049",'Prácticas_Revisiones'!$T$2:$T$282,"DESIGN &gt; Software Design Fundamentals")+COUNTIFS('Prácticas_Snowballing'!$AB$2:$AB$281,"T049",'Prácticas_Snowballing'!$AC$2:$AC$281,"DESIGN &gt; Software Design Fundamentals")</f>
        <v>0</v>
      </c>
      <c r="T59" s="17">
        <f>COUNTIFS('Prácticas_Revisiones'!$S$2:$S$282,"T049",'Prácticas_Revisiones'!$T$2:$T$282,"DESIGN &gt; Software Design Processes")+COUNTIFS('Prácticas_Snowballing'!$AB$2:$AB$281,"T049",'Prácticas_Snowballing'!$AC$2:$AC$281,"DESIGN &gt; Software Design Processes")</f>
        <v>0</v>
      </c>
      <c r="U59" s="17">
        <f>COUNTIFS('Prácticas_Revisiones'!$S$2:$S$282,"T049",'Prácticas_Revisiones'!$T$2:$T$282,"DESIGN &gt; Software Design Qualities")+COUNTIFS('Prácticas_Snowballing'!$AB$2:$AB$281,"T049",'Prácticas_Snowballing'!$AC$2:$AC$281,"DESIGN &gt; Software Design Qualities")</f>
        <v>0</v>
      </c>
      <c r="V59" s="17">
        <f>COUNTIFS('Prácticas_Revisiones'!$S$2:$S$282,"T049",'Prácticas_Revisiones'!$T$2:$T$282,"DESIGN &gt; Recording Software Design")+COUNTIFS('Prácticas_Snowballing'!$AB$2:$AB$281,"T049",'Prácticas_Snowballing'!$AC$2:$AC$281,"DESIGN &gt; Recording Software Design")</f>
        <v>0</v>
      </c>
      <c r="W59" s="17">
        <f>COUNTIFS('Prácticas_Revisiones'!$S$2:$S$282,"T049",'Prácticas_Revisiones'!$T$2:$T$282,"DESIGN &gt; Software Design Strategies and Methods")+COUNTIFS('Prácticas_Snowballing'!$AB$2:$AB$281,"T049",'Prácticas_Snowballing'!$AC$2:$AC$281,"DESIGN &gt; Software Design Strategies and Methods")</f>
        <v>0</v>
      </c>
      <c r="X59" s="17">
        <f>COUNTIFS('Prácticas_Revisiones'!$S$2:$S$282,"T049",'Prácticas_Revisiones'!$T$2:$T$282,"DESIGN &gt; Software Design Analysis and Evaluations")+COUNTIFS('Prácticas_Snowballing'!$AB$2:$AB$281,"T049",'Prácticas_Snowballing'!$AC$2:$AC$281,"DESIGN &gt; Software Design Analysis and Evaluations")</f>
        <v>0</v>
      </c>
      <c r="Y59" s="17">
        <f>COUNTIFS('Prácticas_Revisiones'!$S$2:$S$282,"T049",'Prácticas_Revisiones'!$T$2:$T$282,"DESIGN &gt; Subárea no determinable")+COUNTIFS('Prácticas_Snowballing'!$AB$2:$AB$281,"T049",'Prácticas_Snowballing'!$AC$2:$AC$281,"DESIGN &gt; Subárea no determinable")</f>
        <v>0</v>
      </c>
      <c r="Z59" s="29">
        <f t="shared" si="37"/>
        <v>0</v>
      </c>
      <c r="AA59" s="17">
        <f>COUNTIFS('Prácticas_Revisiones'!$S$2:$S$282,"T049",'Prácticas_Revisiones'!$T$2:$T$282,"CONSTRUCTION &gt; Software Construction Fundamentals")+COUNTIFS('Prácticas_Snowballing'!$AB$2:$AB$281,"T049",'Prácticas_Snowballing'!$AC$2:$AC$281,"CONSTRUCTION &gt; Software Construction Fundamentals")</f>
        <v>3</v>
      </c>
      <c r="AB59" s="17">
        <f>COUNTIFS('Prácticas_Revisiones'!$S$2:$S$282,"T049",'Prácticas_Revisiones'!$T$2:$T$282,"CONSTRUCTION &gt; Managing Construction")+COUNTIFS('Prácticas_Snowballing'!$AB$2:$AB$281,"T049",'Prácticas_Snowballing'!$AC$2:$AC$281,"CONSTRUCTION &gt; Managing Construction")</f>
        <v>0</v>
      </c>
      <c r="AC59" s="17">
        <f>COUNTIFS('Prácticas_Revisiones'!$S$2:$S$282,"T049",'Prácticas_Revisiones'!$T$2:$T$282,"CONSTRUCTION &gt; Practical Considerations")+COUNTIFS('Prácticas_Snowballing'!$AB$2:$AB$281,"T049",'Prácticas_Snowballing'!$AC$2:$AC$281,"CONSTRUCTION &gt; Practical Considerations")</f>
        <v>0</v>
      </c>
      <c r="AD59" s="17">
        <f>COUNTIFS('Prácticas_Revisiones'!$S$2:$S$282,"T049",'Prácticas_Revisiones'!$T$2:$T$282,"CONSTRUCTION &gt; Construction Technologies")+COUNTIFS('Prácticas_Snowballing'!$AB$2:$AB$281,"T049",'Prácticas_Snowballing'!$AC$2:$AC$281,"CONSTRUCTION &gt; Construction Technologies")</f>
        <v>0</v>
      </c>
      <c r="AE59" s="17">
        <f>COUNTIFS('Prácticas_Revisiones'!$S$2:$S$282,"T049",'Prácticas_Revisiones'!$T$2:$T$282,"CONSTRUCTION &gt; Software Construction Tools")+COUNTIFS('Prácticas_Snowballing'!$AB$2:$AB$281,"T049",'Prácticas_Snowballing'!$AC$2:$AC$281,"CONSTRUCTION &gt; Software Construction Tools")</f>
        <v>0</v>
      </c>
      <c r="AF59" s="17">
        <f>COUNTIFS('Prácticas_Revisiones'!$S$2:$S$282,"T049",'Prácticas_Revisiones'!$T$2:$T$282,"CONSTRUCTION &gt; Subárea no determinable")+COUNTIFS('Prácticas_Snowballing'!$AB$2:$AB$281,"T049",'Prácticas_Snowballing'!$AC$2:$AC$281,"CONSTRUCTION &gt; Subárea no determinable")</f>
        <v>0</v>
      </c>
      <c r="AG59" s="29">
        <f t="shared" si="38"/>
        <v>3</v>
      </c>
      <c r="AH59" s="17">
        <f>COUNTIFS('Prácticas_Revisiones'!$S$2:$S$282,"T049",'Prácticas_Revisiones'!$T$2:$T$282,"SOFTWARE TESTING &gt; Software Testing Fundamentals")+COUNTIFS('Prácticas_Snowballing'!$AB$2:$AB$281,"T049",'Prácticas_Snowballing'!$AC$2:$AC$281,"SOFTWARE TESTING &gt; Software Testing Fundamentals")</f>
        <v>0</v>
      </c>
      <c r="AI59" s="17">
        <f>COUNTIFS('Prácticas_Revisiones'!$S$2:$S$282,"T049",'Prácticas_Revisiones'!$T$2:$T$282,"SOFTWARE TESTING &gt; Test Levels")+COUNTIFS('Prácticas_Snowballing'!$AB$2:$AB$281,"T049",'Prácticas_Snowballing'!$AC$2:$AC$281,"SOFTWARE TESTING &gt; Test Levels")</f>
        <v>0</v>
      </c>
      <c r="AJ59" s="17">
        <f>COUNTIFS('Prácticas_Revisiones'!$S$2:$S$282,"T049",'Prácticas_Revisiones'!$T$2:$T$282,"SOFTWARE TESTING &gt; Test Techniques")+COUNTIFS('Prácticas_Snowballing'!$AB$2:$AB$281,"T049",'Prácticas_Snowballing'!$AC$2:$AC$281,"SOFTWARE TESTING &gt; Test Techniques")</f>
        <v>0</v>
      </c>
      <c r="AK59" s="17">
        <f>COUNTIFS('Prácticas_Revisiones'!$S$2:$S$282,"T049",'Prácticas_Revisiones'!$T$2:$T$282,"SOFTWARE TESTING &gt; Test-Related Measures")+COUNTIFS('Prácticas_Snowballing'!$AB$2:$AB$281,"T049",'Prácticas_Snowballing'!$AC$2:$AC$281,"SOFTWARE TESTING &gt; Test-Related Measures")</f>
        <v>0</v>
      </c>
      <c r="AL59" s="17">
        <f>COUNTIFS('Prácticas_Revisiones'!$S$2:$S$282,"T049",'Prácticas_Revisiones'!$T$2:$T$282,"SOFTWARE TESTING &gt; Test Process")+COUNTIFS('Prácticas_Snowballing'!$AB$2:$AB$281,"T049",'Prácticas_Snowballing'!$AC$2:$AC$281,"SOFTWARE TESTING &gt; Test Process")</f>
        <v>0</v>
      </c>
      <c r="AM59" s="17">
        <f>COUNTIFS('Prácticas_Revisiones'!$S$2:$S$282,"T049",'Prácticas_Revisiones'!$T$2:$T$282,"SOFTWARE TESTING &gt; Software Testing in the Development Processes...")+COUNTIFS('Prácticas_Snowballing'!$AB$2:$AB$281,"T049",'Prácticas_Snowballing'!$AC$2:$AC$281,"SOFTWARE TESTING &gt; Software Testing in the Development Processes...")</f>
        <v>0</v>
      </c>
      <c r="AN59" s="17">
        <f>COUNTIFS('Prácticas_Revisiones'!$S$2:$S$282,"T049",'Prácticas_Revisiones'!$T$2:$T$282,"SOFTWARE TESTING &gt; Testing of and Testing Through Emerging Tech...")+COUNTIFS('Prácticas_Snowballing'!$AB$2:$AB$281,"T049",'Prácticas_Snowballing'!$AC$2:$AC$281,"SOFTWARE TESTING &gt; Testing of and Testing Through Emerging Tech...")</f>
        <v>0</v>
      </c>
      <c r="AO59" s="17">
        <f>COUNTIFS('Prácticas_Revisiones'!$S$2:$S$282,"T049",'Prácticas_Revisiones'!$T$2:$T$282,"SOFTWARE TESTING &gt; Software Testing Tools")+COUNTIFS('Prácticas_Snowballing'!$AB$2:$AB$281,"T049",'Prácticas_Snowballing'!$AC$2:$AC$281,"SOFTWARE TESTING &gt; Software Testing Tools")</f>
        <v>0</v>
      </c>
      <c r="AP59" s="17">
        <f>COUNTIFS('Prácticas_Revisiones'!$S$2:$S$282,"T049",'Prácticas_Revisiones'!$T$2:$T$282,"SOFTWARE TESTING &gt; Subárea no determinable")+COUNTIFS('Prácticas_Snowballing'!$AB$2:$AB$281,"T049",'Prácticas_Snowballing'!$AC$2:$AC$281,"SOFTWARE TESTING &gt; Subárea no determinable")</f>
        <v>0</v>
      </c>
      <c r="AQ59" s="29">
        <f t="shared" si="39"/>
        <v>0</v>
      </c>
      <c r="AR59" s="17">
        <f>COUNTIFS('Prácticas_Revisiones'!$S$2:$S$282,"T049",'Prácticas_Revisiones'!$T$2:$T$282,"SOFTWARE ENG. OPERATIONS &gt; Software Engineering Operations Fundamentals")+COUNTIFS('Prácticas_Snowballing'!$AB$2:$AB$281,"T049",'Prácticas_Snowballing'!$AC$2:$AC$281,"SOFTWARE ENG. OPERATIONS &gt; Software Engineering Operations Fundamentals")</f>
        <v>0</v>
      </c>
      <c r="AS59" s="17">
        <f>COUNTIFS('Prácticas_Revisiones'!$S$2:$S$282,"T049",'Prácticas_Revisiones'!$T$2:$T$282,"SOFTWARE ENG. OPERATIONS &gt; Software Engineering Operations Planning")+COUNTIFS('Prácticas_Snowballing'!$AB$2:$AB$281,"T049",'Prácticas_Snowballing'!$AC$2:$AC$281,"SOFTWARE ENG. OPERATIONS &gt; Software Engineering Operations Planning")</f>
        <v>0</v>
      </c>
      <c r="AT59" s="17">
        <f>COUNTIFS('Prácticas_Revisiones'!$S$2:$S$282,"T049",'Prácticas_Revisiones'!$T$2:$T$282,"SOFTWARE ENG. OPERATIONS &gt; Software Engineering Operations Delivery")+COUNTIFS('Prácticas_Snowballing'!$AB$2:$AB$281,"T049",'Prácticas_Snowballing'!$AC$2:$AC$281,"SOFTWARE ENG. OPERATIONS &gt; Software Engineering Operations Delivery")</f>
        <v>0</v>
      </c>
      <c r="AU59" s="17">
        <f>COUNTIFS('Prácticas_Revisiones'!$S$2:$S$282,"T049",'Prácticas_Revisiones'!$T$2:$T$282,"SOFTWARE ENG. OPERATIONS &gt; Software Engineering Operations Control")+COUNTIFS('Prácticas_Snowballing'!$AB$2:$AB$281,"T049",'Prácticas_Snowballing'!$AC$2:$AC$281,"SOFTWARE ENG. OPERATIONS &gt; Software Engineering Operations Control")</f>
        <v>0</v>
      </c>
      <c r="AV59" s="17">
        <f>COUNTIFS('Prácticas_Revisiones'!$S$2:$S$282,"T049",'Prácticas_Revisiones'!$T$2:$T$282,"SOFTWARE ENG. OPERATIONS &gt; Practical Considerations")+COUNTIFS('Prácticas_Snowballing'!$AB$2:$AB$281,"T049",'Prácticas_Snowballing'!$AC$2:$AC$281,"SOFTWARE ENG. OPERATIONS &gt; Practical Considerations")</f>
        <v>0</v>
      </c>
      <c r="AW59" s="17">
        <f>COUNTIFS('Prácticas_Revisiones'!$S$2:$S$282,"T049",'Prácticas_Revisiones'!$T$2:$T$282,"SOFTWARE ENG. OPERATIONS &gt; Software Engineering Operations Tools")+COUNTIFS('Prácticas_Snowballing'!$AB$2:$AB$281,"T049",'Prácticas_Snowballing'!$AC$2:$AC$281,"SOFTWARE ENG. OPERATIONS &gt; Software Engineering Operations Tools")</f>
        <v>0</v>
      </c>
      <c r="AX59" s="17">
        <f>COUNTIFS('Prácticas_Revisiones'!$S$2:$S$282,"T049",'Prácticas_Revisiones'!$T$2:$T$282,"SOFTWARE ENG. OPERATIONS &gt; Subárea no determinable")+COUNTIFS('Prácticas_Snowballing'!$AB$2:$AB$281,"T049",'Prácticas_Snowballing'!$AC$2:$AC$281,"SOFTWARE ENG. OPERATIONS &gt; Subárea no determinable")</f>
        <v>0</v>
      </c>
      <c r="AY59" s="29">
        <f t="shared" si="40"/>
        <v>0</v>
      </c>
      <c r="AZ59" s="17">
        <f>COUNTIFS('Prácticas_Revisiones'!$S$2:$S$282,"T049",'Prácticas_Revisiones'!$T$2:$T$282,"MAINTENANCE &gt; Software Maintenance Fundamentals")+COUNTIFS('Prácticas_Snowballing'!$AB$2:$AB$281,"T049",'Prácticas_Snowballing'!$AC$2:$AC$281,"MAINTENANCE &gt; Software Maintenance Fundamentals")</f>
        <v>0</v>
      </c>
      <c r="BA59" s="17">
        <f>COUNTIFS('Prácticas_Revisiones'!$S$2:$S$282,"T049",'Prácticas_Revisiones'!$T$2:$T$282,"MAINTENANCE &gt; Key Issues in Software Maintenance")+COUNTIFS('Prácticas_Snowballing'!$AB$2:$AB$281,"T049",'Prácticas_Snowballing'!$AC$2:$AC$281,"MAINTENANCE &gt; Key Issues in Software Maintenance")</f>
        <v>0</v>
      </c>
      <c r="BB59" s="17">
        <f>COUNTIFS('Prácticas_Revisiones'!$S$2:$S$282,"T049",'Prácticas_Revisiones'!$T$2:$T$282,"MAINTENANCE &gt; Software Maintenance Processes")+COUNTIFS('Prácticas_Snowballing'!$AB$2:$AB$281,"T049",'Prácticas_Snowballing'!$AC$2:$AC$281,"MAINTENANCE &gt; Software Maintenance Processes")</f>
        <v>0</v>
      </c>
      <c r="BC59" s="17">
        <f>COUNTIFS('Prácticas_Revisiones'!$S$2:$S$282,"T049",'Prácticas_Revisiones'!$T$2:$T$282,"MAINTENANCE &gt; Software Maintenance Techniques")+COUNTIFS('Prácticas_Snowballing'!$AB$2:$AB$281,"T049",'Prácticas_Snowballing'!$AC$2:$AC$281,"MAINTENANCE &gt; Software Maintenance Techniques")</f>
        <v>0</v>
      </c>
      <c r="BD59" s="17">
        <f>COUNTIFS('Prácticas_Revisiones'!$S$2:$S$282,"T049",'Prácticas_Revisiones'!$T$2:$T$282,"MAINTENANCE &gt; Software Maintenance Tools")+COUNTIFS('Prácticas_Snowballing'!$AB$2:$AB$281,"T049",'Prácticas_Snowballing'!$AC$2:$AC$281,"MAINTENANCE &gt; Software Maintenance Tools")</f>
        <v>0</v>
      </c>
      <c r="BE59" s="17">
        <f>COUNTIFS('Prácticas_Revisiones'!$S$2:$S$282,"T049",'Prácticas_Revisiones'!$T$2:$T$282,"MAINTENANCE &gt; Subárea no determinable")+COUNTIFS('Prácticas_Snowballing'!$AB$2:$AB$281,"T049",'Prácticas_Snowballing'!$AC$2:$AC$281,"MAINTENANCE &gt; Subárea no determinable")</f>
        <v>0</v>
      </c>
      <c r="BF59" s="29">
        <f t="shared" si="41"/>
        <v>0</v>
      </c>
      <c r="BG59" s="17">
        <f>COUNTIFS('Prácticas_Revisiones'!$S$2:$S$282,"T049",'Prácticas_Revisiones'!$T$2:$T$282,"SOFTWARE CONFIG. MGMT. &gt; Management of the SCM Process")+COUNTIFS('Prácticas_Snowballing'!$AB$2:$AB$281,"T049",'Prácticas_Snowballing'!$AC$2:$AC$281,"SOFTWARE CONFIG. MGMT. &gt; Management of the SCM Process")</f>
        <v>0</v>
      </c>
      <c r="BH59" s="17">
        <f>COUNTIFS('Prácticas_Revisiones'!$S$2:$S$282,"T049",'Prácticas_Revisiones'!$T$2:$T$282,"SOFTWARE CONFIG. MGMT. &gt; Software Configuration Identification")+COUNTIFS('Prácticas_Snowballing'!$AB$2:$AB$281,"T049",'Prácticas_Snowballing'!$AC$2:$AC$281,"SOFTWARE CONFIG. MGMT. &gt; Software Configuration Identification")</f>
        <v>0</v>
      </c>
      <c r="BI59" s="17">
        <f>COUNTIFS('Prácticas_Revisiones'!$S$2:$S$282,"T049",'Prácticas_Revisiones'!$T$2:$T$282,"SOFTWARE CONFIG. MGMT. &gt; Software Configuration Change Control")+COUNTIFS('Prácticas_Snowballing'!$AB$2:$AB$281,"T049",'Prácticas_Snowballing'!$AC$2:$AC$281,"SOFTWARE CONFIG. MGMT. &gt; Software Configuration Change Control")</f>
        <v>0</v>
      </c>
      <c r="BJ59" s="17">
        <f>COUNTIFS('Prácticas_Revisiones'!$S$2:$S$282,"T049",'Prácticas_Revisiones'!$T$2:$T$282,"SOFTWARE CONFIG. MGMT. &gt; Software Configuration Status Accounting")+COUNTIFS('Prácticas_Snowballing'!$AB$2:$AB$281,"T049",'Prácticas_Snowballing'!$AC$2:$AC$281,"SOFTWARE CONFIG. MGMT. &gt; Software Configuration Status Accounting")</f>
        <v>0</v>
      </c>
      <c r="BK59" s="17">
        <f>COUNTIFS('Prácticas_Revisiones'!$S$2:$S$282,"T049",'Prácticas_Revisiones'!$T$2:$T$282,"SOFTWARE CONFIG. MGMT. &gt; Software Configuration Auditing")+COUNTIFS('Prácticas_Snowballing'!$AB$2:$AB$281,"T049",'Prácticas_Snowballing'!$AC$2:$AC$281,"SOFTWARE CONFIG. MGMT. &gt; Software Configuration Auditing")</f>
        <v>0</v>
      </c>
      <c r="BL59" s="17">
        <f>COUNTIFS('Prácticas_Revisiones'!$S$2:$S$282,"T049",'Prácticas_Revisiones'!$T$2:$T$282,"SOFTWARE CONFIG. MGMT. &gt; Software Release Management and Delivery")+COUNTIFS('Prácticas_Snowballing'!$AB$2:$AB$281,"T049",'Prácticas_Snowballing'!$AC$2:$AC$281,"SOFTWARE CONFIG. MGMT. &gt; Software Release Management and Delivery")</f>
        <v>0</v>
      </c>
      <c r="BM59" s="17">
        <f>COUNTIFS('Prácticas_Revisiones'!$S$2:$S$282,"T049",'Prácticas_Revisiones'!$T$2:$T$282,"SOFTWARE CONFIG. MGMT. &gt; Software Configuration Management Tools")+COUNTIFS('Prácticas_Snowballing'!$AB$2:$AB$281,"T049",'Prácticas_Snowballing'!$AC$2:$AC$281,"SOFTWARE CONFIG. MGMT. &gt; Software Configuration Management Tools")</f>
        <v>0</v>
      </c>
      <c r="BN59" s="17">
        <f>COUNTIFS('Prácticas_Revisiones'!$S$2:$S$282,"T049",'Prácticas_Revisiones'!$T$2:$T$282,"SOFTWARE CONFIG. MGMT. &gt; Subárea no determinable")+COUNTIFS('Prácticas_Snowballing'!$AB$2:$AB$281,"T049",'Prácticas_Snowballing'!$AC$2:$AC$281,"SOFTWARE CONFIG. MGMT. &gt; Subárea no determinable")</f>
        <v>0</v>
      </c>
      <c r="BO59" s="29">
        <f t="shared" si="42"/>
        <v>0</v>
      </c>
      <c r="BP59" s="17">
        <f>COUNTIFS('Prácticas_Revisiones'!$S$2:$S$282,"T049",'Prácticas_Revisiones'!$T$2:$T$282,"SOFTWARE ENG. PROCESS &gt; Software Engineering Process Fundamentals")+COUNTIFS('Prácticas_Snowballing'!$AB$2:$AB$281,"T049",'Prácticas_Snowballing'!$AC$2:$AC$281,"SOFTWARE ENG. PROCESS &gt; Software Engineering Process Fundamentals")</f>
        <v>0</v>
      </c>
      <c r="BQ59" s="17">
        <f>COUNTIFS('Prácticas_Revisiones'!$S$2:$S$282,"T049",'Prácticas_Revisiones'!$T$2:$T$282,"SOFTWARE ENG. PROCESS &gt; Life Cycles")+COUNTIFS('Prácticas_Snowballing'!$AB$2:$AB$281,"T049",'Prácticas_Snowballing'!$AC$2:$AC$281,"SOFTWARE ENG. PROCESS &gt; Life Cycles")</f>
        <v>0</v>
      </c>
      <c r="BR59" s="17">
        <f>COUNTIFS('Prácticas_Revisiones'!$S$2:$S$282,"T049",'Prácticas_Revisiones'!$T$2:$T$282,"SOFTWARE ENG. PROCESS &gt; Software Process Assessment and Improvement")+COUNTIFS('Prácticas_Snowballing'!$AB$2:$AB$281,"T049",'Prácticas_Snowballing'!$AC$2:$AC$281,"SOFTWARE ENG. PROCESS &gt; Software Process Assessment and Improvement")</f>
        <v>0</v>
      </c>
      <c r="BS59" s="17">
        <f>COUNTIFS('Prácticas_Revisiones'!$S$2:$S$282,"T049",'Prácticas_Revisiones'!$T$2:$T$282,"SOFTWARE ENG. PROCESS &gt; Subárea no determinable")+COUNTIFS('Prácticas_Snowballing'!$AB$2:$AB$281,"T049",'Prácticas_Snowballing'!$AC$2:$AC$281,"SOFTWARE ENG. PROCESS &gt; Subárea no determinable")</f>
        <v>0</v>
      </c>
      <c r="BT59" s="29">
        <f t="shared" si="43"/>
        <v>0</v>
      </c>
      <c r="BU59" s="17">
        <f>COUNTIFS('Prácticas_Revisiones'!$S$2:$S$282,"T049",'Prácticas_Revisiones'!$T$2:$T$282,"SOFTWARE ENG. MODELS/METH. &gt; Modeling")+COUNTIFS('Prácticas_Snowballing'!$AB$2:$AB$281,"T049",'Prácticas_Snowballing'!$AC$2:$AC$281,"SOFTWARE ENG. MODELS/METH. &gt; Modeling")</f>
        <v>0</v>
      </c>
      <c r="BV59" s="17">
        <f>COUNTIFS('Prácticas_Revisiones'!$S$2:$S$282,"T049",'Prácticas_Revisiones'!$T$2:$T$282,"SOFTWARE ENG. MODELS/METH. &gt; Types of Models")+COUNTIFS('Prácticas_Snowballing'!$AB$2:$AB$281,"T049",'Prácticas_Snowballing'!$AC$2:$AC$281,"SOFTWARE ENG. MODELS/METH. &gt; Types of Models")</f>
        <v>0</v>
      </c>
      <c r="BW59" s="17">
        <f>COUNTIFS('Prácticas_Revisiones'!$S$2:$S$282,"T049",'Prácticas_Revisiones'!$T$2:$T$282,"SOFTWARE ENG. MODELS/METH. &gt; Analysis of Models")+COUNTIFS('Prácticas_Snowballing'!$AB$2:$AB$281,"T049",'Prácticas_Snowballing'!$AC$2:$AC$281,"SOFTWARE ENG. MODELS/METH. &gt; Analysis of Models")</f>
        <v>0</v>
      </c>
      <c r="BX59" s="17">
        <f>COUNTIFS('Prácticas_Revisiones'!$S$2:$S$282,"T049",'Prácticas_Revisiones'!$T$2:$T$282,"SOFTWARE ENG. MODELS/METH. &gt; Software Engineering Methods")+COUNTIFS('Prácticas_Snowballing'!$AB$2:$AB$281,"T049",'Prácticas_Snowballing'!$AC$2:$AC$281,"SOFTWARE ENG. MODELS/METH. &gt; Software Engineering Methods")</f>
        <v>0</v>
      </c>
      <c r="BY59" s="17">
        <f>COUNTIFS('Prácticas_Revisiones'!$S$2:$S$282,"T049",'Prácticas_Revisiones'!$T$2:$T$282,"SOFTWARE ENG. MODELS/METH. &gt; Subárea no determinable")+COUNTIFS('Prácticas_Snowballing'!$AB$2:$AB$281,"T049",'Prácticas_Snowballing'!$AC$2:$AC$281,"SOFTWARE ENG. MODELS/METH. &gt; Subárea no determinable")</f>
        <v>0</v>
      </c>
      <c r="BZ59" s="29">
        <f t="shared" si="44"/>
        <v>0</v>
      </c>
      <c r="CA59" s="17">
        <f>COUNTIFS('Prácticas_Revisiones'!$S$2:$S$282,"T049",'Prácticas_Revisiones'!$T$2:$T$282,"SOFTWARE QUALITY &gt; Software Quality Fundamentals")+COUNTIFS('Prácticas_Snowballing'!$AB$2:$AB$281,"T049",'Prácticas_Snowballing'!$AC$2:$AC$281,"SOFTWARE QUALITY &gt; Software Quality Fundamentals")</f>
        <v>0</v>
      </c>
      <c r="CB59" s="17">
        <f>COUNTIFS('Prácticas_Revisiones'!$S$2:$S$282,"T049",'Prácticas_Revisiones'!$T$2:$T$282,"SOFTWARE QUALITY &gt; Software Quality Management Process")+COUNTIFS('Prácticas_Snowballing'!$AB$2:$AB$281,"T049",'Prácticas_Snowballing'!$AC$2:$AC$281,"SOFTWARE QUALITY &gt; Software Quality Management Process")</f>
        <v>0</v>
      </c>
      <c r="CC59" s="17">
        <f>COUNTIFS('Prácticas_Revisiones'!$S$2:$S$282,"T049",'Prácticas_Revisiones'!$T$2:$T$282,"SOFTWARE QUALITY &gt; Software Quality Assurance Process")+COUNTIFS('Prácticas_Snowballing'!$AB$2:$AB$281,"T049",'Prácticas_Snowballing'!$AC$2:$AC$281,"SOFTWARE QUALITY &gt; Software Quality Assurance Process")</f>
        <v>0</v>
      </c>
      <c r="CD59" s="17">
        <f>COUNTIFS('Prácticas_Revisiones'!$S$2:$S$282,"T049",'Prácticas_Revisiones'!$T$2:$T$282,"SOFTWARE QUALITY &gt; Software Quality Tools")+COUNTIFS('Prácticas_Snowballing'!$AB$2:$AB$281,"T049",'Prácticas_Snowballing'!$AC$2:$AC$281,"SOFTWARE QUALITY &gt; Software Quality Tools")</f>
        <v>0</v>
      </c>
      <c r="CE59" s="17">
        <f>COUNTIFS('Prácticas_Revisiones'!$S$2:$S$282,"T049",'Prácticas_Revisiones'!$T$2:$T$282,"SOFTWARE QUALITY &gt; Subárea no determinable")+COUNTIFS('Prácticas_Snowballing'!$AB$2:$AB$281,"T049",'Prácticas_Snowballing'!$AC$2:$AC$281,"SOFTWARE QUALITY &gt; Subárea no determinable")</f>
        <v>0</v>
      </c>
      <c r="CF59" s="29">
        <f t="shared" si="45"/>
        <v>0</v>
      </c>
      <c r="CG59" s="17">
        <f>COUNTIFS('Prácticas_Revisiones'!$S$2:$S$282,"T049",'Prácticas_Revisiones'!$T$2:$T$282,"SOFTWARE SECURITY &gt; Software Security Fundamentals")+COUNTIFS('Prácticas_Snowballing'!$AB$2:$AB$281,"T049",'Prácticas_Snowballing'!$AC$2:$AC$281,"SOFTWARE SECURITY &gt; Software Security Fundamentals")</f>
        <v>0</v>
      </c>
      <c r="CH59" s="17">
        <f>COUNTIFS('Prácticas_Revisiones'!$S$2:$S$282,"T049",'Prácticas_Revisiones'!$T$2:$T$282,"SOFTWARE SECURITY &gt; Security Management and Organization")+COUNTIFS('Prácticas_Snowballing'!$AB$2:$AB$281,"T049",'Prácticas_Snowballing'!$AC$2:$AC$281,"SOFTWARE SECURITY &gt; Security Management and Organization")</f>
        <v>0</v>
      </c>
      <c r="CI59" s="17">
        <f>COUNTIFS('Prácticas_Revisiones'!$S$2:$S$282,"T049",'Prácticas_Revisiones'!$T$2:$T$282,"SOFTWARE SECURITY &gt; Software Security Engineering and Process")+COUNTIFS('Prácticas_Snowballing'!$AB$2:$AB$281,"T049",'Prácticas_Snowballing'!$AC$2:$AC$281,"SOFTWARE SECURITY &gt; Software Security Engineering and Process")</f>
        <v>0</v>
      </c>
      <c r="CJ59" s="17">
        <f>COUNTIFS('Prácticas_Revisiones'!$S$2:$S$282,"T049",'Prácticas_Revisiones'!$T$2:$T$282,"SOFTWARE SECURITY &gt; Security Engineering for Software Systems")+COUNTIFS('Prácticas_Snowballing'!$AB$2:$AB$281,"T049",'Prácticas_Snowballing'!$AC$2:$AC$281,"SOFTWARE SECURITY &gt; Security Engineering for Software Systems")</f>
        <v>0</v>
      </c>
      <c r="CK59" s="17">
        <f>COUNTIFS('Prácticas_Revisiones'!$S$2:$S$282,"T049",'Prácticas_Revisiones'!$T$2:$T$282,"SOFTWARE SECURITY &gt; Software Security Tools")+COUNTIFS('Prácticas_Snowballing'!$AB$2:$AB$281,"T049",'Prácticas_Snowballing'!$AC$2:$AC$281,"SOFTWARE SECURITY &gt; Software Security Tools")</f>
        <v>0</v>
      </c>
      <c r="CL59" s="17">
        <f>COUNTIFS('Prácticas_Revisiones'!$S$2:$S$282,"T049",'Prácticas_Revisiones'!$T$2:$T$282,"SOFTWARE SECURITY &gt; Domain Specific Software Security")+COUNTIFS('Prácticas_Snowballing'!$AB$2:$AB$281,"T049",'Prácticas_Snowballing'!$AC$2:$AC$281,"SOFTWARE SECURITY &gt; Domain Specific Software Security")</f>
        <v>0</v>
      </c>
      <c r="CM59" s="17">
        <f>COUNTIFS('Prácticas_Revisiones'!$S$2:$S$282,"T049",'Prácticas_Revisiones'!$T$2:$T$282,"SOFTWARE SECURITY &gt; Subárea no determinable")+COUNTIFS('Prácticas_Snowballing'!$AB$2:$AB$281,"T049",'Prácticas_Snowballing'!$AC$2:$AC$281,"SOFTWARE SECURITY &gt; Subárea no determinable")</f>
        <v>0</v>
      </c>
      <c r="CN59" s="29">
        <f t="shared" si="46"/>
        <v>0</v>
      </c>
      <c r="CO59" s="17">
        <f>COUNTIFS('Prácticas_Revisiones'!$S$2:$S$282,"T049",'Prácticas_Revisiones'!$T$2:$T$282,"PROFESSIONAL PRACTICE &gt; Professionalism")+COUNTIFS('Prácticas_Snowballing'!$AB$2:$AB$281,"T049",'Prácticas_Snowballing'!$AC$2:$AC$281,"PROFESSIONAL PRACTICE &gt; Professionalism")</f>
        <v>0</v>
      </c>
      <c r="CP59" s="17">
        <f>COUNTIFS('Prácticas_Revisiones'!$S$2:$S$282,"T049",'Prácticas_Revisiones'!$T$2:$T$282,"PROFESSIONAL PRACTICE &gt; Group Dynamics and Psychology")+COUNTIFS('Prácticas_Snowballing'!$AB$2:$AB$281,"T049",'Prácticas_Snowballing'!$AC$2:$AC$281,"PROFESSIONAL PRACTICE &gt; Group Dynamics and Psychology")</f>
        <v>0</v>
      </c>
      <c r="CQ59" s="17">
        <f>COUNTIFS('Prácticas_Revisiones'!$S$2:$S$282,"T049",'Prácticas_Revisiones'!$T$2:$T$282,"PROFESSIONAL PRACTICE &gt; Communication Skills")+COUNTIFS('Prácticas_Snowballing'!$AB$2:$AB$281,"T049",'Prácticas_Snowballing'!$AC$2:$AC$281,"PROFESSIONAL PRACTICE &gt; Communication Skills")</f>
        <v>0</v>
      </c>
      <c r="CR59" s="17">
        <f>COUNTIFS('Prácticas_Revisiones'!$S$2:$S$282,"T049",'Prácticas_Revisiones'!$T$2:$T$282,"PROFESSIONAL PRACTICE &gt; Subárea no determinable")+COUNTIFS('Prácticas_Snowballing'!$AB$2:$AB$281,"T049",'Prácticas_Snowballing'!$AC$2:$AC$281,"PROFESSIONAL PRACTICE &gt; Subárea no determinable")</f>
        <v>0</v>
      </c>
      <c r="CS59" s="29">
        <f t="shared" si="47"/>
        <v>0</v>
      </c>
      <c r="CT59" s="17">
        <f>COUNTIFS('Prácticas_Revisiones'!$S$2:$S$282,"T049",'Prácticas_Revisiones'!$T$2:$T$282,"SOFTWARE ENG. ECONOMICS &gt; Software Engineering Economics Fundamentals")+COUNTIFS('Prácticas_Snowballing'!$AB$2:$AB$281,"T049",'Prácticas_Snowballing'!$AC$2:$AC$281,"SOFTWARE ENG. ECONOMICS &gt; Software Engineering Economics Fundamentals")</f>
        <v>0</v>
      </c>
      <c r="CU59" s="17">
        <f>COUNTIFS('Prácticas_Revisiones'!$S$2:$S$282,"T049",'Prácticas_Revisiones'!$T$2:$T$282,"SOFTWARE ENG. ECONOMICS &gt; The Engineering Decision-Making Process")+COUNTIFS('Prácticas_Snowballing'!$AB$2:$AB$281,"T049",'Prácticas_Snowballing'!$AC$2:$AC$281,"SOFTWARE ENG. ECONOMICS &gt; The Engineering Decision-Making Process")</f>
        <v>0</v>
      </c>
      <c r="CV59" s="17">
        <f>COUNTIFS('Prácticas_Revisiones'!$S$2:$S$282,"T049",'Prácticas_Revisiones'!$T$2:$T$282,"SOFTWARE ENG. ECONOMICS &gt; For-Profit Decision-Making")+COUNTIFS('Prácticas_Snowballing'!$AB$2:$AB$281,"T049",'Prácticas_Snowballing'!$AC$2:$AC$281,"SOFTWARE ENG. ECONOMICS &gt; For-Profit Decision-Making")</f>
        <v>0</v>
      </c>
      <c r="CW59" s="17">
        <f>COUNTIFS('Prácticas_Revisiones'!$S$2:$S$282,"T049",'Prácticas_Revisiones'!$T$2:$T$282,"SOFTWARE ENG. ECONOMICS &gt; Nonprofit Decision-Making")+COUNTIFS('Prácticas_Snowballing'!$AB$2:$AB$281,"T049",'Prácticas_Snowballing'!$AC$2:$AC$281,"SOFTWARE ENG. ECONOMICS &gt; Nonprofit Decision-Making")</f>
        <v>0</v>
      </c>
      <c r="CX59" s="17">
        <f>COUNTIFS('Prácticas_Revisiones'!$S$2:$S$282,"T049",'Prácticas_Revisiones'!$T$2:$T$282,"SOFTWARE ENG. ECONOMICS &gt; Present Economy Decision-Making")+COUNTIFS('Prácticas_Snowballing'!$AB$2:$AB$281,"T049",'Prácticas_Snowballing'!$AC$2:$AC$281,"SOFTWARE ENG. ECONOMICS &gt; Present Economy Decision-Making")</f>
        <v>0</v>
      </c>
      <c r="CY59" s="17">
        <f>COUNTIFS('Prácticas_Revisiones'!$S$2:$S$282,"T049",'Prácticas_Revisiones'!$T$2:$T$282,"SOFTWARE ENG. ECONOMICS &gt; Multiple-Attribute Decision-Making")+COUNTIFS('Prácticas_Snowballing'!$AB$2:$AB$281,"T049",'Prácticas_Snowballing'!$AC$2:$AC$281,"SOFTWARE ENG. ECONOMICS &gt; Multiple-Attribute Decision-Making")</f>
        <v>0</v>
      </c>
      <c r="CZ59" s="17">
        <f>COUNTIFS('Prácticas_Revisiones'!$S$2:$S$282,"T049",'Prácticas_Revisiones'!$T$2:$T$282,"SOFTWARE ENG. ECONOMICS &gt; Identifying and Characterizing Intangible Assets")+COUNTIFS('Prácticas_Snowballing'!$AB$2:$AB$281,"T049",'Prácticas_Snowballing'!$AC$2:$AC$281,"SOFTWARE ENG. ECONOMICS &gt; Identifying and Characterizing Intangible Assets")</f>
        <v>0</v>
      </c>
      <c r="DA59" s="17">
        <f>COUNTIFS('Prácticas_Revisiones'!$S$2:$S$282,"T049",'Prácticas_Revisiones'!$T$2:$T$282,"SOFTWARE ENG. ECONOMICS &gt; Estimation")+COUNTIFS('Prácticas_Snowballing'!$AB$2:$AB$281,"T049",'Prácticas_Snowballing'!$AC$2:$AC$281,"SOFTWARE ENG. ECONOMICS &gt; Estimation")</f>
        <v>0</v>
      </c>
      <c r="DB59" s="17">
        <f>COUNTIFS('Prácticas_Revisiones'!$S$2:$S$282,"T049",'Prácticas_Revisiones'!$T$2:$T$282,"SOFTWARE ENG. ECONOMICS &gt; Practical Considerations")+COUNTIFS('Prácticas_Snowballing'!$AB$2:$AB$281,"T049",'Prácticas_Snowballing'!$AC$2:$AC$281,"SOFTWARE ENG. ECONOMICS &gt; Practical Considerations")</f>
        <v>0</v>
      </c>
      <c r="DC59" s="17">
        <f>COUNTIFS('Prácticas_Revisiones'!$S$2:$S$282,"T049",'Prácticas_Revisiones'!$T$2:$T$282,"SOFTWARE ENG. ECONOMICS &gt; Related Concepts")+COUNTIFS('Prácticas_Snowballing'!$AB$2:$AB$281,"T049",'Prácticas_Snowballing'!$AC$2:$AC$281,"SOFTWARE ENG. ECONOMICS &gt; Related Concepts")</f>
        <v>0</v>
      </c>
      <c r="DD59" s="17">
        <f>COUNTIFS('Prácticas_Revisiones'!$S$2:$S$282,"T049",'Prácticas_Revisiones'!$T$2:$T$282,"SOFTWARE ENG. ECONOMICS &gt; Subárea no determinable")+COUNTIFS('Prácticas_Snowballing'!$AB$2:$AB$281,"T049",'Prácticas_Snowballing'!$AC$2:$AC$281,"SOFTWARE ENG. ECONOMICS &gt; Subárea no determinable")</f>
        <v>0</v>
      </c>
      <c r="DE59" s="29">
        <f t="shared" si="48"/>
        <v>0</v>
      </c>
      <c r="DF59" s="17">
        <f>COUNTIFS('Prácticas_Revisiones'!$S$2:$S$282,"T049",'Prácticas_Revisiones'!$T$2:$T$282,"SOFTWARE ENG. MANAGEMENT &gt; Software Engineering Management Fundamentals")+COUNTIFS('Prácticas_Snowballing'!$AB$2:$AB$281,"T049",'Prácticas_Snowballing'!$AC$2:$AC$281,"SOFTWARE ENG. MANAGEMENT &gt; Software Engineering Management Fundamentals")</f>
        <v>0</v>
      </c>
      <c r="DG59" s="17">
        <f>COUNTIFS('Prácticas_Revisiones'!$S$2:$S$282,"T049",'Prácticas_Revisiones'!$T$2:$T$282,"SOFTWARE ENG. MANAGEMENT &gt; Initiation and Scope Definition")+COUNTIFS('Prácticas_Snowballing'!$AB$2:$AB$281,"T049",'Prácticas_Snowballing'!$AC$2:$AC$281,"SOFTWARE ENG. MANAGEMENT &gt; Initiation and Scope Definition")</f>
        <v>0</v>
      </c>
      <c r="DH59" s="17">
        <f>COUNTIFS('Prácticas_Revisiones'!$S$2:$S$282,"T049",'Prácticas_Revisiones'!$T$2:$T$282,"SOFTWARE ENG. MANAGEMENT &gt; Software Project Planning")+COUNTIFS('Prácticas_Snowballing'!$AB$2:$AB$281,"T049",'Prácticas_Snowballing'!$AC$2:$AC$281,"SOFTWARE ENG. MANAGEMENT &gt; Software Project Planning")</f>
        <v>0</v>
      </c>
      <c r="DI59" s="17">
        <f>COUNTIFS('Prácticas_Revisiones'!$S$2:$S$282,"T049",'Prácticas_Revisiones'!$T$2:$T$282,"SOFTWARE ENG. MANAGEMENT &gt; Software Project Enactment")+COUNTIFS('Prácticas_Snowballing'!$AB$2:$AB$281,"T049",'Prácticas_Snowballing'!$AC$2:$AC$281,"SOFTWARE ENG. MANAGEMENT &gt; Software Project Enactment")</f>
        <v>0</v>
      </c>
      <c r="DJ59" s="17">
        <f>COUNTIFS('Prácticas_Revisiones'!$S$2:$S$282,"T049",'Prácticas_Revisiones'!$T$2:$T$282,"SOFTWARE ENG. MANAGEMENT &gt; Review and Evaluation")+COUNTIFS('Prácticas_Snowballing'!$AB$2:$AB$281,"T049",'Prácticas_Snowballing'!$AC$2:$AC$281,"SOFTWARE ENG. MANAGEMENT &gt; Review and Evaluation")</f>
        <v>0</v>
      </c>
      <c r="DK59" s="17">
        <f>COUNTIFS('Prácticas_Revisiones'!$S$2:$S$282,"T049",'Prácticas_Revisiones'!$T$2:$T$282,"SOFTWARE ENG. MANAGEMENT &gt; Closure")+COUNTIFS('Prácticas_Snowballing'!$AB$2:$AB$281,"T049",'Prácticas_Snowballing'!$AC$2:$AC$281,"SOFTWARE ENG. MANAGEMENT &gt; Closure")</f>
        <v>0</v>
      </c>
      <c r="DL59" s="17">
        <f>COUNTIFS('Prácticas_Revisiones'!$S$2:$S$282,"T049",'Prácticas_Revisiones'!$T$2:$T$282,"SOFTWARE ENG. MANAGEMENT &gt; Software Engineering Management Tools")+COUNTIFS('Prácticas_Snowballing'!$AB$2:$AB$281,"T049",'Prácticas_Snowballing'!$AC$2:$AC$281,"SOFTWARE ENG. MANAGEMENT &gt; Software Engineering Management Tools")</f>
        <v>0</v>
      </c>
      <c r="DM59" s="17">
        <f>COUNTIFS('Prácticas_Revisiones'!$S$2:$S$282,"T049",'Prácticas_Revisiones'!$T$2:$T$282,"SOFTWARE ENG. MANAGEMENT &gt; Subárea no determinable")+COUNTIFS('Prácticas_Snowballing'!$AB$2:$AB$281,"T049",'Prácticas_Snowballing'!$AC$2:$AC$281,"SOFTWARE ENG. MANAGEMENT &gt; Subárea no determinable")</f>
        <v>0</v>
      </c>
      <c r="DN59" s="29">
        <f t="shared" si="49"/>
        <v>0</v>
      </c>
      <c r="DO59" s="17">
        <f>COUNTIFS('Prácticas_Revisiones'!$S$2:$S$282,"T049",'Prácticas_Revisiones'!$T$2:$T$282,"Sin área SWEBOK")+COUNTIFS('Prácticas_Snowballing'!$AB$2:$AB$281,"T049",'Prácticas_Snowballing'!$AC$2:$AC$281,"Sin área SWEBOK")</f>
        <v>0</v>
      </c>
      <c r="DP59" s="27">
        <f t="shared" si="50"/>
        <v>3</v>
      </c>
    </row>
    <row r="60" ht="15.75" customHeight="1">
      <c r="A60" s="28"/>
      <c r="B60" s="16" t="s">
        <v>2803</v>
      </c>
      <c r="C60" s="17">
        <f>COUNTIFS('Prácticas_Revisiones'!$S$2:$S$282,"T050",'Prácticas_Revisiones'!$T$2:$T$282,"REQUIREMENTS &gt; Software Requirements Fundamentals")+COUNTIFS('Prácticas_Snowballing'!$AB$2:$AB$281,"T050",'Prácticas_Snowballing'!$AC$2:$AC$281,"REQUIREMENTS &gt; Software Requirements Fundamentals")</f>
        <v>0</v>
      </c>
      <c r="D60" s="17">
        <f>COUNTIFS('Prácticas_Revisiones'!$S$2:$S$282,"T050",'Prácticas_Revisiones'!$T$2:$T$282,"REQUIREMENTS &gt; Requirements Elicitation")+COUNTIFS('Prácticas_Snowballing'!$AB$2:$AB$281,"T050",'Prácticas_Snowballing'!$AC$2:$AC$281,"REQUIREMENTS &gt; Requirements Elicitation")</f>
        <v>0</v>
      </c>
      <c r="E60" s="17">
        <f>COUNTIFS('Prácticas_Revisiones'!$S$2:$S$282,"T050",'Prácticas_Revisiones'!$T$2:$T$282,"REQUIREMENTS &gt; Requirements Analysis")+COUNTIFS('Prácticas_Snowballing'!$AB$2:$AB$281,"T050",'Prácticas_Snowballing'!$AC$2:$AC$281,"REQUIREMENTS &gt; Requirements Analysis")</f>
        <v>0</v>
      </c>
      <c r="F60" s="17">
        <f>COUNTIFS('Prácticas_Revisiones'!$S$2:$S$282,"T050",'Prácticas_Revisiones'!$T$2:$T$282,"REQUIREMENTS &gt; Requirements Specification")+COUNTIFS('Prácticas_Snowballing'!$AB$2:$AB$281,"T050",'Prácticas_Snowballing'!$AC$2:$AC$281,"REQUIREMENTS &gt; Requirements Specification")</f>
        <v>0</v>
      </c>
      <c r="G60" s="17">
        <f>COUNTIFS('Prácticas_Revisiones'!$S$2:$S$282,"T050",'Prácticas_Revisiones'!$T$2:$T$282,"REQUIREMENTS &gt; Requirements Validation")+COUNTIFS('Prácticas_Snowballing'!$AB$2:$AB$281,"T050",'Prácticas_Snowballing'!$AC$2:$AC$281,"REQUIREMENTS &gt; Requirements Validation")</f>
        <v>0</v>
      </c>
      <c r="H60" s="17">
        <f>COUNTIFS('Prácticas_Revisiones'!$S$2:$S$282,"T050",'Prácticas_Revisiones'!$T$2:$T$282,"REQUIREMENTS &gt; Requirements Management Activities")+COUNTIFS('Prácticas_Snowballing'!$AB$2:$AB$281,"T050",'Prácticas_Snowballing'!$AC$2:$AC$281,"REQUIREMENTS &gt; Requirements Management Activities")</f>
        <v>0</v>
      </c>
      <c r="I60" s="17">
        <f>COUNTIFS('Prácticas_Revisiones'!$S$2:$S$282,"T050",'Prácticas_Revisiones'!$T$2:$T$282,"REQUIREMENTS &gt; Practical Considerations")+COUNTIFS('Prácticas_Snowballing'!$AB$2:$AB$281,"T050",'Prácticas_Snowballing'!$AC$2:$AC$281,"REQUIREMENTS &gt; Practical Considerations")</f>
        <v>0</v>
      </c>
      <c r="J60" s="17">
        <f>COUNTIFS('Prácticas_Revisiones'!$S$2:$S$282,"T050",'Prácticas_Revisiones'!$T$2:$T$282,"REQUIREMENTS &gt; Software Requirements Tools")+COUNTIFS('Prácticas_Snowballing'!$AB$2:$AB$281,"T050",'Prácticas_Snowballing'!$AC$2:$AC$281,"REQUIREMENTS &gt; Software Requirements Tools")</f>
        <v>0</v>
      </c>
      <c r="K60" s="17">
        <f>COUNTIFS('Prácticas_Revisiones'!$S$2:$S$282,"T050",'Prácticas_Revisiones'!$T$2:$T$282,"REQUIREMENTS &gt; Subárea no determinable")+COUNTIFS('Prácticas_Snowballing'!$AB$2:$AB$281,"T050",'Prácticas_Snowballing'!$AC$2:$AC$281,"REQUIREMENTS &gt; Subárea no determinable")</f>
        <v>0</v>
      </c>
      <c r="L60" s="29">
        <f t="shared" si="35"/>
        <v>0</v>
      </c>
      <c r="M60" s="17">
        <f>COUNTIFS('Prácticas_Revisiones'!$S$2:$S$282,"T050",'Prácticas_Revisiones'!$T$2:$T$282,"ARCHITECTURE &gt; Software Architecture Fundamentals")+COUNTIFS('Prácticas_Snowballing'!$AB$2:$AB$281,"T050",'Prácticas_Snowballing'!$AC$2:$AC$281,"ARCHITECTURE &gt; Software Architecture Fundamentals")</f>
        <v>0</v>
      </c>
      <c r="N60" s="17">
        <f>COUNTIFS('Prácticas_Revisiones'!$S$2:$S$282,"T050",'Prácticas_Revisiones'!$T$2:$T$282,"ARCHITECTURE &gt; Software Architecture Description")+COUNTIFS('Prácticas_Snowballing'!$AB$2:$AB$281,"T050",'Prácticas_Snowballing'!$AC$2:$AC$281,"ARCHITECTURE &gt; Software Architecture Description")</f>
        <v>0</v>
      </c>
      <c r="O60" s="17">
        <f>COUNTIFS('Prácticas_Revisiones'!$S$2:$S$282,"T050",'Prácticas_Revisiones'!$T$2:$T$282,"ARCHITECTURE &gt; Software Architecture Process")+COUNTIFS('Prácticas_Snowballing'!$AB$2:$AB$281,"T050",'Prácticas_Snowballing'!$AC$2:$AC$281,"ARCHITECTURE &gt; Software Architecture Process")</f>
        <v>0</v>
      </c>
      <c r="P60" s="17">
        <f>COUNTIFS('Prácticas_Revisiones'!$S$2:$S$282,"T050",'Prácticas_Revisiones'!$T$2:$T$282,"ARCHITECTURE &gt; Software Architecture Evaluation")+COUNTIFS('Prácticas_Snowballing'!$AB$2:$AB$281,"T050",'Prácticas_Snowballing'!$AC$2:$AC$281,"ARCHITECTURE &gt; Software Architecture Evaluation")</f>
        <v>0</v>
      </c>
      <c r="Q60" s="17">
        <f>COUNTIFS('Prácticas_Revisiones'!$S$2:$S$282,"T050",'Prácticas_Revisiones'!$T$2:$T$282,"ARCHITECTURE &gt; Subárea no determinable")+COUNTIFS('Prácticas_Snowballing'!$AB$2:$AB$281,"T050",'Prácticas_Snowballing'!$AC$2:$AC$281,"ARCHITECTURE &gt; Subárea no determinable")</f>
        <v>0</v>
      </c>
      <c r="R60" s="29">
        <f t="shared" si="36"/>
        <v>0</v>
      </c>
      <c r="S60" s="17">
        <f>COUNTIFS('Prácticas_Revisiones'!$S$2:$S$282,"T050",'Prácticas_Revisiones'!$T$2:$T$282,"DESIGN &gt; Software Design Fundamentals")+COUNTIFS('Prácticas_Snowballing'!$AB$2:$AB$281,"T050",'Prácticas_Snowballing'!$AC$2:$AC$281,"DESIGN &gt; Software Design Fundamentals")</f>
        <v>0</v>
      </c>
      <c r="T60" s="17">
        <f>COUNTIFS('Prácticas_Revisiones'!$S$2:$S$282,"T050",'Prácticas_Revisiones'!$T$2:$T$282,"DESIGN &gt; Software Design Processes")+COUNTIFS('Prácticas_Snowballing'!$AB$2:$AB$281,"T050",'Prácticas_Snowballing'!$AC$2:$AC$281,"DESIGN &gt; Software Design Processes")</f>
        <v>0</v>
      </c>
      <c r="U60" s="17">
        <f>COUNTIFS('Prácticas_Revisiones'!$S$2:$S$282,"T050",'Prácticas_Revisiones'!$T$2:$T$282,"DESIGN &gt; Software Design Qualities")+COUNTIFS('Prácticas_Snowballing'!$AB$2:$AB$281,"T050",'Prácticas_Snowballing'!$AC$2:$AC$281,"DESIGN &gt; Software Design Qualities")</f>
        <v>0</v>
      </c>
      <c r="V60" s="17">
        <f>COUNTIFS('Prácticas_Revisiones'!$S$2:$S$282,"T050",'Prácticas_Revisiones'!$T$2:$T$282,"DESIGN &gt; Recording Software Design")+COUNTIFS('Prácticas_Snowballing'!$AB$2:$AB$281,"T050",'Prácticas_Snowballing'!$AC$2:$AC$281,"DESIGN &gt; Recording Software Design")</f>
        <v>0</v>
      </c>
      <c r="W60" s="17">
        <f>COUNTIFS('Prácticas_Revisiones'!$S$2:$S$282,"T050",'Prácticas_Revisiones'!$T$2:$T$282,"DESIGN &gt; Software Design Strategies and Methods")+COUNTIFS('Prácticas_Snowballing'!$AB$2:$AB$281,"T050",'Prácticas_Snowballing'!$AC$2:$AC$281,"DESIGN &gt; Software Design Strategies and Methods")</f>
        <v>0</v>
      </c>
      <c r="X60" s="17">
        <f>COUNTIFS('Prácticas_Revisiones'!$S$2:$S$282,"T050",'Prácticas_Revisiones'!$T$2:$T$282,"DESIGN &gt; Software Design Analysis and Evaluations")+COUNTIFS('Prácticas_Snowballing'!$AB$2:$AB$281,"T050",'Prácticas_Snowballing'!$AC$2:$AC$281,"DESIGN &gt; Software Design Analysis and Evaluations")</f>
        <v>0</v>
      </c>
      <c r="Y60" s="17">
        <f>COUNTIFS('Prácticas_Revisiones'!$S$2:$S$282,"T050",'Prácticas_Revisiones'!$T$2:$T$282,"DESIGN &gt; Subárea no determinable")+COUNTIFS('Prácticas_Snowballing'!$AB$2:$AB$281,"T050",'Prácticas_Snowballing'!$AC$2:$AC$281,"DESIGN &gt; Subárea no determinable")</f>
        <v>0</v>
      </c>
      <c r="Z60" s="29">
        <f t="shared" si="37"/>
        <v>0</v>
      </c>
      <c r="AA60" s="17">
        <f>COUNTIFS('Prácticas_Revisiones'!$S$2:$S$282,"T050",'Prácticas_Revisiones'!$T$2:$T$282,"CONSTRUCTION &gt; Software Construction Fundamentals")+COUNTIFS('Prácticas_Snowballing'!$AB$2:$AB$281,"T050",'Prácticas_Snowballing'!$AC$2:$AC$281,"CONSTRUCTION &gt; Software Construction Fundamentals")</f>
        <v>0</v>
      </c>
      <c r="AB60" s="17">
        <f>COUNTIFS('Prácticas_Revisiones'!$S$2:$S$282,"T050",'Prácticas_Revisiones'!$T$2:$T$282,"CONSTRUCTION &gt; Managing Construction")+COUNTIFS('Prácticas_Snowballing'!$AB$2:$AB$281,"T050",'Prácticas_Snowballing'!$AC$2:$AC$281,"CONSTRUCTION &gt; Managing Construction")</f>
        <v>0</v>
      </c>
      <c r="AC60" s="17">
        <f>COUNTIFS('Prácticas_Revisiones'!$S$2:$S$282,"T050",'Prácticas_Revisiones'!$T$2:$T$282,"CONSTRUCTION &gt; Practical Considerations")+COUNTIFS('Prácticas_Snowballing'!$AB$2:$AB$281,"T050",'Prácticas_Snowballing'!$AC$2:$AC$281,"CONSTRUCTION &gt; Practical Considerations")</f>
        <v>0</v>
      </c>
      <c r="AD60" s="17">
        <f>COUNTIFS('Prácticas_Revisiones'!$S$2:$S$282,"T050",'Prácticas_Revisiones'!$T$2:$T$282,"CONSTRUCTION &gt; Construction Technologies")+COUNTIFS('Prácticas_Snowballing'!$AB$2:$AB$281,"T050",'Prácticas_Snowballing'!$AC$2:$AC$281,"CONSTRUCTION &gt; Construction Technologies")</f>
        <v>0</v>
      </c>
      <c r="AE60" s="17">
        <f>COUNTIFS('Prácticas_Revisiones'!$S$2:$S$282,"T050",'Prácticas_Revisiones'!$T$2:$T$282,"CONSTRUCTION &gt; Software Construction Tools")+COUNTIFS('Prácticas_Snowballing'!$AB$2:$AB$281,"T050",'Prácticas_Snowballing'!$AC$2:$AC$281,"CONSTRUCTION &gt; Software Construction Tools")</f>
        <v>0</v>
      </c>
      <c r="AF60" s="17">
        <f>COUNTIFS('Prácticas_Revisiones'!$S$2:$S$282,"T050",'Prácticas_Revisiones'!$T$2:$T$282,"CONSTRUCTION &gt; Subárea no determinable")+COUNTIFS('Prácticas_Snowballing'!$AB$2:$AB$281,"T050",'Prácticas_Snowballing'!$AC$2:$AC$281,"CONSTRUCTION &gt; Subárea no determinable")</f>
        <v>0</v>
      </c>
      <c r="AG60" s="29">
        <f t="shared" si="38"/>
        <v>0</v>
      </c>
      <c r="AH60" s="17">
        <f>COUNTIFS('Prácticas_Revisiones'!$S$2:$S$282,"T050",'Prácticas_Revisiones'!$T$2:$T$282,"SOFTWARE TESTING &gt; Software Testing Fundamentals")+COUNTIFS('Prácticas_Snowballing'!$AB$2:$AB$281,"T050",'Prácticas_Snowballing'!$AC$2:$AC$281,"SOFTWARE TESTING &gt; Software Testing Fundamentals")</f>
        <v>0</v>
      </c>
      <c r="AI60" s="17">
        <f>COUNTIFS('Prácticas_Revisiones'!$S$2:$S$282,"T050",'Prácticas_Revisiones'!$T$2:$T$282,"SOFTWARE TESTING &gt; Test Levels")+COUNTIFS('Prácticas_Snowballing'!$AB$2:$AB$281,"T050",'Prácticas_Snowballing'!$AC$2:$AC$281,"SOFTWARE TESTING &gt; Test Levels")</f>
        <v>0</v>
      </c>
      <c r="AJ60" s="17">
        <f>COUNTIFS('Prácticas_Revisiones'!$S$2:$S$282,"T050",'Prácticas_Revisiones'!$T$2:$T$282,"SOFTWARE TESTING &gt; Test Techniques")+COUNTIFS('Prácticas_Snowballing'!$AB$2:$AB$281,"T050",'Prácticas_Snowballing'!$AC$2:$AC$281,"SOFTWARE TESTING &gt; Test Techniques")</f>
        <v>0</v>
      </c>
      <c r="AK60" s="17">
        <f>COUNTIFS('Prácticas_Revisiones'!$S$2:$S$282,"T050",'Prácticas_Revisiones'!$T$2:$T$282,"SOFTWARE TESTING &gt; Test-Related Measures")+COUNTIFS('Prácticas_Snowballing'!$AB$2:$AB$281,"T050",'Prácticas_Snowballing'!$AC$2:$AC$281,"SOFTWARE TESTING &gt; Test-Related Measures")</f>
        <v>0</v>
      </c>
      <c r="AL60" s="17">
        <f>COUNTIFS('Prácticas_Revisiones'!$S$2:$S$282,"T050",'Prácticas_Revisiones'!$T$2:$T$282,"SOFTWARE TESTING &gt; Test Process")+COUNTIFS('Prácticas_Snowballing'!$AB$2:$AB$281,"T050",'Prácticas_Snowballing'!$AC$2:$AC$281,"SOFTWARE TESTING &gt; Test Process")</f>
        <v>0</v>
      </c>
      <c r="AM60" s="17">
        <f>COUNTIFS('Prácticas_Revisiones'!$S$2:$S$282,"T050",'Prácticas_Revisiones'!$T$2:$T$282,"SOFTWARE TESTING &gt; Software Testing in the Development Processes...")+COUNTIFS('Prácticas_Snowballing'!$AB$2:$AB$281,"T050",'Prácticas_Snowballing'!$AC$2:$AC$281,"SOFTWARE TESTING &gt; Software Testing in the Development Processes...")</f>
        <v>0</v>
      </c>
      <c r="AN60" s="17">
        <f>COUNTIFS('Prácticas_Revisiones'!$S$2:$S$282,"T050",'Prácticas_Revisiones'!$T$2:$T$282,"SOFTWARE TESTING &gt; Testing of and Testing Through Emerging Tech...")+COUNTIFS('Prácticas_Snowballing'!$AB$2:$AB$281,"T050",'Prácticas_Snowballing'!$AC$2:$AC$281,"SOFTWARE TESTING &gt; Testing of and Testing Through Emerging Tech...")</f>
        <v>0</v>
      </c>
      <c r="AO60" s="17">
        <f>COUNTIFS('Prácticas_Revisiones'!$S$2:$S$282,"T050",'Prácticas_Revisiones'!$T$2:$T$282,"SOFTWARE TESTING &gt; Software Testing Tools")+COUNTIFS('Prácticas_Snowballing'!$AB$2:$AB$281,"T050",'Prácticas_Snowballing'!$AC$2:$AC$281,"SOFTWARE TESTING &gt; Software Testing Tools")</f>
        <v>0</v>
      </c>
      <c r="AP60" s="17">
        <f>COUNTIFS('Prácticas_Revisiones'!$S$2:$S$282,"T050",'Prácticas_Revisiones'!$T$2:$T$282,"SOFTWARE TESTING &gt; Subárea no determinable")+COUNTIFS('Prácticas_Snowballing'!$AB$2:$AB$281,"T050",'Prácticas_Snowballing'!$AC$2:$AC$281,"SOFTWARE TESTING &gt; Subárea no determinable")</f>
        <v>0</v>
      </c>
      <c r="AQ60" s="29">
        <f t="shared" si="39"/>
        <v>0</v>
      </c>
      <c r="AR60" s="17">
        <f>COUNTIFS('Prácticas_Revisiones'!$S$2:$S$282,"T050",'Prácticas_Revisiones'!$T$2:$T$282,"SOFTWARE ENG. OPERATIONS &gt; Software Engineering Operations Fundamentals")+COUNTIFS('Prácticas_Snowballing'!$AB$2:$AB$281,"T050",'Prácticas_Snowballing'!$AC$2:$AC$281,"SOFTWARE ENG. OPERATIONS &gt; Software Engineering Operations Fundamentals")</f>
        <v>0</v>
      </c>
      <c r="AS60" s="17">
        <f>COUNTIFS('Prácticas_Revisiones'!$S$2:$S$282,"T050",'Prácticas_Revisiones'!$T$2:$T$282,"SOFTWARE ENG. OPERATIONS &gt; Software Engineering Operations Planning")+COUNTIFS('Prácticas_Snowballing'!$AB$2:$AB$281,"T050",'Prácticas_Snowballing'!$AC$2:$AC$281,"SOFTWARE ENG. OPERATIONS &gt; Software Engineering Operations Planning")</f>
        <v>0</v>
      </c>
      <c r="AT60" s="17">
        <f>COUNTIFS('Prácticas_Revisiones'!$S$2:$S$282,"T050",'Prácticas_Revisiones'!$T$2:$T$282,"SOFTWARE ENG. OPERATIONS &gt; Software Engineering Operations Delivery")+COUNTIFS('Prácticas_Snowballing'!$AB$2:$AB$281,"T050",'Prácticas_Snowballing'!$AC$2:$AC$281,"SOFTWARE ENG. OPERATIONS &gt; Software Engineering Operations Delivery")</f>
        <v>0</v>
      </c>
      <c r="AU60" s="17">
        <f>COUNTIFS('Prácticas_Revisiones'!$S$2:$S$282,"T050",'Prácticas_Revisiones'!$T$2:$T$282,"SOFTWARE ENG. OPERATIONS &gt; Software Engineering Operations Control")+COUNTIFS('Prácticas_Snowballing'!$AB$2:$AB$281,"T050",'Prácticas_Snowballing'!$AC$2:$AC$281,"SOFTWARE ENG. OPERATIONS &gt; Software Engineering Operations Control")</f>
        <v>0</v>
      </c>
      <c r="AV60" s="17">
        <f>COUNTIFS('Prácticas_Revisiones'!$S$2:$S$282,"T050",'Prácticas_Revisiones'!$T$2:$T$282,"SOFTWARE ENG. OPERATIONS &gt; Practical Considerations")+COUNTIFS('Prácticas_Snowballing'!$AB$2:$AB$281,"T050",'Prácticas_Snowballing'!$AC$2:$AC$281,"SOFTWARE ENG. OPERATIONS &gt; Practical Considerations")</f>
        <v>0</v>
      </c>
      <c r="AW60" s="17">
        <f>COUNTIFS('Prácticas_Revisiones'!$S$2:$S$282,"T050",'Prácticas_Revisiones'!$T$2:$T$282,"SOFTWARE ENG. OPERATIONS &gt; Software Engineering Operations Tools")+COUNTIFS('Prácticas_Snowballing'!$AB$2:$AB$281,"T050",'Prácticas_Snowballing'!$AC$2:$AC$281,"SOFTWARE ENG. OPERATIONS &gt; Software Engineering Operations Tools")</f>
        <v>0</v>
      </c>
      <c r="AX60" s="17">
        <f>COUNTIFS('Prácticas_Revisiones'!$S$2:$S$282,"T050",'Prácticas_Revisiones'!$T$2:$T$282,"SOFTWARE ENG. OPERATIONS &gt; Subárea no determinable")+COUNTIFS('Prácticas_Snowballing'!$AB$2:$AB$281,"T050",'Prácticas_Snowballing'!$AC$2:$AC$281,"SOFTWARE ENG. OPERATIONS &gt; Subárea no determinable")</f>
        <v>0</v>
      </c>
      <c r="AY60" s="29">
        <f t="shared" si="40"/>
        <v>0</v>
      </c>
      <c r="AZ60" s="17">
        <f>COUNTIFS('Prácticas_Revisiones'!$S$2:$S$282,"T050",'Prácticas_Revisiones'!$T$2:$T$282,"MAINTENANCE &gt; Software Maintenance Fundamentals")+COUNTIFS('Prácticas_Snowballing'!$AB$2:$AB$281,"T050",'Prácticas_Snowballing'!$AC$2:$AC$281,"MAINTENANCE &gt; Software Maintenance Fundamentals")</f>
        <v>0</v>
      </c>
      <c r="BA60" s="17">
        <f>COUNTIFS('Prácticas_Revisiones'!$S$2:$S$282,"T050",'Prácticas_Revisiones'!$T$2:$T$282,"MAINTENANCE &gt; Key Issues in Software Maintenance")+COUNTIFS('Prácticas_Snowballing'!$AB$2:$AB$281,"T050",'Prácticas_Snowballing'!$AC$2:$AC$281,"MAINTENANCE &gt; Key Issues in Software Maintenance")</f>
        <v>0</v>
      </c>
      <c r="BB60" s="17">
        <f>COUNTIFS('Prácticas_Revisiones'!$S$2:$S$282,"T050",'Prácticas_Revisiones'!$T$2:$T$282,"MAINTENANCE &gt; Software Maintenance Processes")+COUNTIFS('Prácticas_Snowballing'!$AB$2:$AB$281,"T050",'Prácticas_Snowballing'!$AC$2:$AC$281,"MAINTENANCE &gt; Software Maintenance Processes")</f>
        <v>0</v>
      </c>
      <c r="BC60" s="17">
        <f>COUNTIFS('Prácticas_Revisiones'!$S$2:$S$282,"T050",'Prácticas_Revisiones'!$T$2:$T$282,"MAINTENANCE &gt; Software Maintenance Techniques")+COUNTIFS('Prácticas_Snowballing'!$AB$2:$AB$281,"T050",'Prácticas_Snowballing'!$AC$2:$AC$281,"MAINTENANCE &gt; Software Maintenance Techniques")</f>
        <v>0</v>
      </c>
      <c r="BD60" s="17">
        <f>COUNTIFS('Prácticas_Revisiones'!$S$2:$S$282,"T050",'Prácticas_Revisiones'!$T$2:$T$282,"MAINTENANCE &gt; Software Maintenance Tools")+COUNTIFS('Prácticas_Snowballing'!$AB$2:$AB$281,"T050",'Prácticas_Snowballing'!$AC$2:$AC$281,"MAINTENANCE &gt; Software Maintenance Tools")</f>
        <v>0</v>
      </c>
      <c r="BE60" s="17">
        <f>COUNTIFS('Prácticas_Revisiones'!$S$2:$S$282,"T050",'Prácticas_Revisiones'!$T$2:$T$282,"MAINTENANCE &gt; Subárea no determinable")+COUNTIFS('Prácticas_Snowballing'!$AB$2:$AB$281,"T050",'Prácticas_Snowballing'!$AC$2:$AC$281,"MAINTENANCE &gt; Subárea no determinable")</f>
        <v>0</v>
      </c>
      <c r="BF60" s="29">
        <f t="shared" si="41"/>
        <v>0</v>
      </c>
      <c r="BG60" s="17">
        <f>COUNTIFS('Prácticas_Revisiones'!$S$2:$S$282,"T050",'Prácticas_Revisiones'!$T$2:$T$282,"SOFTWARE CONFIG. MGMT. &gt; Management of the SCM Process")+COUNTIFS('Prácticas_Snowballing'!$AB$2:$AB$281,"T050",'Prácticas_Snowballing'!$AC$2:$AC$281,"SOFTWARE CONFIG. MGMT. &gt; Management of the SCM Process")</f>
        <v>0</v>
      </c>
      <c r="BH60" s="17">
        <f>COUNTIFS('Prácticas_Revisiones'!$S$2:$S$282,"T050",'Prácticas_Revisiones'!$T$2:$T$282,"SOFTWARE CONFIG. MGMT. &gt; Software Configuration Identification")+COUNTIFS('Prácticas_Snowballing'!$AB$2:$AB$281,"T050",'Prácticas_Snowballing'!$AC$2:$AC$281,"SOFTWARE CONFIG. MGMT. &gt; Software Configuration Identification")</f>
        <v>0</v>
      </c>
      <c r="BI60" s="17">
        <f>COUNTIFS('Prácticas_Revisiones'!$S$2:$S$282,"T050",'Prácticas_Revisiones'!$T$2:$T$282,"SOFTWARE CONFIG. MGMT. &gt; Software Configuration Change Control")+COUNTIFS('Prácticas_Snowballing'!$AB$2:$AB$281,"T050",'Prácticas_Snowballing'!$AC$2:$AC$281,"SOFTWARE CONFIG. MGMT. &gt; Software Configuration Change Control")</f>
        <v>0</v>
      </c>
      <c r="BJ60" s="17">
        <f>COUNTIFS('Prácticas_Revisiones'!$S$2:$S$282,"T050",'Prácticas_Revisiones'!$T$2:$T$282,"SOFTWARE CONFIG. MGMT. &gt; Software Configuration Status Accounting")+COUNTIFS('Prácticas_Snowballing'!$AB$2:$AB$281,"T050",'Prácticas_Snowballing'!$AC$2:$AC$281,"SOFTWARE CONFIG. MGMT. &gt; Software Configuration Status Accounting")</f>
        <v>0</v>
      </c>
      <c r="BK60" s="17">
        <f>COUNTIFS('Prácticas_Revisiones'!$S$2:$S$282,"T050",'Prácticas_Revisiones'!$T$2:$T$282,"SOFTWARE CONFIG. MGMT. &gt; Software Configuration Auditing")+COUNTIFS('Prácticas_Snowballing'!$AB$2:$AB$281,"T050",'Prácticas_Snowballing'!$AC$2:$AC$281,"SOFTWARE CONFIG. MGMT. &gt; Software Configuration Auditing")</f>
        <v>0</v>
      </c>
      <c r="BL60" s="17">
        <f>COUNTIFS('Prácticas_Revisiones'!$S$2:$S$282,"T050",'Prácticas_Revisiones'!$T$2:$T$282,"SOFTWARE CONFIG. MGMT. &gt; Software Release Management and Delivery")+COUNTIFS('Prácticas_Snowballing'!$AB$2:$AB$281,"T050",'Prácticas_Snowballing'!$AC$2:$AC$281,"SOFTWARE CONFIG. MGMT. &gt; Software Release Management and Delivery")</f>
        <v>0</v>
      </c>
      <c r="BM60" s="17">
        <f>COUNTIFS('Prácticas_Revisiones'!$S$2:$S$282,"T050",'Prácticas_Revisiones'!$T$2:$T$282,"SOFTWARE CONFIG. MGMT. &gt; Software Configuration Management Tools")+COUNTIFS('Prácticas_Snowballing'!$AB$2:$AB$281,"T050",'Prácticas_Snowballing'!$AC$2:$AC$281,"SOFTWARE CONFIG. MGMT. &gt; Software Configuration Management Tools")</f>
        <v>0</v>
      </c>
      <c r="BN60" s="17">
        <f>COUNTIFS('Prácticas_Revisiones'!$S$2:$S$282,"T050",'Prácticas_Revisiones'!$T$2:$T$282,"SOFTWARE CONFIG. MGMT. &gt; Subárea no determinable")+COUNTIFS('Prácticas_Snowballing'!$AB$2:$AB$281,"T050",'Prácticas_Snowballing'!$AC$2:$AC$281,"SOFTWARE CONFIG. MGMT. &gt; Subárea no determinable")</f>
        <v>0</v>
      </c>
      <c r="BO60" s="29">
        <f t="shared" si="42"/>
        <v>0</v>
      </c>
      <c r="BP60" s="17">
        <f>COUNTIFS('Prácticas_Revisiones'!$S$2:$S$282,"T050",'Prácticas_Revisiones'!$T$2:$T$282,"SOFTWARE ENG. PROCESS &gt; Software Engineering Process Fundamentals")+COUNTIFS('Prácticas_Snowballing'!$AB$2:$AB$281,"T050",'Prácticas_Snowballing'!$AC$2:$AC$281,"SOFTWARE ENG. PROCESS &gt; Software Engineering Process Fundamentals")</f>
        <v>0</v>
      </c>
      <c r="BQ60" s="17">
        <f>COUNTIFS('Prácticas_Revisiones'!$S$2:$S$282,"T050",'Prácticas_Revisiones'!$T$2:$T$282,"SOFTWARE ENG. PROCESS &gt; Life Cycles")+COUNTIFS('Prácticas_Snowballing'!$AB$2:$AB$281,"T050",'Prácticas_Snowballing'!$AC$2:$AC$281,"SOFTWARE ENG. PROCESS &gt; Life Cycles")</f>
        <v>0</v>
      </c>
      <c r="BR60" s="17">
        <f>COUNTIFS('Prácticas_Revisiones'!$S$2:$S$282,"T050",'Prácticas_Revisiones'!$T$2:$T$282,"SOFTWARE ENG. PROCESS &gt; Software Process Assessment and Improvement")+COUNTIFS('Prácticas_Snowballing'!$AB$2:$AB$281,"T050",'Prácticas_Snowballing'!$AC$2:$AC$281,"SOFTWARE ENG. PROCESS &gt; Software Process Assessment and Improvement")</f>
        <v>0</v>
      </c>
      <c r="BS60" s="17">
        <f>COUNTIFS('Prácticas_Revisiones'!$S$2:$S$282,"T050",'Prácticas_Revisiones'!$T$2:$T$282,"SOFTWARE ENG. PROCESS &gt; Subárea no determinable")+COUNTIFS('Prácticas_Snowballing'!$AB$2:$AB$281,"T050",'Prácticas_Snowballing'!$AC$2:$AC$281,"SOFTWARE ENG. PROCESS &gt; Subárea no determinable")</f>
        <v>0</v>
      </c>
      <c r="BT60" s="29">
        <f t="shared" si="43"/>
        <v>0</v>
      </c>
      <c r="BU60" s="17">
        <f>COUNTIFS('Prácticas_Revisiones'!$S$2:$S$282,"T050",'Prácticas_Revisiones'!$T$2:$T$282,"SOFTWARE ENG. MODELS/METH. &gt; Modeling")+COUNTIFS('Prácticas_Snowballing'!$AB$2:$AB$281,"T050",'Prácticas_Snowballing'!$AC$2:$AC$281,"SOFTWARE ENG. MODELS/METH. &gt; Modeling")</f>
        <v>0</v>
      </c>
      <c r="BV60" s="17">
        <f>COUNTIFS('Prácticas_Revisiones'!$S$2:$S$282,"T050",'Prácticas_Revisiones'!$T$2:$T$282,"SOFTWARE ENG. MODELS/METH. &gt; Types of Models")+COUNTIFS('Prácticas_Snowballing'!$AB$2:$AB$281,"T050",'Prácticas_Snowballing'!$AC$2:$AC$281,"SOFTWARE ENG. MODELS/METH. &gt; Types of Models")</f>
        <v>0</v>
      </c>
      <c r="BW60" s="17">
        <f>COUNTIFS('Prácticas_Revisiones'!$S$2:$S$282,"T050",'Prácticas_Revisiones'!$T$2:$T$282,"SOFTWARE ENG. MODELS/METH. &gt; Analysis of Models")+COUNTIFS('Prácticas_Snowballing'!$AB$2:$AB$281,"T050",'Prácticas_Snowballing'!$AC$2:$AC$281,"SOFTWARE ENG. MODELS/METH. &gt; Analysis of Models")</f>
        <v>0</v>
      </c>
      <c r="BX60" s="17">
        <f>COUNTIFS('Prácticas_Revisiones'!$S$2:$S$282,"T050",'Prácticas_Revisiones'!$T$2:$T$282,"SOFTWARE ENG. MODELS/METH. &gt; Software Engineering Methods")+COUNTIFS('Prácticas_Snowballing'!$AB$2:$AB$281,"T050",'Prácticas_Snowballing'!$AC$2:$AC$281,"SOFTWARE ENG. MODELS/METH. &gt; Software Engineering Methods")</f>
        <v>0</v>
      </c>
      <c r="BY60" s="17">
        <f>COUNTIFS('Prácticas_Revisiones'!$S$2:$S$282,"T050",'Prácticas_Revisiones'!$T$2:$T$282,"SOFTWARE ENG. MODELS/METH. &gt; Subárea no determinable")+COUNTIFS('Prácticas_Snowballing'!$AB$2:$AB$281,"T050",'Prácticas_Snowballing'!$AC$2:$AC$281,"SOFTWARE ENG. MODELS/METH. &gt; Subárea no determinable")</f>
        <v>0</v>
      </c>
      <c r="BZ60" s="29">
        <f t="shared" si="44"/>
        <v>0</v>
      </c>
      <c r="CA60" s="17">
        <f>COUNTIFS('Prácticas_Revisiones'!$S$2:$S$282,"T050",'Prácticas_Revisiones'!$T$2:$T$282,"SOFTWARE QUALITY &gt; Software Quality Fundamentals")+COUNTIFS('Prácticas_Snowballing'!$AB$2:$AB$281,"T050",'Prácticas_Snowballing'!$AC$2:$AC$281,"SOFTWARE QUALITY &gt; Software Quality Fundamentals")</f>
        <v>0</v>
      </c>
      <c r="CB60" s="17">
        <f>COUNTIFS('Prácticas_Revisiones'!$S$2:$S$282,"T050",'Prácticas_Revisiones'!$T$2:$T$282,"SOFTWARE QUALITY &gt; Software Quality Management Process")+COUNTIFS('Prácticas_Snowballing'!$AB$2:$AB$281,"T050",'Prácticas_Snowballing'!$AC$2:$AC$281,"SOFTWARE QUALITY &gt; Software Quality Management Process")</f>
        <v>0</v>
      </c>
      <c r="CC60" s="17">
        <f>COUNTIFS('Prácticas_Revisiones'!$S$2:$S$282,"T050",'Prácticas_Revisiones'!$T$2:$T$282,"SOFTWARE QUALITY &gt; Software Quality Assurance Process")+COUNTIFS('Prácticas_Snowballing'!$AB$2:$AB$281,"T050",'Prácticas_Snowballing'!$AC$2:$AC$281,"SOFTWARE QUALITY &gt; Software Quality Assurance Process")</f>
        <v>0</v>
      </c>
      <c r="CD60" s="17">
        <f>COUNTIFS('Prácticas_Revisiones'!$S$2:$S$282,"T050",'Prácticas_Revisiones'!$T$2:$T$282,"SOFTWARE QUALITY &gt; Software Quality Tools")+COUNTIFS('Prácticas_Snowballing'!$AB$2:$AB$281,"T050",'Prácticas_Snowballing'!$AC$2:$AC$281,"SOFTWARE QUALITY &gt; Software Quality Tools")</f>
        <v>0</v>
      </c>
      <c r="CE60" s="17">
        <f>COUNTIFS('Prácticas_Revisiones'!$S$2:$S$282,"T050",'Prácticas_Revisiones'!$T$2:$T$282,"SOFTWARE QUALITY &gt; Subárea no determinable")+COUNTIFS('Prácticas_Snowballing'!$AB$2:$AB$281,"T050",'Prácticas_Snowballing'!$AC$2:$AC$281,"SOFTWARE QUALITY &gt; Subárea no determinable")</f>
        <v>0</v>
      </c>
      <c r="CF60" s="29">
        <f t="shared" si="45"/>
        <v>0</v>
      </c>
      <c r="CG60" s="17">
        <f>COUNTIFS('Prácticas_Revisiones'!$S$2:$S$282,"T050",'Prácticas_Revisiones'!$T$2:$T$282,"SOFTWARE SECURITY &gt; Software Security Fundamentals")+COUNTIFS('Prácticas_Snowballing'!$AB$2:$AB$281,"T050",'Prácticas_Snowballing'!$AC$2:$AC$281,"SOFTWARE SECURITY &gt; Software Security Fundamentals")</f>
        <v>0</v>
      </c>
      <c r="CH60" s="17">
        <f>COUNTIFS('Prácticas_Revisiones'!$S$2:$S$282,"T050",'Prácticas_Revisiones'!$T$2:$T$282,"SOFTWARE SECURITY &gt; Security Management and Organization")+COUNTIFS('Prácticas_Snowballing'!$AB$2:$AB$281,"T050",'Prácticas_Snowballing'!$AC$2:$AC$281,"SOFTWARE SECURITY &gt; Security Management and Organization")</f>
        <v>0</v>
      </c>
      <c r="CI60" s="17">
        <f>COUNTIFS('Prácticas_Revisiones'!$S$2:$S$282,"T050",'Prácticas_Revisiones'!$T$2:$T$282,"SOFTWARE SECURITY &gt; Software Security Engineering and Process")+COUNTIFS('Prácticas_Snowballing'!$AB$2:$AB$281,"T050",'Prácticas_Snowballing'!$AC$2:$AC$281,"SOFTWARE SECURITY &gt; Software Security Engineering and Process")</f>
        <v>0</v>
      </c>
      <c r="CJ60" s="17">
        <f>COUNTIFS('Prácticas_Revisiones'!$S$2:$S$282,"T050",'Prácticas_Revisiones'!$T$2:$T$282,"SOFTWARE SECURITY &gt; Security Engineering for Software Systems")+COUNTIFS('Prácticas_Snowballing'!$AB$2:$AB$281,"T050",'Prácticas_Snowballing'!$AC$2:$AC$281,"SOFTWARE SECURITY &gt; Security Engineering for Software Systems")</f>
        <v>0</v>
      </c>
      <c r="CK60" s="17">
        <f>COUNTIFS('Prácticas_Revisiones'!$S$2:$S$282,"T050",'Prácticas_Revisiones'!$T$2:$T$282,"SOFTWARE SECURITY &gt; Software Security Tools")+COUNTIFS('Prácticas_Snowballing'!$AB$2:$AB$281,"T050",'Prácticas_Snowballing'!$AC$2:$AC$281,"SOFTWARE SECURITY &gt; Software Security Tools")</f>
        <v>0</v>
      </c>
      <c r="CL60" s="17">
        <f>COUNTIFS('Prácticas_Revisiones'!$S$2:$S$282,"T050",'Prácticas_Revisiones'!$T$2:$T$282,"SOFTWARE SECURITY &gt; Domain Specific Software Security")+COUNTIFS('Prácticas_Snowballing'!$AB$2:$AB$281,"T050",'Prácticas_Snowballing'!$AC$2:$AC$281,"SOFTWARE SECURITY &gt; Domain Specific Software Security")</f>
        <v>0</v>
      </c>
      <c r="CM60" s="17">
        <f>COUNTIFS('Prácticas_Revisiones'!$S$2:$S$282,"T050",'Prácticas_Revisiones'!$T$2:$T$282,"SOFTWARE SECURITY &gt; Subárea no determinable")+COUNTIFS('Prácticas_Snowballing'!$AB$2:$AB$281,"T050",'Prácticas_Snowballing'!$AC$2:$AC$281,"SOFTWARE SECURITY &gt; Subárea no determinable")</f>
        <v>0</v>
      </c>
      <c r="CN60" s="29">
        <f t="shared" si="46"/>
        <v>0</v>
      </c>
      <c r="CO60" s="17">
        <f>COUNTIFS('Prácticas_Revisiones'!$S$2:$S$282,"T050",'Prácticas_Revisiones'!$T$2:$T$282,"PROFESSIONAL PRACTICE &gt; Professionalism")+COUNTIFS('Prácticas_Snowballing'!$AB$2:$AB$281,"T050",'Prácticas_Snowballing'!$AC$2:$AC$281,"PROFESSIONAL PRACTICE &gt; Professionalism")</f>
        <v>0</v>
      </c>
      <c r="CP60" s="17">
        <f>COUNTIFS('Prácticas_Revisiones'!$S$2:$S$282,"T050",'Prácticas_Revisiones'!$T$2:$T$282,"PROFESSIONAL PRACTICE &gt; Group Dynamics and Psychology")+COUNTIFS('Prácticas_Snowballing'!$AB$2:$AB$281,"T050",'Prácticas_Snowballing'!$AC$2:$AC$281,"PROFESSIONAL PRACTICE &gt; Group Dynamics and Psychology")</f>
        <v>0</v>
      </c>
      <c r="CQ60" s="17">
        <f>COUNTIFS('Prácticas_Revisiones'!$S$2:$S$282,"T050",'Prácticas_Revisiones'!$T$2:$T$282,"PROFESSIONAL PRACTICE &gt; Communication Skills")+COUNTIFS('Prácticas_Snowballing'!$AB$2:$AB$281,"T050",'Prácticas_Snowballing'!$AC$2:$AC$281,"PROFESSIONAL PRACTICE &gt; Communication Skills")</f>
        <v>0</v>
      </c>
      <c r="CR60" s="17">
        <f>COUNTIFS('Prácticas_Revisiones'!$S$2:$S$282,"T050",'Prácticas_Revisiones'!$T$2:$T$282,"PROFESSIONAL PRACTICE &gt; Subárea no determinable")+COUNTIFS('Prácticas_Snowballing'!$AB$2:$AB$281,"T050",'Prácticas_Snowballing'!$AC$2:$AC$281,"PROFESSIONAL PRACTICE &gt; Subárea no determinable")</f>
        <v>0</v>
      </c>
      <c r="CS60" s="29">
        <f t="shared" si="47"/>
        <v>0</v>
      </c>
      <c r="CT60" s="17">
        <f>COUNTIFS('Prácticas_Revisiones'!$S$2:$S$282,"T050",'Prácticas_Revisiones'!$T$2:$T$282,"SOFTWARE ENG. ECONOMICS &gt; Software Engineering Economics Fundamentals")+COUNTIFS('Prácticas_Snowballing'!$AB$2:$AB$281,"T050",'Prácticas_Snowballing'!$AC$2:$AC$281,"SOFTWARE ENG. ECONOMICS &gt; Software Engineering Economics Fundamentals")</f>
        <v>0</v>
      </c>
      <c r="CU60" s="17">
        <f>COUNTIFS('Prácticas_Revisiones'!$S$2:$S$282,"T050",'Prácticas_Revisiones'!$T$2:$T$282,"SOFTWARE ENG. ECONOMICS &gt; The Engineering Decision-Making Process")+COUNTIFS('Prácticas_Snowballing'!$AB$2:$AB$281,"T050",'Prácticas_Snowballing'!$AC$2:$AC$281,"SOFTWARE ENG. ECONOMICS &gt; The Engineering Decision-Making Process")</f>
        <v>0</v>
      </c>
      <c r="CV60" s="17">
        <f>COUNTIFS('Prácticas_Revisiones'!$S$2:$S$282,"T050",'Prácticas_Revisiones'!$T$2:$T$282,"SOFTWARE ENG. ECONOMICS &gt; For-Profit Decision-Making")+COUNTIFS('Prácticas_Snowballing'!$AB$2:$AB$281,"T050",'Prácticas_Snowballing'!$AC$2:$AC$281,"SOFTWARE ENG. ECONOMICS &gt; For-Profit Decision-Making")</f>
        <v>0</v>
      </c>
      <c r="CW60" s="17">
        <f>COUNTIFS('Prácticas_Revisiones'!$S$2:$S$282,"T050",'Prácticas_Revisiones'!$T$2:$T$282,"SOFTWARE ENG. ECONOMICS &gt; Nonprofit Decision-Making")+COUNTIFS('Prácticas_Snowballing'!$AB$2:$AB$281,"T050",'Prácticas_Snowballing'!$AC$2:$AC$281,"SOFTWARE ENG. ECONOMICS &gt; Nonprofit Decision-Making")</f>
        <v>0</v>
      </c>
      <c r="CX60" s="17">
        <f>COUNTIFS('Prácticas_Revisiones'!$S$2:$S$282,"T050",'Prácticas_Revisiones'!$T$2:$T$282,"SOFTWARE ENG. ECONOMICS &gt; Present Economy Decision-Making")+COUNTIFS('Prácticas_Snowballing'!$AB$2:$AB$281,"T050",'Prácticas_Snowballing'!$AC$2:$AC$281,"SOFTWARE ENG. ECONOMICS &gt; Present Economy Decision-Making")</f>
        <v>0</v>
      </c>
      <c r="CY60" s="17">
        <f>COUNTIFS('Prácticas_Revisiones'!$S$2:$S$282,"T050",'Prácticas_Revisiones'!$T$2:$T$282,"SOFTWARE ENG. ECONOMICS &gt; Multiple-Attribute Decision-Making")+COUNTIFS('Prácticas_Snowballing'!$AB$2:$AB$281,"T050",'Prácticas_Snowballing'!$AC$2:$AC$281,"SOFTWARE ENG. ECONOMICS &gt; Multiple-Attribute Decision-Making")</f>
        <v>0</v>
      </c>
      <c r="CZ60" s="17">
        <f>COUNTIFS('Prácticas_Revisiones'!$S$2:$S$282,"T050",'Prácticas_Revisiones'!$T$2:$T$282,"SOFTWARE ENG. ECONOMICS &gt; Identifying and Characterizing Intangible Assets")+COUNTIFS('Prácticas_Snowballing'!$AB$2:$AB$281,"T050",'Prácticas_Snowballing'!$AC$2:$AC$281,"SOFTWARE ENG. ECONOMICS &gt; Identifying and Characterizing Intangible Assets")</f>
        <v>0</v>
      </c>
      <c r="DA60" s="17">
        <f>COUNTIFS('Prácticas_Revisiones'!$S$2:$S$282,"T050",'Prácticas_Revisiones'!$T$2:$T$282,"SOFTWARE ENG. ECONOMICS &gt; Estimation")+COUNTIFS('Prácticas_Snowballing'!$AB$2:$AB$281,"T050",'Prácticas_Snowballing'!$AC$2:$AC$281,"SOFTWARE ENG. ECONOMICS &gt; Estimation")</f>
        <v>0</v>
      </c>
      <c r="DB60" s="17">
        <f>COUNTIFS('Prácticas_Revisiones'!$S$2:$S$282,"T050",'Prácticas_Revisiones'!$T$2:$T$282,"SOFTWARE ENG. ECONOMICS &gt; Practical Considerations")+COUNTIFS('Prácticas_Snowballing'!$AB$2:$AB$281,"T050",'Prácticas_Snowballing'!$AC$2:$AC$281,"SOFTWARE ENG. ECONOMICS &gt; Practical Considerations")</f>
        <v>0</v>
      </c>
      <c r="DC60" s="17">
        <f>COUNTIFS('Prácticas_Revisiones'!$S$2:$S$282,"T050",'Prácticas_Revisiones'!$T$2:$T$282,"SOFTWARE ENG. ECONOMICS &gt; Related Concepts")+COUNTIFS('Prácticas_Snowballing'!$AB$2:$AB$281,"T050",'Prácticas_Snowballing'!$AC$2:$AC$281,"SOFTWARE ENG. ECONOMICS &gt; Related Concepts")</f>
        <v>0</v>
      </c>
      <c r="DD60" s="17">
        <f>COUNTIFS('Prácticas_Revisiones'!$S$2:$S$282,"T050",'Prácticas_Revisiones'!$T$2:$T$282,"SOFTWARE ENG. ECONOMICS &gt; Subárea no determinable")+COUNTIFS('Prácticas_Snowballing'!$AB$2:$AB$281,"T050",'Prácticas_Snowballing'!$AC$2:$AC$281,"SOFTWARE ENG. ECONOMICS &gt; Subárea no determinable")</f>
        <v>0</v>
      </c>
      <c r="DE60" s="29">
        <f t="shared" si="48"/>
        <v>0</v>
      </c>
      <c r="DF60" s="17">
        <f>COUNTIFS('Prácticas_Revisiones'!$S$2:$S$282,"T050",'Prácticas_Revisiones'!$T$2:$T$282,"SOFTWARE ENG. MANAGEMENT &gt; Software Engineering Management Fundamentals")+COUNTIFS('Prácticas_Snowballing'!$AB$2:$AB$281,"T050",'Prácticas_Snowballing'!$AC$2:$AC$281,"SOFTWARE ENG. MANAGEMENT &gt; Software Engineering Management Fundamentals")</f>
        <v>0</v>
      </c>
      <c r="DG60" s="17">
        <f>COUNTIFS('Prácticas_Revisiones'!$S$2:$S$282,"T050",'Prácticas_Revisiones'!$T$2:$T$282,"SOFTWARE ENG. MANAGEMENT &gt; Initiation and Scope Definition")+COUNTIFS('Prácticas_Snowballing'!$AB$2:$AB$281,"T050",'Prácticas_Snowballing'!$AC$2:$AC$281,"SOFTWARE ENG. MANAGEMENT &gt; Initiation and Scope Definition")</f>
        <v>0</v>
      </c>
      <c r="DH60" s="17">
        <f>COUNTIFS('Prácticas_Revisiones'!$S$2:$S$282,"T050",'Prácticas_Revisiones'!$T$2:$T$282,"SOFTWARE ENG. MANAGEMENT &gt; Software Project Planning")+COUNTIFS('Prácticas_Snowballing'!$AB$2:$AB$281,"T050",'Prácticas_Snowballing'!$AC$2:$AC$281,"SOFTWARE ENG. MANAGEMENT &gt; Software Project Planning")</f>
        <v>0</v>
      </c>
      <c r="DI60" s="17">
        <f>COUNTIFS('Prácticas_Revisiones'!$S$2:$S$282,"T050",'Prácticas_Revisiones'!$T$2:$T$282,"SOFTWARE ENG. MANAGEMENT &gt; Software Project Enactment")+COUNTIFS('Prácticas_Snowballing'!$AB$2:$AB$281,"T050",'Prácticas_Snowballing'!$AC$2:$AC$281,"SOFTWARE ENG. MANAGEMENT &gt; Software Project Enactment")</f>
        <v>0</v>
      </c>
      <c r="DJ60" s="17">
        <f>COUNTIFS('Prácticas_Revisiones'!$S$2:$S$282,"T050",'Prácticas_Revisiones'!$T$2:$T$282,"SOFTWARE ENG. MANAGEMENT &gt; Review and Evaluation")+COUNTIFS('Prácticas_Snowballing'!$AB$2:$AB$281,"T050",'Prácticas_Snowballing'!$AC$2:$AC$281,"SOFTWARE ENG. MANAGEMENT &gt; Review and Evaluation")</f>
        <v>0</v>
      </c>
      <c r="DK60" s="17">
        <f>COUNTIFS('Prácticas_Revisiones'!$S$2:$S$282,"T050",'Prácticas_Revisiones'!$T$2:$T$282,"SOFTWARE ENG. MANAGEMENT &gt; Closure")+COUNTIFS('Prácticas_Snowballing'!$AB$2:$AB$281,"T050",'Prácticas_Snowballing'!$AC$2:$AC$281,"SOFTWARE ENG. MANAGEMENT &gt; Closure")</f>
        <v>0</v>
      </c>
      <c r="DL60" s="17">
        <f>COUNTIFS('Prácticas_Revisiones'!$S$2:$S$282,"T050",'Prácticas_Revisiones'!$T$2:$T$282,"SOFTWARE ENG. MANAGEMENT &gt; Software Engineering Management Tools")+COUNTIFS('Prácticas_Snowballing'!$AB$2:$AB$281,"T050",'Prácticas_Snowballing'!$AC$2:$AC$281,"SOFTWARE ENG. MANAGEMENT &gt; Software Engineering Management Tools")</f>
        <v>0</v>
      </c>
      <c r="DM60" s="17">
        <f>COUNTIFS('Prácticas_Revisiones'!$S$2:$S$282,"T050",'Prácticas_Revisiones'!$T$2:$T$282,"SOFTWARE ENG. MANAGEMENT &gt; Subárea no determinable")+COUNTIFS('Prácticas_Snowballing'!$AB$2:$AB$281,"T050",'Prácticas_Snowballing'!$AC$2:$AC$281,"SOFTWARE ENG. MANAGEMENT &gt; Subárea no determinable")</f>
        <v>0</v>
      </c>
      <c r="DN60" s="29">
        <f t="shared" si="49"/>
        <v>0</v>
      </c>
      <c r="DO60" s="17">
        <f>COUNTIFS('Prácticas_Revisiones'!$S$2:$S$282,"T050",'Prácticas_Revisiones'!$T$2:$T$282,"Sin área SWEBOK")+COUNTIFS('Prácticas_Snowballing'!$AB$2:$AB$281,"T050",'Prácticas_Snowballing'!$AC$2:$AC$281,"Sin área SWEBOK")</f>
        <v>0</v>
      </c>
      <c r="DP60" s="27">
        <f t="shared" si="50"/>
        <v>0</v>
      </c>
    </row>
    <row r="61" ht="15.75" customHeight="1">
      <c r="A61" s="28"/>
      <c r="B61" s="16" t="s">
        <v>2806</v>
      </c>
      <c r="C61" s="17">
        <f>COUNTIFS('Prácticas_Revisiones'!$S$2:$S$282,"T051",'Prácticas_Revisiones'!$T$2:$T$282,"REQUIREMENTS &gt; Software Requirements Fundamentals")+COUNTIFS('Prácticas_Snowballing'!$AB$2:$AB$281,"T051",'Prácticas_Snowballing'!$AC$2:$AC$281,"REQUIREMENTS &gt; Software Requirements Fundamentals")</f>
        <v>0</v>
      </c>
      <c r="D61" s="17">
        <f>COUNTIFS('Prácticas_Revisiones'!$S$2:$S$282,"T051",'Prácticas_Revisiones'!$T$2:$T$282,"REQUIREMENTS &gt; Requirements Elicitation")+COUNTIFS('Prácticas_Snowballing'!$AB$2:$AB$281,"T051",'Prácticas_Snowballing'!$AC$2:$AC$281,"REQUIREMENTS &gt; Requirements Elicitation")</f>
        <v>0</v>
      </c>
      <c r="E61" s="17">
        <f>COUNTIFS('Prácticas_Revisiones'!$S$2:$S$282,"T051",'Prácticas_Revisiones'!$T$2:$T$282,"REQUIREMENTS &gt; Requirements Analysis")+COUNTIFS('Prácticas_Snowballing'!$AB$2:$AB$281,"T051",'Prácticas_Snowballing'!$AC$2:$AC$281,"REQUIREMENTS &gt; Requirements Analysis")</f>
        <v>0</v>
      </c>
      <c r="F61" s="17">
        <f>COUNTIFS('Prácticas_Revisiones'!$S$2:$S$282,"T051",'Prácticas_Revisiones'!$T$2:$T$282,"REQUIREMENTS &gt; Requirements Specification")+COUNTIFS('Prácticas_Snowballing'!$AB$2:$AB$281,"T051",'Prácticas_Snowballing'!$AC$2:$AC$281,"REQUIREMENTS &gt; Requirements Specification")</f>
        <v>0</v>
      </c>
      <c r="G61" s="17">
        <f>COUNTIFS('Prácticas_Revisiones'!$S$2:$S$282,"T051",'Prácticas_Revisiones'!$T$2:$T$282,"REQUIREMENTS &gt; Requirements Validation")+COUNTIFS('Prácticas_Snowballing'!$AB$2:$AB$281,"T051",'Prácticas_Snowballing'!$AC$2:$AC$281,"REQUIREMENTS &gt; Requirements Validation")</f>
        <v>0</v>
      </c>
      <c r="H61" s="17">
        <f>COUNTIFS('Prácticas_Revisiones'!$S$2:$S$282,"T051",'Prácticas_Revisiones'!$T$2:$T$282,"REQUIREMENTS &gt; Requirements Management Activities")+COUNTIFS('Prácticas_Snowballing'!$AB$2:$AB$281,"T051",'Prácticas_Snowballing'!$AC$2:$AC$281,"REQUIREMENTS &gt; Requirements Management Activities")</f>
        <v>0</v>
      </c>
      <c r="I61" s="17">
        <f>COUNTIFS('Prácticas_Revisiones'!$S$2:$S$282,"T051",'Prácticas_Revisiones'!$T$2:$T$282,"REQUIREMENTS &gt; Practical Considerations")+COUNTIFS('Prácticas_Snowballing'!$AB$2:$AB$281,"T051",'Prácticas_Snowballing'!$AC$2:$AC$281,"REQUIREMENTS &gt; Practical Considerations")</f>
        <v>0</v>
      </c>
      <c r="J61" s="17">
        <f>COUNTIFS('Prácticas_Revisiones'!$S$2:$S$282,"T051",'Prácticas_Revisiones'!$T$2:$T$282,"REQUIREMENTS &gt; Software Requirements Tools")+COUNTIFS('Prácticas_Snowballing'!$AB$2:$AB$281,"T051",'Prácticas_Snowballing'!$AC$2:$AC$281,"REQUIREMENTS &gt; Software Requirements Tools")</f>
        <v>0</v>
      </c>
      <c r="K61" s="17">
        <f>COUNTIFS('Prácticas_Revisiones'!$S$2:$S$282,"T051",'Prácticas_Revisiones'!$T$2:$T$282,"REQUIREMENTS &gt; Subárea no determinable")+COUNTIFS('Prácticas_Snowballing'!$AB$2:$AB$281,"T051",'Prácticas_Snowballing'!$AC$2:$AC$281,"REQUIREMENTS &gt; Subárea no determinable")</f>
        <v>0</v>
      </c>
      <c r="L61" s="29">
        <f t="shared" si="35"/>
        <v>0</v>
      </c>
      <c r="M61" s="17">
        <f>COUNTIFS('Prácticas_Revisiones'!$S$2:$S$282,"T051",'Prácticas_Revisiones'!$T$2:$T$282,"ARCHITECTURE &gt; Software Architecture Fundamentals")+COUNTIFS('Prácticas_Snowballing'!$AB$2:$AB$281,"T051",'Prácticas_Snowballing'!$AC$2:$AC$281,"ARCHITECTURE &gt; Software Architecture Fundamentals")</f>
        <v>0</v>
      </c>
      <c r="N61" s="17">
        <f>COUNTIFS('Prácticas_Revisiones'!$S$2:$S$282,"T051",'Prácticas_Revisiones'!$T$2:$T$282,"ARCHITECTURE &gt; Software Architecture Description")+COUNTIFS('Prácticas_Snowballing'!$AB$2:$AB$281,"T051",'Prácticas_Snowballing'!$AC$2:$AC$281,"ARCHITECTURE &gt; Software Architecture Description")</f>
        <v>0</v>
      </c>
      <c r="O61" s="17">
        <f>COUNTIFS('Prácticas_Revisiones'!$S$2:$S$282,"T051",'Prácticas_Revisiones'!$T$2:$T$282,"ARCHITECTURE &gt; Software Architecture Process")+COUNTIFS('Prácticas_Snowballing'!$AB$2:$AB$281,"T051",'Prácticas_Snowballing'!$AC$2:$AC$281,"ARCHITECTURE &gt; Software Architecture Process")</f>
        <v>0</v>
      </c>
      <c r="P61" s="17">
        <f>COUNTIFS('Prácticas_Revisiones'!$S$2:$S$282,"T051",'Prácticas_Revisiones'!$T$2:$T$282,"ARCHITECTURE &gt; Software Architecture Evaluation")+COUNTIFS('Prácticas_Snowballing'!$AB$2:$AB$281,"T051",'Prácticas_Snowballing'!$AC$2:$AC$281,"ARCHITECTURE &gt; Software Architecture Evaluation")</f>
        <v>0</v>
      </c>
      <c r="Q61" s="17">
        <f>COUNTIFS('Prácticas_Revisiones'!$S$2:$S$282,"T051",'Prácticas_Revisiones'!$T$2:$T$282,"ARCHITECTURE &gt; Subárea no determinable")+COUNTIFS('Prácticas_Snowballing'!$AB$2:$AB$281,"T051",'Prácticas_Snowballing'!$AC$2:$AC$281,"ARCHITECTURE &gt; Subárea no determinable")</f>
        <v>0</v>
      </c>
      <c r="R61" s="29">
        <f t="shared" si="36"/>
        <v>0</v>
      </c>
      <c r="S61" s="17">
        <f>COUNTIFS('Prácticas_Revisiones'!$S$2:$S$282,"T051",'Prácticas_Revisiones'!$T$2:$T$282,"DESIGN &gt; Software Design Fundamentals")+COUNTIFS('Prácticas_Snowballing'!$AB$2:$AB$281,"T051",'Prácticas_Snowballing'!$AC$2:$AC$281,"DESIGN &gt; Software Design Fundamentals")</f>
        <v>0</v>
      </c>
      <c r="T61" s="17">
        <f>COUNTIFS('Prácticas_Revisiones'!$S$2:$S$282,"T051",'Prácticas_Revisiones'!$T$2:$T$282,"DESIGN &gt; Software Design Processes")+COUNTIFS('Prácticas_Snowballing'!$AB$2:$AB$281,"T051",'Prácticas_Snowballing'!$AC$2:$AC$281,"DESIGN &gt; Software Design Processes")</f>
        <v>0</v>
      </c>
      <c r="U61" s="17">
        <f>COUNTIFS('Prácticas_Revisiones'!$S$2:$S$282,"T051",'Prácticas_Revisiones'!$T$2:$T$282,"DESIGN &gt; Software Design Qualities")+COUNTIFS('Prácticas_Snowballing'!$AB$2:$AB$281,"T051",'Prácticas_Snowballing'!$AC$2:$AC$281,"DESIGN &gt; Software Design Qualities")</f>
        <v>0</v>
      </c>
      <c r="V61" s="17">
        <f>COUNTIFS('Prácticas_Revisiones'!$S$2:$S$282,"T051",'Prácticas_Revisiones'!$T$2:$T$282,"DESIGN &gt; Recording Software Design")+COUNTIFS('Prácticas_Snowballing'!$AB$2:$AB$281,"T051",'Prácticas_Snowballing'!$AC$2:$AC$281,"DESIGN &gt; Recording Software Design")</f>
        <v>0</v>
      </c>
      <c r="W61" s="17">
        <f>COUNTIFS('Prácticas_Revisiones'!$S$2:$S$282,"T051",'Prácticas_Revisiones'!$T$2:$T$282,"DESIGN &gt; Software Design Strategies and Methods")+COUNTIFS('Prácticas_Snowballing'!$AB$2:$AB$281,"T051",'Prácticas_Snowballing'!$AC$2:$AC$281,"DESIGN &gt; Software Design Strategies and Methods")</f>
        <v>0</v>
      </c>
      <c r="X61" s="17">
        <f>COUNTIFS('Prácticas_Revisiones'!$S$2:$S$282,"T051",'Prácticas_Revisiones'!$T$2:$T$282,"DESIGN &gt; Software Design Analysis and Evaluations")+COUNTIFS('Prácticas_Snowballing'!$AB$2:$AB$281,"T051",'Prácticas_Snowballing'!$AC$2:$AC$281,"DESIGN &gt; Software Design Analysis and Evaluations")</f>
        <v>0</v>
      </c>
      <c r="Y61" s="17">
        <f>COUNTIFS('Prácticas_Revisiones'!$S$2:$S$282,"T051",'Prácticas_Revisiones'!$T$2:$T$282,"DESIGN &gt; Subárea no determinable")+COUNTIFS('Prácticas_Snowballing'!$AB$2:$AB$281,"T051",'Prácticas_Snowballing'!$AC$2:$AC$281,"DESIGN &gt; Subárea no determinable")</f>
        <v>0</v>
      </c>
      <c r="Z61" s="29">
        <f t="shared" si="37"/>
        <v>0</v>
      </c>
      <c r="AA61" s="17">
        <f>COUNTIFS('Prácticas_Revisiones'!$S$2:$S$282,"T051",'Prácticas_Revisiones'!$T$2:$T$282,"CONSTRUCTION &gt; Software Construction Fundamentals")+COUNTIFS('Prácticas_Snowballing'!$AB$2:$AB$281,"T051",'Prácticas_Snowballing'!$AC$2:$AC$281,"CONSTRUCTION &gt; Software Construction Fundamentals")</f>
        <v>7</v>
      </c>
      <c r="AB61" s="17">
        <f>COUNTIFS('Prácticas_Revisiones'!$S$2:$S$282,"T051",'Prácticas_Revisiones'!$T$2:$T$282,"CONSTRUCTION &gt; Managing Construction")+COUNTIFS('Prácticas_Snowballing'!$AB$2:$AB$281,"T051",'Prácticas_Snowballing'!$AC$2:$AC$281,"CONSTRUCTION &gt; Managing Construction")</f>
        <v>1</v>
      </c>
      <c r="AC61" s="17">
        <f>COUNTIFS('Prácticas_Revisiones'!$S$2:$S$282,"T051",'Prácticas_Revisiones'!$T$2:$T$282,"CONSTRUCTION &gt; Practical Considerations")+COUNTIFS('Prácticas_Snowballing'!$AB$2:$AB$281,"T051",'Prácticas_Snowballing'!$AC$2:$AC$281,"CONSTRUCTION &gt; Practical Considerations")</f>
        <v>5</v>
      </c>
      <c r="AD61" s="17">
        <f>COUNTIFS('Prácticas_Revisiones'!$S$2:$S$282,"T051",'Prácticas_Revisiones'!$T$2:$T$282,"CONSTRUCTION &gt; Construction Technologies")+COUNTIFS('Prácticas_Snowballing'!$AB$2:$AB$281,"T051",'Prácticas_Snowballing'!$AC$2:$AC$281,"CONSTRUCTION &gt; Construction Technologies")</f>
        <v>6</v>
      </c>
      <c r="AE61" s="17">
        <f>COUNTIFS('Prácticas_Revisiones'!$S$2:$S$282,"T051",'Prácticas_Revisiones'!$T$2:$T$282,"CONSTRUCTION &gt; Software Construction Tools")+COUNTIFS('Prácticas_Snowballing'!$AB$2:$AB$281,"T051",'Prácticas_Snowballing'!$AC$2:$AC$281,"CONSTRUCTION &gt; Software Construction Tools")</f>
        <v>4</v>
      </c>
      <c r="AF61" s="17">
        <f>COUNTIFS('Prácticas_Revisiones'!$S$2:$S$282,"T051",'Prácticas_Revisiones'!$T$2:$T$282,"CONSTRUCTION &gt; Subárea no determinable")+COUNTIFS('Prácticas_Snowballing'!$AB$2:$AB$281,"T051",'Prácticas_Snowballing'!$AC$2:$AC$281,"CONSTRUCTION &gt; Subárea no determinable")</f>
        <v>0</v>
      </c>
      <c r="AG61" s="29">
        <f t="shared" si="38"/>
        <v>23</v>
      </c>
      <c r="AH61" s="17">
        <f>COUNTIFS('Prácticas_Revisiones'!$S$2:$S$282,"T051",'Prácticas_Revisiones'!$T$2:$T$282,"SOFTWARE TESTING &gt; Software Testing Fundamentals")+COUNTIFS('Prácticas_Snowballing'!$AB$2:$AB$281,"T051",'Prácticas_Snowballing'!$AC$2:$AC$281,"SOFTWARE TESTING &gt; Software Testing Fundamentals")</f>
        <v>0</v>
      </c>
      <c r="AI61" s="17">
        <f>COUNTIFS('Prácticas_Revisiones'!$S$2:$S$282,"T051",'Prácticas_Revisiones'!$T$2:$T$282,"SOFTWARE TESTING &gt; Test Levels")+COUNTIFS('Prácticas_Snowballing'!$AB$2:$AB$281,"T051",'Prácticas_Snowballing'!$AC$2:$AC$281,"SOFTWARE TESTING &gt; Test Levels")</f>
        <v>0</v>
      </c>
      <c r="AJ61" s="17">
        <f>COUNTIFS('Prácticas_Revisiones'!$S$2:$S$282,"T051",'Prácticas_Revisiones'!$T$2:$T$282,"SOFTWARE TESTING &gt; Test Techniques")+COUNTIFS('Prácticas_Snowballing'!$AB$2:$AB$281,"T051",'Prácticas_Snowballing'!$AC$2:$AC$281,"SOFTWARE TESTING &gt; Test Techniques")</f>
        <v>1</v>
      </c>
      <c r="AK61" s="17">
        <f>COUNTIFS('Prácticas_Revisiones'!$S$2:$S$282,"T051",'Prácticas_Revisiones'!$T$2:$T$282,"SOFTWARE TESTING &gt; Test-Related Measures")+COUNTIFS('Prácticas_Snowballing'!$AB$2:$AB$281,"T051",'Prácticas_Snowballing'!$AC$2:$AC$281,"SOFTWARE TESTING &gt; Test-Related Measures")</f>
        <v>1</v>
      </c>
      <c r="AL61" s="17">
        <f>COUNTIFS('Prácticas_Revisiones'!$S$2:$S$282,"T051",'Prácticas_Revisiones'!$T$2:$T$282,"SOFTWARE TESTING &gt; Test Process")+COUNTIFS('Prácticas_Snowballing'!$AB$2:$AB$281,"T051",'Prácticas_Snowballing'!$AC$2:$AC$281,"SOFTWARE TESTING &gt; Test Process")</f>
        <v>0</v>
      </c>
      <c r="AM61" s="17">
        <f>COUNTIFS('Prácticas_Revisiones'!$S$2:$S$282,"T051",'Prácticas_Revisiones'!$T$2:$T$282,"SOFTWARE TESTING &gt; Software Testing in the Development Processes...")+COUNTIFS('Prácticas_Snowballing'!$AB$2:$AB$281,"T051",'Prácticas_Snowballing'!$AC$2:$AC$281,"SOFTWARE TESTING &gt; Software Testing in the Development Processes...")</f>
        <v>0</v>
      </c>
      <c r="AN61" s="17">
        <f>COUNTIFS('Prácticas_Revisiones'!$S$2:$S$282,"T051",'Prácticas_Revisiones'!$T$2:$T$282,"SOFTWARE TESTING &gt; Testing of and Testing Through Emerging Tech...")+COUNTIFS('Prácticas_Snowballing'!$AB$2:$AB$281,"T051",'Prácticas_Snowballing'!$AC$2:$AC$281,"SOFTWARE TESTING &gt; Testing of and Testing Through Emerging Tech...")</f>
        <v>0</v>
      </c>
      <c r="AO61" s="17">
        <f>COUNTIFS('Prácticas_Revisiones'!$S$2:$S$282,"T051",'Prácticas_Revisiones'!$T$2:$T$282,"SOFTWARE TESTING &gt; Software Testing Tools")+COUNTIFS('Prácticas_Snowballing'!$AB$2:$AB$281,"T051",'Prácticas_Snowballing'!$AC$2:$AC$281,"SOFTWARE TESTING &gt; Software Testing Tools")</f>
        <v>0</v>
      </c>
      <c r="AP61" s="17">
        <f>COUNTIFS('Prácticas_Revisiones'!$S$2:$S$282,"T051",'Prácticas_Revisiones'!$T$2:$T$282,"SOFTWARE TESTING &gt; Subárea no determinable")+COUNTIFS('Prácticas_Snowballing'!$AB$2:$AB$281,"T051",'Prácticas_Snowballing'!$AC$2:$AC$281,"SOFTWARE TESTING &gt; Subárea no determinable")</f>
        <v>0</v>
      </c>
      <c r="AQ61" s="29">
        <f t="shared" si="39"/>
        <v>2</v>
      </c>
      <c r="AR61" s="17">
        <f>COUNTIFS('Prácticas_Revisiones'!$S$2:$S$282,"T051",'Prácticas_Revisiones'!$T$2:$T$282,"SOFTWARE ENG. OPERATIONS &gt; Software Engineering Operations Fundamentals")+COUNTIFS('Prácticas_Snowballing'!$AB$2:$AB$281,"T051",'Prácticas_Snowballing'!$AC$2:$AC$281,"SOFTWARE ENG. OPERATIONS &gt; Software Engineering Operations Fundamentals")</f>
        <v>0</v>
      </c>
      <c r="AS61" s="17">
        <f>COUNTIFS('Prácticas_Revisiones'!$S$2:$S$282,"T051",'Prácticas_Revisiones'!$T$2:$T$282,"SOFTWARE ENG. OPERATIONS &gt; Software Engineering Operations Planning")+COUNTIFS('Prácticas_Snowballing'!$AB$2:$AB$281,"T051",'Prácticas_Snowballing'!$AC$2:$AC$281,"SOFTWARE ENG. OPERATIONS &gt; Software Engineering Operations Planning")</f>
        <v>0</v>
      </c>
      <c r="AT61" s="17">
        <f>COUNTIFS('Prácticas_Revisiones'!$S$2:$S$282,"T051",'Prácticas_Revisiones'!$T$2:$T$282,"SOFTWARE ENG. OPERATIONS &gt; Software Engineering Operations Delivery")+COUNTIFS('Prácticas_Snowballing'!$AB$2:$AB$281,"T051",'Prácticas_Snowballing'!$AC$2:$AC$281,"SOFTWARE ENG. OPERATIONS &gt; Software Engineering Operations Delivery")</f>
        <v>0</v>
      </c>
      <c r="AU61" s="17">
        <f>COUNTIFS('Prácticas_Revisiones'!$S$2:$S$282,"T051",'Prácticas_Revisiones'!$T$2:$T$282,"SOFTWARE ENG. OPERATIONS &gt; Software Engineering Operations Control")+COUNTIFS('Prácticas_Snowballing'!$AB$2:$AB$281,"T051",'Prácticas_Snowballing'!$AC$2:$AC$281,"SOFTWARE ENG. OPERATIONS &gt; Software Engineering Operations Control")</f>
        <v>0</v>
      </c>
      <c r="AV61" s="17">
        <f>COUNTIFS('Prácticas_Revisiones'!$S$2:$S$282,"T051",'Prácticas_Revisiones'!$T$2:$T$282,"SOFTWARE ENG. OPERATIONS &gt; Practical Considerations")+COUNTIFS('Prácticas_Snowballing'!$AB$2:$AB$281,"T051",'Prácticas_Snowballing'!$AC$2:$AC$281,"SOFTWARE ENG. OPERATIONS &gt; Practical Considerations")</f>
        <v>0</v>
      </c>
      <c r="AW61" s="17">
        <f>COUNTIFS('Prácticas_Revisiones'!$S$2:$S$282,"T051",'Prácticas_Revisiones'!$T$2:$T$282,"SOFTWARE ENG. OPERATIONS &gt; Software Engineering Operations Tools")+COUNTIFS('Prácticas_Snowballing'!$AB$2:$AB$281,"T051",'Prácticas_Snowballing'!$AC$2:$AC$281,"SOFTWARE ENG. OPERATIONS &gt; Software Engineering Operations Tools")</f>
        <v>0</v>
      </c>
      <c r="AX61" s="17">
        <f>COUNTIFS('Prácticas_Revisiones'!$S$2:$S$282,"T051",'Prácticas_Revisiones'!$T$2:$T$282,"SOFTWARE ENG. OPERATIONS &gt; Subárea no determinable")+COUNTIFS('Prácticas_Snowballing'!$AB$2:$AB$281,"T051",'Prácticas_Snowballing'!$AC$2:$AC$281,"SOFTWARE ENG. OPERATIONS &gt; Subárea no determinable")</f>
        <v>0</v>
      </c>
      <c r="AY61" s="29">
        <f t="shared" si="40"/>
        <v>0</v>
      </c>
      <c r="AZ61" s="17">
        <f>COUNTIFS('Prácticas_Revisiones'!$S$2:$S$282,"T051",'Prácticas_Revisiones'!$T$2:$T$282,"MAINTENANCE &gt; Software Maintenance Fundamentals")+COUNTIFS('Prácticas_Snowballing'!$AB$2:$AB$281,"T051",'Prácticas_Snowballing'!$AC$2:$AC$281,"MAINTENANCE &gt; Software Maintenance Fundamentals")</f>
        <v>0</v>
      </c>
      <c r="BA61" s="17">
        <f>COUNTIFS('Prácticas_Revisiones'!$S$2:$S$282,"T051",'Prácticas_Revisiones'!$T$2:$T$282,"MAINTENANCE &gt; Key Issues in Software Maintenance")+COUNTIFS('Prácticas_Snowballing'!$AB$2:$AB$281,"T051",'Prácticas_Snowballing'!$AC$2:$AC$281,"MAINTENANCE &gt; Key Issues in Software Maintenance")</f>
        <v>0</v>
      </c>
      <c r="BB61" s="17">
        <f>COUNTIFS('Prácticas_Revisiones'!$S$2:$S$282,"T051",'Prácticas_Revisiones'!$T$2:$T$282,"MAINTENANCE &gt; Software Maintenance Processes")+COUNTIFS('Prácticas_Snowballing'!$AB$2:$AB$281,"T051",'Prácticas_Snowballing'!$AC$2:$AC$281,"MAINTENANCE &gt; Software Maintenance Processes")</f>
        <v>0</v>
      </c>
      <c r="BC61" s="17">
        <f>COUNTIFS('Prácticas_Revisiones'!$S$2:$S$282,"T051",'Prácticas_Revisiones'!$T$2:$T$282,"MAINTENANCE &gt; Software Maintenance Techniques")+COUNTIFS('Prácticas_Snowballing'!$AB$2:$AB$281,"T051",'Prácticas_Snowballing'!$AC$2:$AC$281,"MAINTENANCE &gt; Software Maintenance Techniques")</f>
        <v>0</v>
      </c>
      <c r="BD61" s="17">
        <f>COUNTIFS('Prácticas_Revisiones'!$S$2:$S$282,"T051",'Prácticas_Revisiones'!$T$2:$T$282,"MAINTENANCE &gt; Software Maintenance Tools")+COUNTIFS('Prácticas_Snowballing'!$AB$2:$AB$281,"T051",'Prácticas_Snowballing'!$AC$2:$AC$281,"MAINTENANCE &gt; Software Maintenance Tools")</f>
        <v>0</v>
      </c>
      <c r="BE61" s="17">
        <f>COUNTIFS('Prácticas_Revisiones'!$S$2:$S$282,"T051",'Prácticas_Revisiones'!$T$2:$T$282,"MAINTENANCE &gt; Subárea no determinable")+COUNTIFS('Prácticas_Snowballing'!$AB$2:$AB$281,"T051",'Prácticas_Snowballing'!$AC$2:$AC$281,"MAINTENANCE &gt; Subárea no determinable")</f>
        <v>0</v>
      </c>
      <c r="BF61" s="29">
        <f t="shared" si="41"/>
        <v>0</v>
      </c>
      <c r="BG61" s="17">
        <f>COUNTIFS('Prácticas_Revisiones'!$S$2:$S$282,"T051",'Prácticas_Revisiones'!$T$2:$T$282,"SOFTWARE CONFIG. MGMT. &gt; Management of the SCM Process")+COUNTIFS('Prácticas_Snowballing'!$AB$2:$AB$281,"T051",'Prácticas_Snowballing'!$AC$2:$AC$281,"SOFTWARE CONFIG. MGMT. &gt; Management of the SCM Process")</f>
        <v>0</v>
      </c>
      <c r="BH61" s="17">
        <f>COUNTIFS('Prácticas_Revisiones'!$S$2:$S$282,"T051",'Prácticas_Revisiones'!$T$2:$T$282,"SOFTWARE CONFIG. MGMT. &gt; Software Configuration Identification")+COUNTIFS('Prácticas_Snowballing'!$AB$2:$AB$281,"T051",'Prácticas_Snowballing'!$AC$2:$AC$281,"SOFTWARE CONFIG. MGMT. &gt; Software Configuration Identification")</f>
        <v>0</v>
      </c>
      <c r="BI61" s="17">
        <f>COUNTIFS('Prácticas_Revisiones'!$S$2:$S$282,"T051",'Prácticas_Revisiones'!$T$2:$T$282,"SOFTWARE CONFIG. MGMT. &gt; Software Configuration Change Control")+COUNTIFS('Prácticas_Snowballing'!$AB$2:$AB$281,"T051",'Prácticas_Snowballing'!$AC$2:$AC$281,"SOFTWARE CONFIG. MGMT. &gt; Software Configuration Change Control")</f>
        <v>0</v>
      </c>
      <c r="BJ61" s="17">
        <f>COUNTIFS('Prácticas_Revisiones'!$S$2:$S$282,"T051",'Prácticas_Revisiones'!$T$2:$T$282,"SOFTWARE CONFIG. MGMT. &gt; Software Configuration Status Accounting")+COUNTIFS('Prácticas_Snowballing'!$AB$2:$AB$281,"T051",'Prácticas_Snowballing'!$AC$2:$AC$281,"SOFTWARE CONFIG. MGMT. &gt; Software Configuration Status Accounting")</f>
        <v>0</v>
      </c>
      <c r="BK61" s="17">
        <f>COUNTIFS('Prácticas_Revisiones'!$S$2:$S$282,"T051",'Prácticas_Revisiones'!$T$2:$T$282,"SOFTWARE CONFIG. MGMT. &gt; Software Configuration Auditing")+COUNTIFS('Prácticas_Snowballing'!$AB$2:$AB$281,"T051",'Prácticas_Snowballing'!$AC$2:$AC$281,"SOFTWARE CONFIG. MGMT. &gt; Software Configuration Auditing")</f>
        <v>0</v>
      </c>
      <c r="BL61" s="17">
        <f>COUNTIFS('Prácticas_Revisiones'!$S$2:$S$282,"T051",'Prácticas_Revisiones'!$T$2:$T$282,"SOFTWARE CONFIG. MGMT. &gt; Software Release Management and Delivery")+COUNTIFS('Prácticas_Snowballing'!$AB$2:$AB$281,"T051",'Prácticas_Snowballing'!$AC$2:$AC$281,"SOFTWARE CONFIG. MGMT. &gt; Software Release Management and Delivery")</f>
        <v>0</v>
      </c>
      <c r="BM61" s="17">
        <f>COUNTIFS('Prácticas_Revisiones'!$S$2:$S$282,"T051",'Prácticas_Revisiones'!$T$2:$T$282,"SOFTWARE CONFIG. MGMT. &gt; Software Configuration Management Tools")+COUNTIFS('Prácticas_Snowballing'!$AB$2:$AB$281,"T051",'Prácticas_Snowballing'!$AC$2:$AC$281,"SOFTWARE CONFIG. MGMT. &gt; Software Configuration Management Tools")</f>
        <v>0</v>
      </c>
      <c r="BN61" s="17">
        <f>COUNTIFS('Prácticas_Revisiones'!$S$2:$S$282,"T051",'Prácticas_Revisiones'!$T$2:$T$282,"SOFTWARE CONFIG. MGMT. &gt; Subárea no determinable")+COUNTIFS('Prácticas_Snowballing'!$AB$2:$AB$281,"T051",'Prácticas_Snowballing'!$AC$2:$AC$281,"SOFTWARE CONFIG. MGMT. &gt; Subárea no determinable")</f>
        <v>0</v>
      </c>
      <c r="BO61" s="29">
        <f t="shared" si="42"/>
        <v>0</v>
      </c>
      <c r="BP61" s="17">
        <f>COUNTIFS('Prácticas_Revisiones'!$S$2:$S$282,"T051",'Prácticas_Revisiones'!$T$2:$T$282,"SOFTWARE ENG. PROCESS &gt; Software Engineering Process Fundamentals")+COUNTIFS('Prácticas_Snowballing'!$AB$2:$AB$281,"T051",'Prácticas_Snowballing'!$AC$2:$AC$281,"SOFTWARE ENG. PROCESS &gt; Software Engineering Process Fundamentals")</f>
        <v>0</v>
      </c>
      <c r="BQ61" s="17">
        <f>COUNTIFS('Prácticas_Revisiones'!$S$2:$S$282,"T051",'Prácticas_Revisiones'!$T$2:$T$282,"SOFTWARE ENG. PROCESS &gt; Life Cycles")+COUNTIFS('Prácticas_Snowballing'!$AB$2:$AB$281,"T051",'Prácticas_Snowballing'!$AC$2:$AC$281,"SOFTWARE ENG. PROCESS &gt; Life Cycles")</f>
        <v>0</v>
      </c>
      <c r="BR61" s="17">
        <f>COUNTIFS('Prácticas_Revisiones'!$S$2:$S$282,"T051",'Prácticas_Revisiones'!$T$2:$T$282,"SOFTWARE ENG. PROCESS &gt; Software Process Assessment and Improvement")+COUNTIFS('Prácticas_Snowballing'!$AB$2:$AB$281,"T051",'Prácticas_Snowballing'!$AC$2:$AC$281,"SOFTWARE ENG. PROCESS &gt; Software Process Assessment and Improvement")</f>
        <v>0</v>
      </c>
      <c r="BS61" s="17">
        <f>COUNTIFS('Prácticas_Revisiones'!$S$2:$S$282,"T051",'Prácticas_Revisiones'!$T$2:$T$282,"SOFTWARE ENG. PROCESS &gt; Subárea no determinable")+COUNTIFS('Prácticas_Snowballing'!$AB$2:$AB$281,"T051",'Prácticas_Snowballing'!$AC$2:$AC$281,"SOFTWARE ENG. PROCESS &gt; Subárea no determinable")</f>
        <v>0</v>
      </c>
      <c r="BT61" s="29">
        <f t="shared" si="43"/>
        <v>0</v>
      </c>
      <c r="BU61" s="17">
        <f>COUNTIFS('Prácticas_Revisiones'!$S$2:$S$282,"T051",'Prácticas_Revisiones'!$T$2:$T$282,"SOFTWARE ENG. MODELS/METH. &gt; Modeling")+COUNTIFS('Prácticas_Snowballing'!$AB$2:$AB$281,"T051",'Prácticas_Snowballing'!$AC$2:$AC$281,"SOFTWARE ENG. MODELS/METH. &gt; Modeling")</f>
        <v>0</v>
      </c>
      <c r="BV61" s="17">
        <f>COUNTIFS('Prácticas_Revisiones'!$S$2:$S$282,"T051",'Prácticas_Revisiones'!$T$2:$T$282,"SOFTWARE ENG. MODELS/METH. &gt; Types of Models")+COUNTIFS('Prácticas_Snowballing'!$AB$2:$AB$281,"T051",'Prácticas_Snowballing'!$AC$2:$AC$281,"SOFTWARE ENG. MODELS/METH. &gt; Types of Models")</f>
        <v>0</v>
      </c>
      <c r="BW61" s="17">
        <f>COUNTIFS('Prácticas_Revisiones'!$S$2:$S$282,"T051",'Prácticas_Revisiones'!$T$2:$T$282,"SOFTWARE ENG. MODELS/METH. &gt; Analysis of Models")+COUNTIFS('Prácticas_Snowballing'!$AB$2:$AB$281,"T051",'Prácticas_Snowballing'!$AC$2:$AC$281,"SOFTWARE ENG. MODELS/METH. &gt; Analysis of Models")</f>
        <v>0</v>
      </c>
      <c r="BX61" s="17">
        <f>COUNTIFS('Prácticas_Revisiones'!$S$2:$S$282,"T051",'Prácticas_Revisiones'!$T$2:$T$282,"SOFTWARE ENG. MODELS/METH. &gt; Software Engineering Methods")+COUNTIFS('Prácticas_Snowballing'!$AB$2:$AB$281,"T051",'Prácticas_Snowballing'!$AC$2:$AC$281,"SOFTWARE ENG. MODELS/METH. &gt; Software Engineering Methods")</f>
        <v>0</v>
      </c>
      <c r="BY61" s="17">
        <f>COUNTIFS('Prácticas_Revisiones'!$S$2:$S$282,"T051",'Prácticas_Revisiones'!$T$2:$T$282,"SOFTWARE ENG. MODELS/METH. &gt; Subárea no determinable")+COUNTIFS('Prácticas_Snowballing'!$AB$2:$AB$281,"T051",'Prácticas_Snowballing'!$AC$2:$AC$281,"SOFTWARE ENG. MODELS/METH. &gt; Subárea no determinable")</f>
        <v>0</v>
      </c>
      <c r="BZ61" s="29">
        <f t="shared" si="44"/>
        <v>0</v>
      </c>
      <c r="CA61" s="17">
        <f>COUNTIFS('Prácticas_Revisiones'!$S$2:$S$282,"T051",'Prácticas_Revisiones'!$T$2:$T$282,"SOFTWARE QUALITY &gt; Software Quality Fundamentals")+COUNTIFS('Prácticas_Snowballing'!$AB$2:$AB$281,"T051",'Prácticas_Snowballing'!$AC$2:$AC$281,"SOFTWARE QUALITY &gt; Software Quality Fundamentals")</f>
        <v>0</v>
      </c>
      <c r="CB61" s="17">
        <f>COUNTIFS('Prácticas_Revisiones'!$S$2:$S$282,"T051",'Prácticas_Revisiones'!$T$2:$T$282,"SOFTWARE QUALITY &gt; Software Quality Management Process")+COUNTIFS('Prácticas_Snowballing'!$AB$2:$AB$281,"T051",'Prácticas_Snowballing'!$AC$2:$AC$281,"SOFTWARE QUALITY &gt; Software Quality Management Process")</f>
        <v>0</v>
      </c>
      <c r="CC61" s="17">
        <f>COUNTIFS('Prácticas_Revisiones'!$S$2:$S$282,"T051",'Prácticas_Revisiones'!$T$2:$T$282,"SOFTWARE QUALITY &gt; Software Quality Assurance Process")+COUNTIFS('Prácticas_Snowballing'!$AB$2:$AB$281,"T051",'Prácticas_Snowballing'!$AC$2:$AC$281,"SOFTWARE QUALITY &gt; Software Quality Assurance Process")</f>
        <v>0</v>
      </c>
      <c r="CD61" s="17">
        <f>COUNTIFS('Prácticas_Revisiones'!$S$2:$S$282,"T051",'Prácticas_Revisiones'!$T$2:$T$282,"SOFTWARE QUALITY &gt; Software Quality Tools")+COUNTIFS('Prácticas_Snowballing'!$AB$2:$AB$281,"T051",'Prácticas_Snowballing'!$AC$2:$AC$281,"SOFTWARE QUALITY &gt; Software Quality Tools")</f>
        <v>0</v>
      </c>
      <c r="CE61" s="17">
        <f>COUNTIFS('Prácticas_Revisiones'!$S$2:$S$282,"T051",'Prácticas_Revisiones'!$T$2:$T$282,"SOFTWARE QUALITY &gt; Subárea no determinable")+COUNTIFS('Prácticas_Snowballing'!$AB$2:$AB$281,"T051",'Prácticas_Snowballing'!$AC$2:$AC$281,"SOFTWARE QUALITY &gt; Subárea no determinable")</f>
        <v>0</v>
      </c>
      <c r="CF61" s="29">
        <f t="shared" si="45"/>
        <v>0</v>
      </c>
      <c r="CG61" s="17">
        <f>COUNTIFS('Prácticas_Revisiones'!$S$2:$S$282,"T051",'Prácticas_Revisiones'!$T$2:$T$282,"SOFTWARE SECURITY &gt; Software Security Fundamentals")+COUNTIFS('Prácticas_Snowballing'!$AB$2:$AB$281,"T051",'Prácticas_Snowballing'!$AC$2:$AC$281,"SOFTWARE SECURITY &gt; Software Security Fundamentals")</f>
        <v>0</v>
      </c>
      <c r="CH61" s="17">
        <f>COUNTIFS('Prácticas_Revisiones'!$S$2:$S$282,"T051",'Prácticas_Revisiones'!$T$2:$T$282,"SOFTWARE SECURITY &gt; Security Management and Organization")+COUNTIFS('Prácticas_Snowballing'!$AB$2:$AB$281,"T051",'Prácticas_Snowballing'!$AC$2:$AC$281,"SOFTWARE SECURITY &gt; Security Management and Organization")</f>
        <v>0</v>
      </c>
      <c r="CI61" s="17">
        <f>COUNTIFS('Prácticas_Revisiones'!$S$2:$S$282,"T051",'Prácticas_Revisiones'!$T$2:$T$282,"SOFTWARE SECURITY &gt; Software Security Engineering and Process")+COUNTIFS('Prácticas_Snowballing'!$AB$2:$AB$281,"T051",'Prácticas_Snowballing'!$AC$2:$AC$281,"SOFTWARE SECURITY &gt; Software Security Engineering and Process")</f>
        <v>0</v>
      </c>
      <c r="CJ61" s="17">
        <f>COUNTIFS('Prácticas_Revisiones'!$S$2:$S$282,"T051",'Prácticas_Revisiones'!$T$2:$T$282,"SOFTWARE SECURITY &gt; Security Engineering for Software Systems")+COUNTIFS('Prácticas_Snowballing'!$AB$2:$AB$281,"T051",'Prácticas_Snowballing'!$AC$2:$AC$281,"SOFTWARE SECURITY &gt; Security Engineering for Software Systems")</f>
        <v>0</v>
      </c>
      <c r="CK61" s="17">
        <f>COUNTIFS('Prácticas_Revisiones'!$S$2:$S$282,"T051",'Prácticas_Revisiones'!$T$2:$T$282,"SOFTWARE SECURITY &gt; Software Security Tools")+COUNTIFS('Prácticas_Snowballing'!$AB$2:$AB$281,"T051",'Prácticas_Snowballing'!$AC$2:$AC$281,"SOFTWARE SECURITY &gt; Software Security Tools")</f>
        <v>0</v>
      </c>
      <c r="CL61" s="17">
        <f>COUNTIFS('Prácticas_Revisiones'!$S$2:$S$282,"T051",'Prácticas_Revisiones'!$T$2:$T$282,"SOFTWARE SECURITY &gt; Domain Specific Software Security")+COUNTIFS('Prácticas_Snowballing'!$AB$2:$AB$281,"T051",'Prácticas_Snowballing'!$AC$2:$AC$281,"SOFTWARE SECURITY &gt; Domain Specific Software Security")</f>
        <v>0</v>
      </c>
      <c r="CM61" s="17">
        <f>COUNTIFS('Prácticas_Revisiones'!$S$2:$S$282,"T051",'Prácticas_Revisiones'!$T$2:$T$282,"SOFTWARE SECURITY &gt; Subárea no determinable")+COUNTIFS('Prácticas_Snowballing'!$AB$2:$AB$281,"T051",'Prácticas_Snowballing'!$AC$2:$AC$281,"SOFTWARE SECURITY &gt; Subárea no determinable")</f>
        <v>0</v>
      </c>
      <c r="CN61" s="29">
        <f t="shared" si="46"/>
        <v>0</v>
      </c>
      <c r="CO61" s="17">
        <f>COUNTIFS('Prácticas_Revisiones'!$S$2:$S$282,"T051",'Prácticas_Revisiones'!$T$2:$T$282,"PROFESSIONAL PRACTICE &gt; Professionalism")+COUNTIFS('Prácticas_Snowballing'!$AB$2:$AB$281,"T051",'Prácticas_Snowballing'!$AC$2:$AC$281,"PROFESSIONAL PRACTICE &gt; Professionalism")</f>
        <v>0</v>
      </c>
      <c r="CP61" s="17">
        <f>COUNTIFS('Prácticas_Revisiones'!$S$2:$S$282,"T051",'Prácticas_Revisiones'!$T$2:$T$282,"PROFESSIONAL PRACTICE &gt; Group Dynamics and Psychology")+COUNTIFS('Prácticas_Snowballing'!$AB$2:$AB$281,"T051",'Prácticas_Snowballing'!$AC$2:$AC$281,"PROFESSIONAL PRACTICE &gt; Group Dynamics and Psychology")</f>
        <v>0</v>
      </c>
      <c r="CQ61" s="17">
        <f>COUNTIFS('Prácticas_Revisiones'!$S$2:$S$282,"T051",'Prácticas_Revisiones'!$T$2:$T$282,"PROFESSIONAL PRACTICE &gt; Communication Skills")+COUNTIFS('Prácticas_Snowballing'!$AB$2:$AB$281,"T051",'Prácticas_Snowballing'!$AC$2:$AC$281,"PROFESSIONAL PRACTICE &gt; Communication Skills")</f>
        <v>0</v>
      </c>
      <c r="CR61" s="17">
        <f>COUNTIFS('Prácticas_Revisiones'!$S$2:$S$282,"T051",'Prácticas_Revisiones'!$T$2:$T$282,"PROFESSIONAL PRACTICE &gt; Subárea no determinable")+COUNTIFS('Prácticas_Snowballing'!$AB$2:$AB$281,"T051",'Prácticas_Snowballing'!$AC$2:$AC$281,"PROFESSIONAL PRACTICE &gt; Subárea no determinable")</f>
        <v>0</v>
      </c>
      <c r="CS61" s="29">
        <f t="shared" si="47"/>
        <v>0</v>
      </c>
      <c r="CT61" s="17">
        <f>COUNTIFS('Prácticas_Revisiones'!$S$2:$S$282,"T051",'Prácticas_Revisiones'!$T$2:$T$282,"SOFTWARE ENG. ECONOMICS &gt; Software Engineering Economics Fundamentals")+COUNTIFS('Prácticas_Snowballing'!$AB$2:$AB$281,"T051",'Prácticas_Snowballing'!$AC$2:$AC$281,"SOFTWARE ENG. ECONOMICS &gt; Software Engineering Economics Fundamentals")</f>
        <v>0</v>
      </c>
      <c r="CU61" s="17">
        <f>COUNTIFS('Prácticas_Revisiones'!$S$2:$S$282,"T051",'Prácticas_Revisiones'!$T$2:$T$282,"SOFTWARE ENG. ECONOMICS &gt; The Engineering Decision-Making Process")+COUNTIFS('Prácticas_Snowballing'!$AB$2:$AB$281,"T051",'Prácticas_Snowballing'!$AC$2:$AC$281,"SOFTWARE ENG. ECONOMICS &gt; The Engineering Decision-Making Process")</f>
        <v>0</v>
      </c>
      <c r="CV61" s="17">
        <f>COUNTIFS('Prácticas_Revisiones'!$S$2:$S$282,"T051",'Prácticas_Revisiones'!$T$2:$T$282,"SOFTWARE ENG. ECONOMICS &gt; For-Profit Decision-Making")+COUNTIFS('Prácticas_Snowballing'!$AB$2:$AB$281,"T051",'Prácticas_Snowballing'!$AC$2:$AC$281,"SOFTWARE ENG. ECONOMICS &gt; For-Profit Decision-Making")</f>
        <v>0</v>
      </c>
      <c r="CW61" s="17">
        <f>COUNTIFS('Prácticas_Revisiones'!$S$2:$S$282,"T051",'Prácticas_Revisiones'!$T$2:$T$282,"SOFTWARE ENG. ECONOMICS &gt; Nonprofit Decision-Making")+COUNTIFS('Prácticas_Snowballing'!$AB$2:$AB$281,"T051",'Prácticas_Snowballing'!$AC$2:$AC$281,"SOFTWARE ENG. ECONOMICS &gt; Nonprofit Decision-Making")</f>
        <v>0</v>
      </c>
      <c r="CX61" s="17">
        <f>COUNTIFS('Prácticas_Revisiones'!$S$2:$S$282,"T051",'Prácticas_Revisiones'!$T$2:$T$282,"SOFTWARE ENG. ECONOMICS &gt; Present Economy Decision-Making")+COUNTIFS('Prácticas_Snowballing'!$AB$2:$AB$281,"T051",'Prácticas_Snowballing'!$AC$2:$AC$281,"SOFTWARE ENG. ECONOMICS &gt; Present Economy Decision-Making")</f>
        <v>0</v>
      </c>
      <c r="CY61" s="17">
        <f>COUNTIFS('Prácticas_Revisiones'!$S$2:$S$282,"T051",'Prácticas_Revisiones'!$T$2:$T$282,"SOFTWARE ENG. ECONOMICS &gt; Multiple-Attribute Decision-Making")+COUNTIFS('Prácticas_Snowballing'!$AB$2:$AB$281,"T051",'Prácticas_Snowballing'!$AC$2:$AC$281,"SOFTWARE ENG. ECONOMICS &gt; Multiple-Attribute Decision-Making")</f>
        <v>0</v>
      </c>
      <c r="CZ61" s="17">
        <f>COUNTIFS('Prácticas_Revisiones'!$S$2:$S$282,"T051",'Prácticas_Revisiones'!$T$2:$T$282,"SOFTWARE ENG. ECONOMICS &gt; Identifying and Characterizing Intangible Assets")+COUNTIFS('Prácticas_Snowballing'!$AB$2:$AB$281,"T051",'Prácticas_Snowballing'!$AC$2:$AC$281,"SOFTWARE ENG. ECONOMICS &gt; Identifying and Characterizing Intangible Assets")</f>
        <v>0</v>
      </c>
      <c r="DA61" s="17">
        <f>COUNTIFS('Prácticas_Revisiones'!$S$2:$S$282,"T051",'Prácticas_Revisiones'!$T$2:$T$282,"SOFTWARE ENG. ECONOMICS &gt; Estimation")+COUNTIFS('Prácticas_Snowballing'!$AB$2:$AB$281,"T051",'Prácticas_Snowballing'!$AC$2:$AC$281,"SOFTWARE ENG. ECONOMICS &gt; Estimation")</f>
        <v>0</v>
      </c>
      <c r="DB61" s="17">
        <f>COUNTIFS('Prácticas_Revisiones'!$S$2:$S$282,"T051",'Prácticas_Revisiones'!$T$2:$T$282,"SOFTWARE ENG. ECONOMICS &gt; Practical Considerations")+COUNTIFS('Prácticas_Snowballing'!$AB$2:$AB$281,"T051",'Prácticas_Snowballing'!$AC$2:$AC$281,"SOFTWARE ENG. ECONOMICS &gt; Practical Considerations")</f>
        <v>0</v>
      </c>
      <c r="DC61" s="17">
        <f>COUNTIFS('Prácticas_Revisiones'!$S$2:$S$282,"T051",'Prácticas_Revisiones'!$T$2:$T$282,"SOFTWARE ENG. ECONOMICS &gt; Related Concepts")+COUNTIFS('Prácticas_Snowballing'!$AB$2:$AB$281,"T051",'Prácticas_Snowballing'!$AC$2:$AC$281,"SOFTWARE ENG. ECONOMICS &gt; Related Concepts")</f>
        <v>0</v>
      </c>
      <c r="DD61" s="17">
        <f>COUNTIFS('Prácticas_Revisiones'!$S$2:$S$282,"T051",'Prácticas_Revisiones'!$T$2:$T$282,"SOFTWARE ENG. ECONOMICS &gt; Subárea no determinable")+COUNTIFS('Prácticas_Snowballing'!$AB$2:$AB$281,"T051",'Prácticas_Snowballing'!$AC$2:$AC$281,"SOFTWARE ENG. ECONOMICS &gt; Subárea no determinable")</f>
        <v>0</v>
      </c>
      <c r="DE61" s="29">
        <f t="shared" si="48"/>
        <v>0</v>
      </c>
      <c r="DF61" s="17">
        <f>COUNTIFS('Prácticas_Revisiones'!$S$2:$S$282,"T051",'Prácticas_Revisiones'!$T$2:$T$282,"SOFTWARE ENG. MANAGEMENT &gt; Software Engineering Management Fundamentals")+COUNTIFS('Prácticas_Snowballing'!$AB$2:$AB$281,"T051",'Prácticas_Snowballing'!$AC$2:$AC$281,"SOFTWARE ENG. MANAGEMENT &gt; Software Engineering Management Fundamentals")</f>
        <v>0</v>
      </c>
      <c r="DG61" s="17">
        <f>COUNTIFS('Prácticas_Revisiones'!$S$2:$S$282,"T051",'Prácticas_Revisiones'!$T$2:$T$282,"SOFTWARE ENG. MANAGEMENT &gt; Initiation and Scope Definition")+COUNTIFS('Prácticas_Snowballing'!$AB$2:$AB$281,"T051",'Prácticas_Snowballing'!$AC$2:$AC$281,"SOFTWARE ENG. MANAGEMENT &gt; Initiation and Scope Definition")</f>
        <v>0</v>
      </c>
      <c r="DH61" s="17">
        <f>COUNTIFS('Prácticas_Revisiones'!$S$2:$S$282,"T051",'Prácticas_Revisiones'!$T$2:$T$282,"SOFTWARE ENG. MANAGEMENT &gt; Software Project Planning")+COUNTIFS('Prácticas_Snowballing'!$AB$2:$AB$281,"T051",'Prácticas_Snowballing'!$AC$2:$AC$281,"SOFTWARE ENG. MANAGEMENT &gt; Software Project Planning")</f>
        <v>0</v>
      </c>
      <c r="DI61" s="17">
        <f>COUNTIFS('Prácticas_Revisiones'!$S$2:$S$282,"T051",'Prácticas_Revisiones'!$T$2:$T$282,"SOFTWARE ENG. MANAGEMENT &gt; Software Project Enactment")+COUNTIFS('Prácticas_Snowballing'!$AB$2:$AB$281,"T051",'Prácticas_Snowballing'!$AC$2:$AC$281,"SOFTWARE ENG. MANAGEMENT &gt; Software Project Enactment")</f>
        <v>0</v>
      </c>
      <c r="DJ61" s="17">
        <f>COUNTIFS('Prácticas_Revisiones'!$S$2:$S$282,"T051",'Prácticas_Revisiones'!$T$2:$T$282,"SOFTWARE ENG. MANAGEMENT &gt; Review and Evaluation")+COUNTIFS('Prácticas_Snowballing'!$AB$2:$AB$281,"T051",'Prácticas_Snowballing'!$AC$2:$AC$281,"SOFTWARE ENG. MANAGEMENT &gt; Review and Evaluation")</f>
        <v>0</v>
      </c>
      <c r="DK61" s="17">
        <f>COUNTIFS('Prácticas_Revisiones'!$S$2:$S$282,"T051",'Prácticas_Revisiones'!$T$2:$T$282,"SOFTWARE ENG. MANAGEMENT &gt; Closure")+COUNTIFS('Prácticas_Snowballing'!$AB$2:$AB$281,"T051",'Prácticas_Snowballing'!$AC$2:$AC$281,"SOFTWARE ENG. MANAGEMENT &gt; Closure")</f>
        <v>0</v>
      </c>
      <c r="DL61" s="17">
        <f>COUNTIFS('Prácticas_Revisiones'!$S$2:$S$282,"T051",'Prácticas_Revisiones'!$T$2:$T$282,"SOFTWARE ENG. MANAGEMENT &gt; Software Engineering Management Tools")+COUNTIFS('Prácticas_Snowballing'!$AB$2:$AB$281,"T051",'Prácticas_Snowballing'!$AC$2:$AC$281,"SOFTWARE ENG. MANAGEMENT &gt; Software Engineering Management Tools")</f>
        <v>0</v>
      </c>
      <c r="DM61" s="17">
        <f>COUNTIFS('Prácticas_Revisiones'!$S$2:$S$282,"T051",'Prácticas_Revisiones'!$T$2:$T$282,"SOFTWARE ENG. MANAGEMENT &gt; Subárea no determinable")+COUNTIFS('Prácticas_Snowballing'!$AB$2:$AB$281,"T051",'Prácticas_Snowballing'!$AC$2:$AC$281,"SOFTWARE ENG. MANAGEMENT &gt; Subárea no determinable")</f>
        <v>0</v>
      </c>
      <c r="DN61" s="29">
        <f t="shared" si="49"/>
        <v>0</v>
      </c>
      <c r="DO61" s="17">
        <f>COUNTIFS('Prácticas_Revisiones'!$S$2:$S$282,"T051",'Prácticas_Revisiones'!$T$2:$T$282,"Sin área SWEBOK")+COUNTIFS('Prácticas_Snowballing'!$AB$2:$AB$281,"T051",'Prácticas_Snowballing'!$AC$2:$AC$281,"Sin área SWEBOK")</f>
        <v>0</v>
      </c>
      <c r="DP61" s="27">
        <f t="shared" si="50"/>
        <v>25</v>
      </c>
    </row>
    <row r="62" ht="15.75" customHeight="1">
      <c r="A62" s="28"/>
      <c r="B62" s="16" t="s">
        <v>2808</v>
      </c>
      <c r="C62" s="17">
        <f>COUNTIFS('Prácticas_Revisiones'!$S$2:$S$282,"T052",'Prácticas_Revisiones'!$T$2:$T$282,"REQUIREMENTS &gt; Software Requirements Fundamentals")+COUNTIFS('Prácticas_Snowballing'!$AB$2:$AB$281,"T052",'Prácticas_Snowballing'!$AC$2:$AC$281,"REQUIREMENTS &gt; Software Requirements Fundamentals")</f>
        <v>0</v>
      </c>
      <c r="D62" s="17">
        <f>COUNTIFS('Prácticas_Revisiones'!$S$2:$S$282,"T052",'Prácticas_Revisiones'!$T$2:$T$282,"REQUIREMENTS &gt; Requirements Elicitation")+COUNTIFS('Prácticas_Snowballing'!$AB$2:$AB$281,"T052",'Prácticas_Snowballing'!$AC$2:$AC$281,"REQUIREMENTS &gt; Requirements Elicitation")</f>
        <v>0</v>
      </c>
      <c r="E62" s="17">
        <f>COUNTIFS('Prácticas_Revisiones'!$S$2:$S$282,"T052",'Prácticas_Revisiones'!$T$2:$T$282,"REQUIREMENTS &gt; Requirements Analysis")+COUNTIFS('Prácticas_Snowballing'!$AB$2:$AB$281,"T052",'Prácticas_Snowballing'!$AC$2:$AC$281,"REQUIREMENTS &gt; Requirements Analysis")</f>
        <v>0</v>
      </c>
      <c r="F62" s="17">
        <f>COUNTIFS('Prácticas_Revisiones'!$S$2:$S$282,"T052",'Prácticas_Revisiones'!$T$2:$T$282,"REQUIREMENTS &gt; Requirements Specification")+COUNTIFS('Prácticas_Snowballing'!$AB$2:$AB$281,"T052",'Prácticas_Snowballing'!$AC$2:$AC$281,"REQUIREMENTS &gt; Requirements Specification")</f>
        <v>0</v>
      </c>
      <c r="G62" s="17">
        <f>COUNTIFS('Prácticas_Revisiones'!$S$2:$S$282,"T052",'Prácticas_Revisiones'!$T$2:$T$282,"REQUIREMENTS &gt; Requirements Validation")+COUNTIFS('Prácticas_Snowballing'!$AB$2:$AB$281,"T052",'Prácticas_Snowballing'!$AC$2:$AC$281,"REQUIREMENTS &gt; Requirements Validation")</f>
        <v>0</v>
      </c>
      <c r="H62" s="17">
        <f>COUNTIFS('Prácticas_Revisiones'!$S$2:$S$282,"T052",'Prácticas_Revisiones'!$T$2:$T$282,"REQUIREMENTS &gt; Requirements Management Activities")+COUNTIFS('Prácticas_Snowballing'!$AB$2:$AB$281,"T052",'Prácticas_Snowballing'!$AC$2:$AC$281,"REQUIREMENTS &gt; Requirements Management Activities")</f>
        <v>0</v>
      </c>
      <c r="I62" s="17">
        <f>COUNTIFS('Prácticas_Revisiones'!$S$2:$S$282,"T052",'Prácticas_Revisiones'!$T$2:$T$282,"REQUIREMENTS &gt; Practical Considerations")+COUNTIFS('Prácticas_Snowballing'!$AB$2:$AB$281,"T052",'Prácticas_Snowballing'!$AC$2:$AC$281,"REQUIREMENTS &gt; Practical Considerations")</f>
        <v>0</v>
      </c>
      <c r="J62" s="17">
        <f>COUNTIFS('Prácticas_Revisiones'!$S$2:$S$282,"T052",'Prácticas_Revisiones'!$T$2:$T$282,"REQUIREMENTS &gt; Software Requirements Tools")+COUNTIFS('Prácticas_Snowballing'!$AB$2:$AB$281,"T052",'Prácticas_Snowballing'!$AC$2:$AC$281,"REQUIREMENTS &gt; Software Requirements Tools")</f>
        <v>0</v>
      </c>
      <c r="K62" s="17">
        <f>COUNTIFS('Prácticas_Revisiones'!$S$2:$S$282,"T052",'Prácticas_Revisiones'!$T$2:$T$282,"REQUIREMENTS &gt; Subárea no determinable")+COUNTIFS('Prácticas_Snowballing'!$AB$2:$AB$281,"T052",'Prácticas_Snowballing'!$AC$2:$AC$281,"REQUIREMENTS &gt; Subárea no determinable")</f>
        <v>0</v>
      </c>
      <c r="L62" s="29">
        <f t="shared" si="35"/>
        <v>0</v>
      </c>
      <c r="M62" s="17">
        <f>COUNTIFS('Prácticas_Revisiones'!$S$2:$S$282,"T052",'Prácticas_Revisiones'!$T$2:$T$282,"ARCHITECTURE &gt; Software Architecture Fundamentals")+COUNTIFS('Prácticas_Snowballing'!$AB$2:$AB$281,"T052",'Prácticas_Snowballing'!$AC$2:$AC$281,"ARCHITECTURE &gt; Software Architecture Fundamentals")</f>
        <v>0</v>
      </c>
      <c r="N62" s="17">
        <f>COUNTIFS('Prácticas_Revisiones'!$S$2:$S$282,"T052",'Prácticas_Revisiones'!$T$2:$T$282,"ARCHITECTURE &gt; Software Architecture Description")+COUNTIFS('Prácticas_Snowballing'!$AB$2:$AB$281,"T052",'Prácticas_Snowballing'!$AC$2:$AC$281,"ARCHITECTURE &gt; Software Architecture Description")</f>
        <v>0</v>
      </c>
      <c r="O62" s="17">
        <f>COUNTIFS('Prácticas_Revisiones'!$S$2:$S$282,"T052",'Prácticas_Revisiones'!$T$2:$T$282,"ARCHITECTURE &gt; Software Architecture Process")+COUNTIFS('Prácticas_Snowballing'!$AB$2:$AB$281,"T052",'Prácticas_Snowballing'!$AC$2:$AC$281,"ARCHITECTURE &gt; Software Architecture Process")</f>
        <v>0</v>
      </c>
      <c r="P62" s="17">
        <f>COUNTIFS('Prácticas_Revisiones'!$S$2:$S$282,"T052",'Prácticas_Revisiones'!$T$2:$T$282,"ARCHITECTURE &gt; Software Architecture Evaluation")+COUNTIFS('Prácticas_Snowballing'!$AB$2:$AB$281,"T052",'Prácticas_Snowballing'!$AC$2:$AC$281,"ARCHITECTURE &gt; Software Architecture Evaluation")</f>
        <v>0</v>
      </c>
      <c r="Q62" s="17">
        <f>COUNTIFS('Prácticas_Revisiones'!$S$2:$S$282,"T052",'Prácticas_Revisiones'!$T$2:$T$282,"ARCHITECTURE &gt; Subárea no determinable")+COUNTIFS('Prácticas_Snowballing'!$AB$2:$AB$281,"T052",'Prácticas_Snowballing'!$AC$2:$AC$281,"ARCHITECTURE &gt; Subárea no determinable")</f>
        <v>0</v>
      </c>
      <c r="R62" s="29">
        <f t="shared" si="36"/>
        <v>0</v>
      </c>
      <c r="S62" s="17">
        <f>COUNTIFS('Prácticas_Revisiones'!$S$2:$S$282,"T052",'Prácticas_Revisiones'!$T$2:$T$282,"DESIGN &gt; Software Design Fundamentals")+COUNTIFS('Prácticas_Snowballing'!$AB$2:$AB$281,"T052",'Prácticas_Snowballing'!$AC$2:$AC$281,"DESIGN &gt; Software Design Fundamentals")</f>
        <v>0</v>
      </c>
      <c r="T62" s="17">
        <f>COUNTIFS('Prácticas_Revisiones'!$S$2:$S$282,"T052",'Prácticas_Revisiones'!$T$2:$T$282,"DESIGN &gt; Software Design Processes")+COUNTIFS('Prácticas_Snowballing'!$AB$2:$AB$281,"T052",'Prácticas_Snowballing'!$AC$2:$AC$281,"DESIGN &gt; Software Design Processes")</f>
        <v>0</v>
      </c>
      <c r="U62" s="17">
        <f>COUNTIFS('Prácticas_Revisiones'!$S$2:$S$282,"T052",'Prácticas_Revisiones'!$T$2:$T$282,"DESIGN &gt; Software Design Qualities")+COUNTIFS('Prácticas_Snowballing'!$AB$2:$AB$281,"T052",'Prácticas_Snowballing'!$AC$2:$AC$281,"DESIGN &gt; Software Design Qualities")</f>
        <v>0</v>
      </c>
      <c r="V62" s="17">
        <f>COUNTIFS('Prácticas_Revisiones'!$S$2:$S$282,"T052",'Prácticas_Revisiones'!$T$2:$T$282,"DESIGN &gt; Recording Software Design")+COUNTIFS('Prácticas_Snowballing'!$AB$2:$AB$281,"T052",'Prácticas_Snowballing'!$AC$2:$AC$281,"DESIGN &gt; Recording Software Design")</f>
        <v>0</v>
      </c>
      <c r="W62" s="17">
        <f>COUNTIFS('Prácticas_Revisiones'!$S$2:$S$282,"T052",'Prácticas_Revisiones'!$T$2:$T$282,"DESIGN &gt; Software Design Strategies and Methods")+COUNTIFS('Prácticas_Snowballing'!$AB$2:$AB$281,"T052",'Prácticas_Snowballing'!$AC$2:$AC$281,"DESIGN &gt; Software Design Strategies and Methods")</f>
        <v>0</v>
      </c>
      <c r="X62" s="17">
        <f>COUNTIFS('Prácticas_Revisiones'!$S$2:$S$282,"T052",'Prácticas_Revisiones'!$T$2:$T$282,"DESIGN &gt; Software Design Analysis and Evaluations")+COUNTIFS('Prácticas_Snowballing'!$AB$2:$AB$281,"T052",'Prácticas_Snowballing'!$AC$2:$AC$281,"DESIGN &gt; Software Design Analysis and Evaluations")</f>
        <v>0</v>
      </c>
      <c r="Y62" s="17">
        <f>COUNTIFS('Prácticas_Revisiones'!$S$2:$S$282,"T052",'Prácticas_Revisiones'!$T$2:$T$282,"DESIGN &gt; Subárea no determinable")+COUNTIFS('Prácticas_Snowballing'!$AB$2:$AB$281,"T052",'Prácticas_Snowballing'!$AC$2:$AC$281,"DESIGN &gt; Subárea no determinable")</f>
        <v>0</v>
      </c>
      <c r="Z62" s="29">
        <f t="shared" si="37"/>
        <v>0</v>
      </c>
      <c r="AA62" s="17">
        <f>COUNTIFS('Prácticas_Revisiones'!$S$2:$S$282,"T052",'Prácticas_Revisiones'!$T$2:$T$282,"CONSTRUCTION &gt; Software Construction Fundamentals")+COUNTIFS('Prácticas_Snowballing'!$AB$2:$AB$281,"T052",'Prácticas_Snowballing'!$AC$2:$AC$281,"CONSTRUCTION &gt; Software Construction Fundamentals")</f>
        <v>0</v>
      </c>
      <c r="AB62" s="17">
        <f>COUNTIFS('Prácticas_Revisiones'!$S$2:$S$282,"T052",'Prácticas_Revisiones'!$T$2:$T$282,"CONSTRUCTION &gt; Managing Construction")+COUNTIFS('Prácticas_Snowballing'!$AB$2:$AB$281,"T052",'Prácticas_Snowballing'!$AC$2:$AC$281,"CONSTRUCTION &gt; Managing Construction")</f>
        <v>0</v>
      </c>
      <c r="AC62" s="17">
        <f>COUNTIFS('Prácticas_Revisiones'!$S$2:$S$282,"T052",'Prácticas_Revisiones'!$T$2:$T$282,"CONSTRUCTION &gt; Practical Considerations")+COUNTIFS('Prácticas_Snowballing'!$AB$2:$AB$281,"T052",'Prácticas_Snowballing'!$AC$2:$AC$281,"CONSTRUCTION &gt; Practical Considerations")</f>
        <v>0</v>
      </c>
      <c r="AD62" s="17">
        <f>COUNTIFS('Prácticas_Revisiones'!$S$2:$S$282,"T052",'Prácticas_Revisiones'!$T$2:$T$282,"CONSTRUCTION &gt; Construction Technologies")+COUNTIFS('Prácticas_Snowballing'!$AB$2:$AB$281,"T052",'Prácticas_Snowballing'!$AC$2:$AC$281,"CONSTRUCTION &gt; Construction Technologies")</f>
        <v>0</v>
      </c>
      <c r="AE62" s="17">
        <f>COUNTIFS('Prácticas_Revisiones'!$S$2:$S$282,"T052",'Prácticas_Revisiones'!$T$2:$T$282,"CONSTRUCTION &gt; Software Construction Tools")+COUNTIFS('Prácticas_Snowballing'!$AB$2:$AB$281,"T052",'Prácticas_Snowballing'!$AC$2:$AC$281,"CONSTRUCTION &gt; Software Construction Tools")</f>
        <v>0</v>
      </c>
      <c r="AF62" s="17">
        <f>COUNTIFS('Prácticas_Revisiones'!$S$2:$S$282,"T052",'Prácticas_Revisiones'!$T$2:$T$282,"CONSTRUCTION &gt; Subárea no determinable")+COUNTIFS('Prácticas_Snowballing'!$AB$2:$AB$281,"T052",'Prácticas_Snowballing'!$AC$2:$AC$281,"CONSTRUCTION &gt; Subárea no determinable")</f>
        <v>0</v>
      </c>
      <c r="AG62" s="29">
        <f t="shared" si="38"/>
        <v>0</v>
      </c>
      <c r="AH62" s="17">
        <f>COUNTIFS('Prácticas_Revisiones'!$S$2:$S$282,"T052",'Prácticas_Revisiones'!$T$2:$T$282,"SOFTWARE TESTING &gt; Software Testing Fundamentals")+COUNTIFS('Prácticas_Snowballing'!$AB$2:$AB$281,"T052",'Prácticas_Snowballing'!$AC$2:$AC$281,"SOFTWARE TESTING &gt; Software Testing Fundamentals")</f>
        <v>0</v>
      </c>
      <c r="AI62" s="17">
        <f>COUNTIFS('Prácticas_Revisiones'!$S$2:$S$282,"T052",'Prácticas_Revisiones'!$T$2:$T$282,"SOFTWARE TESTING &gt; Test Levels")+COUNTIFS('Prácticas_Snowballing'!$AB$2:$AB$281,"T052",'Prácticas_Snowballing'!$AC$2:$AC$281,"SOFTWARE TESTING &gt; Test Levels")</f>
        <v>0</v>
      </c>
      <c r="AJ62" s="17">
        <f>COUNTIFS('Prácticas_Revisiones'!$S$2:$S$282,"T052",'Prácticas_Revisiones'!$T$2:$T$282,"SOFTWARE TESTING &gt; Test Techniques")+COUNTIFS('Prácticas_Snowballing'!$AB$2:$AB$281,"T052",'Prácticas_Snowballing'!$AC$2:$AC$281,"SOFTWARE TESTING &gt; Test Techniques")</f>
        <v>0</v>
      </c>
      <c r="AK62" s="17">
        <f>COUNTIFS('Prácticas_Revisiones'!$S$2:$S$282,"T052",'Prácticas_Revisiones'!$T$2:$T$282,"SOFTWARE TESTING &gt; Test-Related Measures")+COUNTIFS('Prácticas_Snowballing'!$AB$2:$AB$281,"T052",'Prácticas_Snowballing'!$AC$2:$AC$281,"SOFTWARE TESTING &gt; Test-Related Measures")</f>
        <v>0</v>
      </c>
      <c r="AL62" s="17">
        <f>COUNTIFS('Prácticas_Revisiones'!$S$2:$S$282,"T052",'Prácticas_Revisiones'!$T$2:$T$282,"SOFTWARE TESTING &gt; Test Process")+COUNTIFS('Prácticas_Snowballing'!$AB$2:$AB$281,"T052",'Prácticas_Snowballing'!$AC$2:$AC$281,"SOFTWARE TESTING &gt; Test Process")</f>
        <v>0</v>
      </c>
      <c r="AM62" s="17">
        <f>COUNTIFS('Prácticas_Revisiones'!$S$2:$S$282,"T052",'Prácticas_Revisiones'!$T$2:$T$282,"SOFTWARE TESTING &gt; Software Testing in the Development Processes...")+COUNTIFS('Prácticas_Snowballing'!$AB$2:$AB$281,"T052",'Prácticas_Snowballing'!$AC$2:$AC$281,"SOFTWARE TESTING &gt; Software Testing in the Development Processes...")</f>
        <v>0</v>
      </c>
      <c r="AN62" s="17">
        <f>COUNTIFS('Prácticas_Revisiones'!$S$2:$S$282,"T052",'Prácticas_Revisiones'!$T$2:$T$282,"SOFTWARE TESTING &gt; Testing of and Testing Through Emerging Tech...")+COUNTIFS('Prácticas_Snowballing'!$AB$2:$AB$281,"T052",'Prácticas_Snowballing'!$AC$2:$AC$281,"SOFTWARE TESTING &gt; Testing of and Testing Through Emerging Tech...")</f>
        <v>0</v>
      </c>
      <c r="AO62" s="17">
        <f>COUNTIFS('Prácticas_Revisiones'!$S$2:$S$282,"T052",'Prácticas_Revisiones'!$T$2:$T$282,"SOFTWARE TESTING &gt; Software Testing Tools")+COUNTIFS('Prácticas_Snowballing'!$AB$2:$AB$281,"T052",'Prácticas_Snowballing'!$AC$2:$AC$281,"SOFTWARE TESTING &gt; Software Testing Tools")</f>
        <v>0</v>
      </c>
      <c r="AP62" s="17">
        <f>COUNTIFS('Prácticas_Revisiones'!$S$2:$S$282,"T052",'Prácticas_Revisiones'!$T$2:$T$282,"SOFTWARE TESTING &gt; Subárea no determinable")+COUNTIFS('Prácticas_Snowballing'!$AB$2:$AB$281,"T052",'Prácticas_Snowballing'!$AC$2:$AC$281,"SOFTWARE TESTING &gt; Subárea no determinable")</f>
        <v>0</v>
      </c>
      <c r="AQ62" s="29">
        <f t="shared" si="39"/>
        <v>0</v>
      </c>
      <c r="AR62" s="17">
        <f>COUNTIFS('Prácticas_Revisiones'!$S$2:$S$282,"T052",'Prácticas_Revisiones'!$T$2:$T$282,"SOFTWARE ENG. OPERATIONS &gt; Software Engineering Operations Fundamentals")+COUNTIFS('Prácticas_Snowballing'!$AB$2:$AB$281,"T052",'Prácticas_Snowballing'!$AC$2:$AC$281,"SOFTWARE ENG. OPERATIONS &gt; Software Engineering Operations Fundamentals")</f>
        <v>0</v>
      </c>
      <c r="AS62" s="17">
        <f>COUNTIFS('Prácticas_Revisiones'!$S$2:$S$282,"T052",'Prácticas_Revisiones'!$T$2:$T$282,"SOFTWARE ENG. OPERATIONS &gt; Software Engineering Operations Planning")+COUNTIFS('Prácticas_Snowballing'!$AB$2:$AB$281,"T052",'Prácticas_Snowballing'!$AC$2:$AC$281,"SOFTWARE ENG. OPERATIONS &gt; Software Engineering Operations Planning")</f>
        <v>0</v>
      </c>
      <c r="AT62" s="17">
        <f>COUNTIFS('Prácticas_Revisiones'!$S$2:$S$282,"T052",'Prácticas_Revisiones'!$T$2:$T$282,"SOFTWARE ENG. OPERATIONS &gt; Software Engineering Operations Delivery")+COUNTIFS('Prácticas_Snowballing'!$AB$2:$AB$281,"T052",'Prácticas_Snowballing'!$AC$2:$AC$281,"SOFTWARE ENG. OPERATIONS &gt; Software Engineering Operations Delivery")</f>
        <v>0</v>
      </c>
      <c r="AU62" s="17">
        <f>COUNTIFS('Prácticas_Revisiones'!$S$2:$S$282,"T052",'Prácticas_Revisiones'!$T$2:$T$282,"SOFTWARE ENG. OPERATIONS &gt; Software Engineering Operations Control")+COUNTIFS('Prácticas_Snowballing'!$AB$2:$AB$281,"T052",'Prácticas_Snowballing'!$AC$2:$AC$281,"SOFTWARE ENG. OPERATIONS &gt; Software Engineering Operations Control")</f>
        <v>0</v>
      </c>
      <c r="AV62" s="17">
        <f>COUNTIFS('Prácticas_Revisiones'!$S$2:$S$282,"T052",'Prácticas_Revisiones'!$T$2:$T$282,"SOFTWARE ENG. OPERATIONS &gt; Practical Considerations")+COUNTIFS('Prácticas_Snowballing'!$AB$2:$AB$281,"T052",'Prácticas_Snowballing'!$AC$2:$AC$281,"SOFTWARE ENG. OPERATIONS &gt; Practical Considerations")</f>
        <v>0</v>
      </c>
      <c r="AW62" s="17">
        <f>COUNTIFS('Prácticas_Revisiones'!$S$2:$S$282,"T052",'Prácticas_Revisiones'!$T$2:$T$282,"SOFTWARE ENG. OPERATIONS &gt; Software Engineering Operations Tools")+COUNTIFS('Prácticas_Snowballing'!$AB$2:$AB$281,"T052",'Prácticas_Snowballing'!$AC$2:$AC$281,"SOFTWARE ENG. OPERATIONS &gt; Software Engineering Operations Tools")</f>
        <v>0</v>
      </c>
      <c r="AX62" s="17">
        <f>COUNTIFS('Prácticas_Revisiones'!$S$2:$S$282,"T052",'Prácticas_Revisiones'!$T$2:$T$282,"SOFTWARE ENG. OPERATIONS &gt; Subárea no determinable")+COUNTIFS('Prácticas_Snowballing'!$AB$2:$AB$281,"T052",'Prácticas_Snowballing'!$AC$2:$AC$281,"SOFTWARE ENG. OPERATIONS &gt; Subárea no determinable")</f>
        <v>0</v>
      </c>
      <c r="AY62" s="29">
        <f t="shared" si="40"/>
        <v>0</v>
      </c>
      <c r="AZ62" s="17">
        <f>COUNTIFS('Prácticas_Revisiones'!$S$2:$S$282,"T052",'Prácticas_Revisiones'!$T$2:$T$282,"MAINTENANCE &gt; Software Maintenance Fundamentals")+COUNTIFS('Prácticas_Snowballing'!$AB$2:$AB$281,"T052",'Prácticas_Snowballing'!$AC$2:$AC$281,"MAINTENANCE &gt; Software Maintenance Fundamentals")</f>
        <v>0</v>
      </c>
      <c r="BA62" s="17">
        <f>COUNTIFS('Prácticas_Revisiones'!$S$2:$S$282,"T052",'Prácticas_Revisiones'!$T$2:$T$282,"MAINTENANCE &gt; Key Issues in Software Maintenance")+COUNTIFS('Prácticas_Snowballing'!$AB$2:$AB$281,"T052",'Prácticas_Snowballing'!$AC$2:$AC$281,"MAINTENANCE &gt; Key Issues in Software Maintenance")</f>
        <v>0</v>
      </c>
      <c r="BB62" s="17">
        <f>COUNTIFS('Prácticas_Revisiones'!$S$2:$S$282,"T052",'Prácticas_Revisiones'!$T$2:$T$282,"MAINTENANCE &gt; Software Maintenance Processes")+COUNTIFS('Prácticas_Snowballing'!$AB$2:$AB$281,"T052",'Prácticas_Snowballing'!$AC$2:$AC$281,"MAINTENANCE &gt; Software Maintenance Processes")</f>
        <v>0</v>
      </c>
      <c r="BC62" s="17">
        <f>COUNTIFS('Prácticas_Revisiones'!$S$2:$S$282,"T052",'Prácticas_Revisiones'!$T$2:$T$282,"MAINTENANCE &gt; Software Maintenance Techniques")+COUNTIFS('Prácticas_Snowballing'!$AB$2:$AB$281,"T052",'Prácticas_Snowballing'!$AC$2:$AC$281,"MAINTENANCE &gt; Software Maintenance Techniques")</f>
        <v>0</v>
      </c>
      <c r="BD62" s="17">
        <f>COUNTIFS('Prácticas_Revisiones'!$S$2:$S$282,"T052",'Prácticas_Revisiones'!$T$2:$T$282,"MAINTENANCE &gt; Software Maintenance Tools")+COUNTIFS('Prácticas_Snowballing'!$AB$2:$AB$281,"T052",'Prácticas_Snowballing'!$AC$2:$AC$281,"MAINTENANCE &gt; Software Maintenance Tools")</f>
        <v>0</v>
      </c>
      <c r="BE62" s="17">
        <f>COUNTIFS('Prácticas_Revisiones'!$S$2:$S$282,"T052",'Prácticas_Revisiones'!$T$2:$T$282,"MAINTENANCE &gt; Subárea no determinable")+COUNTIFS('Prácticas_Snowballing'!$AB$2:$AB$281,"T052",'Prácticas_Snowballing'!$AC$2:$AC$281,"MAINTENANCE &gt; Subárea no determinable")</f>
        <v>0</v>
      </c>
      <c r="BF62" s="29">
        <f t="shared" si="41"/>
        <v>0</v>
      </c>
      <c r="BG62" s="17">
        <f>COUNTIFS('Prácticas_Revisiones'!$S$2:$S$282,"T052",'Prácticas_Revisiones'!$T$2:$T$282,"SOFTWARE CONFIG. MGMT. &gt; Management of the SCM Process")+COUNTIFS('Prácticas_Snowballing'!$AB$2:$AB$281,"T052",'Prácticas_Snowballing'!$AC$2:$AC$281,"SOFTWARE CONFIG. MGMT. &gt; Management of the SCM Process")</f>
        <v>0</v>
      </c>
      <c r="BH62" s="17">
        <f>COUNTIFS('Prácticas_Revisiones'!$S$2:$S$282,"T052",'Prácticas_Revisiones'!$T$2:$T$282,"SOFTWARE CONFIG. MGMT. &gt; Software Configuration Identification")+COUNTIFS('Prácticas_Snowballing'!$AB$2:$AB$281,"T052",'Prácticas_Snowballing'!$AC$2:$AC$281,"SOFTWARE CONFIG. MGMT. &gt; Software Configuration Identification")</f>
        <v>0</v>
      </c>
      <c r="BI62" s="17">
        <f>COUNTIFS('Prácticas_Revisiones'!$S$2:$S$282,"T052",'Prácticas_Revisiones'!$T$2:$T$282,"SOFTWARE CONFIG. MGMT. &gt; Software Configuration Change Control")+COUNTIFS('Prácticas_Snowballing'!$AB$2:$AB$281,"T052",'Prácticas_Snowballing'!$AC$2:$AC$281,"SOFTWARE CONFIG. MGMT. &gt; Software Configuration Change Control")</f>
        <v>0</v>
      </c>
      <c r="BJ62" s="17">
        <f>COUNTIFS('Prácticas_Revisiones'!$S$2:$S$282,"T052",'Prácticas_Revisiones'!$T$2:$T$282,"SOFTWARE CONFIG. MGMT. &gt; Software Configuration Status Accounting")+COUNTIFS('Prácticas_Snowballing'!$AB$2:$AB$281,"T052",'Prácticas_Snowballing'!$AC$2:$AC$281,"SOFTWARE CONFIG. MGMT. &gt; Software Configuration Status Accounting")</f>
        <v>0</v>
      </c>
      <c r="BK62" s="17">
        <f>COUNTIFS('Prácticas_Revisiones'!$S$2:$S$282,"T052",'Prácticas_Revisiones'!$T$2:$T$282,"SOFTWARE CONFIG. MGMT. &gt; Software Configuration Auditing")+COUNTIFS('Prácticas_Snowballing'!$AB$2:$AB$281,"T052",'Prácticas_Snowballing'!$AC$2:$AC$281,"SOFTWARE CONFIG. MGMT. &gt; Software Configuration Auditing")</f>
        <v>0</v>
      </c>
      <c r="BL62" s="17">
        <f>COUNTIFS('Prácticas_Revisiones'!$S$2:$S$282,"T052",'Prácticas_Revisiones'!$T$2:$T$282,"SOFTWARE CONFIG. MGMT. &gt; Software Release Management and Delivery")+COUNTIFS('Prácticas_Snowballing'!$AB$2:$AB$281,"T052",'Prácticas_Snowballing'!$AC$2:$AC$281,"SOFTWARE CONFIG. MGMT. &gt; Software Release Management and Delivery")</f>
        <v>0</v>
      </c>
      <c r="BM62" s="17">
        <f>COUNTIFS('Prácticas_Revisiones'!$S$2:$S$282,"T052",'Prácticas_Revisiones'!$T$2:$T$282,"SOFTWARE CONFIG. MGMT. &gt; Software Configuration Management Tools")+COUNTIFS('Prácticas_Snowballing'!$AB$2:$AB$281,"T052",'Prácticas_Snowballing'!$AC$2:$AC$281,"SOFTWARE CONFIG. MGMT. &gt; Software Configuration Management Tools")</f>
        <v>0</v>
      </c>
      <c r="BN62" s="17">
        <f>COUNTIFS('Prácticas_Revisiones'!$S$2:$S$282,"T052",'Prácticas_Revisiones'!$T$2:$T$282,"SOFTWARE CONFIG. MGMT. &gt; Subárea no determinable")+COUNTIFS('Prácticas_Snowballing'!$AB$2:$AB$281,"T052",'Prácticas_Snowballing'!$AC$2:$AC$281,"SOFTWARE CONFIG. MGMT. &gt; Subárea no determinable")</f>
        <v>0</v>
      </c>
      <c r="BO62" s="29">
        <f t="shared" si="42"/>
        <v>0</v>
      </c>
      <c r="BP62" s="17">
        <f>COUNTIFS('Prácticas_Revisiones'!$S$2:$S$282,"T052",'Prácticas_Revisiones'!$T$2:$T$282,"SOFTWARE ENG. PROCESS &gt; Software Engineering Process Fundamentals")+COUNTIFS('Prácticas_Snowballing'!$AB$2:$AB$281,"T052",'Prácticas_Snowballing'!$AC$2:$AC$281,"SOFTWARE ENG. PROCESS &gt; Software Engineering Process Fundamentals")</f>
        <v>0</v>
      </c>
      <c r="BQ62" s="17">
        <f>COUNTIFS('Prácticas_Revisiones'!$S$2:$S$282,"T052",'Prácticas_Revisiones'!$T$2:$T$282,"SOFTWARE ENG. PROCESS &gt; Life Cycles")+COUNTIFS('Prácticas_Snowballing'!$AB$2:$AB$281,"T052",'Prácticas_Snowballing'!$AC$2:$AC$281,"SOFTWARE ENG. PROCESS &gt; Life Cycles")</f>
        <v>0</v>
      </c>
      <c r="BR62" s="17">
        <f>COUNTIFS('Prácticas_Revisiones'!$S$2:$S$282,"T052",'Prácticas_Revisiones'!$T$2:$T$282,"SOFTWARE ENG. PROCESS &gt; Software Process Assessment and Improvement")+COUNTIFS('Prácticas_Snowballing'!$AB$2:$AB$281,"T052",'Prácticas_Snowballing'!$AC$2:$AC$281,"SOFTWARE ENG. PROCESS &gt; Software Process Assessment and Improvement")</f>
        <v>0</v>
      </c>
      <c r="BS62" s="17">
        <f>COUNTIFS('Prácticas_Revisiones'!$S$2:$S$282,"T052",'Prácticas_Revisiones'!$T$2:$T$282,"SOFTWARE ENG. PROCESS &gt; Subárea no determinable")+COUNTIFS('Prácticas_Snowballing'!$AB$2:$AB$281,"T052",'Prácticas_Snowballing'!$AC$2:$AC$281,"SOFTWARE ENG. PROCESS &gt; Subárea no determinable")</f>
        <v>0</v>
      </c>
      <c r="BT62" s="29">
        <f t="shared" si="43"/>
        <v>0</v>
      </c>
      <c r="BU62" s="17">
        <f>COUNTIFS('Prácticas_Revisiones'!$S$2:$S$282,"T052",'Prácticas_Revisiones'!$T$2:$T$282,"SOFTWARE ENG. MODELS/METH. &gt; Modeling")+COUNTIFS('Prácticas_Snowballing'!$AB$2:$AB$281,"T052",'Prácticas_Snowballing'!$AC$2:$AC$281,"SOFTWARE ENG. MODELS/METH. &gt; Modeling")</f>
        <v>0</v>
      </c>
      <c r="BV62" s="17">
        <f>COUNTIFS('Prácticas_Revisiones'!$S$2:$S$282,"T052",'Prácticas_Revisiones'!$T$2:$T$282,"SOFTWARE ENG. MODELS/METH. &gt; Types of Models")+COUNTIFS('Prácticas_Snowballing'!$AB$2:$AB$281,"T052",'Prácticas_Snowballing'!$AC$2:$AC$281,"SOFTWARE ENG. MODELS/METH. &gt; Types of Models")</f>
        <v>0</v>
      </c>
      <c r="BW62" s="17">
        <f>COUNTIFS('Prácticas_Revisiones'!$S$2:$S$282,"T052",'Prácticas_Revisiones'!$T$2:$T$282,"SOFTWARE ENG. MODELS/METH. &gt; Analysis of Models")+COUNTIFS('Prácticas_Snowballing'!$AB$2:$AB$281,"T052",'Prácticas_Snowballing'!$AC$2:$AC$281,"SOFTWARE ENG. MODELS/METH. &gt; Analysis of Models")</f>
        <v>0</v>
      </c>
      <c r="BX62" s="17">
        <f>COUNTIFS('Prácticas_Revisiones'!$S$2:$S$282,"T052",'Prácticas_Revisiones'!$T$2:$T$282,"SOFTWARE ENG. MODELS/METH. &gt; Software Engineering Methods")+COUNTIFS('Prácticas_Snowballing'!$AB$2:$AB$281,"T052",'Prácticas_Snowballing'!$AC$2:$AC$281,"SOFTWARE ENG. MODELS/METH. &gt; Software Engineering Methods")</f>
        <v>0</v>
      </c>
      <c r="BY62" s="17">
        <f>COUNTIFS('Prácticas_Revisiones'!$S$2:$S$282,"T052",'Prácticas_Revisiones'!$T$2:$T$282,"SOFTWARE ENG. MODELS/METH. &gt; Subárea no determinable")+COUNTIFS('Prácticas_Snowballing'!$AB$2:$AB$281,"T052",'Prácticas_Snowballing'!$AC$2:$AC$281,"SOFTWARE ENG. MODELS/METH. &gt; Subárea no determinable")</f>
        <v>0</v>
      </c>
      <c r="BZ62" s="29">
        <f t="shared" si="44"/>
        <v>0</v>
      </c>
      <c r="CA62" s="17">
        <f>COUNTIFS('Prácticas_Revisiones'!$S$2:$S$282,"T052",'Prácticas_Revisiones'!$T$2:$T$282,"SOFTWARE QUALITY &gt; Software Quality Fundamentals")+COUNTIFS('Prácticas_Snowballing'!$AB$2:$AB$281,"T052",'Prácticas_Snowballing'!$AC$2:$AC$281,"SOFTWARE QUALITY &gt; Software Quality Fundamentals")</f>
        <v>0</v>
      </c>
      <c r="CB62" s="17">
        <f>COUNTIFS('Prácticas_Revisiones'!$S$2:$S$282,"T052",'Prácticas_Revisiones'!$T$2:$T$282,"SOFTWARE QUALITY &gt; Software Quality Management Process")+COUNTIFS('Prácticas_Snowballing'!$AB$2:$AB$281,"T052",'Prácticas_Snowballing'!$AC$2:$AC$281,"SOFTWARE QUALITY &gt; Software Quality Management Process")</f>
        <v>0</v>
      </c>
      <c r="CC62" s="17">
        <f>COUNTIFS('Prácticas_Revisiones'!$S$2:$S$282,"T052",'Prácticas_Revisiones'!$T$2:$T$282,"SOFTWARE QUALITY &gt; Software Quality Assurance Process")+COUNTIFS('Prácticas_Snowballing'!$AB$2:$AB$281,"T052",'Prácticas_Snowballing'!$AC$2:$AC$281,"SOFTWARE QUALITY &gt; Software Quality Assurance Process")</f>
        <v>0</v>
      </c>
      <c r="CD62" s="17">
        <f>COUNTIFS('Prácticas_Revisiones'!$S$2:$S$282,"T052",'Prácticas_Revisiones'!$T$2:$T$282,"SOFTWARE QUALITY &gt; Software Quality Tools")+COUNTIFS('Prácticas_Snowballing'!$AB$2:$AB$281,"T052",'Prácticas_Snowballing'!$AC$2:$AC$281,"SOFTWARE QUALITY &gt; Software Quality Tools")</f>
        <v>0</v>
      </c>
      <c r="CE62" s="17">
        <f>COUNTIFS('Prácticas_Revisiones'!$S$2:$S$282,"T052",'Prácticas_Revisiones'!$T$2:$T$282,"SOFTWARE QUALITY &gt; Subárea no determinable")+COUNTIFS('Prácticas_Snowballing'!$AB$2:$AB$281,"T052",'Prácticas_Snowballing'!$AC$2:$AC$281,"SOFTWARE QUALITY &gt; Subárea no determinable")</f>
        <v>0</v>
      </c>
      <c r="CF62" s="29">
        <f t="shared" si="45"/>
        <v>0</v>
      </c>
      <c r="CG62" s="17">
        <f>COUNTIFS('Prácticas_Revisiones'!$S$2:$S$282,"T052",'Prácticas_Revisiones'!$T$2:$T$282,"SOFTWARE SECURITY &gt; Software Security Fundamentals")+COUNTIFS('Prácticas_Snowballing'!$AB$2:$AB$281,"T052",'Prácticas_Snowballing'!$AC$2:$AC$281,"SOFTWARE SECURITY &gt; Software Security Fundamentals")</f>
        <v>0</v>
      </c>
      <c r="CH62" s="17">
        <f>COUNTIFS('Prácticas_Revisiones'!$S$2:$S$282,"T052",'Prácticas_Revisiones'!$T$2:$T$282,"SOFTWARE SECURITY &gt; Security Management and Organization")+COUNTIFS('Prácticas_Snowballing'!$AB$2:$AB$281,"T052",'Prácticas_Snowballing'!$AC$2:$AC$281,"SOFTWARE SECURITY &gt; Security Management and Organization")</f>
        <v>0</v>
      </c>
      <c r="CI62" s="17">
        <f>COUNTIFS('Prácticas_Revisiones'!$S$2:$S$282,"T052",'Prácticas_Revisiones'!$T$2:$T$282,"SOFTWARE SECURITY &gt; Software Security Engineering and Process")+COUNTIFS('Prácticas_Snowballing'!$AB$2:$AB$281,"T052",'Prácticas_Snowballing'!$AC$2:$AC$281,"SOFTWARE SECURITY &gt; Software Security Engineering and Process")</f>
        <v>0</v>
      </c>
      <c r="CJ62" s="17">
        <f>COUNTIFS('Prácticas_Revisiones'!$S$2:$S$282,"T052",'Prácticas_Revisiones'!$T$2:$T$282,"SOFTWARE SECURITY &gt; Security Engineering for Software Systems")+COUNTIFS('Prácticas_Snowballing'!$AB$2:$AB$281,"T052",'Prácticas_Snowballing'!$AC$2:$AC$281,"SOFTWARE SECURITY &gt; Security Engineering for Software Systems")</f>
        <v>0</v>
      </c>
      <c r="CK62" s="17">
        <f>COUNTIFS('Prácticas_Revisiones'!$S$2:$S$282,"T052",'Prácticas_Revisiones'!$T$2:$T$282,"SOFTWARE SECURITY &gt; Software Security Tools")+COUNTIFS('Prácticas_Snowballing'!$AB$2:$AB$281,"T052",'Prácticas_Snowballing'!$AC$2:$AC$281,"SOFTWARE SECURITY &gt; Software Security Tools")</f>
        <v>0</v>
      </c>
      <c r="CL62" s="17">
        <f>COUNTIFS('Prácticas_Revisiones'!$S$2:$S$282,"T052",'Prácticas_Revisiones'!$T$2:$T$282,"SOFTWARE SECURITY &gt; Domain Specific Software Security")+COUNTIFS('Prácticas_Snowballing'!$AB$2:$AB$281,"T052",'Prácticas_Snowballing'!$AC$2:$AC$281,"SOFTWARE SECURITY &gt; Domain Specific Software Security")</f>
        <v>0</v>
      </c>
      <c r="CM62" s="17">
        <f>COUNTIFS('Prácticas_Revisiones'!$S$2:$S$282,"T052",'Prácticas_Revisiones'!$T$2:$T$282,"SOFTWARE SECURITY &gt; Subárea no determinable")+COUNTIFS('Prácticas_Snowballing'!$AB$2:$AB$281,"T052",'Prácticas_Snowballing'!$AC$2:$AC$281,"SOFTWARE SECURITY &gt; Subárea no determinable")</f>
        <v>0</v>
      </c>
      <c r="CN62" s="29">
        <f t="shared" si="46"/>
        <v>0</v>
      </c>
      <c r="CO62" s="17">
        <f>COUNTIFS('Prácticas_Revisiones'!$S$2:$S$282,"T052",'Prácticas_Revisiones'!$T$2:$T$282,"PROFESSIONAL PRACTICE &gt; Professionalism")+COUNTIFS('Prácticas_Snowballing'!$AB$2:$AB$281,"T052",'Prácticas_Snowballing'!$AC$2:$AC$281,"PROFESSIONAL PRACTICE &gt; Professionalism")</f>
        <v>0</v>
      </c>
      <c r="CP62" s="17">
        <f>COUNTIFS('Prácticas_Revisiones'!$S$2:$S$282,"T052",'Prácticas_Revisiones'!$T$2:$T$282,"PROFESSIONAL PRACTICE &gt; Group Dynamics and Psychology")+COUNTIFS('Prácticas_Snowballing'!$AB$2:$AB$281,"T052",'Prácticas_Snowballing'!$AC$2:$AC$281,"PROFESSIONAL PRACTICE &gt; Group Dynamics and Psychology")</f>
        <v>0</v>
      </c>
      <c r="CQ62" s="17">
        <f>COUNTIFS('Prácticas_Revisiones'!$S$2:$S$282,"T052",'Prácticas_Revisiones'!$T$2:$T$282,"PROFESSIONAL PRACTICE &gt; Communication Skills")+COUNTIFS('Prácticas_Snowballing'!$AB$2:$AB$281,"T052",'Prácticas_Snowballing'!$AC$2:$AC$281,"PROFESSIONAL PRACTICE &gt; Communication Skills")</f>
        <v>0</v>
      </c>
      <c r="CR62" s="17">
        <f>COUNTIFS('Prácticas_Revisiones'!$S$2:$S$282,"T052",'Prácticas_Revisiones'!$T$2:$T$282,"PROFESSIONAL PRACTICE &gt; Subárea no determinable")+COUNTIFS('Prácticas_Snowballing'!$AB$2:$AB$281,"T052",'Prácticas_Snowballing'!$AC$2:$AC$281,"PROFESSIONAL PRACTICE &gt; Subárea no determinable")</f>
        <v>0</v>
      </c>
      <c r="CS62" s="29">
        <f t="shared" si="47"/>
        <v>0</v>
      </c>
      <c r="CT62" s="17">
        <f>COUNTIFS('Prácticas_Revisiones'!$S$2:$S$282,"T052",'Prácticas_Revisiones'!$T$2:$T$282,"SOFTWARE ENG. ECONOMICS &gt; Software Engineering Economics Fundamentals")+COUNTIFS('Prácticas_Snowballing'!$AB$2:$AB$281,"T052",'Prácticas_Snowballing'!$AC$2:$AC$281,"SOFTWARE ENG. ECONOMICS &gt; Software Engineering Economics Fundamentals")</f>
        <v>0</v>
      </c>
      <c r="CU62" s="17">
        <f>COUNTIFS('Prácticas_Revisiones'!$S$2:$S$282,"T052",'Prácticas_Revisiones'!$T$2:$T$282,"SOFTWARE ENG. ECONOMICS &gt; The Engineering Decision-Making Process")+COUNTIFS('Prácticas_Snowballing'!$AB$2:$AB$281,"T052",'Prácticas_Snowballing'!$AC$2:$AC$281,"SOFTWARE ENG. ECONOMICS &gt; The Engineering Decision-Making Process")</f>
        <v>0</v>
      </c>
      <c r="CV62" s="17">
        <f>COUNTIFS('Prácticas_Revisiones'!$S$2:$S$282,"T052",'Prácticas_Revisiones'!$T$2:$T$282,"SOFTWARE ENG. ECONOMICS &gt; For-Profit Decision-Making")+COUNTIFS('Prácticas_Snowballing'!$AB$2:$AB$281,"T052",'Prácticas_Snowballing'!$AC$2:$AC$281,"SOFTWARE ENG. ECONOMICS &gt; For-Profit Decision-Making")</f>
        <v>0</v>
      </c>
      <c r="CW62" s="17">
        <f>COUNTIFS('Prácticas_Revisiones'!$S$2:$S$282,"T052",'Prácticas_Revisiones'!$T$2:$T$282,"SOFTWARE ENG. ECONOMICS &gt; Nonprofit Decision-Making")+COUNTIFS('Prácticas_Snowballing'!$AB$2:$AB$281,"T052",'Prácticas_Snowballing'!$AC$2:$AC$281,"SOFTWARE ENG. ECONOMICS &gt; Nonprofit Decision-Making")</f>
        <v>0</v>
      </c>
      <c r="CX62" s="17">
        <f>COUNTIFS('Prácticas_Revisiones'!$S$2:$S$282,"T052",'Prácticas_Revisiones'!$T$2:$T$282,"SOFTWARE ENG. ECONOMICS &gt; Present Economy Decision-Making")+COUNTIFS('Prácticas_Snowballing'!$AB$2:$AB$281,"T052",'Prácticas_Snowballing'!$AC$2:$AC$281,"SOFTWARE ENG. ECONOMICS &gt; Present Economy Decision-Making")</f>
        <v>0</v>
      </c>
      <c r="CY62" s="17">
        <f>COUNTIFS('Prácticas_Revisiones'!$S$2:$S$282,"T052",'Prácticas_Revisiones'!$T$2:$T$282,"SOFTWARE ENG. ECONOMICS &gt; Multiple-Attribute Decision-Making")+COUNTIFS('Prácticas_Snowballing'!$AB$2:$AB$281,"T052",'Prácticas_Snowballing'!$AC$2:$AC$281,"SOFTWARE ENG. ECONOMICS &gt; Multiple-Attribute Decision-Making")</f>
        <v>0</v>
      </c>
      <c r="CZ62" s="17">
        <f>COUNTIFS('Prácticas_Revisiones'!$S$2:$S$282,"T052",'Prácticas_Revisiones'!$T$2:$T$282,"SOFTWARE ENG. ECONOMICS &gt; Identifying and Characterizing Intangible Assets")+COUNTIFS('Prácticas_Snowballing'!$AB$2:$AB$281,"T052",'Prácticas_Snowballing'!$AC$2:$AC$281,"SOFTWARE ENG. ECONOMICS &gt; Identifying and Characterizing Intangible Assets")</f>
        <v>0</v>
      </c>
      <c r="DA62" s="17">
        <f>COUNTIFS('Prácticas_Revisiones'!$S$2:$S$282,"T052",'Prácticas_Revisiones'!$T$2:$T$282,"SOFTWARE ENG. ECONOMICS &gt; Estimation")+COUNTIFS('Prácticas_Snowballing'!$AB$2:$AB$281,"T052",'Prácticas_Snowballing'!$AC$2:$AC$281,"SOFTWARE ENG. ECONOMICS &gt; Estimation")</f>
        <v>0</v>
      </c>
      <c r="DB62" s="17">
        <f>COUNTIFS('Prácticas_Revisiones'!$S$2:$S$282,"T052",'Prácticas_Revisiones'!$T$2:$T$282,"SOFTWARE ENG. ECONOMICS &gt; Practical Considerations")+COUNTIFS('Prácticas_Snowballing'!$AB$2:$AB$281,"T052",'Prácticas_Snowballing'!$AC$2:$AC$281,"SOFTWARE ENG. ECONOMICS &gt; Practical Considerations")</f>
        <v>0</v>
      </c>
      <c r="DC62" s="17">
        <f>COUNTIFS('Prácticas_Revisiones'!$S$2:$S$282,"T052",'Prácticas_Revisiones'!$T$2:$T$282,"SOFTWARE ENG. ECONOMICS &gt; Related Concepts")+COUNTIFS('Prácticas_Snowballing'!$AB$2:$AB$281,"T052",'Prácticas_Snowballing'!$AC$2:$AC$281,"SOFTWARE ENG. ECONOMICS &gt; Related Concepts")</f>
        <v>0</v>
      </c>
      <c r="DD62" s="17">
        <f>COUNTIFS('Prácticas_Revisiones'!$S$2:$S$282,"T052",'Prácticas_Revisiones'!$T$2:$T$282,"SOFTWARE ENG. ECONOMICS &gt; Subárea no determinable")+COUNTIFS('Prácticas_Snowballing'!$AB$2:$AB$281,"T052",'Prácticas_Snowballing'!$AC$2:$AC$281,"SOFTWARE ENG. ECONOMICS &gt; Subárea no determinable")</f>
        <v>0</v>
      </c>
      <c r="DE62" s="29">
        <f t="shared" si="48"/>
        <v>0</v>
      </c>
      <c r="DF62" s="17">
        <f>COUNTIFS('Prácticas_Revisiones'!$S$2:$S$282,"T052",'Prácticas_Revisiones'!$T$2:$T$282,"SOFTWARE ENG. MANAGEMENT &gt; Software Engineering Management Fundamentals")+COUNTIFS('Prácticas_Snowballing'!$AB$2:$AB$281,"T052",'Prácticas_Snowballing'!$AC$2:$AC$281,"SOFTWARE ENG. MANAGEMENT &gt; Software Engineering Management Fundamentals")</f>
        <v>0</v>
      </c>
      <c r="DG62" s="17">
        <f>COUNTIFS('Prácticas_Revisiones'!$S$2:$S$282,"T052",'Prácticas_Revisiones'!$T$2:$T$282,"SOFTWARE ENG. MANAGEMENT &gt; Initiation and Scope Definition")+COUNTIFS('Prácticas_Snowballing'!$AB$2:$AB$281,"T052",'Prácticas_Snowballing'!$AC$2:$AC$281,"SOFTWARE ENG. MANAGEMENT &gt; Initiation and Scope Definition")</f>
        <v>0</v>
      </c>
      <c r="DH62" s="17">
        <f>COUNTIFS('Prácticas_Revisiones'!$S$2:$S$282,"T052",'Prácticas_Revisiones'!$T$2:$T$282,"SOFTWARE ENG. MANAGEMENT &gt; Software Project Planning")+COUNTIFS('Prácticas_Snowballing'!$AB$2:$AB$281,"T052",'Prácticas_Snowballing'!$AC$2:$AC$281,"SOFTWARE ENG. MANAGEMENT &gt; Software Project Planning")</f>
        <v>0</v>
      </c>
      <c r="DI62" s="17">
        <f>COUNTIFS('Prácticas_Revisiones'!$S$2:$S$282,"T052",'Prácticas_Revisiones'!$T$2:$T$282,"SOFTWARE ENG. MANAGEMENT &gt; Software Project Enactment")+COUNTIFS('Prácticas_Snowballing'!$AB$2:$AB$281,"T052",'Prácticas_Snowballing'!$AC$2:$AC$281,"SOFTWARE ENG. MANAGEMENT &gt; Software Project Enactment")</f>
        <v>0</v>
      </c>
      <c r="DJ62" s="17">
        <f>COUNTIFS('Prácticas_Revisiones'!$S$2:$S$282,"T052",'Prácticas_Revisiones'!$T$2:$T$282,"SOFTWARE ENG. MANAGEMENT &gt; Review and Evaluation")+COUNTIFS('Prácticas_Snowballing'!$AB$2:$AB$281,"T052",'Prácticas_Snowballing'!$AC$2:$AC$281,"SOFTWARE ENG. MANAGEMENT &gt; Review and Evaluation")</f>
        <v>0</v>
      </c>
      <c r="DK62" s="17">
        <f>COUNTIFS('Prácticas_Revisiones'!$S$2:$S$282,"T052",'Prácticas_Revisiones'!$T$2:$T$282,"SOFTWARE ENG. MANAGEMENT &gt; Closure")+COUNTIFS('Prácticas_Snowballing'!$AB$2:$AB$281,"T052",'Prácticas_Snowballing'!$AC$2:$AC$281,"SOFTWARE ENG. MANAGEMENT &gt; Closure")</f>
        <v>0</v>
      </c>
      <c r="DL62" s="17">
        <f>COUNTIFS('Prácticas_Revisiones'!$S$2:$S$282,"T052",'Prácticas_Revisiones'!$T$2:$T$282,"SOFTWARE ENG. MANAGEMENT &gt; Software Engineering Management Tools")+COUNTIFS('Prácticas_Snowballing'!$AB$2:$AB$281,"T052",'Prácticas_Snowballing'!$AC$2:$AC$281,"SOFTWARE ENG. MANAGEMENT &gt; Software Engineering Management Tools")</f>
        <v>0</v>
      </c>
      <c r="DM62" s="17">
        <f>COUNTIFS('Prácticas_Revisiones'!$S$2:$S$282,"T052",'Prácticas_Revisiones'!$T$2:$T$282,"SOFTWARE ENG. MANAGEMENT &gt; Subárea no determinable")+COUNTIFS('Prácticas_Snowballing'!$AB$2:$AB$281,"T052",'Prácticas_Snowballing'!$AC$2:$AC$281,"SOFTWARE ENG. MANAGEMENT &gt; Subárea no determinable")</f>
        <v>0</v>
      </c>
      <c r="DN62" s="29">
        <f t="shared" si="49"/>
        <v>0</v>
      </c>
      <c r="DO62" s="17">
        <f>COUNTIFS('Prácticas_Revisiones'!$S$2:$S$282,"T052",'Prácticas_Revisiones'!$T$2:$T$282,"Sin área SWEBOK")+COUNTIFS('Prácticas_Snowballing'!$AB$2:$AB$281,"T052",'Prácticas_Snowballing'!$AC$2:$AC$281,"Sin área SWEBOK")</f>
        <v>0</v>
      </c>
      <c r="DP62" s="27">
        <f t="shared" si="50"/>
        <v>0</v>
      </c>
    </row>
    <row r="63" ht="15.75" customHeight="1">
      <c r="A63" s="28"/>
      <c r="B63" s="16" t="s">
        <v>2811</v>
      </c>
      <c r="C63" s="17">
        <f>COUNTIFS('Prácticas_Revisiones'!$S$2:$S$282,"T053",'Prácticas_Revisiones'!$T$2:$T$282,"REQUIREMENTS &gt; Software Requirements Fundamentals")+COUNTIFS('Prácticas_Snowballing'!$AB$2:$AB$281,"T053",'Prácticas_Snowballing'!$AC$2:$AC$281,"REQUIREMENTS &gt; Software Requirements Fundamentals")</f>
        <v>0</v>
      </c>
      <c r="D63" s="17">
        <f>COUNTIFS('Prácticas_Revisiones'!$S$2:$S$282,"T053",'Prácticas_Revisiones'!$T$2:$T$282,"REQUIREMENTS &gt; Requirements Elicitation")+COUNTIFS('Prácticas_Snowballing'!$AB$2:$AB$281,"T053",'Prácticas_Snowballing'!$AC$2:$AC$281,"REQUIREMENTS &gt; Requirements Elicitation")</f>
        <v>0</v>
      </c>
      <c r="E63" s="17">
        <f>COUNTIFS('Prácticas_Revisiones'!$S$2:$S$282,"T053",'Prácticas_Revisiones'!$T$2:$T$282,"REQUIREMENTS &gt; Requirements Analysis")+COUNTIFS('Prácticas_Snowballing'!$AB$2:$AB$281,"T053",'Prácticas_Snowballing'!$AC$2:$AC$281,"REQUIREMENTS &gt; Requirements Analysis")</f>
        <v>0</v>
      </c>
      <c r="F63" s="17">
        <f>COUNTIFS('Prácticas_Revisiones'!$S$2:$S$282,"T053",'Prácticas_Revisiones'!$T$2:$T$282,"REQUIREMENTS &gt; Requirements Specification")+COUNTIFS('Prácticas_Snowballing'!$AB$2:$AB$281,"T053",'Prácticas_Snowballing'!$AC$2:$AC$281,"REQUIREMENTS &gt; Requirements Specification")</f>
        <v>0</v>
      </c>
      <c r="G63" s="17">
        <f>COUNTIFS('Prácticas_Revisiones'!$S$2:$S$282,"T053",'Prácticas_Revisiones'!$T$2:$T$282,"REQUIREMENTS &gt; Requirements Validation")+COUNTIFS('Prácticas_Snowballing'!$AB$2:$AB$281,"T053",'Prácticas_Snowballing'!$AC$2:$AC$281,"REQUIREMENTS &gt; Requirements Validation")</f>
        <v>0</v>
      </c>
      <c r="H63" s="17">
        <f>COUNTIFS('Prácticas_Revisiones'!$S$2:$S$282,"T053",'Prácticas_Revisiones'!$T$2:$T$282,"REQUIREMENTS &gt; Requirements Management Activities")+COUNTIFS('Prácticas_Snowballing'!$AB$2:$AB$281,"T053",'Prácticas_Snowballing'!$AC$2:$AC$281,"REQUIREMENTS &gt; Requirements Management Activities")</f>
        <v>0</v>
      </c>
      <c r="I63" s="17">
        <f>COUNTIFS('Prácticas_Revisiones'!$S$2:$S$282,"T053",'Prácticas_Revisiones'!$T$2:$T$282,"REQUIREMENTS &gt; Practical Considerations")+COUNTIFS('Prácticas_Snowballing'!$AB$2:$AB$281,"T053",'Prácticas_Snowballing'!$AC$2:$AC$281,"REQUIREMENTS &gt; Practical Considerations")</f>
        <v>0</v>
      </c>
      <c r="J63" s="17">
        <f>COUNTIFS('Prácticas_Revisiones'!$S$2:$S$282,"T053",'Prácticas_Revisiones'!$T$2:$T$282,"REQUIREMENTS &gt; Software Requirements Tools")+COUNTIFS('Prácticas_Snowballing'!$AB$2:$AB$281,"T053",'Prácticas_Snowballing'!$AC$2:$AC$281,"REQUIREMENTS &gt; Software Requirements Tools")</f>
        <v>0</v>
      </c>
      <c r="K63" s="17">
        <f>COUNTIFS('Prácticas_Revisiones'!$S$2:$S$282,"T053",'Prácticas_Revisiones'!$T$2:$T$282,"REQUIREMENTS &gt; Subárea no determinable")+COUNTIFS('Prácticas_Snowballing'!$AB$2:$AB$281,"T053",'Prácticas_Snowballing'!$AC$2:$AC$281,"REQUIREMENTS &gt; Subárea no determinable")</f>
        <v>0</v>
      </c>
      <c r="L63" s="29">
        <f t="shared" si="35"/>
        <v>0</v>
      </c>
      <c r="M63" s="17">
        <f>COUNTIFS('Prácticas_Revisiones'!$S$2:$S$282,"T053",'Prácticas_Revisiones'!$T$2:$T$282,"ARCHITECTURE &gt; Software Architecture Fundamentals")+COUNTIFS('Prácticas_Snowballing'!$AB$2:$AB$281,"T053",'Prácticas_Snowballing'!$AC$2:$AC$281,"ARCHITECTURE &gt; Software Architecture Fundamentals")</f>
        <v>0</v>
      </c>
      <c r="N63" s="17">
        <f>COUNTIFS('Prácticas_Revisiones'!$S$2:$S$282,"T053",'Prácticas_Revisiones'!$T$2:$T$282,"ARCHITECTURE &gt; Software Architecture Description")+COUNTIFS('Prácticas_Snowballing'!$AB$2:$AB$281,"T053",'Prácticas_Snowballing'!$AC$2:$AC$281,"ARCHITECTURE &gt; Software Architecture Description")</f>
        <v>0</v>
      </c>
      <c r="O63" s="17">
        <f>COUNTIFS('Prácticas_Revisiones'!$S$2:$S$282,"T053",'Prácticas_Revisiones'!$T$2:$T$282,"ARCHITECTURE &gt; Software Architecture Process")+COUNTIFS('Prácticas_Snowballing'!$AB$2:$AB$281,"T053",'Prácticas_Snowballing'!$AC$2:$AC$281,"ARCHITECTURE &gt; Software Architecture Process")</f>
        <v>0</v>
      </c>
      <c r="P63" s="17">
        <f>COUNTIFS('Prácticas_Revisiones'!$S$2:$S$282,"T053",'Prácticas_Revisiones'!$T$2:$T$282,"ARCHITECTURE &gt; Software Architecture Evaluation")+COUNTIFS('Prácticas_Snowballing'!$AB$2:$AB$281,"T053",'Prácticas_Snowballing'!$AC$2:$AC$281,"ARCHITECTURE &gt; Software Architecture Evaluation")</f>
        <v>0</v>
      </c>
      <c r="Q63" s="17">
        <f>COUNTIFS('Prácticas_Revisiones'!$S$2:$S$282,"T053",'Prácticas_Revisiones'!$T$2:$T$282,"ARCHITECTURE &gt; Subárea no determinable")+COUNTIFS('Prácticas_Snowballing'!$AB$2:$AB$281,"T053",'Prácticas_Snowballing'!$AC$2:$AC$281,"ARCHITECTURE &gt; Subárea no determinable")</f>
        <v>0</v>
      </c>
      <c r="R63" s="29">
        <f t="shared" si="36"/>
        <v>0</v>
      </c>
      <c r="S63" s="17">
        <f>COUNTIFS('Prácticas_Revisiones'!$S$2:$S$282,"T053",'Prácticas_Revisiones'!$T$2:$T$282,"DESIGN &gt; Software Design Fundamentals")+COUNTIFS('Prácticas_Snowballing'!$AB$2:$AB$281,"T053",'Prácticas_Snowballing'!$AC$2:$AC$281,"DESIGN &gt; Software Design Fundamentals")</f>
        <v>0</v>
      </c>
      <c r="T63" s="17">
        <f>COUNTIFS('Prácticas_Revisiones'!$S$2:$S$282,"T053",'Prácticas_Revisiones'!$T$2:$T$282,"DESIGN &gt; Software Design Processes")+COUNTIFS('Prácticas_Snowballing'!$AB$2:$AB$281,"T053",'Prácticas_Snowballing'!$AC$2:$AC$281,"DESIGN &gt; Software Design Processes")</f>
        <v>0</v>
      </c>
      <c r="U63" s="17">
        <f>COUNTIFS('Prácticas_Revisiones'!$S$2:$S$282,"T053",'Prácticas_Revisiones'!$T$2:$T$282,"DESIGN &gt; Software Design Qualities")+COUNTIFS('Prácticas_Snowballing'!$AB$2:$AB$281,"T053",'Prácticas_Snowballing'!$AC$2:$AC$281,"DESIGN &gt; Software Design Qualities")</f>
        <v>0</v>
      </c>
      <c r="V63" s="17">
        <f>COUNTIFS('Prácticas_Revisiones'!$S$2:$S$282,"T053",'Prácticas_Revisiones'!$T$2:$T$282,"DESIGN &gt; Recording Software Design")+COUNTIFS('Prácticas_Snowballing'!$AB$2:$AB$281,"T053",'Prácticas_Snowballing'!$AC$2:$AC$281,"DESIGN &gt; Recording Software Design")</f>
        <v>0</v>
      </c>
      <c r="W63" s="17">
        <f>COUNTIFS('Prácticas_Revisiones'!$S$2:$S$282,"T053",'Prácticas_Revisiones'!$T$2:$T$282,"DESIGN &gt; Software Design Strategies and Methods")+COUNTIFS('Prácticas_Snowballing'!$AB$2:$AB$281,"T053",'Prácticas_Snowballing'!$AC$2:$AC$281,"DESIGN &gt; Software Design Strategies and Methods")</f>
        <v>0</v>
      </c>
      <c r="X63" s="17">
        <f>COUNTIFS('Prácticas_Revisiones'!$S$2:$S$282,"T053",'Prácticas_Revisiones'!$T$2:$T$282,"DESIGN &gt; Software Design Analysis and Evaluations")+COUNTIFS('Prácticas_Snowballing'!$AB$2:$AB$281,"T053",'Prácticas_Snowballing'!$AC$2:$AC$281,"DESIGN &gt; Software Design Analysis and Evaluations")</f>
        <v>0</v>
      </c>
      <c r="Y63" s="17">
        <f>COUNTIFS('Prácticas_Revisiones'!$S$2:$S$282,"T053",'Prácticas_Revisiones'!$T$2:$T$282,"DESIGN &gt; Subárea no determinable")+COUNTIFS('Prácticas_Snowballing'!$AB$2:$AB$281,"T053",'Prácticas_Snowballing'!$AC$2:$AC$281,"DESIGN &gt; Subárea no determinable")</f>
        <v>0</v>
      </c>
      <c r="Z63" s="29">
        <f t="shared" si="37"/>
        <v>0</v>
      </c>
      <c r="AA63" s="17">
        <f>COUNTIFS('Prácticas_Revisiones'!$S$2:$S$282,"T053",'Prácticas_Revisiones'!$T$2:$T$282,"CONSTRUCTION &gt; Software Construction Fundamentals")+COUNTIFS('Prácticas_Snowballing'!$AB$2:$AB$281,"T053",'Prácticas_Snowballing'!$AC$2:$AC$281,"CONSTRUCTION &gt; Software Construction Fundamentals")</f>
        <v>0</v>
      </c>
      <c r="AB63" s="17">
        <f>COUNTIFS('Prácticas_Revisiones'!$S$2:$S$282,"T053",'Prácticas_Revisiones'!$T$2:$T$282,"CONSTRUCTION &gt; Managing Construction")+COUNTIFS('Prácticas_Snowballing'!$AB$2:$AB$281,"T053",'Prácticas_Snowballing'!$AC$2:$AC$281,"CONSTRUCTION &gt; Managing Construction")</f>
        <v>0</v>
      </c>
      <c r="AC63" s="17">
        <f>COUNTIFS('Prácticas_Revisiones'!$S$2:$S$282,"T053",'Prácticas_Revisiones'!$T$2:$T$282,"CONSTRUCTION &gt; Practical Considerations")+COUNTIFS('Prácticas_Snowballing'!$AB$2:$AB$281,"T053",'Prácticas_Snowballing'!$AC$2:$AC$281,"CONSTRUCTION &gt; Practical Considerations")</f>
        <v>0</v>
      </c>
      <c r="AD63" s="17">
        <f>COUNTIFS('Prácticas_Revisiones'!$S$2:$S$282,"T053",'Prácticas_Revisiones'!$T$2:$T$282,"CONSTRUCTION &gt; Construction Technologies")+COUNTIFS('Prácticas_Snowballing'!$AB$2:$AB$281,"T053",'Prácticas_Snowballing'!$AC$2:$AC$281,"CONSTRUCTION &gt; Construction Technologies")</f>
        <v>0</v>
      </c>
      <c r="AE63" s="17">
        <f>COUNTIFS('Prácticas_Revisiones'!$S$2:$S$282,"T053",'Prácticas_Revisiones'!$T$2:$T$282,"CONSTRUCTION &gt; Software Construction Tools")+COUNTIFS('Prácticas_Snowballing'!$AB$2:$AB$281,"T053",'Prácticas_Snowballing'!$AC$2:$AC$281,"CONSTRUCTION &gt; Software Construction Tools")</f>
        <v>0</v>
      </c>
      <c r="AF63" s="17">
        <f>COUNTIFS('Prácticas_Revisiones'!$S$2:$S$282,"T053",'Prácticas_Revisiones'!$T$2:$T$282,"CONSTRUCTION &gt; Subárea no determinable")+COUNTIFS('Prácticas_Snowballing'!$AB$2:$AB$281,"T053",'Prácticas_Snowballing'!$AC$2:$AC$281,"CONSTRUCTION &gt; Subárea no determinable")</f>
        <v>0</v>
      </c>
      <c r="AG63" s="29">
        <f t="shared" si="38"/>
        <v>0</v>
      </c>
      <c r="AH63" s="17">
        <f>COUNTIFS('Prácticas_Revisiones'!$S$2:$S$282,"T053",'Prácticas_Revisiones'!$T$2:$T$282,"SOFTWARE TESTING &gt; Software Testing Fundamentals")+COUNTIFS('Prácticas_Snowballing'!$AB$2:$AB$281,"T053",'Prácticas_Snowballing'!$AC$2:$AC$281,"SOFTWARE TESTING &gt; Software Testing Fundamentals")</f>
        <v>0</v>
      </c>
      <c r="AI63" s="17">
        <f>COUNTIFS('Prácticas_Revisiones'!$S$2:$S$282,"T053",'Prácticas_Revisiones'!$T$2:$T$282,"SOFTWARE TESTING &gt; Test Levels")+COUNTIFS('Prácticas_Snowballing'!$AB$2:$AB$281,"T053",'Prácticas_Snowballing'!$AC$2:$AC$281,"SOFTWARE TESTING &gt; Test Levels")</f>
        <v>0</v>
      </c>
      <c r="AJ63" s="17">
        <f>COUNTIFS('Prácticas_Revisiones'!$S$2:$S$282,"T053",'Prácticas_Revisiones'!$T$2:$T$282,"SOFTWARE TESTING &gt; Test Techniques")+COUNTIFS('Prácticas_Snowballing'!$AB$2:$AB$281,"T053",'Prácticas_Snowballing'!$AC$2:$AC$281,"SOFTWARE TESTING &gt; Test Techniques")</f>
        <v>0</v>
      </c>
      <c r="AK63" s="17">
        <f>COUNTIFS('Prácticas_Revisiones'!$S$2:$S$282,"T053",'Prácticas_Revisiones'!$T$2:$T$282,"SOFTWARE TESTING &gt; Test-Related Measures")+COUNTIFS('Prácticas_Snowballing'!$AB$2:$AB$281,"T053",'Prácticas_Snowballing'!$AC$2:$AC$281,"SOFTWARE TESTING &gt; Test-Related Measures")</f>
        <v>0</v>
      </c>
      <c r="AL63" s="17">
        <f>COUNTIFS('Prácticas_Revisiones'!$S$2:$S$282,"T053",'Prácticas_Revisiones'!$T$2:$T$282,"SOFTWARE TESTING &gt; Test Process")+COUNTIFS('Prácticas_Snowballing'!$AB$2:$AB$281,"T053",'Prácticas_Snowballing'!$AC$2:$AC$281,"SOFTWARE TESTING &gt; Test Process")</f>
        <v>0</v>
      </c>
      <c r="AM63" s="17">
        <f>COUNTIFS('Prácticas_Revisiones'!$S$2:$S$282,"T053",'Prácticas_Revisiones'!$T$2:$T$282,"SOFTWARE TESTING &gt; Software Testing in the Development Processes...")+COUNTIFS('Prácticas_Snowballing'!$AB$2:$AB$281,"T053",'Prácticas_Snowballing'!$AC$2:$AC$281,"SOFTWARE TESTING &gt; Software Testing in the Development Processes...")</f>
        <v>0</v>
      </c>
      <c r="AN63" s="17">
        <f>COUNTIFS('Prácticas_Revisiones'!$S$2:$S$282,"T053",'Prácticas_Revisiones'!$T$2:$T$282,"SOFTWARE TESTING &gt; Testing of and Testing Through Emerging Tech...")+COUNTIFS('Prácticas_Snowballing'!$AB$2:$AB$281,"T053",'Prácticas_Snowballing'!$AC$2:$AC$281,"SOFTWARE TESTING &gt; Testing of and Testing Through Emerging Tech...")</f>
        <v>0</v>
      </c>
      <c r="AO63" s="17">
        <f>COUNTIFS('Prácticas_Revisiones'!$S$2:$S$282,"T053",'Prácticas_Revisiones'!$T$2:$T$282,"SOFTWARE TESTING &gt; Software Testing Tools")+COUNTIFS('Prácticas_Snowballing'!$AB$2:$AB$281,"T053",'Prácticas_Snowballing'!$AC$2:$AC$281,"SOFTWARE TESTING &gt; Software Testing Tools")</f>
        <v>0</v>
      </c>
      <c r="AP63" s="17">
        <f>COUNTIFS('Prácticas_Revisiones'!$S$2:$S$282,"T053",'Prácticas_Revisiones'!$T$2:$T$282,"SOFTWARE TESTING &gt; Subárea no determinable")+COUNTIFS('Prácticas_Snowballing'!$AB$2:$AB$281,"T053",'Prácticas_Snowballing'!$AC$2:$AC$281,"SOFTWARE TESTING &gt; Subárea no determinable")</f>
        <v>0</v>
      </c>
      <c r="AQ63" s="29">
        <f t="shared" si="39"/>
        <v>0</v>
      </c>
      <c r="AR63" s="17">
        <f>COUNTIFS('Prácticas_Revisiones'!$S$2:$S$282,"T053",'Prácticas_Revisiones'!$T$2:$T$282,"SOFTWARE ENG. OPERATIONS &gt; Software Engineering Operations Fundamentals")+COUNTIFS('Prácticas_Snowballing'!$AB$2:$AB$281,"T053",'Prácticas_Snowballing'!$AC$2:$AC$281,"SOFTWARE ENG. OPERATIONS &gt; Software Engineering Operations Fundamentals")</f>
        <v>0</v>
      </c>
      <c r="AS63" s="17">
        <f>COUNTIFS('Prácticas_Revisiones'!$S$2:$S$282,"T053",'Prácticas_Revisiones'!$T$2:$T$282,"SOFTWARE ENG. OPERATIONS &gt; Software Engineering Operations Planning")+COUNTIFS('Prácticas_Snowballing'!$AB$2:$AB$281,"T053",'Prácticas_Snowballing'!$AC$2:$AC$281,"SOFTWARE ENG. OPERATIONS &gt; Software Engineering Operations Planning")</f>
        <v>0</v>
      </c>
      <c r="AT63" s="17">
        <f>COUNTIFS('Prácticas_Revisiones'!$S$2:$S$282,"T053",'Prácticas_Revisiones'!$T$2:$T$282,"SOFTWARE ENG. OPERATIONS &gt; Software Engineering Operations Delivery")+COUNTIFS('Prácticas_Snowballing'!$AB$2:$AB$281,"T053",'Prácticas_Snowballing'!$AC$2:$AC$281,"SOFTWARE ENG. OPERATIONS &gt; Software Engineering Operations Delivery")</f>
        <v>0</v>
      </c>
      <c r="AU63" s="17">
        <f>COUNTIFS('Prácticas_Revisiones'!$S$2:$S$282,"T053",'Prácticas_Revisiones'!$T$2:$T$282,"SOFTWARE ENG. OPERATIONS &gt; Software Engineering Operations Control")+COUNTIFS('Prácticas_Snowballing'!$AB$2:$AB$281,"T053",'Prácticas_Snowballing'!$AC$2:$AC$281,"SOFTWARE ENG. OPERATIONS &gt; Software Engineering Operations Control")</f>
        <v>0</v>
      </c>
      <c r="AV63" s="17">
        <f>COUNTIFS('Prácticas_Revisiones'!$S$2:$S$282,"T053",'Prácticas_Revisiones'!$T$2:$T$282,"SOFTWARE ENG. OPERATIONS &gt; Practical Considerations")+COUNTIFS('Prácticas_Snowballing'!$AB$2:$AB$281,"T053",'Prácticas_Snowballing'!$AC$2:$AC$281,"SOFTWARE ENG. OPERATIONS &gt; Practical Considerations")</f>
        <v>0</v>
      </c>
      <c r="AW63" s="17">
        <f>COUNTIFS('Prácticas_Revisiones'!$S$2:$S$282,"T053",'Prácticas_Revisiones'!$T$2:$T$282,"SOFTWARE ENG. OPERATIONS &gt; Software Engineering Operations Tools")+COUNTIFS('Prácticas_Snowballing'!$AB$2:$AB$281,"T053",'Prácticas_Snowballing'!$AC$2:$AC$281,"SOFTWARE ENG. OPERATIONS &gt; Software Engineering Operations Tools")</f>
        <v>0</v>
      </c>
      <c r="AX63" s="17">
        <f>COUNTIFS('Prácticas_Revisiones'!$S$2:$S$282,"T053",'Prácticas_Revisiones'!$T$2:$T$282,"SOFTWARE ENG. OPERATIONS &gt; Subárea no determinable")+COUNTIFS('Prácticas_Snowballing'!$AB$2:$AB$281,"T053",'Prácticas_Snowballing'!$AC$2:$AC$281,"SOFTWARE ENG. OPERATIONS &gt; Subárea no determinable")</f>
        <v>0</v>
      </c>
      <c r="AY63" s="29">
        <f t="shared" si="40"/>
        <v>0</v>
      </c>
      <c r="AZ63" s="17">
        <f>COUNTIFS('Prácticas_Revisiones'!$S$2:$S$282,"T053",'Prácticas_Revisiones'!$T$2:$T$282,"MAINTENANCE &gt; Software Maintenance Fundamentals")+COUNTIFS('Prácticas_Snowballing'!$AB$2:$AB$281,"T053",'Prácticas_Snowballing'!$AC$2:$AC$281,"MAINTENANCE &gt; Software Maintenance Fundamentals")</f>
        <v>0</v>
      </c>
      <c r="BA63" s="17">
        <f>COUNTIFS('Prácticas_Revisiones'!$S$2:$S$282,"T053",'Prácticas_Revisiones'!$T$2:$T$282,"MAINTENANCE &gt; Key Issues in Software Maintenance")+COUNTIFS('Prácticas_Snowballing'!$AB$2:$AB$281,"T053",'Prácticas_Snowballing'!$AC$2:$AC$281,"MAINTENANCE &gt; Key Issues in Software Maintenance")</f>
        <v>0</v>
      </c>
      <c r="BB63" s="17">
        <f>COUNTIFS('Prácticas_Revisiones'!$S$2:$S$282,"T053",'Prácticas_Revisiones'!$T$2:$T$282,"MAINTENANCE &gt; Software Maintenance Processes")+COUNTIFS('Prácticas_Snowballing'!$AB$2:$AB$281,"T053",'Prácticas_Snowballing'!$AC$2:$AC$281,"MAINTENANCE &gt; Software Maintenance Processes")</f>
        <v>0</v>
      </c>
      <c r="BC63" s="17">
        <f>COUNTIFS('Prácticas_Revisiones'!$S$2:$S$282,"T053",'Prácticas_Revisiones'!$T$2:$T$282,"MAINTENANCE &gt; Software Maintenance Techniques")+COUNTIFS('Prácticas_Snowballing'!$AB$2:$AB$281,"T053",'Prácticas_Snowballing'!$AC$2:$AC$281,"MAINTENANCE &gt; Software Maintenance Techniques")</f>
        <v>0</v>
      </c>
      <c r="BD63" s="17">
        <f>COUNTIFS('Prácticas_Revisiones'!$S$2:$S$282,"T053",'Prácticas_Revisiones'!$T$2:$T$282,"MAINTENANCE &gt; Software Maintenance Tools")+COUNTIFS('Prácticas_Snowballing'!$AB$2:$AB$281,"T053",'Prácticas_Snowballing'!$AC$2:$AC$281,"MAINTENANCE &gt; Software Maintenance Tools")</f>
        <v>0</v>
      </c>
      <c r="BE63" s="17">
        <f>COUNTIFS('Prácticas_Revisiones'!$S$2:$S$282,"T053",'Prácticas_Revisiones'!$T$2:$T$282,"MAINTENANCE &gt; Subárea no determinable")+COUNTIFS('Prácticas_Snowballing'!$AB$2:$AB$281,"T053",'Prácticas_Snowballing'!$AC$2:$AC$281,"MAINTENANCE &gt; Subárea no determinable")</f>
        <v>0</v>
      </c>
      <c r="BF63" s="29">
        <f t="shared" si="41"/>
        <v>0</v>
      </c>
      <c r="BG63" s="17">
        <f>COUNTIFS('Prácticas_Revisiones'!$S$2:$S$282,"T053",'Prácticas_Revisiones'!$T$2:$T$282,"SOFTWARE CONFIG. MGMT. &gt; Management of the SCM Process")+COUNTIFS('Prácticas_Snowballing'!$AB$2:$AB$281,"T053",'Prácticas_Snowballing'!$AC$2:$AC$281,"SOFTWARE CONFIG. MGMT. &gt; Management of the SCM Process")</f>
        <v>0</v>
      </c>
      <c r="BH63" s="17">
        <f>COUNTIFS('Prácticas_Revisiones'!$S$2:$S$282,"T053",'Prácticas_Revisiones'!$T$2:$T$282,"SOFTWARE CONFIG. MGMT. &gt; Software Configuration Identification")+COUNTIFS('Prácticas_Snowballing'!$AB$2:$AB$281,"T053",'Prácticas_Snowballing'!$AC$2:$AC$281,"SOFTWARE CONFIG. MGMT. &gt; Software Configuration Identification")</f>
        <v>0</v>
      </c>
      <c r="BI63" s="17">
        <f>COUNTIFS('Prácticas_Revisiones'!$S$2:$S$282,"T053",'Prácticas_Revisiones'!$T$2:$T$282,"SOFTWARE CONFIG. MGMT. &gt; Software Configuration Change Control")+COUNTIFS('Prácticas_Snowballing'!$AB$2:$AB$281,"T053",'Prácticas_Snowballing'!$AC$2:$AC$281,"SOFTWARE CONFIG. MGMT. &gt; Software Configuration Change Control")</f>
        <v>0</v>
      </c>
      <c r="BJ63" s="17">
        <f>COUNTIFS('Prácticas_Revisiones'!$S$2:$S$282,"T053",'Prácticas_Revisiones'!$T$2:$T$282,"SOFTWARE CONFIG. MGMT. &gt; Software Configuration Status Accounting")+COUNTIFS('Prácticas_Snowballing'!$AB$2:$AB$281,"T053",'Prácticas_Snowballing'!$AC$2:$AC$281,"SOFTWARE CONFIG. MGMT. &gt; Software Configuration Status Accounting")</f>
        <v>0</v>
      </c>
      <c r="BK63" s="17">
        <f>COUNTIFS('Prácticas_Revisiones'!$S$2:$S$282,"T053",'Prácticas_Revisiones'!$T$2:$T$282,"SOFTWARE CONFIG. MGMT. &gt; Software Configuration Auditing")+COUNTIFS('Prácticas_Snowballing'!$AB$2:$AB$281,"T053",'Prácticas_Snowballing'!$AC$2:$AC$281,"SOFTWARE CONFIG. MGMT. &gt; Software Configuration Auditing")</f>
        <v>0</v>
      </c>
      <c r="BL63" s="17">
        <f>COUNTIFS('Prácticas_Revisiones'!$S$2:$S$282,"T053",'Prácticas_Revisiones'!$T$2:$T$282,"SOFTWARE CONFIG. MGMT. &gt; Software Release Management and Delivery")+COUNTIFS('Prácticas_Snowballing'!$AB$2:$AB$281,"T053",'Prácticas_Snowballing'!$AC$2:$AC$281,"SOFTWARE CONFIG. MGMT. &gt; Software Release Management and Delivery")</f>
        <v>0</v>
      </c>
      <c r="BM63" s="17">
        <f>COUNTIFS('Prácticas_Revisiones'!$S$2:$S$282,"T053",'Prácticas_Revisiones'!$T$2:$T$282,"SOFTWARE CONFIG. MGMT. &gt; Software Configuration Management Tools")+COUNTIFS('Prácticas_Snowballing'!$AB$2:$AB$281,"T053",'Prácticas_Snowballing'!$AC$2:$AC$281,"SOFTWARE CONFIG. MGMT. &gt; Software Configuration Management Tools")</f>
        <v>0</v>
      </c>
      <c r="BN63" s="17">
        <f>COUNTIFS('Prácticas_Revisiones'!$S$2:$S$282,"T053",'Prácticas_Revisiones'!$T$2:$T$282,"SOFTWARE CONFIG. MGMT. &gt; Subárea no determinable")+COUNTIFS('Prácticas_Snowballing'!$AB$2:$AB$281,"T053",'Prácticas_Snowballing'!$AC$2:$AC$281,"SOFTWARE CONFIG. MGMT. &gt; Subárea no determinable")</f>
        <v>0</v>
      </c>
      <c r="BO63" s="29">
        <f t="shared" si="42"/>
        <v>0</v>
      </c>
      <c r="BP63" s="17">
        <f>COUNTIFS('Prácticas_Revisiones'!$S$2:$S$282,"T053",'Prácticas_Revisiones'!$T$2:$T$282,"SOFTWARE ENG. PROCESS &gt; Software Engineering Process Fundamentals")+COUNTIFS('Prácticas_Snowballing'!$AB$2:$AB$281,"T053",'Prácticas_Snowballing'!$AC$2:$AC$281,"SOFTWARE ENG. PROCESS &gt; Software Engineering Process Fundamentals")</f>
        <v>0</v>
      </c>
      <c r="BQ63" s="17">
        <f>COUNTIFS('Prácticas_Revisiones'!$S$2:$S$282,"T053",'Prácticas_Revisiones'!$T$2:$T$282,"SOFTWARE ENG. PROCESS &gt; Life Cycles")+COUNTIFS('Prácticas_Snowballing'!$AB$2:$AB$281,"T053",'Prácticas_Snowballing'!$AC$2:$AC$281,"SOFTWARE ENG. PROCESS &gt; Life Cycles")</f>
        <v>0</v>
      </c>
      <c r="BR63" s="17">
        <f>COUNTIFS('Prácticas_Revisiones'!$S$2:$S$282,"T053",'Prácticas_Revisiones'!$T$2:$T$282,"SOFTWARE ENG. PROCESS &gt; Software Process Assessment and Improvement")+COUNTIFS('Prácticas_Snowballing'!$AB$2:$AB$281,"T053",'Prácticas_Snowballing'!$AC$2:$AC$281,"SOFTWARE ENG. PROCESS &gt; Software Process Assessment and Improvement")</f>
        <v>0</v>
      </c>
      <c r="BS63" s="17">
        <f>COUNTIFS('Prácticas_Revisiones'!$S$2:$S$282,"T053",'Prácticas_Revisiones'!$T$2:$T$282,"SOFTWARE ENG. PROCESS &gt; Subárea no determinable")+COUNTIFS('Prácticas_Snowballing'!$AB$2:$AB$281,"T053",'Prácticas_Snowballing'!$AC$2:$AC$281,"SOFTWARE ENG. PROCESS &gt; Subárea no determinable")</f>
        <v>0</v>
      </c>
      <c r="BT63" s="29">
        <f t="shared" si="43"/>
        <v>0</v>
      </c>
      <c r="BU63" s="17">
        <f>COUNTIFS('Prácticas_Revisiones'!$S$2:$S$282,"T053",'Prácticas_Revisiones'!$T$2:$T$282,"SOFTWARE ENG. MODELS/METH. &gt; Modeling")+COUNTIFS('Prácticas_Snowballing'!$AB$2:$AB$281,"T053",'Prácticas_Snowballing'!$AC$2:$AC$281,"SOFTWARE ENG. MODELS/METH. &gt; Modeling")</f>
        <v>0</v>
      </c>
      <c r="BV63" s="17">
        <f>COUNTIFS('Prácticas_Revisiones'!$S$2:$S$282,"T053",'Prácticas_Revisiones'!$T$2:$T$282,"SOFTWARE ENG. MODELS/METH. &gt; Types of Models")+COUNTIFS('Prácticas_Snowballing'!$AB$2:$AB$281,"T053",'Prácticas_Snowballing'!$AC$2:$AC$281,"SOFTWARE ENG. MODELS/METH. &gt; Types of Models")</f>
        <v>0</v>
      </c>
      <c r="BW63" s="17">
        <f>COUNTIFS('Prácticas_Revisiones'!$S$2:$S$282,"T053",'Prácticas_Revisiones'!$T$2:$T$282,"SOFTWARE ENG. MODELS/METH. &gt; Analysis of Models")+COUNTIFS('Prácticas_Snowballing'!$AB$2:$AB$281,"T053",'Prácticas_Snowballing'!$AC$2:$AC$281,"SOFTWARE ENG. MODELS/METH. &gt; Analysis of Models")</f>
        <v>0</v>
      </c>
      <c r="BX63" s="17">
        <f>COUNTIFS('Prácticas_Revisiones'!$S$2:$S$282,"T053",'Prácticas_Revisiones'!$T$2:$T$282,"SOFTWARE ENG. MODELS/METH. &gt; Software Engineering Methods")+COUNTIFS('Prácticas_Snowballing'!$AB$2:$AB$281,"T053",'Prácticas_Snowballing'!$AC$2:$AC$281,"SOFTWARE ENG. MODELS/METH. &gt; Software Engineering Methods")</f>
        <v>0</v>
      </c>
      <c r="BY63" s="17">
        <f>COUNTIFS('Prácticas_Revisiones'!$S$2:$S$282,"T053",'Prácticas_Revisiones'!$T$2:$T$282,"SOFTWARE ENG. MODELS/METH. &gt; Subárea no determinable")+COUNTIFS('Prácticas_Snowballing'!$AB$2:$AB$281,"T053",'Prácticas_Snowballing'!$AC$2:$AC$281,"SOFTWARE ENG. MODELS/METH. &gt; Subárea no determinable")</f>
        <v>0</v>
      </c>
      <c r="BZ63" s="29">
        <f t="shared" si="44"/>
        <v>0</v>
      </c>
      <c r="CA63" s="17">
        <f>COUNTIFS('Prácticas_Revisiones'!$S$2:$S$282,"T053",'Prácticas_Revisiones'!$T$2:$T$282,"SOFTWARE QUALITY &gt; Software Quality Fundamentals")+COUNTIFS('Prácticas_Snowballing'!$AB$2:$AB$281,"T053",'Prácticas_Snowballing'!$AC$2:$AC$281,"SOFTWARE QUALITY &gt; Software Quality Fundamentals")</f>
        <v>0</v>
      </c>
      <c r="CB63" s="17">
        <f>COUNTIFS('Prácticas_Revisiones'!$S$2:$S$282,"T053",'Prácticas_Revisiones'!$T$2:$T$282,"SOFTWARE QUALITY &gt; Software Quality Management Process")+COUNTIFS('Prácticas_Snowballing'!$AB$2:$AB$281,"T053",'Prácticas_Snowballing'!$AC$2:$AC$281,"SOFTWARE QUALITY &gt; Software Quality Management Process")</f>
        <v>0</v>
      </c>
      <c r="CC63" s="17">
        <f>COUNTIFS('Prácticas_Revisiones'!$S$2:$S$282,"T053",'Prácticas_Revisiones'!$T$2:$T$282,"SOFTWARE QUALITY &gt; Software Quality Assurance Process")+COUNTIFS('Prácticas_Snowballing'!$AB$2:$AB$281,"T053",'Prácticas_Snowballing'!$AC$2:$AC$281,"SOFTWARE QUALITY &gt; Software Quality Assurance Process")</f>
        <v>0</v>
      </c>
      <c r="CD63" s="17">
        <f>COUNTIFS('Prácticas_Revisiones'!$S$2:$S$282,"T053",'Prácticas_Revisiones'!$T$2:$T$282,"SOFTWARE QUALITY &gt; Software Quality Tools")+COUNTIFS('Prácticas_Snowballing'!$AB$2:$AB$281,"T053",'Prácticas_Snowballing'!$AC$2:$AC$281,"SOFTWARE QUALITY &gt; Software Quality Tools")</f>
        <v>0</v>
      </c>
      <c r="CE63" s="17">
        <f>COUNTIFS('Prácticas_Revisiones'!$S$2:$S$282,"T053",'Prácticas_Revisiones'!$T$2:$T$282,"SOFTWARE QUALITY &gt; Subárea no determinable")+COUNTIFS('Prácticas_Snowballing'!$AB$2:$AB$281,"T053",'Prácticas_Snowballing'!$AC$2:$AC$281,"SOFTWARE QUALITY &gt; Subárea no determinable")</f>
        <v>0</v>
      </c>
      <c r="CF63" s="29">
        <f t="shared" si="45"/>
        <v>0</v>
      </c>
      <c r="CG63" s="17">
        <f>COUNTIFS('Prácticas_Revisiones'!$S$2:$S$282,"T053",'Prácticas_Revisiones'!$T$2:$T$282,"SOFTWARE SECURITY &gt; Software Security Fundamentals")+COUNTIFS('Prácticas_Snowballing'!$AB$2:$AB$281,"T053",'Prácticas_Snowballing'!$AC$2:$AC$281,"SOFTWARE SECURITY &gt; Software Security Fundamentals")</f>
        <v>0</v>
      </c>
      <c r="CH63" s="17">
        <f>COUNTIFS('Prácticas_Revisiones'!$S$2:$S$282,"T053",'Prácticas_Revisiones'!$T$2:$T$282,"SOFTWARE SECURITY &gt; Security Management and Organization")+COUNTIFS('Prácticas_Snowballing'!$AB$2:$AB$281,"T053",'Prácticas_Snowballing'!$AC$2:$AC$281,"SOFTWARE SECURITY &gt; Security Management and Organization")</f>
        <v>0</v>
      </c>
      <c r="CI63" s="17">
        <f>COUNTIFS('Prácticas_Revisiones'!$S$2:$S$282,"T053",'Prácticas_Revisiones'!$T$2:$T$282,"SOFTWARE SECURITY &gt; Software Security Engineering and Process")+COUNTIFS('Prácticas_Snowballing'!$AB$2:$AB$281,"T053",'Prácticas_Snowballing'!$AC$2:$AC$281,"SOFTWARE SECURITY &gt; Software Security Engineering and Process")</f>
        <v>0</v>
      </c>
      <c r="CJ63" s="17">
        <f>COUNTIFS('Prácticas_Revisiones'!$S$2:$S$282,"T053",'Prácticas_Revisiones'!$T$2:$T$282,"SOFTWARE SECURITY &gt; Security Engineering for Software Systems")+COUNTIFS('Prácticas_Snowballing'!$AB$2:$AB$281,"T053",'Prácticas_Snowballing'!$AC$2:$AC$281,"SOFTWARE SECURITY &gt; Security Engineering for Software Systems")</f>
        <v>0</v>
      </c>
      <c r="CK63" s="17">
        <f>COUNTIFS('Prácticas_Revisiones'!$S$2:$S$282,"T053",'Prácticas_Revisiones'!$T$2:$T$282,"SOFTWARE SECURITY &gt; Software Security Tools")+COUNTIFS('Prácticas_Snowballing'!$AB$2:$AB$281,"T053",'Prácticas_Snowballing'!$AC$2:$AC$281,"SOFTWARE SECURITY &gt; Software Security Tools")</f>
        <v>0</v>
      </c>
      <c r="CL63" s="17">
        <f>COUNTIFS('Prácticas_Revisiones'!$S$2:$S$282,"T053",'Prácticas_Revisiones'!$T$2:$T$282,"SOFTWARE SECURITY &gt; Domain Specific Software Security")+COUNTIFS('Prácticas_Snowballing'!$AB$2:$AB$281,"T053",'Prácticas_Snowballing'!$AC$2:$AC$281,"SOFTWARE SECURITY &gt; Domain Specific Software Security")</f>
        <v>0</v>
      </c>
      <c r="CM63" s="17">
        <f>COUNTIFS('Prácticas_Revisiones'!$S$2:$S$282,"T053",'Prácticas_Revisiones'!$T$2:$T$282,"SOFTWARE SECURITY &gt; Subárea no determinable")+COUNTIFS('Prácticas_Snowballing'!$AB$2:$AB$281,"T053",'Prácticas_Snowballing'!$AC$2:$AC$281,"SOFTWARE SECURITY &gt; Subárea no determinable")</f>
        <v>0</v>
      </c>
      <c r="CN63" s="29">
        <f t="shared" si="46"/>
        <v>0</v>
      </c>
      <c r="CO63" s="17">
        <f>COUNTIFS('Prácticas_Revisiones'!$S$2:$S$282,"T053",'Prácticas_Revisiones'!$T$2:$T$282,"PROFESSIONAL PRACTICE &gt; Professionalism")+COUNTIFS('Prácticas_Snowballing'!$AB$2:$AB$281,"T053",'Prácticas_Snowballing'!$AC$2:$AC$281,"PROFESSIONAL PRACTICE &gt; Professionalism")</f>
        <v>0</v>
      </c>
      <c r="CP63" s="17">
        <f>COUNTIFS('Prácticas_Revisiones'!$S$2:$S$282,"T053",'Prácticas_Revisiones'!$T$2:$T$282,"PROFESSIONAL PRACTICE &gt; Group Dynamics and Psychology")+COUNTIFS('Prácticas_Snowballing'!$AB$2:$AB$281,"T053",'Prácticas_Snowballing'!$AC$2:$AC$281,"PROFESSIONAL PRACTICE &gt; Group Dynamics and Psychology")</f>
        <v>0</v>
      </c>
      <c r="CQ63" s="17">
        <f>COUNTIFS('Prácticas_Revisiones'!$S$2:$S$282,"T053",'Prácticas_Revisiones'!$T$2:$T$282,"PROFESSIONAL PRACTICE &gt; Communication Skills")+COUNTIFS('Prácticas_Snowballing'!$AB$2:$AB$281,"T053",'Prácticas_Snowballing'!$AC$2:$AC$281,"PROFESSIONAL PRACTICE &gt; Communication Skills")</f>
        <v>0</v>
      </c>
      <c r="CR63" s="17">
        <f>COUNTIFS('Prácticas_Revisiones'!$S$2:$S$282,"T053",'Prácticas_Revisiones'!$T$2:$T$282,"PROFESSIONAL PRACTICE &gt; Subárea no determinable")+COUNTIFS('Prácticas_Snowballing'!$AB$2:$AB$281,"T053",'Prácticas_Snowballing'!$AC$2:$AC$281,"PROFESSIONAL PRACTICE &gt; Subárea no determinable")</f>
        <v>0</v>
      </c>
      <c r="CS63" s="29">
        <f t="shared" si="47"/>
        <v>0</v>
      </c>
      <c r="CT63" s="17">
        <f>COUNTIFS('Prácticas_Revisiones'!$S$2:$S$282,"T053",'Prácticas_Revisiones'!$T$2:$T$282,"SOFTWARE ENG. ECONOMICS &gt; Software Engineering Economics Fundamentals")+COUNTIFS('Prácticas_Snowballing'!$AB$2:$AB$281,"T053",'Prácticas_Snowballing'!$AC$2:$AC$281,"SOFTWARE ENG. ECONOMICS &gt; Software Engineering Economics Fundamentals")</f>
        <v>0</v>
      </c>
      <c r="CU63" s="17">
        <f>COUNTIFS('Prácticas_Revisiones'!$S$2:$S$282,"T053",'Prácticas_Revisiones'!$T$2:$T$282,"SOFTWARE ENG. ECONOMICS &gt; The Engineering Decision-Making Process")+COUNTIFS('Prácticas_Snowballing'!$AB$2:$AB$281,"T053",'Prácticas_Snowballing'!$AC$2:$AC$281,"SOFTWARE ENG. ECONOMICS &gt; The Engineering Decision-Making Process")</f>
        <v>0</v>
      </c>
      <c r="CV63" s="17">
        <f>COUNTIFS('Prácticas_Revisiones'!$S$2:$S$282,"T053",'Prácticas_Revisiones'!$T$2:$T$282,"SOFTWARE ENG. ECONOMICS &gt; For-Profit Decision-Making")+COUNTIFS('Prácticas_Snowballing'!$AB$2:$AB$281,"T053",'Prácticas_Snowballing'!$AC$2:$AC$281,"SOFTWARE ENG. ECONOMICS &gt; For-Profit Decision-Making")</f>
        <v>0</v>
      </c>
      <c r="CW63" s="17">
        <f>COUNTIFS('Prácticas_Revisiones'!$S$2:$S$282,"T053",'Prácticas_Revisiones'!$T$2:$T$282,"SOFTWARE ENG. ECONOMICS &gt; Nonprofit Decision-Making")+COUNTIFS('Prácticas_Snowballing'!$AB$2:$AB$281,"T053",'Prácticas_Snowballing'!$AC$2:$AC$281,"SOFTWARE ENG. ECONOMICS &gt; Nonprofit Decision-Making")</f>
        <v>0</v>
      </c>
      <c r="CX63" s="17">
        <f>COUNTIFS('Prácticas_Revisiones'!$S$2:$S$282,"T053",'Prácticas_Revisiones'!$T$2:$T$282,"SOFTWARE ENG. ECONOMICS &gt; Present Economy Decision-Making")+COUNTIFS('Prácticas_Snowballing'!$AB$2:$AB$281,"T053",'Prácticas_Snowballing'!$AC$2:$AC$281,"SOFTWARE ENG. ECONOMICS &gt; Present Economy Decision-Making")</f>
        <v>0</v>
      </c>
      <c r="CY63" s="17">
        <f>COUNTIFS('Prácticas_Revisiones'!$S$2:$S$282,"T053",'Prácticas_Revisiones'!$T$2:$T$282,"SOFTWARE ENG. ECONOMICS &gt; Multiple-Attribute Decision-Making")+COUNTIFS('Prácticas_Snowballing'!$AB$2:$AB$281,"T053",'Prácticas_Snowballing'!$AC$2:$AC$281,"SOFTWARE ENG. ECONOMICS &gt; Multiple-Attribute Decision-Making")</f>
        <v>0</v>
      </c>
      <c r="CZ63" s="17">
        <f>COUNTIFS('Prácticas_Revisiones'!$S$2:$S$282,"T053",'Prácticas_Revisiones'!$T$2:$T$282,"SOFTWARE ENG. ECONOMICS &gt; Identifying and Characterizing Intangible Assets")+COUNTIFS('Prácticas_Snowballing'!$AB$2:$AB$281,"T053",'Prácticas_Snowballing'!$AC$2:$AC$281,"SOFTWARE ENG. ECONOMICS &gt; Identifying and Characterizing Intangible Assets")</f>
        <v>0</v>
      </c>
      <c r="DA63" s="17">
        <f>COUNTIFS('Prácticas_Revisiones'!$S$2:$S$282,"T053",'Prácticas_Revisiones'!$T$2:$T$282,"SOFTWARE ENG. ECONOMICS &gt; Estimation")+COUNTIFS('Prácticas_Snowballing'!$AB$2:$AB$281,"T053",'Prácticas_Snowballing'!$AC$2:$AC$281,"SOFTWARE ENG. ECONOMICS &gt; Estimation")</f>
        <v>0</v>
      </c>
      <c r="DB63" s="17">
        <f>COUNTIFS('Prácticas_Revisiones'!$S$2:$S$282,"T053",'Prácticas_Revisiones'!$T$2:$T$282,"SOFTWARE ENG. ECONOMICS &gt; Practical Considerations")+COUNTIFS('Prácticas_Snowballing'!$AB$2:$AB$281,"T053",'Prácticas_Snowballing'!$AC$2:$AC$281,"SOFTWARE ENG. ECONOMICS &gt; Practical Considerations")</f>
        <v>0</v>
      </c>
      <c r="DC63" s="17">
        <f>COUNTIFS('Prácticas_Revisiones'!$S$2:$S$282,"T053",'Prácticas_Revisiones'!$T$2:$T$282,"SOFTWARE ENG. ECONOMICS &gt; Related Concepts")+COUNTIFS('Prácticas_Snowballing'!$AB$2:$AB$281,"T053",'Prácticas_Snowballing'!$AC$2:$AC$281,"SOFTWARE ENG. ECONOMICS &gt; Related Concepts")</f>
        <v>0</v>
      </c>
      <c r="DD63" s="17">
        <f>COUNTIFS('Prácticas_Revisiones'!$S$2:$S$282,"T053",'Prácticas_Revisiones'!$T$2:$T$282,"SOFTWARE ENG. ECONOMICS &gt; Subárea no determinable")+COUNTIFS('Prácticas_Snowballing'!$AB$2:$AB$281,"T053",'Prácticas_Snowballing'!$AC$2:$AC$281,"SOFTWARE ENG. ECONOMICS &gt; Subárea no determinable")</f>
        <v>0</v>
      </c>
      <c r="DE63" s="29">
        <f t="shared" si="48"/>
        <v>0</v>
      </c>
      <c r="DF63" s="17">
        <f>COUNTIFS('Prácticas_Revisiones'!$S$2:$S$282,"T053",'Prácticas_Revisiones'!$T$2:$T$282,"SOFTWARE ENG. MANAGEMENT &gt; Software Engineering Management Fundamentals")+COUNTIFS('Prácticas_Snowballing'!$AB$2:$AB$281,"T053",'Prácticas_Snowballing'!$AC$2:$AC$281,"SOFTWARE ENG. MANAGEMENT &gt; Software Engineering Management Fundamentals")</f>
        <v>0</v>
      </c>
      <c r="DG63" s="17">
        <f>COUNTIFS('Prácticas_Revisiones'!$S$2:$S$282,"T053",'Prácticas_Revisiones'!$T$2:$T$282,"SOFTWARE ENG. MANAGEMENT &gt; Initiation and Scope Definition")+COUNTIFS('Prácticas_Snowballing'!$AB$2:$AB$281,"T053",'Prácticas_Snowballing'!$AC$2:$AC$281,"SOFTWARE ENG. MANAGEMENT &gt; Initiation and Scope Definition")</f>
        <v>0</v>
      </c>
      <c r="DH63" s="17">
        <f>COUNTIFS('Prácticas_Revisiones'!$S$2:$S$282,"T053",'Prácticas_Revisiones'!$T$2:$T$282,"SOFTWARE ENG. MANAGEMENT &gt; Software Project Planning")+COUNTIFS('Prácticas_Snowballing'!$AB$2:$AB$281,"T053",'Prácticas_Snowballing'!$AC$2:$AC$281,"SOFTWARE ENG. MANAGEMENT &gt; Software Project Planning")</f>
        <v>0</v>
      </c>
      <c r="DI63" s="17">
        <f>COUNTIFS('Prácticas_Revisiones'!$S$2:$S$282,"T053",'Prácticas_Revisiones'!$T$2:$T$282,"SOFTWARE ENG. MANAGEMENT &gt; Software Project Enactment")+COUNTIFS('Prácticas_Snowballing'!$AB$2:$AB$281,"T053",'Prácticas_Snowballing'!$AC$2:$AC$281,"SOFTWARE ENG. MANAGEMENT &gt; Software Project Enactment")</f>
        <v>0</v>
      </c>
      <c r="DJ63" s="17">
        <f>COUNTIFS('Prácticas_Revisiones'!$S$2:$S$282,"T053",'Prácticas_Revisiones'!$T$2:$T$282,"SOFTWARE ENG. MANAGEMENT &gt; Review and Evaluation")+COUNTIFS('Prácticas_Snowballing'!$AB$2:$AB$281,"T053",'Prácticas_Snowballing'!$AC$2:$AC$281,"SOFTWARE ENG. MANAGEMENT &gt; Review and Evaluation")</f>
        <v>0</v>
      </c>
      <c r="DK63" s="17">
        <f>COUNTIFS('Prácticas_Revisiones'!$S$2:$S$282,"T053",'Prácticas_Revisiones'!$T$2:$T$282,"SOFTWARE ENG. MANAGEMENT &gt; Closure")+COUNTIFS('Prácticas_Snowballing'!$AB$2:$AB$281,"T053",'Prácticas_Snowballing'!$AC$2:$AC$281,"SOFTWARE ENG. MANAGEMENT &gt; Closure")</f>
        <v>0</v>
      </c>
      <c r="DL63" s="17">
        <f>COUNTIFS('Prácticas_Revisiones'!$S$2:$S$282,"T053",'Prácticas_Revisiones'!$T$2:$T$282,"SOFTWARE ENG. MANAGEMENT &gt; Software Engineering Management Tools")+COUNTIFS('Prácticas_Snowballing'!$AB$2:$AB$281,"T053",'Prácticas_Snowballing'!$AC$2:$AC$281,"SOFTWARE ENG. MANAGEMENT &gt; Software Engineering Management Tools")</f>
        <v>0</v>
      </c>
      <c r="DM63" s="17">
        <f>COUNTIFS('Prácticas_Revisiones'!$S$2:$S$282,"T053",'Prácticas_Revisiones'!$T$2:$T$282,"SOFTWARE ENG. MANAGEMENT &gt; Subárea no determinable")+COUNTIFS('Prácticas_Snowballing'!$AB$2:$AB$281,"T053",'Prácticas_Snowballing'!$AC$2:$AC$281,"SOFTWARE ENG. MANAGEMENT &gt; Subárea no determinable")</f>
        <v>0</v>
      </c>
      <c r="DN63" s="29">
        <f t="shared" si="49"/>
        <v>0</v>
      </c>
      <c r="DO63" s="17">
        <f>COUNTIFS('Prácticas_Revisiones'!$S$2:$S$282,"T053",'Prácticas_Revisiones'!$T$2:$T$282,"Sin área SWEBOK")+COUNTIFS('Prácticas_Snowballing'!$AB$2:$AB$281,"T053",'Prácticas_Snowballing'!$AC$2:$AC$281,"Sin área SWEBOK")</f>
        <v>0</v>
      </c>
      <c r="DP63" s="27">
        <f t="shared" si="50"/>
        <v>0</v>
      </c>
    </row>
    <row r="64" ht="15.75" customHeight="1">
      <c r="A64" s="28"/>
      <c r="B64" s="16" t="s">
        <v>2814</v>
      </c>
      <c r="C64" s="17">
        <f>COUNTIFS('Prácticas_Revisiones'!$S$2:$S$282,"T054",'Prácticas_Revisiones'!$T$2:$T$282,"REQUIREMENTS &gt; Software Requirements Fundamentals")+COUNTIFS('Prácticas_Snowballing'!$AB$2:$AB$281,"T054",'Prácticas_Snowballing'!$AC$2:$AC$281,"REQUIREMENTS &gt; Software Requirements Fundamentals")</f>
        <v>0</v>
      </c>
      <c r="D64" s="17">
        <f>COUNTIFS('Prácticas_Revisiones'!$S$2:$S$282,"T054",'Prácticas_Revisiones'!$T$2:$T$282,"REQUIREMENTS &gt; Requirements Elicitation")+COUNTIFS('Prácticas_Snowballing'!$AB$2:$AB$281,"T054",'Prácticas_Snowballing'!$AC$2:$AC$281,"REQUIREMENTS &gt; Requirements Elicitation")</f>
        <v>0</v>
      </c>
      <c r="E64" s="17">
        <f>COUNTIFS('Prácticas_Revisiones'!$S$2:$S$282,"T054",'Prácticas_Revisiones'!$T$2:$T$282,"REQUIREMENTS &gt; Requirements Analysis")+COUNTIFS('Prácticas_Snowballing'!$AB$2:$AB$281,"T054",'Prácticas_Snowballing'!$AC$2:$AC$281,"REQUIREMENTS &gt; Requirements Analysis")</f>
        <v>0</v>
      </c>
      <c r="F64" s="17">
        <f>COUNTIFS('Prácticas_Revisiones'!$S$2:$S$282,"T054",'Prácticas_Revisiones'!$T$2:$T$282,"REQUIREMENTS &gt; Requirements Specification")+COUNTIFS('Prácticas_Snowballing'!$AB$2:$AB$281,"T054",'Prácticas_Snowballing'!$AC$2:$AC$281,"REQUIREMENTS &gt; Requirements Specification")</f>
        <v>0</v>
      </c>
      <c r="G64" s="17">
        <f>COUNTIFS('Prácticas_Revisiones'!$S$2:$S$282,"T054",'Prácticas_Revisiones'!$T$2:$T$282,"REQUIREMENTS &gt; Requirements Validation")+COUNTIFS('Prácticas_Snowballing'!$AB$2:$AB$281,"T054",'Prácticas_Snowballing'!$AC$2:$AC$281,"REQUIREMENTS &gt; Requirements Validation")</f>
        <v>0</v>
      </c>
      <c r="H64" s="17">
        <f>COUNTIFS('Prácticas_Revisiones'!$S$2:$S$282,"T054",'Prácticas_Revisiones'!$T$2:$T$282,"REQUIREMENTS &gt; Requirements Management Activities")+COUNTIFS('Prácticas_Snowballing'!$AB$2:$AB$281,"T054",'Prácticas_Snowballing'!$AC$2:$AC$281,"REQUIREMENTS &gt; Requirements Management Activities")</f>
        <v>0</v>
      </c>
      <c r="I64" s="17">
        <f>COUNTIFS('Prácticas_Revisiones'!$S$2:$S$282,"T054",'Prácticas_Revisiones'!$T$2:$T$282,"REQUIREMENTS &gt; Practical Considerations")+COUNTIFS('Prácticas_Snowballing'!$AB$2:$AB$281,"T054",'Prácticas_Snowballing'!$AC$2:$AC$281,"REQUIREMENTS &gt; Practical Considerations")</f>
        <v>0</v>
      </c>
      <c r="J64" s="17">
        <f>COUNTIFS('Prácticas_Revisiones'!$S$2:$S$282,"T054",'Prácticas_Revisiones'!$T$2:$T$282,"REQUIREMENTS &gt; Software Requirements Tools")+COUNTIFS('Prácticas_Snowballing'!$AB$2:$AB$281,"T054",'Prácticas_Snowballing'!$AC$2:$AC$281,"REQUIREMENTS &gt; Software Requirements Tools")</f>
        <v>0</v>
      </c>
      <c r="K64" s="17">
        <f>COUNTIFS('Prácticas_Revisiones'!$S$2:$S$282,"T054",'Prácticas_Revisiones'!$T$2:$T$282,"REQUIREMENTS &gt; Subárea no determinable")+COUNTIFS('Prácticas_Snowballing'!$AB$2:$AB$281,"T054",'Prácticas_Snowballing'!$AC$2:$AC$281,"REQUIREMENTS &gt; Subárea no determinable")</f>
        <v>0</v>
      </c>
      <c r="L64" s="29">
        <f t="shared" si="35"/>
        <v>0</v>
      </c>
      <c r="M64" s="17">
        <f>COUNTIFS('Prácticas_Revisiones'!$S$2:$S$282,"T054",'Prácticas_Revisiones'!$T$2:$T$282,"ARCHITECTURE &gt; Software Architecture Fundamentals")+COUNTIFS('Prácticas_Snowballing'!$AB$2:$AB$281,"T054",'Prácticas_Snowballing'!$AC$2:$AC$281,"ARCHITECTURE &gt; Software Architecture Fundamentals")</f>
        <v>0</v>
      </c>
      <c r="N64" s="17">
        <f>COUNTIFS('Prácticas_Revisiones'!$S$2:$S$282,"T054",'Prácticas_Revisiones'!$T$2:$T$282,"ARCHITECTURE &gt; Software Architecture Description")+COUNTIFS('Prácticas_Snowballing'!$AB$2:$AB$281,"T054",'Prácticas_Snowballing'!$AC$2:$AC$281,"ARCHITECTURE &gt; Software Architecture Description")</f>
        <v>0</v>
      </c>
      <c r="O64" s="17">
        <f>COUNTIFS('Prácticas_Revisiones'!$S$2:$S$282,"T054",'Prácticas_Revisiones'!$T$2:$T$282,"ARCHITECTURE &gt; Software Architecture Process")+COUNTIFS('Prácticas_Snowballing'!$AB$2:$AB$281,"T054",'Prácticas_Snowballing'!$AC$2:$AC$281,"ARCHITECTURE &gt; Software Architecture Process")</f>
        <v>0</v>
      </c>
      <c r="P64" s="17">
        <f>COUNTIFS('Prácticas_Revisiones'!$S$2:$S$282,"T054",'Prácticas_Revisiones'!$T$2:$T$282,"ARCHITECTURE &gt; Software Architecture Evaluation")+COUNTIFS('Prácticas_Snowballing'!$AB$2:$AB$281,"T054",'Prácticas_Snowballing'!$AC$2:$AC$281,"ARCHITECTURE &gt; Software Architecture Evaluation")</f>
        <v>0</v>
      </c>
      <c r="Q64" s="17">
        <f>COUNTIFS('Prácticas_Revisiones'!$S$2:$S$282,"T054",'Prácticas_Revisiones'!$T$2:$T$282,"ARCHITECTURE &gt; Subárea no determinable")+COUNTIFS('Prácticas_Snowballing'!$AB$2:$AB$281,"T054",'Prácticas_Snowballing'!$AC$2:$AC$281,"ARCHITECTURE &gt; Subárea no determinable")</f>
        <v>0</v>
      </c>
      <c r="R64" s="29">
        <f t="shared" si="36"/>
        <v>0</v>
      </c>
      <c r="S64" s="17">
        <f>COUNTIFS('Prácticas_Revisiones'!$S$2:$S$282,"T054",'Prácticas_Revisiones'!$T$2:$T$282,"DESIGN &gt; Software Design Fundamentals")+COUNTIFS('Prácticas_Snowballing'!$AB$2:$AB$281,"T054",'Prácticas_Snowballing'!$AC$2:$AC$281,"DESIGN &gt; Software Design Fundamentals")</f>
        <v>0</v>
      </c>
      <c r="T64" s="17">
        <f>COUNTIFS('Prácticas_Revisiones'!$S$2:$S$282,"T054",'Prácticas_Revisiones'!$T$2:$T$282,"DESIGN &gt; Software Design Processes")+COUNTIFS('Prácticas_Snowballing'!$AB$2:$AB$281,"T054",'Prácticas_Snowballing'!$AC$2:$AC$281,"DESIGN &gt; Software Design Processes")</f>
        <v>0</v>
      </c>
      <c r="U64" s="17">
        <f>COUNTIFS('Prácticas_Revisiones'!$S$2:$S$282,"T054",'Prácticas_Revisiones'!$T$2:$T$282,"DESIGN &gt; Software Design Qualities")+COUNTIFS('Prácticas_Snowballing'!$AB$2:$AB$281,"T054",'Prácticas_Snowballing'!$AC$2:$AC$281,"DESIGN &gt; Software Design Qualities")</f>
        <v>0</v>
      </c>
      <c r="V64" s="17">
        <f>COUNTIFS('Prácticas_Revisiones'!$S$2:$S$282,"T054",'Prácticas_Revisiones'!$T$2:$T$282,"DESIGN &gt; Recording Software Design")+COUNTIFS('Prácticas_Snowballing'!$AB$2:$AB$281,"T054",'Prácticas_Snowballing'!$AC$2:$AC$281,"DESIGN &gt; Recording Software Design")</f>
        <v>0</v>
      </c>
      <c r="W64" s="17">
        <f>COUNTIFS('Prácticas_Revisiones'!$S$2:$S$282,"T054",'Prácticas_Revisiones'!$T$2:$T$282,"DESIGN &gt; Software Design Strategies and Methods")+COUNTIFS('Prácticas_Snowballing'!$AB$2:$AB$281,"T054",'Prácticas_Snowballing'!$AC$2:$AC$281,"DESIGN &gt; Software Design Strategies and Methods")</f>
        <v>0</v>
      </c>
      <c r="X64" s="17">
        <f>COUNTIFS('Prácticas_Revisiones'!$S$2:$S$282,"T054",'Prácticas_Revisiones'!$T$2:$T$282,"DESIGN &gt; Software Design Analysis and Evaluations")+COUNTIFS('Prácticas_Snowballing'!$AB$2:$AB$281,"T054",'Prácticas_Snowballing'!$AC$2:$AC$281,"DESIGN &gt; Software Design Analysis and Evaluations")</f>
        <v>0</v>
      </c>
      <c r="Y64" s="17">
        <f>COUNTIFS('Prácticas_Revisiones'!$S$2:$S$282,"T054",'Prácticas_Revisiones'!$T$2:$T$282,"DESIGN &gt; Subárea no determinable")+COUNTIFS('Prácticas_Snowballing'!$AB$2:$AB$281,"T054",'Prácticas_Snowballing'!$AC$2:$AC$281,"DESIGN &gt; Subárea no determinable")</f>
        <v>0</v>
      </c>
      <c r="Z64" s="29">
        <f t="shared" si="37"/>
        <v>0</v>
      </c>
      <c r="AA64" s="17">
        <f>COUNTIFS('Prácticas_Revisiones'!$S$2:$S$282,"T054",'Prácticas_Revisiones'!$T$2:$T$282,"CONSTRUCTION &gt; Software Construction Fundamentals")+COUNTIFS('Prácticas_Snowballing'!$AB$2:$AB$281,"T054",'Prácticas_Snowballing'!$AC$2:$AC$281,"CONSTRUCTION &gt; Software Construction Fundamentals")</f>
        <v>0</v>
      </c>
      <c r="AB64" s="17">
        <f>COUNTIFS('Prácticas_Revisiones'!$S$2:$S$282,"T054",'Prácticas_Revisiones'!$T$2:$T$282,"CONSTRUCTION &gt; Managing Construction")+COUNTIFS('Prácticas_Snowballing'!$AB$2:$AB$281,"T054",'Prácticas_Snowballing'!$AC$2:$AC$281,"CONSTRUCTION &gt; Managing Construction")</f>
        <v>0</v>
      </c>
      <c r="AC64" s="17">
        <f>COUNTIFS('Prácticas_Revisiones'!$S$2:$S$282,"T054",'Prácticas_Revisiones'!$T$2:$T$282,"CONSTRUCTION &gt; Practical Considerations")+COUNTIFS('Prácticas_Snowballing'!$AB$2:$AB$281,"T054",'Prácticas_Snowballing'!$AC$2:$AC$281,"CONSTRUCTION &gt; Practical Considerations")</f>
        <v>0</v>
      </c>
      <c r="AD64" s="17">
        <f>COUNTIFS('Prácticas_Revisiones'!$S$2:$S$282,"T054",'Prácticas_Revisiones'!$T$2:$T$282,"CONSTRUCTION &gt; Construction Technologies")+COUNTIFS('Prácticas_Snowballing'!$AB$2:$AB$281,"T054",'Prácticas_Snowballing'!$AC$2:$AC$281,"CONSTRUCTION &gt; Construction Technologies")</f>
        <v>0</v>
      </c>
      <c r="AE64" s="17">
        <f>COUNTIFS('Prácticas_Revisiones'!$S$2:$S$282,"T054",'Prácticas_Revisiones'!$T$2:$T$282,"CONSTRUCTION &gt; Software Construction Tools")+COUNTIFS('Prácticas_Snowballing'!$AB$2:$AB$281,"T054",'Prácticas_Snowballing'!$AC$2:$AC$281,"CONSTRUCTION &gt; Software Construction Tools")</f>
        <v>0</v>
      </c>
      <c r="AF64" s="17">
        <f>COUNTIFS('Prácticas_Revisiones'!$S$2:$S$282,"T054",'Prácticas_Revisiones'!$T$2:$T$282,"CONSTRUCTION &gt; Subárea no determinable")+COUNTIFS('Prácticas_Snowballing'!$AB$2:$AB$281,"T054",'Prácticas_Snowballing'!$AC$2:$AC$281,"CONSTRUCTION &gt; Subárea no determinable")</f>
        <v>0</v>
      </c>
      <c r="AG64" s="29">
        <f t="shared" si="38"/>
        <v>0</v>
      </c>
      <c r="AH64" s="17">
        <f>COUNTIFS('Prácticas_Revisiones'!$S$2:$S$282,"T054",'Prácticas_Revisiones'!$T$2:$T$282,"SOFTWARE TESTING &gt; Software Testing Fundamentals")+COUNTIFS('Prácticas_Snowballing'!$AB$2:$AB$281,"T054",'Prácticas_Snowballing'!$AC$2:$AC$281,"SOFTWARE TESTING &gt; Software Testing Fundamentals")</f>
        <v>0</v>
      </c>
      <c r="AI64" s="17">
        <f>COUNTIFS('Prácticas_Revisiones'!$S$2:$S$282,"T054",'Prácticas_Revisiones'!$T$2:$T$282,"SOFTWARE TESTING &gt; Test Levels")+COUNTIFS('Prácticas_Snowballing'!$AB$2:$AB$281,"T054",'Prácticas_Snowballing'!$AC$2:$AC$281,"SOFTWARE TESTING &gt; Test Levels")</f>
        <v>0</v>
      </c>
      <c r="AJ64" s="17">
        <f>COUNTIFS('Prácticas_Revisiones'!$S$2:$S$282,"T054",'Prácticas_Revisiones'!$T$2:$T$282,"SOFTWARE TESTING &gt; Test Techniques")+COUNTIFS('Prácticas_Snowballing'!$AB$2:$AB$281,"T054",'Prácticas_Snowballing'!$AC$2:$AC$281,"SOFTWARE TESTING &gt; Test Techniques")</f>
        <v>0</v>
      </c>
      <c r="AK64" s="17">
        <f>COUNTIFS('Prácticas_Revisiones'!$S$2:$S$282,"T054",'Prácticas_Revisiones'!$T$2:$T$282,"SOFTWARE TESTING &gt; Test-Related Measures")+COUNTIFS('Prácticas_Snowballing'!$AB$2:$AB$281,"T054",'Prácticas_Snowballing'!$AC$2:$AC$281,"SOFTWARE TESTING &gt; Test-Related Measures")</f>
        <v>0</v>
      </c>
      <c r="AL64" s="17">
        <f>COUNTIFS('Prácticas_Revisiones'!$S$2:$S$282,"T054",'Prácticas_Revisiones'!$T$2:$T$282,"SOFTWARE TESTING &gt; Test Process")+COUNTIFS('Prácticas_Snowballing'!$AB$2:$AB$281,"T054",'Prácticas_Snowballing'!$AC$2:$AC$281,"SOFTWARE TESTING &gt; Test Process")</f>
        <v>0</v>
      </c>
      <c r="AM64" s="17">
        <f>COUNTIFS('Prácticas_Revisiones'!$S$2:$S$282,"T054",'Prácticas_Revisiones'!$T$2:$T$282,"SOFTWARE TESTING &gt; Software Testing in the Development Processes...")+COUNTIFS('Prácticas_Snowballing'!$AB$2:$AB$281,"T054",'Prácticas_Snowballing'!$AC$2:$AC$281,"SOFTWARE TESTING &gt; Software Testing in the Development Processes...")</f>
        <v>0</v>
      </c>
      <c r="AN64" s="17">
        <f>COUNTIFS('Prácticas_Revisiones'!$S$2:$S$282,"T054",'Prácticas_Revisiones'!$T$2:$T$282,"SOFTWARE TESTING &gt; Testing of and Testing Through Emerging Tech...")+COUNTIFS('Prácticas_Snowballing'!$AB$2:$AB$281,"T054",'Prácticas_Snowballing'!$AC$2:$AC$281,"SOFTWARE TESTING &gt; Testing of and Testing Through Emerging Tech...")</f>
        <v>0</v>
      </c>
      <c r="AO64" s="17">
        <f>COUNTIFS('Prácticas_Revisiones'!$S$2:$S$282,"T054",'Prácticas_Revisiones'!$T$2:$T$282,"SOFTWARE TESTING &gt; Software Testing Tools")+COUNTIFS('Prácticas_Snowballing'!$AB$2:$AB$281,"T054",'Prácticas_Snowballing'!$AC$2:$AC$281,"SOFTWARE TESTING &gt; Software Testing Tools")</f>
        <v>0</v>
      </c>
      <c r="AP64" s="17">
        <f>COUNTIFS('Prácticas_Revisiones'!$S$2:$S$282,"T054",'Prácticas_Revisiones'!$T$2:$T$282,"SOFTWARE TESTING &gt; Subárea no determinable")+COUNTIFS('Prácticas_Snowballing'!$AB$2:$AB$281,"T054",'Prácticas_Snowballing'!$AC$2:$AC$281,"SOFTWARE TESTING &gt; Subárea no determinable")</f>
        <v>0</v>
      </c>
      <c r="AQ64" s="29">
        <f t="shared" si="39"/>
        <v>0</v>
      </c>
      <c r="AR64" s="17">
        <f>COUNTIFS('Prácticas_Revisiones'!$S$2:$S$282,"T054",'Prácticas_Revisiones'!$T$2:$T$282,"SOFTWARE ENG. OPERATIONS &gt; Software Engineering Operations Fundamentals")+COUNTIFS('Prácticas_Snowballing'!$AB$2:$AB$281,"T054",'Prácticas_Snowballing'!$AC$2:$AC$281,"SOFTWARE ENG. OPERATIONS &gt; Software Engineering Operations Fundamentals")</f>
        <v>0</v>
      </c>
      <c r="AS64" s="17">
        <f>COUNTIFS('Prácticas_Revisiones'!$S$2:$S$282,"T054",'Prácticas_Revisiones'!$T$2:$T$282,"SOFTWARE ENG. OPERATIONS &gt; Software Engineering Operations Planning")+COUNTIFS('Prácticas_Snowballing'!$AB$2:$AB$281,"T054",'Prácticas_Snowballing'!$AC$2:$AC$281,"SOFTWARE ENG. OPERATIONS &gt; Software Engineering Operations Planning")</f>
        <v>0</v>
      </c>
      <c r="AT64" s="17">
        <f>COUNTIFS('Prácticas_Revisiones'!$S$2:$S$282,"T054",'Prácticas_Revisiones'!$T$2:$T$282,"SOFTWARE ENG. OPERATIONS &gt; Software Engineering Operations Delivery")+COUNTIFS('Prácticas_Snowballing'!$AB$2:$AB$281,"T054",'Prácticas_Snowballing'!$AC$2:$AC$281,"SOFTWARE ENG. OPERATIONS &gt; Software Engineering Operations Delivery")</f>
        <v>0</v>
      </c>
      <c r="AU64" s="17">
        <f>COUNTIFS('Prácticas_Revisiones'!$S$2:$S$282,"T054",'Prácticas_Revisiones'!$T$2:$T$282,"SOFTWARE ENG. OPERATIONS &gt; Software Engineering Operations Control")+COUNTIFS('Prácticas_Snowballing'!$AB$2:$AB$281,"T054",'Prácticas_Snowballing'!$AC$2:$AC$281,"SOFTWARE ENG. OPERATIONS &gt; Software Engineering Operations Control")</f>
        <v>0</v>
      </c>
      <c r="AV64" s="17">
        <f>COUNTIFS('Prácticas_Revisiones'!$S$2:$S$282,"T054",'Prácticas_Revisiones'!$T$2:$T$282,"SOFTWARE ENG. OPERATIONS &gt; Practical Considerations")+COUNTIFS('Prácticas_Snowballing'!$AB$2:$AB$281,"T054",'Prácticas_Snowballing'!$AC$2:$AC$281,"SOFTWARE ENG. OPERATIONS &gt; Practical Considerations")</f>
        <v>0</v>
      </c>
      <c r="AW64" s="17">
        <f>COUNTIFS('Prácticas_Revisiones'!$S$2:$S$282,"T054",'Prácticas_Revisiones'!$T$2:$T$282,"SOFTWARE ENG. OPERATIONS &gt; Software Engineering Operations Tools")+COUNTIFS('Prácticas_Snowballing'!$AB$2:$AB$281,"T054",'Prácticas_Snowballing'!$AC$2:$AC$281,"SOFTWARE ENG. OPERATIONS &gt; Software Engineering Operations Tools")</f>
        <v>0</v>
      </c>
      <c r="AX64" s="17">
        <f>COUNTIFS('Prácticas_Revisiones'!$S$2:$S$282,"T054",'Prácticas_Revisiones'!$T$2:$T$282,"SOFTWARE ENG. OPERATIONS &gt; Subárea no determinable")+COUNTIFS('Prácticas_Snowballing'!$AB$2:$AB$281,"T054",'Prácticas_Snowballing'!$AC$2:$AC$281,"SOFTWARE ENG. OPERATIONS &gt; Subárea no determinable")</f>
        <v>0</v>
      </c>
      <c r="AY64" s="29">
        <f t="shared" si="40"/>
        <v>0</v>
      </c>
      <c r="AZ64" s="17">
        <f>COUNTIFS('Prácticas_Revisiones'!$S$2:$S$282,"T054",'Prácticas_Revisiones'!$T$2:$T$282,"MAINTENANCE &gt; Software Maintenance Fundamentals")+COUNTIFS('Prácticas_Snowballing'!$AB$2:$AB$281,"T054",'Prácticas_Snowballing'!$AC$2:$AC$281,"MAINTENANCE &gt; Software Maintenance Fundamentals")</f>
        <v>0</v>
      </c>
      <c r="BA64" s="17">
        <f>COUNTIFS('Prácticas_Revisiones'!$S$2:$S$282,"T054",'Prácticas_Revisiones'!$T$2:$T$282,"MAINTENANCE &gt; Key Issues in Software Maintenance")+COUNTIFS('Prácticas_Snowballing'!$AB$2:$AB$281,"T054",'Prácticas_Snowballing'!$AC$2:$AC$281,"MAINTENANCE &gt; Key Issues in Software Maintenance")</f>
        <v>0</v>
      </c>
      <c r="BB64" s="17">
        <f>COUNTIFS('Prácticas_Revisiones'!$S$2:$S$282,"T054",'Prácticas_Revisiones'!$T$2:$T$282,"MAINTENANCE &gt; Software Maintenance Processes")+COUNTIFS('Prácticas_Snowballing'!$AB$2:$AB$281,"T054",'Prácticas_Snowballing'!$AC$2:$AC$281,"MAINTENANCE &gt; Software Maintenance Processes")</f>
        <v>0</v>
      </c>
      <c r="BC64" s="17">
        <f>COUNTIFS('Prácticas_Revisiones'!$S$2:$S$282,"T054",'Prácticas_Revisiones'!$T$2:$T$282,"MAINTENANCE &gt; Software Maintenance Techniques")+COUNTIFS('Prácticas_Snowballing'!$AB$2:$AB$281,"T054",'Prácticas_Snowballing'!$AC$2:$AC$281,"MAINTENANCE &gt; Software Maintenance Techniques")</f>
        <v>0</v>
      </c>
      <c r="BD64" s="17">
        <f>COUNTIFS('Prácticas_Revisiones'!$S$2:$S$282,"T054",'Prácticas_Revisiones'!$T$2:$T$282,"MAINTENANCE &gt; Software Maintenance Tools")+COUNTIFS('Prácticas_Snowballing'!$AB$2:$AB$281,"T054",'Prácticas_Snowballing'!$AC$2:$AC$281,"MAINTENANCE &gt; Software Maintenance Tools")</f>
        <v>0</v>
      </c>
      <c r="BE64" s="17">
        <f>COUNTIFS('Prácticas_Revisiones'!$S$2:$S$282,"T054",'Prácticas_Revisiones'!$T$2:$T$282,"MAINTENANCE &gt; Subárea no determinable")+COUNTIFS('Prácticas_Snowballing'!$AB$2:$AB$281,"T054",'Prácticas_Snowballing'!$AC$2:$AC$281,"MAINTENANCE &gt; Subárea no determinable")</f>
        <v>0</v>
      </c>
      <c r="BF64" s="29">
        <f t="shared" si="41"/>
        <v>0</v>
      </c>
      <c r="BG64" s="17">
        <f>COUNTIFS('Prácticas_Revisiones'!$S$2:$S$282,"T054",'Prácticas_Revisiones'!$T$2:$T$282,"SOFTWARE CONFIG. MGMT. &gt; Management of the SCM Process")+COUNTIFS('Prácticas_Snowballing'!$AB$2:$AB$281,"T054",'Prácticas_Snowballing'!$AC$2:$AC$281,"SOFTWARE CONFIG. MGMT. &gt; Management of the SCM Process")</f>
        <v>0</v>
      </c>
      <c r="BH64" s="17">
        <f>COUNTIFS('Prácticas_Revisiones'!$S$2:$S$282,"T054",'Prácticas_Revisiones'!$T$2:$T$282,"SOFTWARE CONFIG. MGMT. &gt; Software Configuration Identification")+COUNTIFS('Prácticas_Snowballing'!$AB$2:$AB$281,"T054",'Prácticas_Snowballing'!$AC$2:$AC$281,"SOFTWARE CONFIG. MGMT. &gt; Software Configuration Identification")</f>
        <v>0</v>
      </c>
      <c r="BI64" s="17">
        <f>COUNTIFS('Prácticas_Revisiones'!$S$2:$S$282,"T054",'Prácticas_Revisiones'!$T$2:$T$282,"SOFTWARE CONFIG. MGMT. &gt; Software Configuration Change Control")+COUNTIFS('Prácticas_Snowballing'!$AB$2:$AB$281,"T054",'Prácticas_Snowballing'!$AC$2:$AC$281,"SOFTWARE CONFIG. MGMT. &gt; Software Configuration Change Control")</f>
        <v>0</v>
      </c>
      <c r="BJ64" s="17">
        <f>COUNTIFS('Prácticas_Revisiones'!$S$2:$S$282,"T054",'Prácticas_Revisiones'!$T$2:$T$282,"SOFTWARE CONFIG. MGMT. &gt; Software Configuration Status Accounting")+COUNTIFS('Prácticas_Snowballing'!$AB$2:$AB$281,"T054",'Prácticas_Snowballing'!$AC$2:$AC$281,"SOFTWARE CONFIG. MGMT. &gt; Software Configuration Status Accounting")</f>
        <v>0</v>
      </c>
      <c r="BK64" s="17">
        <f>COUNTIFS('Prácticas_Revisiones'!$S$2:$S$282,"T054",'Prácticas_Revisiones'!$T$2:$T$282,"SOFTWARE CONFIG. MGMT. &gt; Software Configuration Auditing")+COUNTIFS('Prácticas_Snowballing'!$AB$2:$AB$281,"T054",'Prácticas_Snowballing'!$AC$2:$AC$281,"SOFTWARE CONFIG. MGMT. &gt; Software Configuration Auditing")</f>
        <v>0</v>
      </c>
      <c r="BL64" s="17">
        <f>COUNTIFS('Prácticas_Revisiones'!$S$2:$S$282,"T054",'Prácticas_Revisiones'!$T$2:$T$282,"SOFTWARE CONFIG. MGMT. &gt; Software Release Management and Delivery")+COUNTIFS('Prácticas_Snowballing'!$AB$2:$AB$281,"T054",'Prácticas_Snowballing'!$AC$2:$AC$281,"SOFTWARE CONFIG. MGMT. &gt; Software Release Management and Delivery")</f>
        <v>0</v>
      </c>
      <c r="BM64" s="17">
        <f>COUNTIFS('Prácticas_Revisiones'!$S$2:$S$282,"T054",'Prácticas_Revisiones'!$T$2:$T$282,"SOFTWARE CONFIG. MGMT. &gt; Software Configuration Management Tools")+COUNTIFS('Prácticas_Snowballing'!$AB$2:$AB$281,"T054",'Prácticas_Snowballing'!$AC$2:$AC$281,"SOFTWARE CONFIG. MGMT. &gt; Software Configuration Management Tools")</f>
        <v>0</v>
      </c>
      <c r="BN64" s="17">
        <f>COUNTIFS('Prácticas_Revisiones'!$S$2:$S$282,"T054",'Prácticas_Revisiones'!$T$2:$T$282,"SOFTWARE CONFIG. MGMT. &gt; Subárea no determinable")+COUNTIFS('Prácticas_Snowballing'!$AB$2:$AB$281,"T054",'Prácticas_Snowballing'!$AC$2:$AC$281,"SOFTWARE CONFIG. MGMT. &gt; Subárea no determinable")</f>
        <v>0</v>
      </c>
      <c r="BO64" s="29">
        <f t="shared" si="42"/>
        <v>0</v>
      </c>
      <c r="BP64" s="17">
        <f>COUNTIFS('Prácticas_Revisiones'!$S$2:$S$282,"T054",'Prácticas_Revisiones'!$T$2:$T$282,"SOFTWARE ENG. PROCESS &gt; Software Engineering Process Fundamentals")+COUNTIFS('Prácticas_Snowballing'!$AB$2:$AB$281,"T054",'Prácticas_Snowballing'!$AC$2:$AC$281,"SOFTWARE ENG. PROCESS &gt; Software Engineering Process Fundamentals")</f>
        <v>0</v>
      </c>
      <c r="BQ64" s="17">
        <f>COUNTIFS('Prácticas_Revisiones'!$S$2:$S$282,"T054",'Prácticas_Revisiones'!$T$2:$T$282,"SOFTWARE ENG. PROCESS &gt; Life Cycles")+COUNTIFS('Prácticas_Snowballing'!$AB$2:$AB$281,"T054",'Prácticas_Snowballing'!$AC$2:$AC$281,"SOFTWARE ENG. PROCESS &gt; Life Cycles")</f>
        <v>0</v>
      </c>
      <c r="BR64" s="17">
        <f>COUNTIFS('Prácticas_Revisiones'!$S$2:$S$282,"T054",'Prácticas_Revisiones'!$T$2:$T$282,"SOFTWARE ENG. PROCESS &gt; Software Process Assessment and Improvement")+COUNTIFS('Prácticas_Snowballing'!$AB$2:$AB$281,"T054",'Prácticas_Snowballing'!$AC$2:$AC$281,"SOFTWARE ENG. PROCESS &gt; Software Process Assessment and Improvement")</f>
        <v>0</v>
      </c>
      <c r="BS64" s="17">
        <f>COUNTIFS('Prácticas_Revisiones'!$S$2:$S$282,"T054",'Prácticas_Revisiones'!$T$2:$T$282,"SOFTWARE ENG. PROCESS &gt; Subárea no determinable")+COUNTIFS('Prácticas_Snowballing'!$AB$2:$AB$281,"T054",'Prácticas_Snowballing'!$AC$2:$AC$281,"SOFTWARE ENG. PROCESS &gt; Subárea no determinable")</f>
        <v>0</v>
      </c>
      <c r="BT64" s="29">
        <f t="shared" si="43"/>
        <v>0</v>
      </c>
      <c r="BU64" s="17">
        <f>COUNTIFS('Prácticas_Revisiones'!$S$2:$S$282,"T054",'Prácticas_Revisiones'!$T$2:$T$282,"SOFTWARE ENG. MODELS/METH. &gt; Modeling")+COUNTIFS('Prácticas_Snowballing'!$AB$2:$AB$281,"T054",'Prácticas_Snowballing'!$AC$2:$AC$281,"SOFTWARE ENG. MODELS/METH. &gt; Modeling")</f>
        <v>0</v>
      </c>
      <c r="BV64" s="17">
        <f>COUNTIFS('Prácticas_Revisiones'!$S$2:$S$282,"T054",'Prácticas_Revisiones'!$T$2:$T$282,"SOFTWARE ENG. MODELS/METH. &gt; Types of Models")+COUNTIFS('Prácticas_Snowballing'!$AB$2:$AB$281,"T054",'Prácticas_Snowballing'!$AC$2:$AC$281,"SOFTWARE ENG. MODELS/METH. &gt; Types of Models")</f>
        <v>0</v>
      </c>
      <c r="BW64" s="17">
        <f>COUNTIFS('Prácticas_Revisiones'!$S$2:$S$282,"T054",'Prácticas_Revisiones'!$T$2:$T$282,"SOFTWARE ENG. MODELS/METH. &gt; Analysis of Models")+COUNTIFS('Prácticas_Snowballing'!$AB$2:$AB$281,"T054",'Prácticas_Snowballing'!$AC$2:$AC$281,"SOFTWARE ENG. MODELS/METH. &gt; Analysis of Models")</f>
        <v>0</v>
      </c>
      <c r="BX64" s="17">
        <f>COUNTIFS('Prácticas_Revisiones'!$S$2:$S$282,"T054",'Prácticas_Revisiones'!$T$2:$T$282,"SOFTWARE ENG. MODELS/METH. &gt; Software Engineering Methods")+COUNTIFS('Prácticas_Snowballing'!$AB$2:$AB$281,"T054",'Prácticas_Snowballing'!$AC$2:$AC$281,"SOFTWARE ENG. MODELS/METH. &gt; Software Engineering Methods")</f>
        <v>0</v>
      </c>
      <c r="BY64" s="17">
        <f>COUNTIFS('Prácticas_Revisiones'!$S$2:$S$282,"T054",'Prácticas_Revisiones'!$T$2:$T$282,"SOFTWARE ENG. MODELS/METH. &gt; Subárea no determinable")+COUNTIFS('Prácticas_Snowballing'!$AB$2:$AB$281,"T054",'Prácticas_Snowballing'!$AC$2:$AC$281,"SOFTWARE ENG. MODELS/METH. &gt; Subárea no determinable")</f>
        <v>0</v>
      </c>
      <c r="BZ64" s="29">
        <f t="shared" si="44"/>
        <v>0</v>
      </c>
      <c r="CA64" s="17">
        <f>COUNTIFS('Prácticas_Revisiones'!$S$2:$S$282,"T054",'Prácticas_Revisiones'!$T$2:$T$282,"SOFTWARE QUALITY &gt; Software Quality Fundamentals")+COUNTIFS('Prácticas_Snowballing'!$AB$2:$AB$281,"T054",'Prácticas_Snowballing'!$AC$2:$AC$281,"SOFTWARE QUALITY &gt; Software Quality Fundamentals")</f>
        <v>0</v>
      </c>
      <c r="CB64" s="17">
        <f>COUNTIFS('Prácticas_Revisiones'!$S$2:$S$282,"T054",'Prácticas_Revisiones'!$T$2:$T$282,"SOFTWARE QUALITY &gt; Software Quality Management Process")+COUNTIFS('Prácticas_Snowballing'!$AB$2:$AB$281,"T054",'Prácticas_Snowballing'!$AC$2:$AC$281,"SOFTWARE QUALITY &gt; Software Quality Management Process")</f>
        <v>0</v>
      </c>
      <c r="CC64" s="17">
        <f>COUNTIFS('Prácticas_Revisiones'!$S$2:$S$282,"T054",'Prácticas_Revisiones'!$T$2:$T$282,"SOFTWARE QUALITY &gt; Software Quality Assurance Process")+COUNTIFS('Prácticas_Snowballing'!$AB$2:$AB$281,"T054",'Prácticas_Snowballing'!$AC$2:$AC$281,"SOFTWARE QUALITY &gt; Software Quality Assurance Process")</f>
        <v>0</v>
      </c>
      <c r="CD64" s="17">
        <f>COUNTIFS('Prácticas_Revisiones'!$S$2:$S$282,"T054",'Prácticas_Revisiones'!$T$2:$T$282,"SOFTWARE QUALITY &gt; Software Quality Tools")+COUNTIFS('Prácticas_Snowballing'!$AB$2:$AB$281,"T054",'Prácticas_Snowballing'!$AC$2:$AC$281,"SOFTWARE QUALITY &gt; Software Quality Tools")</f>
        <v>0</v>
      </c>
      <c r="CE64" s="17">
        <f>COUNTIFS('Prácticas_Revisiones'!$S$2:$S$282,"T054",'Prácticas_Revisiones'!$T$2:$T$282,"SOFTWARE QUALITY &gt; Subárea no determinable")+COUNTIFS('Prácticas_Snowballing'!$AB$2:$AB$281,"T054",'Prácticas_Snowballing'!$AC$2:$AC$281,"SOFTWARE QUALITY &gt; Subárea no determinable")</f>
        <v>0</v>
      </c>
      <c r="CF64" s="29">
        <f t="shared" si="45"/>
        <v>0</v>
      </c>
      <c r="CG64" s="17">
        <f>COUNTIFS('Prácticas_Revisiones'!$S$2:$S$282,"T054",'Prácticas_Revisiones'!$T$2:$T$282,"SOFTWARE SECURITY &gt; Software Security Fundamentals")+COUNTIFS('Prácticas_Snowballing'!$AB$2:$AB$281,"T054",'Prácticas_Snowballing'!$AC$2:$AC$281,"SOFTWARE SECURITY &gt; Software Security Fundamentals")</f>
        <v>0</v>
      </c>
      <c r="CH64" s="17">
        <f>COUNTIFS('Prácticas_Revisiones'!$S$2:$S$282,"T054",'Prácticas_Revisiones'!$T$2:$T$282,"SOFTWARE SECURITY &gt; Security Management and Organization")+COUNTIFS('Prácticas_Snowballing'!$AB$2:$AB$281,"T054",'Prácticas_Snowballing'!$AC$2:$AC$281,"SOFTWARE SECURITY &gt; Security Management and Organization")</f>
        <v>0</v>
      </c>
      <c r="CI64" s="17">
        <f>COUNTIFS('Prácticas_Revisiones'!$S$2:$S$282,"T054",'Prácticas_Revisiones'!$T$2:$T$282,"SOFTWARE SECURITY &gt; Software Security Engineering and Process")+COUNTIFS('Prácticas_Snowballing'!$AB$2:$AB$281,"T054",'Prácticas_Snowballing'!$AC$2:$AC$281,"SOFTWARE SECURITY &gt; Software Security Engineering and Process")</f>
        <v>0</v>
      </c>
      <c r="CJ64" s="17">
        <f>COUNTIFS('Prácticas_Revisiones'!$S$2:$S$282,"T054",'Prácticas_Revisiones'!$T$2:$T$282,"SOFTWARE SECURITY &gt; Security Engineering for Software Systems")+COUNTIFS('Prácticas_Snowballing'!$AB$2:$AB$281,"T054",'Prácticas_Snowballing'!$AC$2:$AC$281,"SOFTWARE SECURITY &gt; Security Engineering for Software Systems")</f>
        <v>0</v>
      </c>
      <c r="CK64" s="17">
        <f>COUNTIFS('Prácticas_Revisiones'!$S$2:$S$282,"T054",'Prácticas_Revisiones'!$T$2:$T$282,"SOFTWARE SECURITY &gt; Software Security Tools")+COUNTIFS('Prácticas_Snowballing'!$AB$2:$AB$281,"T054",'Prácticas_Snowballing'!$AC$2:$AC$281,"SOFTWARE SECURITY &gt; Software Security Tools")</f>
        <v>0</v>
      </c>
      <c r="CL64" s="17">
        <f>COUNTIFS('Prácticas_Revisiones'!$S$2:$S$282,"T054",'Prácticas_Revisiones'!$T$2:$T$282,"SOFTWARE SECURITY &gt; Domain Specific Software Security")+COUNTIFS('Prácticas_Snowballing'!$AB$2:$AB$281,"T054",'Prácticas_Snowballing'!$AC$2:$AC$281,"SOFTWARE SECURITY &gt; Domain Specific Software Security")</f>
        <v>0</v>
      </c>
      <c r="CM64" s="17">
        <f>COUNTIFS('Prácticas_Revisiones'!$S$2:$S$282,"T054",'Prácticas_Revisiones'!$T$2:$T$282,"SOFTWARE SECURITY &gt; Subárea no determinable")+COUNTIFS('Prácticas_Snowballing'!$AB$2:$AB$281,"T054",'Prácticas_Snowballing'!$AC$2:$AC$281,"SOFTWARE SECURITY &gt; Subárea no determinable")</f>
        <v>0</v>
      </c>
      <c r="CN64" s="29">
        <f t="shared" si="46"/>
        <v>0</v>
      </c>
      <c r="CO64" s="17">
        <f>COUNTIFS('Prácticas_Revisiones'!$S$2:$S$282,"T054",'Prácticas_Revisiones'!$T$2:$T$282,"PROFESSIONAL PRACTICE &gt; Professionalism")+COUNTIFS('Prácticas_Snowballing'!$AB$2:$AB$281,"T054",'Prácticas_Snowballing'!$AC$2:$AC$281,"PROFESSIONAL PRACTICE &gt; Professionalism")</f>
        <v>0</v>
      </c>
      <c r="CP64" s="17">
        <f>COUNTIFS('Prácticas_Revisiones'!$S$2:$S$282,"T054",'Prácticas_Revisiones'!$T$2:$T$282,"PROFESSIONAL PRACTICE &gt; Group Dynamics and Psychology")+COUNTIFS('Prácticas_Snowballing'!$AB$2:$AB$281,"T054",'Prácticas_Snowballing'!$AC$2:$AC$281,"PROFESSIONAL PRACTICE &gt; Group Dynamics and Psychology")</f>
        <v>0</v>
      </c>
      <c r="CQ64" s="17">
        <f>COUNTIFS('Prácticas_Revisiones'!$S$2:$S$282,"T054",'Prácticas_Revisiones'!$T$2:$T$282,"PROFESSIONAL PRACTICE &gt; Communication Skills")+COUNTIFS('Prácticas_Snowballing'!$AB$2:$AB$281,"T054",'Prácticas_Snowballing'!$AC$2:$AC$281,"PROFESSIONAL PRACTICE &gt; Communication Skills")</f>
        <v>0</v>
      </c>
      <c r="CR64" s="17">
        <f>COUNTIFS('Prácticas_Revisiones'!$S$2:$S$282,"T054",'Prácticas_Revisiones'!$T$2:$T$282,"PROFESSIONAL PRACTICE &gt; Subárea no determinable")+COUNTIFS('Prácticas_Snowballing'!$AB$2:$AB$281,"T054",'Prácticas_Snowballing'!$AC$2:$AC$281,"PROFESSIONAL PRACTICE &gt; Subárea no determinable")</f>
        <v>0</v>
      </c>
      <c r="CS64" s="29">
        <f t="shared" si="47"/>
        <v>0</v>
      </c>
      <c r="CT64" s="17">
        <f>COUNTIFS('Prácticas_Revisiones'!$S$2:$S$282,"T054",'Prácticas_Revisiones'!$T$2:$T$282,"SOFTWARE ENG. ECONOMICS &gt; Software Engineering Economics Fundamentals")+COUNTIFS('Prácticas_Snowballing'!$AB$2:$AB$281,"T054",'Prácticas_Snowballing'!$AC$2:$AC$281,"SOFTWARE ENG. ECONOMICS &gt; Software Engineering Economics Fundamentals")</f>
        <v>0</v>
      </c>
      <c r="CU64" s="17">
        <f>COUNTIFS('Prácticas_Revisiones'!$S$2:$S$282,"T054",'Prácticas_Revisiones'!$T$2:$T$282,"SOFTWARE ENG. ECONOMICS &gt; The Engineering Decision-Making Process")+COUNTIFS('Prácticas_Snowballing'!$AB$2:$AB$281,"T054",'Prácticas_Snowballing'!$AC$2:$AC$281,"SOFTWARE ENG. ECONOMICS &gt; The Engineering Decision-Making Process")</f>
        <v>0</v>
      </c>
      <c r="CV64" s="17">
        <f>COUNTIFS('Prácticas_Revisiones'!$S$2:$S$282,"T054",'Prácticas_Revisiones'!$T$2:$T$282,"SOFTWARE ENG. ECONOMICS &gt; For-Profit Decision-Making")+COUNTIFS('Prácticas_Snowballing'!$AB$2:$AB$281,"T054",'Prácticas_Snowballing'!$AC$2:$AC$281,"SOFTWARE ENG. ECONOMICS &gt; For-Profit Decision-Making")</f>
        <v>0</v>
      </c>
      <c r="CW64" s="17">
        <f>COUNTIFS('Prácticas_Revisiones'!$S$2:$S$282,"T054",'Prácticas_Revisiones'!$T$2:$T$282,"SOFTWARE ENG. ECONOMICS &gt; Nonprofit Decision-Making")+COUNTIFS('Prácticas_Snowballing'!$AB$2:$AB$281,"T054",'Prácticas_Snowballing'!$AC$2:$AC$281,"SOFTWARE ENG. ECONOMICS &gt; Nonprofit Decision-Making")</f>
        <v>0</v>
      </c>
      <c r="CX64" s="17">
        <f>COUNTIFS('Prácticas_Revisiones'!$S$2:$S$282,"T054",'Prácticas_Revisiones'!$T$2:$T$282,"SOFTWARE ENG. ECONOMICS &gt; Present Economy Decision-Making")+COUNTIFS('Prácticas_Snowballing'!$AB$2:$AB$281,"T054",'Prácticas_Snowballing'!$AC$2:$AC$281,"SOFTWARE ENG. ECONOMICS &gt; Present Economy Decision-Making")</f>
        <v>0</v>
      </c>
      <c r="CY64" s="17">
        <f>COUNTIFS('Prácticas_Revisiones'!$S$2:$S$282,"T054",'Prácticas_Revisiones'!$T$2:$T$282,"SOFTWARE ENG. ECONOMICS &gt; Multiple-Attribute Decision-Making")+COUNTIFS('Prácticas_Snowballing'!$AB$2:$AB$281,"T054",'Prácticas_Snowballing'!$AC$2:$AC$281,"SOFTWARE ENG. ECONOMICS &gt; Multiple-Attribute Decision-Making")</f>
        <v>0</v>
      </c>
      <c r="CZ64" s="17">
        <f>COUNTIFS('Prácticas_Revisiones'!$S$2:$S$282,"T054",'Prácticas_Revisiones'!$T$2:$T$282,"SOFTWARE ENG. ECONOMICS &gt; Identifying and Characterizing Intangible Assets")+COUNTIFS('Prácticas_Snowballing'!$AB$2:$AB$281,"T054",'Prácticas_Snowballing'!$AC$2:$AC$281,"SOFTWARE ENG. ECONOMICS &gt; Identifying and Characterizing Intangible Assets")</f>
        <v>0</v>
      </c>
      <c r="DA64" s="17">
        <f>COUNTIFS('Prácticas_Revisiones'!$S$2:$S$282,"T054",'Prácticas_Revisiones'!$T$2:$T$282,"SOFTWARE ENG. ECONOMICS &gt; Estimation")+COUNTIFS('Prácticas_Snowballing'!$AB$2:$AB$281,"T054",'Prácticas_Snowballing'!$AC$2:$AC$281,"SOFTWARE ENG. ECONOMICS &gt; Estimation")</f>
        <v>0</v>
      </c>
      <c r="DB64" s="17">
        <f>COUNTIFS('Prácticas_Revisiones'!$S$2:$S$282,"T054",'Prácticas_Revisiones'!$T$2:$T$282,"SOFTWARE ENG. ECONOMICS &gt; Practical Considerations")+COUNTIFS('Prácticas_Snowballing'!$AB$2:$AB$281,"T054",'Prácticas_Snowballing'!$AC$2:$AC$281,"SOFTWARE ENG. ECONOMICS &gt; Practical Considerations")</f>
        <v>0</v>
      </c>
      <c r="DC64" s="17">
        <f>COUNTIFS('Prácticas_Revisiones'!$S$2:$S$282,"T054",'Prácticas_Revisiones'!$T$2:$T$282,"SOFTWARE ENG. ECONOMICS &gt; Related Concepts")+COUNTIFS('Prácticas_Snowballing'!$AB$2:$AB$281,"T054",'Prácticas_Snowballing'!$AC$2:$AC$281,"SOFTWARE ENG. ECONOMICS &gt; Related Concepts")</f>
        <v>0</v>
      </c>
      <c r="DD64" s="17">
        <f>COUNTIFS('Prácticas_Revisiones'!$S$2:$S$282,"T054",'Prácticas_Revisiones'!$T$2:$T$282,"SOFTWARE ENG. ECONOMICS &gt; Subárea no determinable")+COUNTIFS('Prácticas_Snowballing'!$AB$2:$AB$281,"T054",'Prácticas_Snowballing'!$AC$2:$AC$281,"SOFTWARE ENG. ECONOMICS &gt; Subárea no determinable")</f>
        <v>0</v>
      </c>
      <c r="DE64" s="29">
        <f t="shared" si="48"/>
        <v>0</v>
      </c>
      <c r="DF64" s="17">
        <f>COUNTIFS('Prácticas_Revisiones'!$S$2:$S$282,"T054",'Prácticas_Revisiones'!$T$2:$T$282,"SOFTWARE ENG. MANAGEMENT &gt; Software Engineering Management Fundamentals")+COUNTIFS('Prácticas_Snowballing'!$AB$2:$AB$281,"T054",'Prácticas_Snowballing'!$AC$2:$AC$281,"SOFTWARE ENG. MANAGEMENT &gt; Software Engineering Management Fundamentals")</f>
        <v>0</v>
      </c>
      <c r="DG64" s="17">
        <f>COUNTIFS('Prácticas_Revisiones'!$S$2:$S$282,"T054",'Prácticas_Revisiones'!$T$2:$T$282,"SOFTWARE ENG. MANAGEMENT &gt; Initiation and Scope Definition")+COUNTIFS('Prácticas_Snowballing'!$AB$2:$AB$281,"T054",'Prácticas_Snowballing'!$AC$2:$AC$281,"SOFTWARE ENG. MANAGEMENT &gt; Initiation and Scope Definition")</f>
        <v>0</v>
      </c>
      <c r="DH64" s="17">
        <f>COUNTIFS('Prácticas_Revisiones'!$S$2:$S$282,"T054",'Prácticas_Revisiones'!$T$2:$T$282,"SOFTWARE ENG. MANAGEMENT &gt; Software Project Planning")+COUNTIFS('Prácticas_Snowballing'!$AB$2:$AB$281,"T054",'Prácticas_Snowballing'!$AC$2:$AC$281,"SOFTWARE ENG. MANAGEMENT &gt; Software Project Planning")</f>
        <v>0</v>
      </c>
      <c r="DI64" s="17">
        <f>COUNTIFS('Prácticas_Revisiones'!$S$2:$S$282,"T054",'Prácticas_Revisiones'!$T$2:$T$282,"SOFTWARE ENG. MANAGEMENT &gt; Software Project Enactment")+COUNTIFS('Prácticas_Snowballing'!$AB$2:$AB$281,"T054",'Prácticas_Snowballing'!$AC$2:$AC$281,"SOFTWARE ENG. MANAGEMENT &gt; Software Project Enactment")</f>
        <v>0</v>
      </c>
      <c r="DJ64" s="17">
        <f>COUNTIFS('Prácticas_Revisiones'!$S$2:$S$282,"T054",'Prácticas_Revisiones'!$T$2:$T$282,"SOFTWARE ENG. MANAGEMENT &gt; Review and Evaluation")+COUNTIFS('Prácticas_Snowballing'!$AB$2:$AB$281,"T054",'Prácticas_Snowballing'!$AC$2:$AC$281,"SOFTWARE ENG. MANAGEMENT &gt; Review and Evaluation")</f>
        <v>0</v>
      </c>
      <c r="DK64" s="17">
        <f>COUNTIFS('Prácticas_Revisiones'!$S$2:$S$282,"T054",'Prácticas_Revisiones'!$T$2:$T$282,"SOFTWARE ENG. MANAGEMENT &gt; Closure")+COUNTIFS('Prácticas_Snowballing'!$AB$2:$AB$281,"T054",'Prácticas_Snowballing'!$AC$2:$AC$281,"SOFTWARE ENG. MANAGEMENT &gt; Closure")</f>
        <v>0</v>
      </c>
      <c r="DL64" s="17">
        <f>COUNTIFS('Prácticas_Revisiones'!$S$2:$S$282,"T054",'Prácticas_Revisiones'!$T$2:$T$282,"SOFTWARE ENG. MANAGEMENT &gt; Software Engineering Management Tools")+COUNTIFS('Prácticas_Snowballing'!$AB$2:$AB$281,"T054",'Prácticas_Snowballing'!$AC$2:$AC$281,"SOFTWARE ENG. MANAGEMENT &gt; Software Engineering Management Tools")</f>
        <v>0</v>
      </c>
      <c r="DM64" s="17">
        <f>COUNTIFS('Prácticas_Revisiones'!$S$2:$S$282,"T054",'Prácticas_Revisiones'!$T$2:$T$282,"SOFTWARE ENG. MANAGEMENT &gt; Subárea no determinable")+COUNTIFS('Prácticas_Snowballing'!$AB$2:$AB$281,"T054",'Prácticas_Snowballing'!$AC$2:$AC$281,"SOFTWARE ENG. MANAGEMENT &gt; Subárea no determinable")</f>
        <v>0</v>
      </c>
      <c r="DN64" s="29">
        <f t="shared" si="49"/>
        <v>0</v>
      </c>
      <c r="DO64" s="17">
        <f>COUNTIFS('Prácticas_Revisiones'!$S$2:$S$282,"T054",'Prácticas_Revisiones'!$T$2:$T$282,"Sin área SWEBOK")+COUNTIFS('Prácticas_Snowballing'!$AB$2:$AB$281,"T054",'Prácticas_Snowballing'!$AC$2:$AC$281,"Sin área SWEBOK")</f>
        <v>0</v>
      </c>
      <c r="DP64" s="27">
        <f t="shared" si="50"/>
        <v>0</v>
      </c>
    </row>
    <row r="65" ht="15.75" customHeight="1">
      <c r="A65" s="28"/>
      <c r="B65" s="16" t="s">
        <v>2816</v>
      </c>
      <c r="C65" s="17">
        <f>COUNTIFS('Prácticas_Revisiones'!$S$2:$S$282,"T055",'Prácticas_Revisiones'!$T$2:$T$282,"REQUIREMENTS &gt; Software Requirements Fundamentals")+COUNTIFS('Prácticas_Snowballing'!$AB$2:$AB$281,"T055",'Prácticas_Snowballing'!$AC$2:$AC$281,"REQUIREMENTS &gt; Software Requirements Fundamentals")</f>
        <v>0</v>
      </c>
      <c r="D65" s="17">
        <f>COUNTIFS('Prácticas_Revisiones'!$S$2:$S$282,"T055",'Prácticas_Revisiones'!$T$2:$T$282,"REQUIREMENTS &gt; Requirements Elicitation")+COUNTIFS('Prácticas_Snowballing'!$AB$2:$AB$281,"T055",'Prácticas_Snowballing'!$AC$2:$AC$281,"REQUIREMENTS &gt; Requirements Elicitation")</f>
        <v>0</v>
      </c>
      <c r="E65" s="17">
        <f>COUNTIFS('Prácticas_Revisiones'!$S$2:$S$282,"T055",'Prácticas_Revisiones'!$T$2:$T$282,"REQUIREMENTS &gt; Requirements Analysis")+COUNTIFS('Prácticas_Snowballing'!$AB$2:$AB$281,"T055",'Prácticas_Snowballing'!$AC$2:$AC$281,"REQUIREMENTS &gt; Requirements Analysis")</f>
        <v>0</v>
      </c>
      <c r="F65" s="17">
        <f>COUNTIFS('Prácticas_Revisiones'!$S$2:$S$282,"T055",'Prácticas_Revisiones'!$T$2:$T$282,"REQUIREMENTS &gt; Requirements Specification")+COUNTIFS('Prácticas_Snowballing'!$AB$2:$AB$281,"T055",'Prácticas_Snowballing'!$AC$2:$AC$281,"REQUIREMENTS &gt; Requirements Specification")</f>
        <v>0</v>
      </c>
      <c r="G65" s="17">
        <f>COUNTIFS('Prácticas_Revisiones'!$S$2:$S$282,"T055",'Prácticas_Revisiones'!$T$2:$T$282,"REQUIREMENTS &gt; Requirements Validation")+COUNTIFS('Prácticas_Snowballing'!$AB$2:$AB$281,"T055",'Prácticas_Snowballing'!$AC$2:$AC$281,"REQUIREMENTS &gt; Requirements Validation")</f>
        <v>0</v>
      </c>
      <c r="H65" s="17">
        <f>COUNTIFS('Prácticas_Revisiones'!$S$2:$S$282,"T055",'Prácticas_Revisiones'!$T$2:$T$282,"REQUIREMENTS &gt; Requirements Management Activities")+COUNTIFS('Prácticas_Snowballing'!$AB$2:$AB$281,"T055",'Prácticas_Snowballing'!$AC$2:$AC$281,"REQUIREMENTS &gt; Requirements Management Activities")</f>
        <v>0</v>
      </c>
      <c r="I65" s="17">
        <f>COUNTIFS('Prácticas_Revisiones'!$S$2:$S$282,"T055",'Prácticas_Revisiones'!$T$2:$T$282,"REQUIREMENTS &gt; Practical Considerations")+COUNTIFS('Prácticas_Snowballing'!$AB$2:$AB$281,"T055",'Prácticas_Snowballing'!$AC$2:$AC$281,"REQUIREMENTS &gt; Practical Considerations")</f>
        <v>0</v>
      </c>
      <c r="J65" s="17">
        <f>COUNTIFS('Prácticas_Revisiones'!$S$2:$S$282,"T055",'Prácticas_Revisiones'!$T$2:$T$282,"REQUIREMENTS &gt; Software Requirements Tools")+COUNTIFS('Prácticas_Snowballing'!$AB$2:$AB$281,"T055",'Prácticas_Snowballing'!$AC$2:$AC$281,"REQUIREMENTS &gt; Software Requirements Tools")</f>
        <v>0</v>
      </c>
      <c r="K65" s="17">
        <f>COUNTIFS('Prácticas_Revisiones'!$S$2:$S$282,"T055",'Prácticas_Revisiones'!$T$2:$T$282,"REQUIREMENTS &gt; Subárea no determinable")+COUNTIFS('Prácticas_Snowballing'!$AB$2:$AB$281,"T055",'Prácticas_Snowballing'!$AC$2:$AC$281,"REQUIREMENTS &gt; Subárea no determinable")</f>
        <v>0</v>
      </c>
      <c r="L65" s="29">
        <f t="shared" si="35"/>
        <v>0</v>
      </c>
      <c r="M65" s="17">
        <f>COUNTIFS('Prácticas_Revisiones'!$S$2:$S$282,"T055",'Prácticas_Revisiones'!$T$2:$T$282,"ARCHITECTURE &gt; Software Architecture Fundamentals")+COUNTIFS('Prácticas_Snowballing'!$AB$2:$AB$281,"T055",'Prácticas_Snowballing'!$AC$2:$AC$281,"ARCHITECTURE &gt; Software Architecture Fundamentals")</f>
        <v>0</v>
      </c>
      <c r="N65" s="17">
        <f>COUNTIFS('Prácticas_Revisiones'!$S$2:$S$282,"T055",'Prácticas_Revisiones'!$T$2:$T$282,"ARCHITECTURE &gt; Software Architecture Description")+COUNTIFS('Prácticas_Snowballing'!$AB$2:$AB$281,"T055",'Prácticas_Snowballing'!$AC$2:$AC$281,"ARCHITECTURE &gt; Software Architecture Description")</f>
        <v>0</v>
      </c>
      <c r="O65" s="17">
        <f>COUNTIFS('Prácticas_Revisiones'!$S$2:$S$282,"T055",'Prácticas_Revisiones'!$T$2:$T$282,"ARCHITECTURE &gt; Software Architecture Process")+COUNTIFS('Prácticas_Snowballing'!$AB$2:$AB$281,"T055",'Prácticas_Snowballing'!$AC$2:$AC$281,"ARCHITECTURE &gt; Software Architecture Process")</f>
        <v>0</v>
      </c>
      <c r="P65" s="17">
        <f>COUNTIFS('Prácticas_Revisiones'!$S$2:$S$282,"T055",'Prácticas_Revisiones'!$T$2:$T$282,"ARCHITECTURE &gt; Software Architecture Evaluation")+COUNTIFS('Prácticas_Snowballing'!$AB$2:$AB$281,"T055",'Prácticas_Snowballing'!$AC$2:$AC$281,"ARCHITECTURE &gt; Software Architecture Evaluation")</f>
        <v>0</v>
      </c>
      <c r="Q65" s="17">
        <f>COUNTIFS('Prácticas_Revisiones'!$S$2:$S$282,"T055",'Prácticas_Revisiones'!$T$2:$T$282,"ARCHITECTURE &gt; Subárea no determinable")+COUNTIFS('Prácticas_Snowballing'!$AB$2:$AB$281,"T055",'Prácticas_Snowballing'!$AC$2:$AC$281,"ARCHITECTURE &gt; Subárea no determinable")</f>
        <v>0</v>
      </c>
      <c r="R65" s="29">
        <f t="shared" si="36"/>
        <v>0</v>
      </c>
      <c r="S65" s="17">
        <f>COUNTIFS('Prácticas_Revisiones'!$S$2:$S$282,"T055",'Prácticas_Revisiones'!$T$2:$T$282,"DESIGN &gt; Software Design Fundamentals")+COUNTIFS('Prácticas_Snowballing'!$AB$2:$AB$281,"T055",'Prácticas_Snowballing'!$AC$2:$AC$281,"DESIGN &gt; Software Design Fundamentals")</f>
        <v>0</v>
      </c>
      <c r="T65" s="17">
        <f>COUNTIFS('Prácticas_Revisiones'!$S$2:$S$282,"T055",'Prácticas_Revisiones'!$T$2:$T$282,"DESIGN &gt; Software Design Processes")+COUNTIFS('Prácticas_Snowballing'!$AB$2:$AB$281,"T055",'Prácticas_Snowballing'!$AC$2:$AC$281,"DESIGN &gt; Software Design Processes")</f>
        <v>0</v>
      </c>
      <c r="U65" s="17">
        <f>COUNTIFS('Prácticas_Revisiones'!$S$2:$S$282,"T055",'Prácticas_Revisiones'!$T$2:$T$282,"DESIGN &gt; Software Design Qualities")+COUNTIFS('Prácticas_Snowballing'!$AB$2:$AB$281,"T055",'Prácticas_Snowballing'!$AC$2:$AC$281,"DESIGN &gt; Software Design Qualities")</f>
        <v>0</v>
      </c>
      <c r="V65" s="17">
        <f>COUNTIFS('Prácticas_Revisiones'!$S$2:$S$282,"T055",'Prácticas_Revisiones'!$T$2:$T$282,"DESIGN &gt; Recording Software Design")+COUNTIFS('Prácticas_Snowballing'!$AB$2:$AB$281,"T055",'Prácticas_Snowballing'!$AC$2:$AC$281,"DESIGN &gt; Recording Software Design")</f>
        <v>0</v>
      </c>
      <c r="W65" s="17">
        <f>COUNTIFS('Prácticas_Revisiones'!$S$2:$S$282,"T055",'Prácticas_Revisiones'!$T$2:$T$282,"DESIGN &gt; Software Design Strategies and Methods")+COUNTIFS('Prácticas_Snowballing'!$AB$2:$AB$281,"T055",'Prácticas_Snowballing'!$AC$2:$AC$281,"DESIGN &gt; Software Design Strategies and Methods")</f>
        <v>0</v>
      </c>
      <c r="X65" s="17">
        <f>COUNTIFS('Prácticas_Revisiones'!$S$2:$S$282,"T055",'Prácticas_Revisiones'!$T$2:$T$282,"DESIGN &gt; Software Design Analysis and Evaluations")+COUNTIFS('Prácticas_Snowballing'!$AB$2:$AB$281,"T055",'Prácticas_Snowballing'!$AC$2:$AC$281,"DESIGN &gt; Software Design Analysis and Evaluations")</f>
        <v>0</v>
      </c>
      <c r="Y65" s="17">
        <f>COUNTIFS('Prácticas_Revisiones'!$S$2:$S$282,"T055",'Prácticas_Revisiones'!$T$2:$T$282,"DESIGN &gt; Subárea no determinable")+COUNTIFS('Prácticas_Snowballing'!$AB$2:$AB$281,"T055",'Prácticas_Snowballing'!$AC$2:$AC$281,"DESIGN &gt; Subárea no determinable")</f>
        <v>0</v>
      </c>
      <c r="Z65" s="29">
        <f t="shared" si="37"/>
        <v>0</v>
      </c>
      <c r="AA65" s="17">
        <f>COUNTIFS('Prácticas_Revisiones'!$S$2:$S$282,"T055",'Prácticas_Revisiones'!$T$2:$T$282,"CONSTRUCTION &gt; Software Construction Fundamentals")+COUNTIFS('Prácticas_Snowballing'!$AB$2:$AB$281,"T055",'Prácticas_Snowballing'!$AC$2:$AC$281,"CONSTRUCTION &gt; Software Construction Fundamentals")</f>
        <v>0</v>
      </c>
      <c r="AB65" s="17">
        <f>COUNTIFS('Prácticas_Revisiones'!$S$2:$S$282,"T055",'Prácticas_Revisiones'!$T$2:$T$282,"CONSTRUCTION &gt; Managing Construction")+COUNTIFS('Prácticas_Snowballing'!$AB$2:$AB$281,"T055",'Prácticas_Snowballing'!$AC$2:$AC$281,"CONSTRUCTION &gt; Managing Construction")</f>
        <v>0</v>
      </c>
      <c r="AC65" s="17">
        <f>COUNTIFS('Prácticas_Revisiones'!$S$2:$S$282,"T055",'Prácticas_Revisiones'!$T$2:$T$282,"CONSTRUCTION &gt; Practical Considerations")+COUNTIFS('Prácticas_Snowballing'!$AB$2:$AB$281,"T055",'Prácticas_Snowballing'!$AC$2:$AC$281,"CONSTRUCTION &gt; Practical Considerations")</f>
        <v>0</v>
      </c>
      <c r="AD65" s="17">
        <f>COUNTIFS('Prácticas_Revisiones'!$S$2:$S$282,"T055",'Prácticas_Revisiones'!$T$2:$T$282,"CONSTRUCTION &gt; Construction Technologies")+COUNTIFS('Prácticas_Snowballing'!$AB$2:$AB$281,"T055",'Prácticas_Snowballing'!$AC$2:$AC$281,"CONSTRUCTION &gt; Construction Technologies")</f>
        <v>0</v>
      </c>
      <c r="AE65" s="17">
        <f>COUNTIFS('Prácticas_Revisiones'!$S$2:$S$282,"T055",'Prácticas_Revisiones'!$T$2:$T$282,"CONSTRUCTION &gt; Software Construction Tools")+COUNTIFS('Prácticas_Snowballing'!$AB$2:$AB$281,"T055",'Prácticas_Snowballing'!$AC$2:$AC$281,"CONSTRUCTION &gt; Software Construction Tools")</f>
        <v>0</v>
      </c>
      <c r="AF65" s="17">
        <f>COUNTIFS('Prácticas_Revisiones'!$S$2:$S$282,"T055",'Prácticas_Revisiones'!$T$2:$T$282,"CONSTRUCTION &gt; Subárea no determinable")+COUNTIFS('Prácticas_Snowballing'!$AB$2:$AB$281,"T055",'Prácticas_Snowballing'!$AC$2:$AC$281,"CONSTRUCTION &gt; Subárea no determinable")</f>
        <v>0</v>
      </c>
      <c r="AG65" s="29">
        <f t="shared" si="38"/>
        <v>0</v>
      </c>
      <c r="AH65" s="17">
        <f>COUNTIFS('Prácticas_Revisiones'!$S$2:$S$282,"T055",'Prácticas_Revisiones'!$T$2:$T$282,"SOFTWARE TESTING &gt; Software Testing Fundamentals")+COUNTIFS('Prácticas_Snowballing'!$AB$2:$AB$281,"T055",'Prácticas_Snowballing'!$AC$2:$AC$281,"SOFTWARE TESTING &gt; Software Testing Fundamentals")</f>
        <v>0</v>
      </c>
      <c r="AI65" s="17">
        <f>COUNTIFS('Prácticas_Revisiones'!$S$2:$S$282,"T055",'Prácticas_Revisiones'!$T$2:$T$282,"SOFTWARE TESTING &gt; Test Levels")+COUNTIFS('Prácticas_Snowballing'!$AB$2:$AB$281,"T055",'Prácticas_Snowballing'!$AC$2:$AC$281,"SOFTWARE TESTING &gt; Test Levels")</f>
        <v>0</v>
      </c>
      <c r="AJ65" s="17">
        <f>COUNTIFS('Prácticas_Revisiones'!$S$2:$S$282,"T055",'Prácticas_Revisiones'!$T$2:$T$282,"SOFTWARE TESTING &gt; Test Techniques")+COUNTIFS('Prácticas_Snowballing'!$AB$2:$AB$281,"T055",'Prácticas_Snowballing'!$AC$2:$AC$281,"SOFTWARE TESTING &gt; Test Techniques")</f>
        <v>0</v>
      </c>
      <c r="AK65" s="17">
        <f>COUNTIFS('Prácticas_Revisiones'!$S$2:$S$282,"T055",'Prácticas_Revisiones'!$T$2:$T$282,"SOFTWARE TESTING &gt; Test-Related Measures")+COUNTIFS('Prácticas_Snowballing'!$AB$2:$AB$281,"T055",'Prácticas_Snowballing'!$AC$2:$AC$281,"SOFTWARE TESTING &gt; Test-Related Measures")</f>
        <v>0</v>
      </c>
      <c r="AL65" s="17">
        <f>COUNTIFS('Prácticas_Revisiones'!$S$2:$S$282,"T055",'Prácticas_Revisiones'!$T$2:$T$282,"SOFTWARE TESTING &gt; Test Process")+COUNTIFS('Prácticas_Snowballing'!$AB$2:$AB$281,"T055",'Prácticas_Snowballing'!$AC$2:$AC$281,"SOFTWARE TESTING &gt; Test Process")</f>
        <v>0</v>
      </c>
      <c r="AM65" s="17">
        <f>COUNTIFS('Prácticas_Revisiones'!$S$2:$S$282,"T055",'Prácticas_Revisiones'!$T$2:$T$282,"SOFTWARE TESTING &gt; Software Testing in the Development Processes...")+COUNTIFS('Prácticas_Snowballing'!$AB$2:$AB$281,"T055",'Prácticas_Snowballing'!$AC$2:$AC$281,"SOFTWARE TESTING &gt; Software Testing in the Development Processes...")</f>
        <v>0</v>
      </c>
      <c r="AN65" s="17">
        <f>COUNTIFS('Prácticas_Revisiones'!$S$2:$S$282,"T055",'Prácticas_Revisiones'!$T$2:$T$282,"SOFTWARE TESTING &gt; Testing of and Testing Through Emerging Tech...")+COUNTIFS('Prácticas_Snowballing'!$AB$2:$AB$281,"T055",'Prácticas_Snowballing'!$AC$2:$AC$281,"SOFTWARE TESTING &gt; Testing of and Testing Through Emerging Tech...")</f>
        <v>0</v>
      </c>
      <c r="AO65" s="17">
        <f>COUNTIFS('Prácticas_Revisiones'!$S$2:$S$282,"T055",'Prácticas_Revisiones'!$T$2:$T$282,"SOFTWARE TESTING &gt; Software Testing Tools")+COUNTIFS('Prácticas_Snowballing'!$AB$2:$AB$281,"T055",'Prácticas_Snowballing'!$AC$2:$AC$281,"SOFTWARE TESTING &gt; Software Testing Tools")</f>
        <v>0</v>
      </c>
      <c r="AP65" s="17">
        <f>COUNTIFS('Prácticas_Revisiones'!$S$2:$S$282,"T055",'Prácticas_Revisiones'!$T$2:$T$282,"SOFTWARE TESTING &gt; Subárea no determinable")+COUNTIFS('Prácticas_Snowballing'!$AB$2:$AB$281,"T055",'Prácticas_Snowballing'!$AC$2:$AC$281,"SOFTWARE TESTING &gt; Subárea no determinable")</f>
        <v>0</v>
      </c>
      <c r="AQ65" s="29">
        <f t="shared" si="39"/>
        <v>0</v>
      </c>
      <c r="AR65" s="17">
        <f>COUNTIFS('Prácticas_Revisiones'!$S$2:$S$282,"T055",'Prácticas_Revisiones'!$T$2:$T$282,"SOFTWARE ENG. OPERATIONS &gt; Software Engineering Operations Fundamentals")+COUNTIFS('Prácticas_Snowballing'!$AB$2:$AB$281,"T055",'Prácticas_Snowballing'!$AC$2:$AC$281,"SOFTWARE ENG. OPERATIONS &gt; Software Engineering Operations Fundamentals")</f>
        <v>0</v>
      </c>
      <c r="AS65" s="17">
        <f>COUNTIFS('Prácticas_Revisiones'!$S$2:$S$282,"T055",'Prácticas_Revisiones'!$T$2:$T$282,"SOFTWARE ENG. OPERATIONS &gt; Software Engineering Operations Planning")+COUNTIFS('Prácticas_Snowballing'!$AB$2:$AB$281,"T055",'Prácticas_Snowballing'!$AC$2:$AC$281,"SOFTWARE ENG. OPERATIONS &gt; Software Engineering Operations Planning")</f>
        <v>0</v>
      </c>
      <c r="AT65" s="17">
        <f>COUNTIFS('Prácticas_Revisiones'!$S$2:$S$282,"T055",'Prácticas_Revisiones'!$T$2:$T$282,"SOFTWARE ENG. OPERATIONS &gt; Software Engineering Operations Delivery")+COUNTIFS('Prácticas_Snowballing'!$AB$2:$AB$281,"T055",'Prácticas_Snowballing'!$AC$2:$AC$281,"SOFTWARE ENG. OPERATIONS &gt; Software Engineering Operations Delivery")</f>
        <v>0</v>
      </c>
      <c r="AU65" s="17">
        <f>COUNTIFS('Prácticas_Revisiones'!$S$2:$S$282,"T055",'Prácticas_Revisiones'!$T$2:$T$282,"SOFTWARE ENG. OPERATIONS &gt; Software Engineering Operations Control")+COUNTIFS('Prácticas_Snowballing'!$AB$2:$AB$281,"T055",'Prácticas_Snowballing'!$AC$2:$AC$281,"SOFTWARE ENG. OPERATIONS &gt; Software Engineering Operations Control")</f>
        <v>0</v>
      </c>
      <c r="AV65" s="17">
        <f>COUNTIFS('Prácticas_Revisiones'!$S$2:$S$282,"T055",'Prácticas_Revisiones'!$T$2:$T$282,"SOFTWARE ENG. OPERATIONS &gt; Practical Considerations")+COUNTIFS('Prácticas_Snowballing'!$AB$2:$AB$281,"T055",'Prácticas_Snowballing'!$AC$2:$AC$281,"SOFTWARE ENG. OPERATIONS &gt; Practical Considerations")</f>
        <v>0</v>
      </c>
      <c r="AW65" s="17">
        <f>COUNTIFS('Prácticas_Revisiones'!$S$2:$S$282,"T055",'Prácticas_Revisiones'!$T$2:$T$282,"SOFTWARE ENG. OPERATIONS &gt; Software Engineering Operations Tools")+COUNTIFS('Prácticas_Snowballing'!$AB$2:$AB$281,"T055",'Prácticas_Snowballing'!$AC$2:$AC$281,"SOFTWARE ENG. OPERATIONS &gt; Software Engineering Operations Tools")</f>
        <v>0</v>
      </c>
      <c r="AX65" s="17">
        <f>COUNTIFS('Prácticas_Revisiones'!$S$2:$S$282,"T055",'Prácticas_Revisiones'!$T$2:$T$282,"SOFTWARE ENG. OPERATIONS &gt; Subárea no determinable")+COUNTIFS('Prácticas_Snowballing'!$AB$2:$AB$281,"T055",'Prácticas_Snowballing'!$AC$2:$AC$281,"SOFTWARE ENG. OPERATIONS &gt; Subárea no determinable")</f>
        <v>0</v>
      </c>
      <c r="AY65" s="29">
        <f t="shared" si="40"/>
        <v>0</v>
      </c>
      <c r="AZ65" s="17">
        <f>COUNTIFS('Prácticas_Revisiones'!$S$2:$S$282,"T055",'Prácticas_Revisiones'!$T$2:$T$282,"MAINTENANCE &gt; Software Maintenance Fundamentals")+COUNTIFS('Prácticas_Snowballing'!$AB$2:$AB$281,"T055",'Prácticas_Snowballing'!$AC$2:$AC$281,"MAINTENANCE &gt; Software Maintenance Fundamentals")</f>
        <v>0</v>
      </c>
      <c r="BA65" s="17">
        <f>COUNTIFS('Prácticas_Revisiones'!$S$2:$S$282,"T055",'Prácticas_Revisiones'!$T$2:$T$282,"MAINTENANCE &gt; Key Issues in Software Maintenance")+COUNTIFS('Prácticas_Snowballing'!$AB$2:$AB$281,"T055",'Prácticas_Snowballing'!$AC$2:$AC$281,"MAINTENANCE &gt; Key Issues in Software Maintenance")</f>
        <v>0</v>
      </c>
      <c r="BB65" s="17">
        <f>COUNTIFS('Prácticas_Revisiones'!$S$2:$S$282,"T055",'Prácticas_Revisiones'!$T$2:$T$282,"MAINTENANCE &gt; Software Maintenance Processes")+COUNTIFS('Prácticas_Snowballing'!$AB$2:$AB$281,"T055",'Prácticas_Snowballing'!$AC$2:$AC$281,"MAINTENANCE &gt; Software Maintenance Processes")</f>
        <v>0</v>
      </c>
      <c r="BC65" s="17">
        <f>COUNTIFS('Prácticas_Revisiones'!$S$2:$S$282,"T055",'Prácticas_Revisiones'!$T$2:$T$282,"MAINTENANCE &gt; Software Maintenance Techniques")+COUNTIFS('Prácticas_Snowballing'!$AB$2:$AB$281,"T055",'Prácticas_Snowballing'!$AC$2:$AC$281,"MAINTENANCE &gt; Software Maintenance Techniques")</f>
        <v>0</v>
      </c>
      <c r="BD65" s="17">
        <f>COUNTIFS('Prácticas_Revisiones'!$S$2:$S$282,"T055",'Prácticas_Revisiones'!$T$2:$T$282,"MAINTENANCE &gt; Software Maintenance Tools")+COUNTIFS('Prácticas_Snowballing'!$AB$2:$AB$281,"T055",'Prácticas_Snowballing'!$AC$2:$AC$281,"MAINTENANCE &gt; Software Maintenance Tools")</f>
        <v>0</v>
      </c>
      <c r="BE65" s="17">
        <f>COUNTIFS('Prácticas_Revisiones'!$S$2:$S$282,"T055",'Prácticas_Revisiones'!$T$2:$T$282,"MAINTENANCE &gt; Subárea no determinable")+COUNTIFS('Prácticas_Snowballing'!$AB$2:$AB$281,"T055",'Prácticas_Snowballing'!$AC$2:$AC$281,"MAINTENANCE &gt; Subárea no determinable")</f>
        <v>0</v>
      </c>
      <c r="BF65" s="29">
        <f t="shared" si="41"/>
        <v>0</v>
      </c>
      <c r="BG65" s="17">
        <f>COUNTIFS('Prácticas_Revisiones'!$S$2:$S$282,"T055",'Prácticas_Revisiones'!$T$2:$T$282,"SOFTWARE CONFIG. MGMT. &gt; Management of the SCM Process")+COUNTIFS('Prácticas_Snowballing'!$AB$2:$AB$281,"T055",'Prácticas_Snowballing'!$AC$2:$AC$281,"SOFTWARE CONFIG. MGMT. &gt; Management of the SCM Process")</f>
        <v>0</v>
      </c>
      <c r="BH65" s="17">
        <f>COUNTIFS('Prácticas_Revisiones'!$S$2:$S$282,"T055",'Prácticas_Revisiones'!$T$2:$T$282,"SOFTWARE CONFIG. MGMT. &gt; Software Configuration Identification")+COUNTIFS('Prácticas_Snowballing'!$AB$2:$AB$281,"T055",'Prácticas_Snowballing'!$AC$2:$AC$281,"SOFTWARE CONFIG. MGMT. &gt; Software Configuration Identification")</f>
        <v>0</v>
      </c>
      <c r="BI65" s="17">
        <f>COUNTIFS('Prácticas_Revisiones'!$S$2:$S$282,"T055",'Prácticas_Revisiones'!$T$2:$T$282,"SOFTWARE CONFIG. MGMT. &gt; Software Configuration Change Control")+COUNTIFS('Prácticas_Snowballing'!$AB$2:$AB$281,"T055",'Prácticas_Snowballing'!$AC$2:$AC$281,"SOFTWARE CONFIG. MGMT. &gt; Software Configuration Change Control")</f>
        <v>0</v>
      </c>
      <c r="BJ65" s="17">
        <f>COUNTIFS('Prácticas_Revisiones'!$S$2:$S$282,"T055",'Prácticas_Revisiones'!$T$2:$T$282,"SOFTWARE CONFIG. MGMT. &gt; Software Configuration Status Accounting")+COUNTIFS('Prácticas_Snowballing'!$AB$2:$AB$281,"T055",'Prácticas_Snowballing'!$AC$2:$AC$281,"SOFTWARE CONFIG. MGMT. &gt; Software Configuration Status Accounting")</f>
        <v>0</v>
      </c>
      <c r="BK65" s="17">
        <f>COUNTIFS('Prácticas_Revisiones'!$S$2:$S$282,"T055",'Prácticas_Revisiones'!$T$2:$T$282,"SOFTWARE CONFIG. MGMT. &gt; Software Configuration Auditing")+COUNTIFS('Prácticas_Snowballing'!$AB$2:$AB$281,"T055",'Prácticas_Snowballing'!$AC$2:$AC$281,"SOFTWARE CONFIG. MGMT. &gt; Software Configuration Auditing")</f>
        <v>0</v>
      </c>
      <c r="BL65" s="17">
        <f>COUNTIFS('Prácticas_Revisiones'!$S$2:$S$282,"T055",'Prácticas_Revisiones'!$T$2:$T$282,"SOFTWARE CONFIG. MGMT. &gt; Software Release Management and Delivery")+COUNTIFS('Prácticas_Snowballing'!$AB$2:$AB$281,"T055",'Prácticas_Snowballing'!$AC$2:$AC$281,"SOFTWARE CONFIG. MGMT. &gt; Software Release Management and Delivery")</f>
        <v>0</v>
      </c>
      <c r="BM65" s="17">
        <f>COUNTIFS('Prácticas_Revisiones'!$S$2:$S$282,"T055",'Prácticas_Revisiones'!$T$2:$T$282,"SOFTWARE CONFIG. MGMT. &gt; Software Configuration Management Tools")+COUNTIFS('Prácticas_Snowballing'!$AB$2:$AB$281,"T055",'Prácticas_Snowballing'!$AC$2:$AC$281,"SOFTWARE CONFIG. MGMT. &gt; Software Configuration Management Tools")</f>
        <v>0</v>
      </c>
      <c r="BN65" s="17">
        <f>COUNTIFS('Prácticas_Revisiones'!$S$2:$S$282,"T055",'Prácticas_Revisiones'!$T$2:$T$282,"SOFTWARE CONFIG. MGMT. &gt; Subárea no determinable")+COUNTIFS('Prácticas_Snowballing'!$AB$2:$AB$281,"T055",'Prácticas_Snowballing'!$AC$2:$AC$281,"SOFTWARE CONFIG. MGMT. &gt; Subárea no determinable")</f>
        <v>0</v>
      </c>
      <c r="BO65" s="29">
        <f t="shared" si="42"/>
        <v>0</v>
      </c>
      <c r="BP65" s="17">
        <f>COUNTIFS('Prácticas_Revisiones'!$S$2:$S$282,"T055",'Prácticas_Revisiones'!$T$2:$T$282,"SOFTWARE ENG. PROCESS &gt; Software Engineering Process Fundamentals")+COUNTIFS('Prácticas_Snowballing'!$AB$2:$AB$281,"T055",'Prácticas_Snowballing'!$AC$2:$AC$281,"SOFTWARE ENG. PROCESS &gt; Software Engineering Process Fundamentals")</f>
        <v>0</v>
      </c>
      <c r="BQ65" s="17">
        <f>COUNTIFS('Prácticas_Revisiones'!$S$2:$S$282,"T055",'Prácticas_Revisiones'!$T$2:$T$282,"SOFTWARE ENG. PROCESS &gt; Life Cycles")+COUNTIFS('Prácticas_Snowballing'!$AB$2:$AB$281,"T055",'Prácticas_Snowballing'!$AC$2:$AC$281,"SOFTWARE ENG. PROCESS &gt; Life Cycles")</f>
        <v>0</v>
      </c>
      <c r="BR65" s="17">
        <f>COUNTIFS('Prácticas_Revisiones'!$S$2:$S$282,"T055",'Prácticas_Revisiones'!$T$2:$T$282,"SOFTWARE ENG. PROCESS &gt; Software Process Assessment and Improvement")+COUNTIFS('Prácticas_Snowballing'!$AB$2:$AB$281,"T055",'Prácticas_Snowballing'!$AC$2:$AC$281,"SOFTWARE ENG. PROCESS &gt; Software Process Assessment and Improvement")</f>
        <v>0</v>
      </c>
      <c r="BS65" s="17">
        <f>COUNTIFS('Prácticas_Revisiones'!$S$2:$S$282,"T055",'Prácticas_Revisiones'!$T$2:$T$282,"SOFTWARE ENG. PROCESS &gt; Subárea no determinable")+COUNTIFS('Prácticas_Snowballing'!$AB$2:$AB$281,"T055",'Prácticas_Snowballing'!$AC$2:$AC$281,"SOFTWARE ENG. PROCESS &gt; Subárea no determinable")</f>
        <v>0</v>
      </c>
      <c r="BT65" s="29">
        <f t="shared" si="43"/>
        <v>0</v>
      </c>
      <c r="BU65" s="17">
        <f>COUNTIFS('Prácticas_Revisiones'!$S$2:$S$282,"T055",'Prácticas_Revisiones'!$T$2:$T$282,"SOFTWARE ENG. MODELS/METH. &gt; Modeling")+COUNTIFS('Prácticas_Snowballing'!$AB$2:$AB$281,"T055",'Prácticas_Snowballing'!$AC$2:$AC$281,"SOFTWARE ENG. MODELS/METH. &gt; Modeling")</f>
        <v>0</v>
      </c>
      <c r="BV65" s="17">
        <f>COUNTIFS('Prácticas_Revisiones'!$S$2:$S$282,"T055",'Prácticas_Revisiones'!$T$2:$T$282,"SOFTWARE ENG. MODELS/METH. &gt; Types of Models")+COUNTIFS('Prácticas_Snowballing'!$AB$2:$AB$281,"T055",'Prácticas_Snowballing'!$AC$2:$AC$281,"SOFTWARE ENG. MODELS/METH. &gt; Types of Models")</f>
        <v>0</v>
      </c>
      <c r="BW65" s="17">
        <f>COUNTIFS('Prácticas_Revisiones'!$S$2:$S$282,"T055",'Prácticas_Revisiones'!$T$2:$T$282,"SOFTWARE ENG. MODELS/METH. &gt; Analysis of Models")+COUNTIFS('Prácticas_Snowballing'!$AB$2:$AB$281,"T055",'Prácticas_Snowballing'!$AC$2:$AC$281,"SOFTWARE ENG. MODELS/METH. &gt; Analysis of Models")</f>
        <v>0</v>
      </c>
      <c r="BX65" s="17">
        <f>COUNTIFS('Prácticas_Revisiones'!$S$2:$S$282,"T055",'Prácticas_Revisiones'!$T$2:$T$282,"SOFTWARE ENG. MODELS/METH. &gt; Software Engineering Methods")+COUNTIFS('Prácticas_Snowballing'!$AB$2:$AB$281,"T055",'Prácticas_Snowballing'!$AC$2:$AC$281,"SOFTWARE ENG. MODELS/METH. &gt; Software Engineering Methods")</f>
        <v>0</v>
      </c>
      <c r="BY65" s="17">
        <f>COUNTIFS('Prácticas_Revisiones'!$S$2:$S$282,"T055",'Prácticas_Revisiones'!$T$2:$T$282,"SOFTWARE ENG. MODELS/METH. &gt; Subárea no determinable")+COUNTIFS('Prácticas_Snowballing'!$AB$2:$AB$281,"T055",'Prácticas_Snowballing'!$AC$2:$AC$281,"SOFTWARE ENG. MODELS/METH. &gt; Subárea no determinable")</f>
        <v>0</v>
      </c>
      <c r="BZ65" s="29">
        <f t="shared" si="44"/>
        <v>0</v>
      </c>
      <c r="CA65" s="17">
        <f>COUNTIFS('Prácticas_Revisiones'!$S$2:$S$282,"T055",'Prácticas_Revisiones'!$T$2:$T$282,"SOFTWARE QUALITY &gt; Software Quality Fundamentals")+COUNTIFS('Prácticas_Snowballing'!$AB$2:$AB$281,"T055",'Prácticas_Snowballing'!$AC$2:$AC$281,"SOFTWARE QUALITY &gt; Software Quality Fundamentals")</f>
        <v>0</v>
      </c>
      <c r="CB65" s="17">
        <f>COUNTIFS('Prácticas_Revisiones'!$S$2:$S$282,"T055",'Prácticas_Revisiones'!$T$2:$T$282,"SOFTWARE QUALITY &gt; Software Quality Management Process")+COUNTIFS('Prácticas_Snowballing'!$AB$2:$AB$281,"T055",'Prácticas_Snowballing'!$AC$2:$AC$281,"SOFTWARE QUALITY &gt; Software Quality Management Process")</f>
        <v>0</v>
      </c>
      <c r="CC65" s="17">
        <f>COUNTIFS('Prácticas_Revisiones'!$S$2:$S$282,"T055",'Prácticas_Revisiones'!$T$2:$T$282,"SOFTWARE QUALITY &gt; Software Quality Assurance Process")+COUNTIFS('Prácticas_Snowballing'!$AB$2:$AB$281,"T055",'Prácticas_Snowballing'!$AC$2:$AC$281,"SOFTWARE QUALITY &gt; Software Quality Assurance Process")</f>
        <v>0</v>
      </c>
      <c r="CD65" s="17">
        <f>COUNTIFS('Prácticas_Revisiones'!$S$2:$S$282,"T055",'Prácticas_Revisiones'!$T$2:$T$282,"SOFTWARE QUALITY &gt; Software Quality Tools")+COUNTIFS('Prácticas_Snowballing'!$AB$2:$AB$281,"T055",'Prácticas_Snowballing'!$AC$2:$AC$281,"SOFTWARE QUALITY &gt; Software Quality Tools")</f>
        <v>0</v>
      </c>
      <c r="CE65" s="17">
        <f>COUNTIFS('Prácticas_Revisiones'!$S$2:$S$282,"T055",'Prácticas_Revisiones'!$T$2:$T$282,"SOFTWARE QUALITY &gt; Subárea no determinable")+COUNTIFS('Prácticas_Snowballing'!$AB$2:$AB$281,"T055",'Prácticas_Snowballing'!$AC$2:$AC$281,"SOFTWARE QUALITY &gt; Subárea no determinable")</f>
        <v>0</v>
      </c>
      <c r="CF65" s="29">
        <f t="shared" si="45"/>
        <v>0</v>
      </c>
      <c r="CG65" s="17">
        <f>COUNTIFS('Prácticas_Revisiones'!$S$2:$S$282,"T055",'Prácticas_Revisiones'!$T$2:$T$282,"SOFTWARE SECURITY &gt; Software Security Fundamentals")+COUNTIFS('Prácticas_Snowballing'!$AB$2:$AB$281,"T055",'Prácticas_Snowballing'!$AC$2:$AC$281,"SOFTWARE SECURITY &gt; Software Security Fundamentals")</f>
        <v>0</v>
      </c>
      <c r="CH65" s="17">
        <f>COUNTIFS('Prácticas_Revisiones'!$S$2:$S$282,"T055",'Prácticas_Revisiones'!$T$2:$T$282,"SOFTWARE SECURITY &gt; Security Management and Organization")+COUNTIFS('Prácticas_Snowballing'!$AB$2:$AB$281,"T055",'Prácticas_Snowballing'!$AC$2:$AC$281,"SOFTWARE SECURITY &gt; Security Management and Organization")</f>
        <v>0</v>
      </c>
      <c r="CI65" s="17">
        <f>COUNTIFS('Prácticas_Revisiones'!$S$2:$S$282,"T055",'Prácticas_Revisiones'!$T$2:$T$282,"SOFTWARE SECURITY &gt; Software Security Engineering and Process")+COUNTIFS('Prácticas_Snowballing'!$AB$2:$AB$281,"T055",'Prácticas_Snowballing'!$AC$2:$AC$281,"SOFTWARE SECURITY &gt; Software Security Engineering and Process")</f>
        <v>0</v>
      </c>
      <c r="CJ65" s="17">
        <f>COUNTIFS('Prácticas_Revisiones'!$S$2:$S$282,"T055",'Prácticas_Revisiones'!$T$2:$T$282,"SOFTWARE SECURITY &gt; Security Engineering for Software Systems")+COUNTIFS('Prácticas_Snowballing'!$AB$2:$AB$281,"T055",'Prácticas_Snowballing'!$AC$2:$AC$281,"SOFTWARE SECURITY &gt; Security Engineering for Software Systems")</f>
        <v>0</v>
      </c>
      <c r="CK65" s="17">
        <f>COUNTIFS('Prácticas_Revisiones'!$S$2:$S$282,"T055",'Prácticas_Revisiones'!$T$2:$T$282,"SOFTWARE SECURITY &gt; Software Security Tools")+COUNTIFS('Prácticas_Snowballing'!$AB$2:$AB$281,"T055",'Prácticas_Snowballing'!$AC$2:$AC$281,"SOFTWARE SECURITY &gt; Software Security Tools")</f>
        <v>0</v>
      </c>
      <c r="CL65" s="17">
        <f>COUNTIFS('Prácticas_Revisiones'!$S$2:$S$282,"T055",'Prácticas_Revisiones'!$T$2:$T$282,"SOFTWARE SECURITY &gt; Domain Specific Software Security")+COUNTIFS('Prácticas_Snowballing'!$AB$2:$AB$281,"T055",'Prácticas_Snowballing'!$AC$2:$AC$281,"SOFTWARE SECURITY &gt; Domain Specific Software Security")</f>
        <v>0</v>
      </c>
      <c r="CM65" s="17">
        <f>COUNTIFS('Prácticas_Revisiones'!$S$2:$S$282,"T055",'Prácticas_Revisiones'!$T$2:$T$282,"SOFTWARE SECURITY &gt; Subárea no determinable")+COUNTIFS('Prácticas_Snowballing'!$AB$2:$AB$281,"T055",'Prácticas_Snowballing'!$AC$2:$AC$281,"SOFTWARE SECURITY &gt; Subárea no determinable")</f>
        <v>0</v>
      </c>
      <c r="CN65" s="29">
        <f t="shared" si="46"/>
        <v>0</v>
      </c>
      <c r="CO65" s="17">
        <f>COUNTIFS('Prácticas_Revisiones'!$S$2:$S$282,"T055",'Prácticas_Revisiones'!$T$2:$T$282,"PROFESSIONAL PRACTICE &gt; Professionalism")+COUNTIFS('Prácticas_Snowballing'!$AB$2:$AB$281,"T055",'Prácticas_Snowballing'!$AC$2:$AC$281,"PROFESSIONAL PRACTICE &gt; Professionalism")</f>
        <v>0</v>
      </c>
      <c r="CP65" s="17">
        <f>COUNTIFS('Prácticas_Revisiones'!$S$2:$S$282,"T055",'Prácticas_Revisiones'!$T$2:$T$282,"PROFESSIONAL PRACTICE &gt; Group Dynamics and Psychology")+COUNTIFS('Prácticas_Snowballing'!$AB$2:$AB$281,"T055",'Prácticas_Snowballing'!$AC$2:$AC$281,"PROFESSIONAL PRACTICE &gt; Group Dynamics and Psychology")</f>
        <v>0</v>
      </c>
      <c r="CQ65" s="17">
        <f>COUNTIFS('Prácticas_Revisiones'!$S$2:$S$282,"T055",'Prácticas_Revisiones'!$T$2:$T$282,"PROFESSIONAL PRACTICE &gt; Communication Skills")+COUNTIFS('Prácticas_Snowballing'!$AB$2:$AB$281,"T055",'Prácticas_Snowballing'!$AC$2:$AC$281,"PROFESSIONAL PRACTICE &gt; Communication Skills")</f>
        <v>0</v>
      </c>
      <c r="CR65" s="17">
        <f>COUNTIFS('Prácticas_Revisiones'!$S$2:$S$282,"T055",'Prácticas_Revisiones'!$T$2:$T$282,"PROFESSIONAL PRACTICE &gt; Subárea no determinable")+COUNTIFS('Prácticas_Snowballing'!$AB$2:$AB$281,"T055",'Prácticas_Snowballing'!$AC$2:$AC$281,"PROFESSIONAL PRACTICE &gt; Subárea no determinable")</f>
        <v>0</v>
      </c>
      <c r="CS65" s="29">
        <f t="shared" si="47"/>
        <v>0</v>
      </c>
      <c r="CT65" s="17">
        <f>COUNTIFS('Prácticas_Revisiones'!$S$2:$S$282,"T055",'Prácticas_Revisiones'!$T$2:$T$282,"SOFTWARE ENG. ECONOMICS &gt; Software Engineering Economics Fundamentals")+COUNTIFS('Prácticas_Snowballing'!$AB$2:$AB$281,"T055",'Prácticas_Snowballing'!$AC$2:$AC$281,"SOFTWARE ENG. ECONOMICS &gt; Software Engineering Economics Fundamentals")</f>
        <v>0</v>
      </c>
      <c r="CU65" s="17">
        <f>COUNTIFS('Prácticas_Revisiones'!$S$2:$S$282,"T055",'Prácticas_Revisiones'!$T$2:$T$282,"SOFTWARE ENG. ECONOMICS &gt; The Engineering Decision-Making Process")+COUNTIFS('Prácticas_Snowballing'!$AB$2:$AB$281,"T055",'Prácticas_Snowballing'!$AC$2:$AC$281,"SOFTWARE ENG. ECONOMICS &gt; The Engineering Decision-Making Process")</f>
        <v>0</v>
      </c>
      <c r="CV65" s="17">
        <f>COUNTIFS('Prácticas_Revisiones'!$S$2:$S$282,"T055",'Prácticas_Revisiones'!$T$2:$T$282,"SOFTWARE ENG. ECONOMICS &gt; For-Profit Decision-Making")+COUNTIFS('Prácticas_Snowballing'!$AB$2:$AB$281,"T055",'Prácticas_Snowballing'!$AC$2:$AC$281,"SOFTWARE ENG. ECONOMICS &gt; For-Profit Decision-Making")</f>
        <v>0</v>
      </c>
      <c r="CW65" s="17">
        <f>COUNTIFS('Prácticas_Revisiones'!$S$2:$S$282,"T055",'Prácticas_Revisiones'!$T$2:$T$282,"SOFTWARE ENG. ECONOMICS &gt; Nonprofit Decision-Making")+COUNTIFS('Prácticas_Snowballing'!$AB$2:$AB$281,"T055",'Prácticas_Snowballing'!$AC$2:$AC$281,"SOFTWARE ENG. ECONOMICS &gt; Nonprofit Decision-Making")</f>
        <v>0</v>
      </c>
      <c r="CX65" s="17">
        <f>COUNTIFS('Prácticas_Revisiones'!$S$2:$S$282,"T055",'Prácticas_Revisiones'!$T$2:$T$282,"SOFTWARE ENG. ECONOMICS &gt; Present Economy Decision-Making")+COUNTIFS('Prácticas_Snowballing'!$AB$2:$AB$281,"T055",'Prácticas_Snowballing'!$AC$2:$AC$281,"SOFTWARE ENG. ECONOMICS &gt; Present Economy Decision-Making")</f>
        <v>0</v>
      </c>
      <c r="CY65" s="17">
        <f>COUNTIFS('Prácticas_Revisiones'!$S$2:$S$282,"T055",'Prácticas_Revisiones'!$T$2:$T$282,"SOFTWARE ENG. ECONOMICS &gt; Multiple-Attribute Decision-Making")+COUNTIFS('Prácticas_Snowballing'!$AB$2:$AB$281,"T055",'Prácticas_Snowballing'!$AC$2:$AC$281,"SOFTWARE ENG. ECONOMICS &gt; Multiple-Attribute Decision-Making")</f>
        <v>0</v>
      </c>
      <c r="CZ65" s="17">
        <f>COUNTIFS('Prácticas_Revisiones'!$S$2:$S$282,"T055",'Prácticas_Revisiones'!$T$2:$T$282,"SOFTWARE ENG. ECONOMICS &gt; Identifying and Characterizing Intangible Assets")+COUNTIFS('Prácticas_Snowballing'!$AB$2:$AB$281,"T055",'Prácticas_Snowballing'!$AC$2:$AC$281,"SOFTWARE ENG. ECONOMICS &gt; Identifying and Characterizing Intangible Assets")</f>
        <v>0</v>
      </c>
      <c r="DA65" s="17">
        <f>COUNTIFS('Prácticas_Revisiones'!$S$2:$S$282,"T055",'Prácticas_Revisiones'!$T$2:$T$282,"SOFTWARE ENG. ECONOMICS &gt; Estimation")+COUNTIFS('Prácticas_Snowballing'!$AB$2:$AB$281,"T055",'Prácticas_Snowballing'!$AC$2:$AC$281,"SOFTWARE ENG. ECONOMICS &gt; Estimation")</f>
        <v>0</v>
      </c>
      <c r="DB65" s="17">
        <f>COUNTIFS('Prácticas_Revisiones'!$S$2:$S$282,"T055",'Prácticas_Revisiones'!$T$2:$T$282,"SOFTWARE ENG. ECONOMICS &gt; Practical Considerations")+COUNTIFS('Prácticas_Snowballing'!$AB$2:$AB$281,"T055",'Prácticas_Snowballing'!$AC$2:$AC$281,"SOFTWARE ENG. ECONOMICS &gt; Practical Considerations")</f>
        <v>0</v>
      </c>
      <c r="DC65" s="17">
        <f>COUNTIFS('Prácticas_Revisiones'!$S$2:$S$282,"T055",'Prácticas_Revisiones'!$T$2:$T$282,"SOFTWARE ENG. ECONOMICS &gt; Related Concepts")+COUNTIFS('Prácticas_Snowballing'!$AB$2:$AB$281,"T055",'Prácticas_Snowballing'!$AC$2:$AC$281,"SOFTWARE ENG. ECONOMICS &gt; Related Concepts")</f>
        <v>0</v>
      </c>
      <c r="DD65" s="17">
        <f>COUNTIFS('Prácticas_Revisiones'!$S$2:$S$282,"T055",'Prácticas_Revisiones'!$T$2:$T$282,"SOFTWARE ENG. ECONOMICS &gt; Subárea no determinable")+COUNTIFS('Prácticas_Snowballing'!$AB$2:$AB$281,"T055",'Prácticas_Snowballing'!$AC$2:$AC$281,"SOFTWARE ENG. ECONOMICS &gt; Subárea no determinable")</f>
        <v>0</v>
      </c>
      <c r="DE65" s="29">
        <f t="shared" si="48"/>
        <v>0</v>
      </c>
      <c r="DF65" s="17">
        <f>COUNTIFS('Prácticas_Revisiones'!$S$2:$S$282,"T055",'Prácticas_Revisiones'!$T$2:$T$282,"SOFTWARE ENG. MANAGEMENT &gt; Software Engineering Management Fundamentals")+COUNTIFS('Prácticas_Snowballing'!$AB$2:$AB$281,"T055",'Prácticas_Snowballing'!$AC$2:$AC$281,"SOFTWARE ENG. MANAGEMENT &gt; Software Engineering Management Fundamentals")</f>
        <v>0</v>
      </c>
      <c r="DG65" s="17">
        <f>COUNTIFS('Prácticas_Revisiones'!$S$2:$S$282,"T055",'Prácticas_Revisiones'!$T$2:$T$282,"SOFTWARE ENG. MANAGEMENT &gt; Initiation and Scope Definition")+COUNTIFS('Prácticas_Snowballing'!$AB$2:$AB$281,"T055",'Prácticas_Snowballing'!$AC$2:$AC$281,"SOFTWARE ENG. MANAGEMENT &gt; Initiation and Scope Definition")</f>
        <v>0</v>
      </c>
      <c r="DH65" s="17">
        <f>COUNTIFS('Prácticas_Revisiones'!$S$2:$S$282,"T055",'Prácticas_Revisiones'!$T$2:$T$282,"SOFTWARE ENG. MANAGEMENT &gt; Software Project Planning")+COUNTIFS('Prácticas_Snowballing'!$AB$2:$AB$281,"T055",'Prácticas_Snowballing'!$AC$2:$AC$281,"SOFTWARE ENG. MANAGEMENT &gt; Software Project Planning")</f>
        <v>0</v>
      </c>
      <c r="DI65" s="17">
        <f>COUNTIFS('Prácticas_Revisiones'!$S$2:$S$282,"T055",'Prácticas_Revisiones'!$T$2:$T$282,"SOFTWARE ENG. MANAGEMENT &gt; Software Project Enactment")+COUNTIFS('Prácticas_Snowballing'!$AB$2:$AB$281,"T055",'Prácticas_Snowballing'!$AC$2:$AC$281,"SOFTWARE ENG. MANAGEMENT &gt; Software Project Enactment")</f>
        <v>0</v>
      </c>
      <c r="DJ65" s="17">
        <f>COUNTIFS('Prácticas_Revisiones'!$S$2:$S$282,"T055",'Prácticas_Revisiones'!$T$2:$T$282,"SOFTWARE ENG. MANAGEMENT &gt; Review and Evaluation")+COUNTIFS('Prácticas_Snowballing'!$AB$2:$AB$281,"T055",'Prácticas_Snowballing'!$AC$2:$AC$281,"SOFTWARE ENG. MANAGEMENT &gt; Review and Evaluation")</f>
        <v>0</v>
      </c>
      <c r="DK65" s="17">
        <f>COUNTIFS('Prácticas_Revisiones'!$S$2:$S$282,"T055",'Prácticas_Revisiones'!$T$2:$T$282,"SOFTWARE ENG. MANAGEMENT &gt; Closure")+COUNTIFS('Prácticas_Snowballing'!$AB$2:$AB$281,"T055",'Prácticas_Snowballing'!$AC$2:$AC$281,"SOFTWARE ENG. MANAGEMENT &gt; Closure")</f>
        <v>0</v>
      </c>
      <c r="DL65" s="17">
        <f>COUNTIFS('Prácticas_Revisiones'!$S$2:$S$282,"T055",'Prácticas_Revisiones'!$T$2:$T$282,"SOFTWARE ENG. MANAGEMENT &gt; Software Engineering Management Tools")+COUNTIFS('Prácticas_Snowballing'!$AB$2:$AB$281,"T055",'Prácticas_Snowballing'!$AC$2:$AC$281,"SOFTWARE ENG. MANAGEMENT &gt; Software Engineering Management Tools")</f>
        <v>0</v>
      </c>
      <c r="DM65" s="17">
        <f>COUNTIFS('Prácticas_Revisiones'!$S$2:$S$282,"T055",'Prácticas_Revisiones'!$T$2:$T$282,"SOFTWARE ENG. MANAGEMENT &gt; Subárea no determinable")+COUNTIFS('Prácticas_Snowballing'!$AB$2:$AB$281,"T055",'Prácticas_Snowballing'!$AC$2:$AC$281,"SOFTWARE ENG. MANAGEMENT &gt; Subárea no determinable")</f>
        <v>0</v>
      </c>
      <c r="DN65" s="29">
        <f t="shared" si="49"/>
        <v>0</v>
      </c>
      <c r="DO65" s="17">
        <f>COUNTIFS('Prácticas_Revisiones'!$S$2:$S$282,"T055",'Prácticas_Revisiones'!$T$2:$T$282,"Sin área SWEBOK")+COUNTIFS('Prácticas_Snowballing'!$AB$2:$AB$281,"T055",'Prácticas_Snowballing'!$AC$2:$AC$281,"Sin área SWEBOK")</f>
        <v>0</v>
      </c>
      <c r="DP65" s="27">
        <f t="shared" si="50"/>
        <v>0</v>
      </c>
    </row>
    <row r="66" ht="15.75" customHeight="1">
      <c r="A66" s="28"/>
      <c r="B66" s="16" t="s">
        <v>2819</v>
      </c>
      <c r="C66" s="17">
        <f>COUNTIFS('Prácticas_Revisiones'!$S$2:$S$282,"T056",'Prácticas_Revisiones'!$T$2:$T$282,"REQUIREMENTS &gt; Software Requirements Fundamentals")+COUNTIFS('Prácticas_Snowballing'!$AB$2:$AB$281,"T056",'Prácticas_Snowballing'!$AC$2:$AC$281,"REQUIREMENTS &gt; Software Requirements Fundamentals")</f>
        <v>0</v>
      </c>
      <c r="D66" s="17">
        <f>COUNTIFS('Prácticas_Revisiones'!$S$2:$S$282,"T056",'Prácticas_Revisiones'!$T$2:$T$282,"REQUIREMENTS &gt; Requirements Elicitation")+COUNTIFS('Prácticas_Snowballing'!$AB$2:$AB$281,"T056",'Prácticas_Snowballing'!$AC$2:$AC$281,"REQUIREMENTS &gt; Requirements Elicitation")</f>
        <v>0</v>
      </c>
      <c r="E66" s="17">
        <f>COUNTIFS('Prácticas_Revisiones'!$S$2:$S$282,"T056",'Prácticas_Revisiones'!$T$2:$T$282,"REQUIREMENTS &gt; Requirements Analysis")+COUNTIFS('Prácticas_Snowballing'!$AB$2:$AB$281,"T056",'Prácticas_Snowballing'!$AC$2:$AC$281,"REQUIREMENTS &gt; Requirements Analysis")</f>
        <v>0</v>
      </c>
      <c r="F66" s="17">
        <f>COUNTIFS('Prácticas_Revisiones'!$S$2:$S$282,"T056",'Prácticas_Revisiones'!$T$2:$T$282,"REQUIREMENTS &gt; Requirements Specification")+COUNTIFS('Prácticas_Snowballing'!$AB$2:$AB$281,"T056",'Prácticas_Snowballing'!$AC$2:$AC$281,"REQUIREMENTS &gt; Requirements Specification")</f>
        <v>1</v>
      </c>
      <c r="G66" s="17">
        <f>COUNTIFS('Prácticas_Revisiones'!$S$2:$S$282,"T056",'Prácticas_Revisiones'!$T$2:$T$282,"REQUIREMENTS &gt; Requirements Validation")+COUNTIFS('Prácticas_Snowballing'!$AB$2:$AB$281,"T056",'Prácticas_Snowballing'!$AC$2:$AC$281,"REQUIREMENTS &gt; Requirements Validation")</f>
        <v>0</v>
      </c>
      <c r="H66" s="17">
        <f>COUNTIFS('Prácticas_Revisiones'!$S$2:$S$282,"T056",'Prácticas_Revisiones'!$T$2:$T$282,"REQUIREMENTS &gt; Requirements Management Activities")+COUNTIFS('Prácticas_Snowballing'!$AB$2:$AB$281,"T056",'Prácticas_Snowballing'!$AC$2:$AC$281,"REQUIREMENTS &gt; Requirements Management Activities")</f>
        <v>0</v>
      </c>
      <c r="I66" s="17">
        <f>COUNTIFS('Prácticas_Revisiones'!$S$2:$S$282,"T056",'Prácticas_Revisiones'!$T$2:$T$282,"REQUIREMENTS &gt; Practical Considerations")+COUNTIFS('Prácticas_Snowballing'!$AB$2:$AB$281,"T056",'Prácticas_Snowballing'!$AC$2:$AC$281,"REQUIREMENTS &gt; Practical Considerations")</f>
        <v>0</v>
      </c>
      <c r="J66" s="17">
        <f>COUNTIFS('Prácticas_Revisiones'!$S$2:$S$282,"T056",'Prácticas_Revisiones'!$T$2:$T$282,"REQUIREMENTS &gt; Software Requirements Tools")+COUNTIFS('Prácticas_Snowballing'!$AB$2:$AB$281,"T056",'Prácticas_Snowballing'!$AC$2:$AC$281,"REQUIREMENTS &gt; Software Requirements Tools")</f>
        <v>0</v>
      </c>
      <c r="K66" s="17">
        <f>COUNTIFS('Prácticas_Revisiones'!$S$2:$S$282,"T056",'Prácticas_Revisiones'!$T$2:$T$282,"REQUIREMENTS &gt; Subárea no determinable")+COUNTIFS('Prácticas_Snowballing'!$AB$2:$AB$281,"T056",'Prácticas_Snowballing'!$AC$2:$AC$281,"REQUIREMENTS &gt; Subárea no determinable")</f>
        <v>0</v>
      </c>
      <c r="L66" s="29">
        <f t="shared" si="35"/>
        <v>1</v>
      </c>
      <c r="M66" s="17">
        <f>COUNTIFS('Prácticas_Revisiones'!$S$2:$S$282,"T056",'Prácticas_Revisiones'!$T$2:$T$282,"ARCHITECTURE &gt; Software Architecture Fundamentals")+COUNTIFS('Prácticas_Snowballing'!$AB$2:$AB$281,"T056",'Prácticas_Snowballing'!$AC$2:$AC$281,"ARCHITECTURE &gt; Software Architecture Fundamentals")</f>
        <v>0</v>
      </c>
      <c r="N66" s="17">
        <f>COUNTIFS('Prácticas_Revisiones'!$S$2:$S$282,"T056",'Prácticas_Revisiones'!$T$2:$T$282,"ARCHITECTURE &gt; Software Architecture Description")+COUNTIFS('Prácticas_Snowballing'!$AB$2:$AB$281,"T056",'Prácticas_Snowballing'!$AC$2:$AC$281,"ARCHITECTURE &gt; Software Architecture Description")</f>
        <v>0</v>
      </c>
      <c r="O66" s="17">
        <f>COUNTIFS('Prácticas_Revisiones'!$S$2:$S$282,"T056",'Prácticas_Revisiones'!$T$2:$T$282,"ARCHITECTURE &gt; Software Architecture Process")+COUNTIFS('Prácticas_Snowballing'!$AB$2:$AB$281,"T056",'Prácticas_Snowballing'!$AC$2:$AC$281,"ARCHITECTURE &gt; Software Architecture Process")</f>
        <v>0</v>
      </c>
      <c r="P66" s="17">
        <f>COUNTIFS('Prácticas_Revisiones'!$S$2:$S$282,"T056",'Prácticas_Revisiones'!$T$2:$T$282,"ARCHITECTURE &gt; Software Architecture Evaluation")+COUNTIFS('Prácticas_Snowballing'!$AB$2:$AB$281,"T056",'Prácticas_Snowballing'!$AC$2:$AC$281,"ARCHITECTURE &gt; Software Architecture Evaluation")</f>
        <v>0</v>
      </c>
      <c r="Q66" s="17">
        <f>COUNTIFS('Prácticas_Revisiones'!$S$2:$S$282,"T056",'Prácticas_Revisiones'!$T$2:$T$282,"ARCHITECTURE &gt; Subárea no determinable")+COUNTIFS('Prácticas_Snowballing'!$AB$2:$AB$281,"T056",'Prácticas_Snowballing'!$AC$2:$AC$281,"ARCHITECTURE &gt; Subárea no determinable")</f>
        <v>0</v>
      </c>
      <c r="R66" s="29">
        <f t="shared" si="36"/>
        <v>0</v>
      </c>
      <c r="S66" s="17">
        <f>COUNTIFS('Prácticas_Revisiones'!$S$2:$S$282,"T056",'Prácticas_Revisiones'!$T$2:$T$282,"DESIGN &gt; Software Design Fundamentals")+COUNTIFS('Prácticas_Snowballing'!$AB$2:$AB$281,"T056",'Prácticas_Snowballing'!$AC$2:$AC$281,"DESIGN &gt; Software Design Fundamentals")</f>
        <v>0</v>
      </c>
      <c r="T66" s="17">
        <f>COUNTIFS('Prácticas_Revisiones'!$S$2:$S$282,"T056",'Prácticas_Revisiones'!$T$2:$T$282,"DESIGN &gt; Software Design Processes")+COUNTIFS('Prácticas_Snowballing'!$AB$2:$AB$281,"T056",'Prácticas_Snowballing'!$AC$2:$AC$281,"DESIGN &gt; Software Design Processes")</f>
        <v>0</v>
      </c>
      <c r="U66" s="17">
        <f>COUNTIFS('Prácticas_Revisiones'!$S$2:$S$282,"T056",'Prácticas_Revisiones'!$T$2:$T$282,"DESIGN &gt; Software Design Qualities")+COUNTIFS('Prácticas_Snowballing'!$AB$2:$AB$281,"T056",'Prácticas_Snowballing'!$AC$2:$AC$281,"DESIGN &gt; Software Design Qualities")</f>
        <v>0</v>
      </c>
      <c r="V66" s="17">
        <f>COUNTIFS('Prácticas_Revisiones'!$S$2:$S$282,"T056",'Prácticas_Revisiones'!$T$2:$T$282,"DESIGN &gt; Recording Software Design")+COUNTIFS('Prácticas_Snowballing'!$AB$2:$AB$281,"T056",'Prácticas_Snowballing'!$AC$2:$AC$281,"DESIGN &gt; Recording Software Design")</f>
        <v>0</v>
      </c>
      <c r="W66" s="17">
        <f>COUNTIFS('Prácticas_Revisiones'!$S$2:$S$282,"T056",'Prácticas_Revisiones'!$T$2:$T$282,"DESIGN &gt; Software Design Strategies and Methods")+COUNTIFS('Prácticas_Snowballing'!$AB$2:$AB$281,"T056",'Prácticas_Snowballing'!$AC$2:$AC$281,"DESIGN &gt; Software Design Strategies and Methods")</f>
        <v>1</v>
      </c>
      <c r="X66" s="17">
        <f>COUNTIFS('Prácticas_Revisiones'!$S$2:$S$282,"T056",'Prácticas_Revisiones'!$T$2:$T$282,"DESIGN &gt; Software Design Analysis and Evaluations")+COUNTIFS('Prácticas_Snowballing'!$AB$2:$AB$281,"T056",'Prácticas_Snowballing'!$AC$2:$AC$281,"DESIGN &gt; Software Design Analysis and Evaluations")</f>
        <v>0</v>
      </c>
      <c r="Y66" s="17">
        <f>COUNTIFS('Prácticas_Revisiones'!$S$2:$S$282,"T056",'Prácticas_Revisiones'!$T$2:$T$282,"DESIGN &gt; Subárea no determinable")+COUNTIFS('Prácticas_Snowballing'!$AB$2:$AB$281,"T056",'Prácticas_Snowballing'!$AC$2:$AC$281,"DESIGN &gt; Subárea no determinable")</f>
        <v>0</v>
      </c>
      <c r="Z66" s="29">
        <f t="shared" si="37"/>
        <v>1</v>
      </c>
      <c r="AA66" s="17">
        <f>COUNTIFS('Prácticas_Revisiones'!$S$2:$S$282,"T056",'Prácticas_Revisiones'!$T$2:$T$282,"CONSTRUCTION &gt; Software Construction Fundamentals")+COUNTIFS('Prácticas_Snowballing'!$AB$2:$AB$281,"T056",'Prácticas_Snowballing'!$AC$2:$AC$281,"CONSTRUCTION &gt; Software Construction Fundamentals")</f>
        <v>11</v>
      </c>
      <c r="AB66" s="17">
        <f>COUNTIFS('Prácticas_Revisiones'!$S$2:$S$282,"T056",'Prácticas_Revisiones'!$T$2:$T$282,"CONSTRUCTION &gt; Managing Construction")+COUNTIFS('Prácticas_Snowballing'!$AB$2:$AB$281,"T056",'Prácticas_Snowballing'!$AC$2:$AC$281,"CONSTRUCTION &gt; Managing Construction")</f>
        <v>0</v>
      </c>
      <c r="AC66" s="17">
        <f>COUNTIFS('Prácticas_Revisiones'!$S$2:$S$282,"T056",'Prácticas_Revisiones'!$T$2:$T$282,"CONSTRUCTION &gt; Practical Considerations")+COUNTIFS('Prácticas_Snowballing'!$AB$2:$AB$281,"T056",'Prácticas_Snowballing'!$AC$2:$AC$281,"CONSTRUCTION &gt; Practical Considerations")</f>
        <v>10</v>
      </c>
      <c r="AD66" s="17">
        <f>COUNTIFS('Prácticas_Revisiones'!$S$2:$S$282,"T056",'Prácticas_Revisiones'!$T$2:$T$282,"CONSTRUCTION &gt; Construction Technologies")+COUNTIFS('Prácticas_Snowballing'!$AB$2:$AB$281,"T056",'Prácticas_Snowballing'!$AC$2:$AC$281,"CONSTRUCTION &gt; Construction Technologies")</f>
        <v>2</v>
      </c>
      <c r="AE66" s="17">
        <f>COUNTIFS('Prácticas_Revisiones'!$S$2:$S$282,"T056",'Prácticas_Revisiones'!$T$2:$T$282,"CONSTRUCTION &gt; Software Construction Tools")+COUNTIFS('Prácticas_Snowballing'!$AB$2:$AB$281,"T056",'Prácticas_Snowballing'!$AC$2:$AC$281,"CONSTRUCTION &gt; Software Construction Tools")</f>
        <v>6</v>
      </c>
      <c r="AF66" s="17">
        <f>COUNTIFS('Prácticas_Revisiones'!$S$2:$S$282,"T056",'Prácticas_Revisiones'!$T$2:$T$282,"CONSTRUCTION &gt; Subárea no determinable")+COUNTIFS('Prácticas_Snowballing'!$AB$2:$AB$281,"T056",'Prácticas_Snowballing'!$AC$2:$AC$281,"CONSTRUCTION &gt; Subárea no determinable")</f>
        <v>0</v>
      </c>
      <c r="AG66" s="29">
        <f t="shared" si="38"/>
        <v>29</v>
      </c>
      <c r="AH66" s="17">
        <f>COUNTIFS('Prácticas_Revisiones'!$S$2:$S$282,"T056",'Prácticas_Revisiones'!$T$2:$T$282,"SOFTWARE TESTING &gt; Software Testing Fundamentals")+COUNTIFS('Prácticas_Snowballing'!$AB$2:$AB$281,"T056",'Prácticas_Snowballing'!$AC$2:$AC$281,"SOFTWARE TESTING &gt; Software Testing Fundamentals")</f>
        <v>0</v>
      </c>
      <c r="AI66" s="17">
        <f>COUNTIFS('Prácticas_Revisiones'!$S$2:$S$282,"T056",'Prácticas_Revisiones'!$T$2:$T$282,"SOFTWARE TESTING &gt; Test Levels")+COUNTIFS('Prácticas_Snowballing'!$AB$2:$AB$281,"T056",'Prácticas_Snowballing'!$AC$2:$AC$281,"SOFTWARE TESTING &gt; Test Levels")</f>
        <v>0</v>
      </c>
      <c r="AJ66" s="17">
        <f>COUNTIFS('Prácticas_Revisiones'!$S$2:$S$282,"T056",'Prácticas_Revisiones'!$T$2:$T$282,"SOFTWARE TESTING &gt; Test Techniques")+COUNTIFS('Prácticas_Snowballing'!$AB$2:$AB$281,"T056",'Prácticas_Snowballing'!$AC$2:$AC$281,"SOFTWARE TESTING &gt; Test Techniques")</f>
        <v>1</v>
      </c>
      <c r="AK66" s="17">
        <f>COUNTIFS('Prácticas_Revisiones'!$S$2:$S$282,"T056",'Prácticas_Revisiones'!$T$2:$T$282,"SOFTWARE TESTING &gt; Test-Related Measures")+COUNTIFS('Prácticas_Snowballing'!$AB$2:$AB$281,"T056",'Prácticas_Snowballing'!$AC$2:$AC$281,"SOFTWARE TESTING &gt; Test-Related Measures")</f>
        <v>0</v>
      </c>
      <c r="AL66" s="17">
        <f>COUNTIFS('Prácticas_Revisiones'!$S$2:$S$282,"T056",'Prácticas_Revisiones'!$T$2:$T$282,"SOFTWARE TESTING &gt; Test Process")+COUNTIFS('Prácticas_Snowballing'!$AB$2:$AB$281,"T056",'Prácticas_Snowballing'!$AC$2:$AC$281,"SOFTWARE TESTING &gt; Test Process")</f>
        <v>0</v>
      </c>
      <c r="AM66" s="17">
        <f>COUNTIFS('Prácticas_Revisiones'!$S$2:$S$282,"T056",'Prácticas_Revisiones'!$T$2:$T$282,"SOFTWARE TESTING &gt; Software Testing in the Development Processes...")+COUNTIFS('Prácticas_Snowballing'!$AB$2:$AB$281,"T056",'Prácticas_Snowballing'!$AC$2:$AC$281,"SOFTWARE TESTING &gt; Software Testing in the Development Processes...")</f>
        <v>0</v>
      </c>
      <c r="AN66" s="17">
        <f>COUNTIFS('Prácticas_Revisiones'!$S$2:$S$282,"T056",'Prácticas_Revisiones'!$T$2:$T$282,"SOFTWARE TESTING &gt; Testing of and Testing Through Emerging Tech...")+COUNTIFS('Prácticas_Snowballing'!$AB$2:$AB$281,"T056",'Prácticas_Snowballing'!$AC$2:$AC$281,"SOFTWARE TESTING &gt; Testing of and Testing Through Emerging Tech...")</f>
        <v>0</v>
      </c>
      <c r="AO66" s="17">
        <f>COUNTIFS('Prácticas_Revisiones'!$S$2:$S$282,"T056",'Prácticas_Revisiones'!$T$2:$T$282,"SOFTWARE TESTING &gt; Software Testing Tools")+COUNTIFS('Prácticas_Snowballing'!$AB$2:$AB$281,"T056",'Prácticas_Snowballing'!$AC$2:$AC$281,"SOFTWARE TESTING &gt; Software Testing Tools")</f>
        <v>0</v>
      </c>
      <c r="AP66" s="17">
        <f>COUNTIFS('Prácticas_Revisiones'!$S$2:$S$282,"T056",'Prácticas_Revisiones'!$T$2:$T$282,"SOFTWARE TESTING &gt; Subárea no determinable")+COUNTIFS('Prácticas_Snowballing'!$AB$2:$AB$281,"T056",'Prácticas_Snowballing'!$AC$2:$AC$281,"SOFTWARE TESTING &gt; Subárea no determinable")</f>
        <v>0</v>
      </c>
      <c r="AQ66" s="29">
        <f t="shared" si="39"/>
        <v>1</v>
      </c>
      <c r="AR66" s="17">
        <f>COUNTIFS('Prácticas_Revisiones'!$S$2:$S$282,"T056",'Prácticas_Revisiones'!$T$2:$T$282,"SOFTWARE ENG. OPERATIONS &gt; Software Engineering Operations Fundamentals")+COUNTIFS('Prácticas_Snowballing'!$AB$2:$AB$281,"T056",'Prácticas_Snowballing'!$AC$2:$AC$281,"SOFTWARE ENG. OPERATIONS &gt; Software Engineering Operations Fundamentals")</f>
        <v>0</v>
      </c>
      <c r="AS66" s="17">
        <f>COUNTIFS('Prácticas_Revisiones'!$S$2:$S$282,"T056",'Prácticas_Revisiones'!$T$2:$T$282,"SOFTWARE ENG. OPERATIONS &gt; Software Engineering Operations Planning")+COUNTIFS('Prácticas_Snowballing'!$AB$2:$AB$281,"T056",'Prácticas_Snowballing'!$AC$2:$AC$281,"SOFTWARE ENG. OPERATIONS &gt; Software Engineering Operations Planning")</f>
        <v>0</v>
      </c>
      <c r="AT66" s="17">
        <f>COUNTIFS('Prácticas_Revisiones'!$S$2:$S$282,"T056",'Prácticas_Revisiones'!$T$2:$T$282,"SOFTWARE ENG. OPERATIONS &gt; Software Engineering Operations Delivery")+COUNTIFS('Prácticas_Snowballing'!$AB$2:$AB$281,"T056",'Prácticas_Snowballing'!$AC$2:$AC$281,"SOFTWARE ENG. OPERATIONS &gt; Software Engineering Operations Delivery")</f>
        <v>0</v>
      </c>
      <c r="AU66" s="17">
        <f>COUNTIFS('Prácticas_Revisiones'!$S$2:$S$282,"T056",'Prácticas_Revisiones'!$T$2:$T$282,"SOFTWARE ENG. OPERATIONS &gt; Software Engineering Operations Control")+COUNTIFS('Prácticas_Snowballing'!$AB$2:$AB$281,"T056",'Prácticas_Snowballing'!$AC$2:$AC$281,"SOFTWARE ENG. OPERATIONS &gt; Software Engineering Operations Control")</f>
        <v>0</v>
      </c>
      <c r="AV66" s="17">
        <f>COUNTIFS('Prácticas_Revisiones'!$S$2:$S$282,"T056",'Prácticas_Revisiones'!$T$2:$T$282,"SOFTWARE ENG. OPERATIONS &gt; Practical Considerations")+COUNTIFS('Prácticas_Snowballing'!$AB$2:$AB$281,"T056",'Prácticas_Snowballing'!$AC$2:$AC$281,"SOFTWARE ENG. OPERATIONS &gt; Practical Considerations")</f>
        <v>0</v>
      </c>
      <c r="AW66" s="17">
        <f>COUNTIFS('Prácticas_Revisiones'!$S$2:$S$282,"T056",'Prácticas_Revisiones'!$T$2:$T$282,"SOFTWARE ENG. OPERATIONS &gt; Software Engineering Operations Tools")+COUNTIFS('Prácticas_Snowballing'!$AB$2:$AB$281,"T056",'Prácticas_Snowballing'!$AC$2:$AC$281,"SOFTWARE ENG. OPERATIONS &gt; Software Engineering Operations Tools")</f>
        <v>0</v>
      </c>
      <c r="AX66" s="17">
        <f>COUNTIFS('Prácticas_Revisiones'!$S$2:$S$282,"T056",'Prácticas_Revisiones'!$T$2:$T$282,"SOFTWARE ENG. OPERATIONS &gt; Subárea no determinable")+COUNTIFS('Prácticas_Snowballing'!$AB$2:$AB$281,"T056",'Prácticas_Snowballing'!$AC$2:$AC$281,"SOFTWARE ENG. OPERATIONS &gt; Subárea no determinable")</f>
        <v>0</v>
      </c>
      <c r="AY66" s="29">
        <f t="shared" si="40"/>
        <v>0</v>
      </c>
      <c r="AZ66" s="17">
        <f>COUNTIFS('Prácticas_Revisiones'!$S$2:$S$282,"T056",'Prácticas_Revisiones'!$T$2:$T$282,"MAINTENANCE &gt; Software Maintenance Fundamentals")+COUNTIFS('Prácticas_Snowballing'!$AB$2:$AB$281,"T056",'Prácticas_Snowballing'!$AC$2:$AC$281,"MAINTENANCE &gt; Software Maintenance Fundamentals")</f>
        <v>0</v>
      </c>
      <c r="BA66" s="17">
        <f>COUNTIFS('Prácticas_Revisiones'!$S$2:$S$282,"T056",'Prácticas_Revisiones'!$T$2:$T$282,"MAINTENANCE &gt; Key Issues in Software Maintenance")+COUNTIFS('Prácticas_Snowballing'!$AB$2:$AB$281,"T056",'Prácticas_Snowballing'!$AC$2:$AC$281,"MAINTENANCE &gt; Key Issues in Software Maintenance")</f>
        <v>0</v>
      </c>
      <c r="BB66" s="17">
        <f>COUNTIFS('Prácticas_Revisiones'!$S$2:$S$282,"T056",'Prácticas_Revisiones'!$T$2:$T$282,"MAINTENANCE &gt; Software Maintenance Processes")+COUNTIFS('Prácticas_Snowballing'!$AB$2:$AB$281,"T056",'Prácticas_Snowballing'!$AC$2:$AC$281,"MAINTENANCE &gt; Software Maintenance Processes")</f>
        <v>0</v>
      </c>
      <c r="BC66" s="17">
        <f>COUNTIFS('Prácticas_Revisiones'!$S$2:$S$282,"T056",'Prácticas_Revisiones'!$T$2:$T$282,"MAINTENANCE &gt; Software Maintenance Techniques")+COUNTIFS('Prácticas_Snowballing'!$AB$2:$AB$281,"T056",'Prácticas_Snowballing'!$AC$2:$AC$281,"MAINTENANCE &gt; Software Maintenance Techniques")</f>
        <v>2</v>
      </c>
      <c r="BD66" s="17">
        <f>COUNTIFS('Prácticas_Revisiones'!$S$2:$S$282,"T056",'Prácticas_Revisiones'!$T$2:$T$282,"MAINTENANCE &gt; Software Maintenance Tools")+COUNTIFS('Prácticas_Snowballing'!$AB$2:$AB$281,"T056",'Prácticas_Snowballing'!$AC$2:$AC$281,"MAINTENANCE &gt; Software Maintenance Tools")</f>
        <v>0</v>
      </c>
      <c r="BE66" s="17">
        <f>COUNTIFS('Prácticas_Revisiones'!$S$2:$S$282,"T056",'Prácticas_Revisiones'!$T$2:$T$282,"MAINTENANCE &gt; Subárea no determinable")+COUNTIFS('Prácticas_Snowballing'!$AB$2:$AB$281,"T056",'Prácticas_Snowballing'!$AC$2:$AC$281,"MAINTENANCE &gt; Subárea no determinable")</f>
        <v>0</v>
      </c>
      <c r="BF66" s="29">
        <f t="shared" si="41"/>
        <v>2</v>
      </c>
      <c r="BG66" s="17">
        <f>COUNTIFS('Prácticas_Revisiones'!$S$2:$S$282,"T056",'Prácticas_Revisiones'!$T$2:$T$282,"SOFTWARE CONFIG. MGMT. &gt; Management of the SCM Process")+COUNTIFS('Prácticas_Snowballing'!$AB$2:$AB$281,"T056",'Prácticas_Snowballing'!$AC$2:$AC$281,"SOFTWARE CONFIG. MGMT. &gt; Management of the SCM Process")</f>
        <v>0</v>
      </c>
      <c r="BH66" s="17">
        <f>COUNTIFS('Prácticas_Revisiones'!$S$2:$S$282,"T056",'Prácticas_Revisiones'!$T$2:$T$282,"SOFTWARE CONFIG. MGMT. &gt; Software Configuration Identification")+COUNTIFS('Prácticas_Snowballing'!$AB$2:$AB$281,"T056",'Prácticas_Snowballing'!$AC$2:$AC$281,"SOFTWARE CONFIG. MGMT. &gt; Software Configuration Identification")</f>
        <v>0</v>
      </c>
      <c r="BI66" s="17">
        <f>COUNTIFS('Prácticas_Revisiones'!$S$2:$S$282,"T056",'Prácticas_Revisiones'!$T$2:$T$282,"SOFTWARE CONFIG. MGMT. &gt; Software Configuration Change Control")+COUNTIFS('Prácticas_Snowballing'!$AB$2:$AB$281,"T056",'Prácticas_Snowballing'!$AC$2:$AC$281,"SOFTWARE CONFIG. MGMT. &gt; Software Configuration Change Control")</f>
        <v>0</v>
      </c>
      <c r="BJ66" s="17">
        <f>COUNTIFS('Prácticas_Revisiones'!$S$2:$S$282,"T056",'Prácticas_Revisiones'!$T$2:$T$282,"SOFTWARE CONFIG. MGMT. &gt; Software Configuration Status Accounting")+COUNTIFS('Prácticas_Snowballing'!$AB$2:$AB$281,"T056",'Prácticas_Snowballing'!$AC$2:$AC$281,"SOFTWARE CONFIG. MGMT. &gt; Software Configuration Status Accounting")</f>
        <v>0</v>
      </c>
      <c r="BK66" s="17">
        <f>COUNTIFS('Prácticas_Revisiones'!$S$2:$S$282,"T056",'Prácticas_Revisiones'!$T$2:$T$282,"SOFTWARE CONFIG. MGMT. &gt; Software Configuration Auditing")+COUNTIFS('Prácticas_Snowballing'!$AB$2:$AB$281,"T056",'Prácticas_Snowballing'!$AC$2:$AC$281,"SOFTWARE CONFIG. MGMT. &gt; Software Configuration Auditing")</f>
        <v>0</v>
      </c>
      <c r="BL66" s="17">
        <f>COUNTIFS('Prácticas_Revisiones'!$S$2:$S$282,"T056",'Prácticas_Revisiones'!$T$2:$T$282,"SOFTWARE CONFIG. MGMT. &gt; Software Release Management and Delivery")+COUNTIFS('Prácticas_Snowballing'!$AB$2:$AB$281,"T056",'Prácticas_Snowballing'!$AC$2:$AC$281,"SOFTWARE CONFIG. MGMT. &gt; Software Release Management and Delivery")</f>
        <v>0</v>
      </c>
      <c r="BM66" s="17">
        <f>COUNTIFS('Prácticas_Revisiones'!$S$2:$S$282,"T056",'Prácticas_Revisiones'!$T$2:$T$282,"SOFTWARE CONFIG. MGMT. &gt; Software Configuration Management Tools")+COUNTIFS('Prácticas_Snowballing'!$AB$2:$AB$281,"T056",'Prácticas_Snowballing'!$AC$2:$AC$281,"SOFTWARE CONFIG. MGMT. &gt; Software Configuration Management Tools")</f>
        <v>0</v>
      </c>
      <c r="BN66" s="17">
        <f>COUNTIFS('Prácticas_Revisiones'!$S$2:$S$282,"T056",'Prácticas_Revisiones'!$T$2:$T$282,"SOFTWARE CONFIG. MGMT. &gt; Subárea no determinable")+COUNTIFS('Prácticas_Snowballing'!$AB$2:$AB$281,"T056",'Prácticas_Snowballing'!$AC$2:$AC$281,"SOFTWARE CONFIG. MGMT. &gt; Subárea no determinable")</f>
        <v>0</v>
      </c>
      <c r="BO66" s="29">
        <f t="shared" si="42"/>
        <v>0</v>
      </c>
      <c r="BP66" s="17">
        <f>COUNTIFS('Prácticas_Revisiones'!$S$2:$S$282,"T056",'Prácticas_Revisiones'!$T$2:$T$282,"SOFTWARE ENG. PROCESS &gt; Software Engineering Process Fundamentals")+COUNTIFS('Prácticas_Snowballing'!$AB$2:$AB$281,"T056",'Prácticas_Snowballing'!$AC$2:$AC$281,"SOFTWARE ENG. PROCESS &gt; Software Engineering Process Fundamentals")</f>
        <v>0</v>
      </c>
      <c r="BQ66" s="17">
        <f>COUNTIFS('Prácticas_Revisiones'!$S$2:$S$282,"T056",'Prácticas_Revisiones'!$T$2:$T$282,"SOFTWARE ENG. PROCESS &gt; Life Cycles")+COUNTIFS('Prácticas_Snowballing'!$AB$2:$AB$281,"T056",'Prácticas_Snowballing'!$AC$2:$AC$281,"SOFTWARE ENG. PROCESS &gt; Life Cycles")</f>
        <v>0</v>
      </c>
      <c r="BR66" s="17">
        <f>COUNTIFS('Prácticas_Revisiones'!$S$2:$S$282,"T056",'Prácticas_Revisiones'!$T$2:$T$282,"SOFTWARE ENG. PROCESS &gt; Software Process Assessment and Improvement")+COUNTIFS('Prácticas_Snowballing'!$AB$2:$AB$281,"T056",'Prácticas_Snowballing'!$AC$2:$AC$281,"SOFTWARE ENG. PROCESS &gt; Software Process Assessment and Improvement")</f>
        <v>0</v>
      </c>
      <c r="BS66" s="17">
        <f>COUNTIFS('Prácticas_Revisiones'!$S$2:$S$282,"T056",'Prácticas_Revisiones'!$T$2:$T$282,"SOFTWARE ENG. PROCESS &gt; Subárea no determinable")+COUNTIFS('Prácticas_Snowballing'!$AB$2:$AB$281,"T056",'Prácticas_Snowballing'!$AC$2:$AC$281,"SOFTWARE ENG. PROCESS &gt; Subárea no determinable")</f>
        <v>0</v>
      </c>
      <c r="BT66" s="29">
        <f t="shared" si="43"/>
        <v>0</v>
      </c>
      <c r="BU66" s="17">
        <f>COUNTIFS('Prácticas_Revisiones'!$S$2:$S$282,"T056",'Prácticas_Revisiones'!$T$2:$T$282,"SOFTWARE ENG. MODELS/METH. &gt; Modeling")+COUNTIFS('Prácticas_Snowballing'!$AB$2:$AB$281,"T056",'Prácticas_Snowballing'!$AC$2:$AC$281,"SOFTWARE ENG. MODELS/METH. &gt; Modeling")</f>
        <v>0</v>
      </c>
      <c r="BV66" s="17">
        <f>COUNTIFS('Prácticas_Revisiones'!$S$2:$S$282,"T056",'Prácticas_Revisiones'!$T$2:$T$282,"SOFTWARE ENG. MODELS/METH. &gt; Types of Models")+COUNTIFS('Prácticas_Snowballing'!$AB$2:$AB$281,"T056",'Prácticas_Snowballing'!$AC$2:$AC$281,"SOFTWARE ENG. MODELS/METH. &gt; Types of Models")</f>
        <v>0</v>
      </c>
      <c r="BW66" s="17">
        <f>COUNTIFS('Prácticas_Revisiones'!$S$2:$S$282,"T056",'Prácticas_Revisiones'!$T$2:$T$282,"SOFTWARE ENG. MODELS/METH. &gt; Analysis of Models")+COUNTIFS('Prácticas_Snowballing'!$AB$2:$AB$281,"T056",'Prácticas_Snowballing'!$AC$2:$AC$281,"SOFTWARE ENG. MODELS/METH. &gt; Analysis of Models")</f>
        <v>0</v>
      </c>
      <c r="BX66" s="17">
        <f>COUNTIFS('Prácticas_Revisiones'!$S$2:$S$282,"T056",'Prácticas_Revisiones'!$T$2:$T$282,"SOFTWARE ENG. MODELS/METH. &gt; Software Engineering Methods")+COUNTIFS('Prácticas_Snowballing'!$AB$2:$AB$281,"T056",'Prácticas_Snowballing'!$AC$2:$AC$281,"SOFTWARE ENG. MODELS/METH. &gt; Software Engineering Methods")</f>
        <v>0</v>
      </c>
      <c r="BY66" s="17">
        <f>COUNTIFS('Prácticas_Revisiones'!$S$2:$S$282,"T056",'Prácticas_Revisiones'!$T$2:$T$282,"SOFTWARE ENG. MODELS/METH. &gt; Subárea no determinable")+COUNTIFS('Prácticas_Snowballing'!$AB$2:$AB$281,"T056",'Prácticas_Snowballing'!$AC$2:$AC$281,"SOFTWARE ENG. MODELS/METH. &gt; Subárea no determinable")</f>
        <v>0</v>
      </c>
      <c r="BZ66" s="29">
        <f t="shared" si="44"/>
        <v>0</v>
      </c>
      <c r="CA66" s="17">
        <f>COUNTIFS('Prácticas_Revisiones'!$S$2:$S$282,"T056",'Prácticas_Revisiones'!$T$2:$T$282,"SOFTWARE QUALITY &gt; Software Quality Fundamentals")+COUNTIFS('Prácticas_Snowballing'!$AB$2:$AB$281,"T056",'Prácticas_Snowballing'!$AC$2:$AC$281,"SOFTWARE QUALITY &gt; Software Quality Fundamentals")</f>
        <v>0</v>
      </c>
      <c r="CB66" s="17">
        <f>COUNTIFS('Prácticas_Revisiones'!$S$2:$S$282,"T056",'Prácticas_Revisiones'!$T$2:$T$282,"SOFTWARE QUALITY &gt; Software Quality Management Process")+COUNTIFS('Prácticas_Snowballing'!$AB$2:$AB$281,"T056",'Prácticas_Snowballing'!$AC$2:$AC$281,"SOFTWARE QUALITY &gt; Software Quality Management Process")</f>
        <v>0</v>
      </c>
      <c r="CC66" s="17">
        <f>COUNTIFS('Prácticas_Revisiones'!$S$2:$S$282,"T056",'Prácticas_Revisiones'!$T$2:$T$282,"SOFTWARE QUALITY &gt; Software Quality Assurance Process")+COUNTIFS('Prácticas_Snowballing'!$AB$2:$AB$281,"T056",'Prácticas_Snowballing'!$AC$2:$AC$281,"SOFTWARE QUALITY &gt; Software Quality Assurance Process")</f>
        <v>0</v>
      </c>
      <c r="CD66" s="17">
        <f>COUNTIFS('Prácticas_Revisiones'!$S$2:$S$282,"T056",'Prácticas_Revisiones'!$T$2:$T$282,"SOFTWARE QUALITY &gt; Software Quality Tools")+COUNTIFS('Prácticas_Snowballing'!$AB$2:$AB$281,"T056",'Prácticas_Snowballing'!$AC$2:$AC$281,"SOFTWARE QUALITY &gt; Software Quality Tools")</f>
        <v>0</v>
      </c>
      <c r="CE66" s="17">
        <f>COUNTIFS('Prácticas_Revisiones'!$S$2:$S$282,"T056",'Prácticas_Revisiones'!$T$2:$T$282,"SOFTWARE QUALITY &gt; Subárea no determinable")+COUNTIFS('Prácticas_Snowballing'!$AB$2:$AB$281,"T056",'Prácticas_Snowballing'!$AC$2:$AC$281,"SOFTWARE QUALITY &gt; Subárea no determinable")</f>
        <v>0</v>
      </c>
      <c r="CF66" s="29">
        <f t="shared" si="45"/>
        <v>0</v>
      </c>
      <c r="CG66" s="17">
        <f>COUNTIFS('Prácticas_Revisiones'!$S$2:$S$282,"T056",'Prácticas_Revisiones'!$T$2:$T$282,"SOFTWARE SECURITY &gt; Software Security Fundamentals")+COUNTIFS('Prácticas_Snowballing'!$AB$2:$AB$281,"T056",'Prácticas_Snowballing'!$AC$2:$AC$281,"SOFTWARE SECURITY &gt; Software Security Fundamentals")</f>
        <v>0</v>
      </c>
      <c r="CH66" s="17">
        <f>COUNTIFS('Prácticas_Revisiones'!$S$2:$S$282,"T056",'Prácticas_Revisiones'!$T$2:$T$282,"SOFTWARE SECURITY &gt; Security Management and Organization")+COUNTIFS('Prácticas_Snowballing'!$AB$2:$AB$281,"T056",'Prácticas_Snowballing'!$AC$2:$AC$281,"SOFTWARE SECURITY &gt; Security Management and Organization")</f>
        <v>0</v>
      </c>
      <c r="CI66" s="17">
        <f>COUNTIFS('Prácticas_Revisiones'!$S$2:$S$282,"T056",'Prácticas_Revisiones'!$T$2:$T$282,"SOFTWARE SECURITY &gt; Software Security Engineering and Process")+COUNTIFS('Prácticas_Snowballing'!$AB$2:$AB$281,"T056",'Prácticas_Snowballing'!$AC$2:$AC$281,"SOFTWARE SECURITY &gt; Software Security Engineering and Process")</f>
        <v>0</v>
      </c>
      <c r="CJ66" s="17">
        <f>COUNTIFS('Prácticas_Revisiones'!$S$2:$S$282,"T056",'Prácticas_Revisiones'!$T$2:$T$282,"SOFTWARE SECURITY &gt; Security Engineering for Software Systems")+COUNTIFS('Prácticas_Snowballing'!$AB$2:$AB$281,"T056",'Prácticas_Snowballing'!$AC$2:$AC$281,"SOFTWARE SECURITY &gt; Security Engineering for Software Systems")</f>
        <v>1</v>
      </c>
      <c r="CK66" s="17">
        <f>COUNTIFS('Prácticas_Revisiones'!$S$2:$S$282,"T056",'Prácticas_Revisiones'!$T$2:$T$282,"SOFTWARE SECURITY &gt; Software Security Tools")+COUNTIFS('Prácticas_Snowballing'!$AB$2:$AB$281,"T056",'Prácticas_Snowballing'!$AC$2:$AC$281,"SOFTWARE SECURITY &gt; Software Security Tools")</f>
        <v>0</v>
      </c>
      <c r="CL66" s="17">
        <f>COUNTIFS('Prácticas_Revisiones'!$S$2:$S$282,"T056",'Prácticas_Revisiones'!$T$2:$T$282,"SOFTWARE SECURITY &gt; Domain Specific Software Security")+COUNTIFS('Prácticas_Snowballing'!$AB$2:$AB$281,"T056",'Prácticas_Snowballing'!$AC$2:$AC$281,"SOFTWARE SECURITY &gt; Domain Specific Software Security")</f>
        <v>0</v>
      </c>
      <c r="CM66" s="17">
        <f>COUNTIFS('Prácticas_Revisiones'!$S$2:$S$282,"T056",'Prácticas_Revisiones'!$T$2:$T$282,"SOFTWARE SECURITY &gt; Subárea no determinable")+COUNTIFS('Prácticas_Snowballing'!$AB$2:$AB$281,"T056",'Prácticas_Snowballing'!$AC$2:$AC$281,"SOFTWARE SECURITY &gt; Subárea no determinable")</f>
        <v>0</v>
      </c>
      <c r="CN66" s="29">
        <f t="shared" si="46"/>
        <v>1</v>
      </c>
      <c r="CO66" s="17">
        <f>COUNTIFS('Prácticas_Revisiones'!$S$2:$S$282,"T056",'Prácticas_Revisiones'!$T$2:$T$282,"PROFESSIONAL PRACTICE &gt; Professionalism")+COUNTIFS('Prácticas_Snowballing'!$AB$2:$AB$281,"T056",'Prácticas_Snowballing'!$AC$2:$AC$281,"PROFESSIONAL PRACTICE &gt; Professionalism")</f>
        <v>0</v>
      </c>
      <c r="CP66" s="17">
        <f>COUNTIFS('Prácticas_Revisiones'!$S$2:$S$282,"T056",'Prácticas_Revisiones'!$T$2:$T$282,"PROFESSIONAL PRACTICE &gt; Group Dynamics and Psychology")+COUNTIFS('Prácticas_Snowballing'!$AB$2:$AB$281,"T056",'Prácticas_Snowballing'!$AC$2:$AC$281,"PROFESSIONAL PRACTICE &gt; Group Dynamics and Psychology")</f>
        <v>0</v>
      </c>
      <c r="CQ66" s="17">
        <f>COUNTIFS('Prácticas_Revisiones'!$S$2:$S$282,"T056",'Prácticas_Revisiones'!$T$2:$T$282,"PROFESSIONAL PRACTICE &gt; Communication Skills")+COUNTIFS('Prácticas_Snowballing'!$AB$2:$AB$281,"T056",'Prácticas_Snowballing'!$AC$2:$AC$281,"PROFESSIONAL PRACTICE &gt; Communication Skills")</f>
        <v>0</v>
      </c>
      <c r="CR66" s="17">
        <f>COUNTIFS('Prácticas_Revisiones'!$S$2:$S$282,"T056",'Prácticas_Revisiones'!$T$2:$T$282,"PROFESSIONAL PRACTICE &gt; Subárea no determinable")+COUNTIFS('Prácticas_Snowballing'!$AB$2:$AB$281,"T056",'Prácticas_Snowballing'!$AC$2:$AC$281,"PROFESSIONAL PRACTICE &gt; Subárea no determinable")</f>
        <v>0</v>
      </c>
      <c r="CS66" s="29">
        <f t="shared" si="47"/>
        <v>0</v>
      </c>
      <c r="CT66" s="17">
        <f>COUNTIFS('Prácticas_Revisiones'!$S$2:$S$282,"T056",'Prácticas_Revisiones'!$T$2:$T$282,"SOFTWARE ENG. ECONOMICS &gt; Software Engineering Economics Fundamentals")+COUNTIFS('Prácticas_Snowballing'!$AB$2:$AB$281,"T056",'Prácticas_Snowballing'!$AC$2:$AC$281,"SOFTWARE ENG. ECONOMICS &gt; Software Engineering Economics Fundamentals")</f>
        <v>0</v>
      </c>
      <c r="CU66" s="17">
        <f>COUNTIFS('Prácticas_Revisiones'!$S$2:$S$282,"T056",'Prácticas_Revisiones'!$T$2:$T$282,"SOFTWARE ENG. ECONOMICS &gt; The Engineering Decision-Making Process")+COUNTIFS('Prácticas_Snowballing'!$AB$2:$AB$281,"T056",'Prácticas_Snowballing'!$AC$2:$AC$281,"SOFTWARE ENG. ECONOMICS &gt; The Engineering Decision-Making Process")</f>
        <v>0</v>
      </c>
      <c r="CV66" s="17">
        <f>COUNTIFS('Prácticas_Revisiones'!$S$2:$S$282,"T056",'Prácticas_Revisiones'!$T$2:$T$282,"SOFTWARE ENG. ECONOMICS &gt; For-Profit Decision-Making")+COUNTIFS('Prácticas_Snowballing'!$AB$2:$AB$281,"T056",'Prácticas_Snowballing'!$AC$2:$AC$281,"SOFTWARE ENG. ECONOMICS &gt; For-Profit Decision-Making")</f>
        <v>0</v>
      </c>
      <c r="CW66" s="17">
        <f>COUNTIFS('Prácticas_Revisiones'!$S$2:$S$282,"T056",'Prácticas_Revisiones'!$T$2:$T$282,"SOFTWARE ENG. ECONOMICS &gt; Nonprofit Decision-Making")+COUNTIFS('Prácticas_Snowballing'!$AB$2:$AB$281,"T056",'Prácticas_Snowballing'!$AC$2:$AC$281,"SOFTWARE ENG. ECONOMICS &gt; Nonprofit Decision-Making")</f>
        <v>0</v>
      </c>
      <c r="CX66" s="17">
        <f>COUNTIFS('Prácticas_Revisiones'!$S$2:$S$282,"T056",'Prácticas_Revisiones'!$T$2:$T$282,"SOFTWARE ENG. ECONOMICS &gt; Present Economy Decision-Making")+COUNTIFS('Prácticas_Snowballing'!$AB$2:$AB$281,"T056",'Prácticas_Snowballing'!$AC$2:$AC$281,"SOFTWARE ENG. ECONOMICS &gt; Present Economy Decision-Making")</f>
        <v>0</v>
      </c>
      <c r="CY66" s="17">
        <f>COUNTIFS('Prácticas_Revisiones'!$S$2:$S$282,"T056",'Prácticas_Revisiones'!$T$2:$T$282,"SOFTWARE ENG. ECONOMICS &gt; Multiple-Attribute Decision-Making")+COUNTIFS('Prácticas_Snowballing'!$AB$2:$AB$281,"T056",'Prácticas_Snowballing'!$AC$2:$AC$281,"SOFTWARE ENG. ECONOMICS &gt; Multiple-Attribute Decision-Making")</f>
        <v>0</v>
      </c>
      <c r="CZ66" s="17">
        <f>COUNTIFS('Prácticas_Revisiones'!$S$2:$S$282,"T056",'Prácticas_Revisiones'!$T$2:$T$282,"SOFTWARE ENG. ECONOMICS &gt; Identifying and Characterizing Intangible Assets")+COUNTIFS('Prácticas_Snowballing'!$AB$2:$AB$281,"T056",'Prácticas_Snowballing'!$AC$2:$AC$281,"SOFTWARE ENG. ECONOMICS &gt; Identifying and Characterizing Intangible Assets")</f>
        <v>0</v>
      </c>
      <c r="DA66" s="17">
        <f>COUNTIFS('Prácticas_Revisiones'!$S$2:$S$282,"T056",'Prácticas_Revisiones'!$T$2:$T$282,"SOFTWARE ENG. ECONOMICS &gt; Estimation")+COUNTIFS('Prácticas_Snowballing'!$AB$2:$AB$281,"T056",'Prácticas_Snowballing'!$AC$2:$AC$281,"SOFTWARE ENG. ECONOMICS &gt; Estimation")</f>
        <v>0</v>
      </c>
      <c r="DB66" s="17">
        <f>COUNTIFS('Prácticas_Revisiones'!$S$2:$S$282,"T056",'Prácticas_Revisiones'!$T$2:$T$282,"SOFTWARE ENG. ECONOMICS &gt; Practical Considerations")+COUNTIFS('Prácticas_Snowballing'!$AB$2:$AB$281,"T056",'Prácticas_Snowballing'!$AC$2:$AC$281,"SOFTWARE ENG. ECONOMICS &gt; Practical Considerations")</f>
        <v>0</v>
      </c>
      <c r="DC66" s="17">
        <f>COUNTIFS('Prácticas_Revisiones'!$S$2:$S$282,"T056",'Prácticas_Revisiones'!$T$2:$T$282,"SOFTWARE ENG. ECONOMICS &gt; Related Concepts")+COUNTIFS('Prácticas_Snowballing'!$AB$2:$AB$281,"T056",'Prácticas_Snowballing'!$AC$2:$AC$281,"SOFTWARE ENG. ECONOMICS &gt; Related Concepts")</f>
        <v>0</v>
      </c>
      <c r="DD66" s="17">
        <f>COUNTIFS('Prácticas_Revisiones'!$S$2:$S$282,"T056",'Prácticas_Revisiones'!$T$2:$T$282,"SOFTWARE ENG. ECONOMICS &gt; Subárea no determinable")+COUNTIFS('Prácticas_Snowballing'!$AB$2:$AB$281,"T056",'Prácticas_Snowballing'!$AC$2:$AC$281,"SOFTWARE ENG. ECONOMICS &gt; Subárea no determinable")</f>
        <v>0</v>
      </c>
      <c r="DE66" s="29">
        <f t="shared" si="48"/>
        <v>0</v>
      </c>
      <c r="DF66" s="17">
        <f>COUNTIFS('Prácticas_Revisiones'!$S$2:$S$282,"T056",'Prácticas_Revisiones'!$T$2:$T$282,"SOFTWARE ENG. MANAGEMENT &gt; Software Engineering Management Fundamentals")+COUNTIFS('Prácticas_Snowballing'!$AB$2:$AB$281,"T056",'Prácticas_Snowballing'!$AC$2:$AC$281,"SOFTWARE ENG. MANAGEMENT &gt; Software Engineering Management Fundamentals")</f>
        <v>0</v>
      </c>
      <c r="DG66" s="17">
        <f>COUNTIFS('Prácticas_Revisiones'!$S$2:$S$282,"T056",'Prácticas_Revisiones'!$T$2:$T$282,"SOFTWARE ENG. MANAGEMENT &gt; Initiation and Scope Definition")+COUNTIFS('Prácticas_Snowballing'!$AB$2:$AB$281,"T056",'Prácticas_Snowballing'!$AC$2:$AC$281,"SOFTWARE ENG. MANAGEMENT &gt; Initiation and Scope Definition")</f>
        <v>0</v>
      </c>
      <c r="DH66" s="17">
        <f>COUNTIFS('Prácticas_Revisiones'!$S$2:$S$282,"T056",'Prácticas_Revisiones'!$T$2:$T$282,"SOFTWARE ENG. MANAGEMENT &gt; Software Project Planning")+COUNTIFS('Prácticas_Snowballing'!$AB$2:$AB$281,"T056",'Prácticas_Snowballing'!$AC$2:$AC$281,"SOFTWARE ENG. MANAGEMENT &gt; Software Project Planning")</f>
        <v>1</v>
      </c>
      <c r="DI66" s="17">
        <f>COUNTIFS('Prácticas_Revisiones'!$S$2:$S$282,"T056",'Prácticas_Revisiones'!$T$2:$T$282,"SOFTWARE ENG. MANAGEMENT &gt; Software Project Enactment")+COUNTIFS('Prácticas_Snowballing'!$AB$2:$AB$281,"T056",'Prácticas_Snowballing'!$AC$2:$AC$281,"SOFTWARE ENG. MANAGEMENT &gt; Software Project Enactment")</f>
        <v>0</v>
      </c>
      <c r="DJ66" s="17">
        <f>COUNTIFS('Prácticas_Revisiones'!$S$2:$S$282,"T056",'Prácticas_Revisiones'!$T$2:$T$282,"SOFTWARE ENG. MANAGEMENT &gt; Review and Evaluation")+COUNTIFS('Prácticas_Snowballing'!$AB$2:$AB$281,"T056",'Prácticas_Snowballing'!$AC$2:$AC$281,"SOFTWARE ENG. MANAGEMENT &gt; Review and Evaluation")</f>
        <v>0</v>
      </c>
      <c r="DK66" s="17">
        <f>COUNTIFS('Prácticas_Revisiones'!$S$2:$S$282,"T056",'Prácticas_Revisiones'!$T$2:$T$282,"SOFTWARE ENG. MANAGEMENT &gt; Closure")+COUNTIFS('Prácticas_Snowballing'!$AB$2:$AB$281,"T056",'Prácticas_Snowballing'!$AC$2:$AC$281,"SOFTWARE ENG. MANAGEMENT &gt; Closure")</f>
        <v>0</v>
      </c>
      <c r="DL66" s="17">
        <f>COUNTIFS('Prácticas_Revisiones'!$S$2:$S$282,"T056",'Prácticas_Revisiones'!$T$2:$T$282,"SOFTWARE ENG. MANAGEMENT &gt; Software Engineering Management Tools")+COUNTIFS('Prácticas_Snowballing'!$AB$2:$AB$281,"T056",'Prácticas_Snowballing'!$AC$2:$AC$281,"SOFTWARE ENG. MANAGEMENT &gt; Software Engineering Management Tools")</f>
        <v>0</v>
      </c>
      <c r="DM66" s="17">
        <f>COUNTIFS('Prácticas_Revisiones'!$S$2:$S$282,"T056",'Prácticas_Revisiones'!$T$2:$T$282,"SOFTWARE ENG. MANAGEMENT &gt; Subárea no determinable")+COUNTIFS('Prácticas_Snowballing'!$AB$2:$AB$281,"T056",'Prácticas_Snowballing'!$AC$2:$AC$281,"SOFTWARE ENG. MANAGEMENT &gt; Subárea no determinable")</f>
        <v>0</v>
      </c>
      <c r="DN66" s="29">
        <f t="shared" si="49"/>
        <v>1</v>
      </c>
      <c r="DO66" s="17">
        <f>COUNTIFS('Prácticas_Revisiones'!$S$2:$S$282,"T056",'Prácticas_Revisiones'!$T$2:$T$282,"Sin área SWEBOK")+COUNTIFS('Prácticas_Snowballing'!$AB$2:$AB$281,"T056",'Prácticas_Snowballing'!$AC$2:$AC$281,"Sin área SWEBOK")</f>
        <v>1</v>
      </c>
      <c r="DP66" s="27">
        <f t="shared" si="50"/>
        <v>37</v>
      </c>
    </row>
    <row r="67" ht="15.75" customHeight="1">
      <c r="A67" s="28"/>
      <c r="B67" s="16" t="s">
        <v>2821</v>
      </c>
      <c r="C67" s="17">
        <f>COUNTIFS('Prácticas_Revisiones'!$S$2:$S$282,"T057",'Prácticas_Revisiones'!$T$2:$T$282,"REQUIREMENTS &gt; Software Requirements Fundamentals")+COUNTIFS('Prácticas_Snowballing'!$AB$2:$AB$281,"T057",'Prácticas_Snowballing'!$AC$2:$AC$281,"REQUIREMENTS &gt; Software Requirements Fundamentals")</f>
        <v>0</v>
      </c>
      <c r="D67" s="17">
        <f>COUNTIFS('Prácticas_Revisiones'!$S$2:$S$282,"T057",'Prácticas_Revisiones'!$T$2:$T$282,"REQUIREMENTS &gt; Requirements Elicitation")+COUNTIFS('Prácticas_Snowballing'!$AB$2:$AB$281,"T057",'Prácticas_Snowballing'!$AC$2:$AC$281,"REQUIREMENTS &gt; Requirements Elicitation")</f>
        <v>0</v>
      </c>
      <c r="E67" s="17">
        <f>COUNTIFS('Prácticas_Revisiones'!$S$2:$S$282,"T057",'Prácticas_Revisiones'!$T$2:$T$282,"REQUIREMENTS &gt; Requirements Analysis")+COUNTIFS('Prácticas_Snowballing'!$AB$2:$AB$281,"T057",'Prácticas_Snowballing'!$AC$2:$AC$281,"REQUIREMENTS &gt; Requirements Analysis")</f>
        <v>0</v>
      </c>
      <c r="F67" s="17">
        <f>COUNTIFS('Prácticas_Revisiones'!$S$2:$S$282,"T057",'Prácticas_Revisiones'!$T$2:$T$282,"REQUIREMENTS &gt; Requirements Specification")+COUNTIFS('Prácticas_Snowballing'!$AB$2:$AB$281,"T057",'Prácticas_Snowballing'!$AC$2:$AC$281,"REQUIREMENTS &gt; Requirements Specification")</f>
        <v>0</v>
      </c>
      <c r="G67" s="17">
        <f>COUNTIFS('Prácticas_Revisiones'!$S$2:$S$282,"T057",'Prácticas_Revisiones'!$T$2:$T$282,"REQUIREMENTS &gt; Requirements Validation")+COUNTIFS('Prácticas_Snowballing'!$AB$2:$AB$281,"T057",'Prácticas_Snowballing'!$AC$2:$AC$281,"REQUIREMENTS &gt; Requirements Validation")</f>
        <v>0</v>
      </c>
      <c r="H67" s="17">
        <f>COUNTIFS('Prácticas_Revisiones'!$S$2:$S$282,"T057",'Prácticas_Revisiones'!$T$2:$T$282,"REQUIREMENTS &gt; Requirements Management Activities")+COUNTIFS('Prácticas_Snowballing'!$AB$2:$AB$281,"T057",'Prácticas_Snowballing'!$AC$2:$AC$281,"REQUIREMENTS &gt; Requirements Management Activities")</f>
        <v>0</v>
      </c>
      <c r="I67" s="17">
        <f>COUNTIFS('Prácticas_Revisiones'!$S$2:$S$282,"T057",'Prácticas_Revisiones'!$T$2:$T$282,"REQUIREMENTS &gt; Practical Considerations")+COUNTIFS('Prácticas_Snowballing'!$AB$2:$AB$281,"T057",'Prácticas_Snowballing'!$AC$2:$AC$281,"REQUIREMENTS &gt; Practical Considerations")</f>
        <v>0</v>
      </c>
      <c r="J67" s="17">
        <f>COUNTIFS('Prácticas_Revisiones'!$S$2:$S$282,"T057",'Prácticas_Revisiones'!$T$2:$T$282,"REQUIREMENTS &gt; Software Requirements Tools")+COUNTIFS('Prácticas_Snowballing'!$AB$2:$AB$281,"T057",'Prácticas_Snowballing'!$AC$2:$AC$281,"REQUIREMENTS &gt; Software Requirements Tools")</f>
        <v>0</v>
      </c>
      <c r="K67" s="17">
        <f>COUNTIFS('Prácticas_Revisiones'!$S$2:$S$282,"T057",'Prácticas_Revisiones'!$T$2:$T$282,"REQUIREMENTS &gt; Subárea no determinable")+COUNTIFS('Prácticas_Snowballing'!$AB$2:$AB$281,"T057",'Prácticas_Snowballing'!$AC$2:$AC$281,"REQUIREMENTS &gt; Subárea no determinable")</f>
        <v>0</v>
      </c>
      <c r="L67" s="29">
        <f t="shared" si="35"/>
        <v>0</v>
      </c>
      <c r="M67" s="17">
        <f>COUNTIFS('Prácticas_Revisiones'!$S$2:$S$282,"T057",'Prácticas_Revisiones'!$T$2:$T$282,"ARCHITECTURE &gt; Software Architecture Fundamentals")+COUNTIFS('Prácticas_Snowballing'!$AB$2:$AB$281,"T057",'Prácticas_Snowballing'!$AC$2:$AC$281,"ARCHITECTURE &gt; Software Architecture Fundamentals")</f>
        <v>0</v>
      </c>
      <c r="N67" s="17">
        <f>COUNTIFS('Prácticas_Revisiones'!$S$2:$S$282,"T057",'Prácticas_Revisiones'!$T$2:$T$282,"ARCHITECTURE &gt; Software Architecture Description")+COUNTIFS('Prácticas_Snowballing'!$AB$2:$AB$281,"T057",'Prácticas_Snowballing'!$AC$2:$AC$281,"ARCHITECTURE &gt; Software Architecture Description")</f>
        <v>0</v>
      </c>
      <c r="O67" s="17">
        <f>COUNTIFS('Prácticas_Revisiones'!$S$2:$S$282,"T057",'Prácticas_Revisiones'!$T$2:$T$282,"ARCHITECTURE &gt; Software Architecture Process")+COUNTIFS('Prácticas_Snowballing'!$AB$2:$AB$281,"T057",'Prácticas_Snowballing'!$AC$2:$AC$281,"ARCHITECTURE &gt; Software Architecture Process")</f>
        <v>0</v>
      </c>
      <c r="P67" s="17">
        <f>COUNTIFS('Prácticas_Revisiones'!$S$2:$S$282,"T057",'Prácticas_Revisiones'!$T$2:$T$282,"ARCHITECTURE &gt; Software Architecture Evaluation")+COUNTIFS('Prácticas_Snowballing'!$AB$2:$AB$281,"T057",'Prácticas_Snowballing'!$AC$2:$AC$281,"ARCHITECTURE &gt; Software Architecture Evaluation")</f>
        <v>0</v>
      </c>
      <c r="Q67" s="17">
        <f>COUNTIFS('Prácticas_Revisiones'!$S$2:$S$282,"T057",'Prácticas_Revisiones'!$T$2:$T$282,"ARCHITECTURE &gt; Subárea no determinable")+COUNTIFS('Prácticas_Snowballing'!$AB$2:$AB$281,"T057",'Prácticas_Snowballing'!$AC$2:$AC$281,"ARCHITECTURE &gt; Subárea no determinable")</f>
        <v>0</v>
      </c>
      <c r="R67" s="29">
        <f t="shared" si="36"/>
        <v>0</v>
      </c>
      <c r="S67" s="17">
        <f>COUNTIFS('Prácticas_Revisiones'!$S$2:$S$282,"T057",'Prácticas_Revisiones'!$T$2:$T$282,"DESIGN &gt; Software Design Fundamentals")+COUNTIFS('Prácticas_Snowballing'!$AB$2:$AB$281,"T057",'Prácticas_Snowballing'!$AC$2:$AC$281,"DESIGN &gt; Software Design Fundamentals")</f>
        <v>0</v>
      </c>
      <c r="T67" s="17">
        <f>COUNTIFS('Prácticas_Revisiones'!$S$2:$S$282,"T057",'Prácticas_Revisiones'!$T$2:$T$282,"DESIGN &gt; Software Design Processes")+COUNTIFS('Prácticas_Snowballing'!$AB$2:$AB$281,"T057",'Prácticas_Snowballing'!$AC$2:$AC$281,"DESIGN &gt; Software Design Processes")</f>
        <v>0</v>
      </c>
      <c r="U67" s="17">
        <f>COUNTIFS('Prácticas_Revisiones'!$S$2:$S$282,"T057",'Prácticas_Revisiones'!$T$2:$T$282,"DESIGN &gt; Software Design Qualities")+COUNTIFS('Prácticas_Snowballing'!$AB$2:$AB$281,"T057",'Prácticas_Snowballing'!$AC$2:$AC$281,"DESIGN &gt; Software Design Qualities")</f>
        <v>0</v>
      </c>
      <c r="V67" s="17">
        <f>COUNTIFS('Prácticas_Revisiones'!$S$2:$S$282,"T057",'Prácticas_Revisiones'!$T$2:$T$282,"DESIGN &gt; Recording Software Design")+COUNTIFS('Prácticas_Snowballing'!$AB$2:$AB$281,"T057",'Prácticas_Snowballing'!$AC$2:$AC$281,"DESIGN &gt; Recording Software Design")</f>
        <v>0</v>
      </c>
      <c r="W67" s="17">
        <f>COUNTIFS('Prácticas_Revisiones'!$S$2:$S$282,"T057",'Prácticas_Revisiones'!$T$2:$T$282,"DESIGN &gt; Software Design Strategies and Methods")+COUNTIFS('Prácticas_Snowballing'!$AB$2:$AB$281,"T057",'Prácticas_Snowballing'!$AC$2:$AC$281,"DESIGN &gt; Software Design Strategies and Methods")</f>
        <v>0</v>
      </c>
      <c r="X67" s="17">
        <f>COUNTIFS('Prácticas_Revisiones'!$S$2:$S$282,"T057",'Prácticas_Revisiones'!$T$2:$T$282,"DESIGN &gt; Software Design Analysis and Evaluations")+COUNTIFS('Prácticas_Snowballing'!$AB$2:$AB$281,"T057",'Prácticas_Snowballing'!$AC$2:$AC$281,"DESIGN &gt; Software Design Analysis and Evaluations")</f>
        <v>0</v>
      </c>
      <c r="Y67" s="17">
        <f>COUNTIFS('Prácticas_Revisiones'!$S$2:$S$282,"T057",'Prácticas_Revisiones'!$T$2:$T$282,"DESIGN &gt; Subárea no determinable")+COUNTIFS('Prácticas_Snowballing'!$AB$2:$AB$281,"T057",'Prácticas_Snowballing'!$AC$2:$AC$281,"DESIGN &gt; Subárea no determinable")</f>
        <v>0</v>
      </c>
      <c r="Z67" s="29">
        <f t="shared" si="37"/>
        <v>0</v>
      </c>
      <c r="AA67" s="17">
        <f>COUNTIFS('Prácticas_Revisiones'!$S$2:$S$282,"T057",'Prácticas_Revisiones'!$T$2:$T$282,"CONSTRUCTION &gt; Software Construction Fundamentals")+COUNTIFS('Prácticas_Snowballing'!$AB$2:$AB$281,"T057",'Prácticas_Snowballing'!$AC$2:$AC$281,"CONSTRUCTION &gt; Software Construction Fundamentals")</f>
        <v>2</v>
      </c>
      <c r="AB67" s="17">
        <f>COUNTIFS('Prácticas_Revisiones'!$S$2:$S$282,"T057",'Prácticas_Revisiones'!$T$2:$T$282,"CONSTRUCTION &gt; Managing Construction")+COUNTIFS('Prácticas_Snowballing'!$AB$2:$AB$281,"T057",'Prácticas_Snowballing'!$AC$2:$AC$281,"CONSTRUCTION &gt; Managing Construction")</f>
        <v>1</v>
      </c>
      <c r="AC67" s="17">
        <f>COUNTIFS('Prácticas_Revisiones'!$S$2:$S$282,"T057",'Prácticas_Revisiones'!$T$2:$T$282,"CONSTRUCTION &gt; Practical Considerations")+COUNTIFS('Prácticas_Snowballing'!$AB$2:$AB$281,"T057",'Prácticas_Snowballing'!$AC$2:$AC$281,"CONSTRUCTION &gt; Practical Considerations")</f>
        <v>5</v>
      </c>
      <c r="AD67" s="17">
        <f>COUNTIFS('Prácticas_Revisiones'!$S$2:$S$282,"T057",'Prácticas_Revisiones'!$T$2:$T$282,"CONSTRUCTION &gt; Construction Technologies")+COUNTIFS('Prácticas_Snowballing'!$AB$2:$AB$281,"T057",'Prácticas_Snowballing'!$AC$2:$AC$281,"CONSTRUCTION &gt; Construction Technologies")</f>
        <v>6</v>
      </c>
      <c r="AE67" s="17">
        <f>COUNTIFS('Prácticas_Revisiones'!$S$2:$S$282,"T057",'Prácticas_Revisiones'!$T$2:$T$282,"CONSTRUCTION &gt; Software Construction Tools")+COUNTIFS('Prácticas_Snowballing'!$AB$2:$AB$281,"T057",'Prácticas_Snowballing'!$AC$2:$AC$281,"CONSTRUCTION &gt; Software Construction Tools")</f>
        <v>1</v>
      </c>
      <c r="AF67" s="17">
        <f>COUNTIFS('Prácticas_Revisiones'!$S$2:$S$282,"T057",'Prácticas_Revisiones'!$T$2:$T$282,"CONSTRUCTION &gt; Subárea no determinable")+COUNTIFS('Prácticas_Snowballing'!$AB$2:$AB$281,"T057",'Prácticas_Snowballing'!$AC$2:$AC$281,"CONSTRUCTION &gt; Subárea no determinable")</f>
        <v>0</v>
      </c>
      <c r="AG67" s="29">
        <f t="shared" si="38"/>
        <v>15</v>
      </c>
      <c r="AH67" s="17">
        <f>COUNTIFS('Prácticas_Revisiones'!$S$2:$S$282,"T057",'Prácticas_Revisiones'!$T$2:$T$282,"SOFTWARE TESTING &gt; Software Testing Fundamentals")+COUNTIFS('Prácticas_Snowballing'!$AB$2:$AB$281,"T057",'Prácticas_Snowballing'!$AC$2:$AC$281,"SOFTWARE TESTING &gt; Software Testing Fundamentals")</f>
        <v>0</v>
      </c>
      <c r="AI67" s="17">
        <f>COUNTIFS('Prácticas_Revisiones'!$S$2:$S$282,"T057",'Prácticas_Revisiones'!$T$2:$T$282,"SOFTWARE TESTING &gt; Test Levels")+COUNTIFS('Prácticas_Snowballing'!$AB$2:$AB$281,"T057",'Prácticas_Snowballing'!$AC$2:$AC$281,"SOFTWARE TESTING &gt; Test Levels")</f>
        <v>0</v>
      </c>
      <c r="AJ67" s="17">
        <f>COUNTIFS('Prácticas_Revisiones'!$S$2:$S$282,"T057",'Prácticas_Revisiones'!$T$2:$T$282,"SOFTWARE TESTING &gt; Test Techniques")+COUNTIFS('Prácticas_Snowballing'!$AB$2:$AB$281,"T057",'Prácticas_Snowballing'!$AC$2:$AC$281,"SOFTWARE TESTING &gt; Test Techniques")</f>
        <v>0</v>
      </c>
      <c r="AK67" s="17">
        <f>COUNTIFS('Prácticas_Revisiones'!$S$2:$S$282,"T057",'Prácticas_Revisiones'!$T$2:$T$282,"SOFTWARE TESTING &gt; Test-Related Measures")+COUNTIFS('Prácticas_Snowballing'!$AB$2:$AB$281,"T057",'Prácticas_Snowballing'!$AC$2:$AC$281,"SOFTWARE TESTING &gt; Test-Related Measures")</f>
        <v>0</v>
      </c>
      <c r="AL67" s="17">
        <f>COUNTIFS('Prácticas_Revisiones'!$S$2:$S$282,"T057",'Prácticas_Revisiones'!$T$2:$T$282,"SOFTWARE TESTING &gt; Test Process")+COUNTIFS('Prácticas_Snowballing'!$AB$2:$AB$281,"T057",'Prácticas_Snowballing'!$AC$2:$AC$281,"SOFTWARE TESTING &gt; Test Process")</f>
        <v>0</v>
      </c>
      <c r="AM67" s="17">
        <f>COUNTIFS('Prácticas_Revisiones'!$S$2:$S$282,"T057",'Prácticas_Revisiones'!$T$2:$T$282,"SOFTWARE TESTING &gt; Software Testing in the Development Processes...")+COUNTIFS('Prácticas_Snowballing'!$AB$2:$AB$281,"T057",'Prácticas_Snowballing'!$AC$2:$AC$281,"SOFTWARE TESTING &gt; Software Testing in the Development Processes...")</f>
        <v>0</v>
      </c>
      <c r="AN67" s="17">
        <f>COUNTIFS('Prácticas_Revisiones'!$S$2:$S$282,"T057",'Prácticas_Revisiones'!$T$2:$T$282,"SOFTWARE TESTING &gt; Testing of and Testing Through Emerging Tech...")+COUNTIFS('Prácticas_Snowballing'!$AB$2:$AB$281,"T057",'Prácticas_Snowballing'!$AC$2:$AC$281,"SOFTWARE TESTING &gt; Testing of and Testing Through Emerging Tech...")</f>
        <v>0</v>
      </c>
      <c r="AO67" s="17">
        <f>COUNTIFS('Prácticas_Revisiones'!$S$2:$S$282,"T057",'Prácticas_Revisiones'!$T$2:$T$282,"SOFTWARE TESTING &gt; Software Testing Tools")+COUNTIFS('Prácticas_Snowballing'!$AB$2:$AB$281,"T057",'Prácticas_Snowballing'!$AC$2:$AC$281,"SOFTWARE TESTING &gt; Software Testing Tools")</f>
        <v>0</v>
      </c>
      <c r="AP67" s="17">
        <f>COUNTIFS('Prácticas_Revisiones'!$S$2:$S$282,"T057",'Prácticas_Revisiones'!$T$2:$T$282,"SOFTWARE TESTING &gt; Subárea no determinable")+COUNTIFS('Prácticas_Snowballing'!$AB$2:$AB$281,"T057",'Prácticas_Snowballing'!$AC$2:$AC$281,"SOFTWARE TESTING &gt; Subárea no determinable")</f>
        <v>0</v>
      </c>
      <c r="AQ67" s="29">
        <f t="shared" si="39"/>
        <v>0</v>
      </c>
      <c r="AR67" s="17">
        <f>COUNTIFS('Prácticas_Revisiones'!$S$2:$S$282,"T057",'Prácticas_Revisiones'!$T$2:$T$282,"SOFTWARE ENG. OPERATIONS &gt; Software Engineering Operations Fundamentals")+COUNTIFS('Prácticas_Snowballing'!$AB$2:$AB$281,"T057",'Prácticas_Snowballing'!$AC$2:$AC$281,"SOFTWARE ENG. OPERATIONS &gt; Software Engineering Operations Fundamentals")</f>
        <v>0</v>
      </c>
      <c r="AS67" s="17">
        <f>COUNTIFS('Prácticas_Revisiones'!$S$2:$S$282,"T057",'Prácticas_Revisiones'!$T$2:$T$282,"SOFTWARE ENG. OPERATIONS &gt; Software Engineering Operations Planning")+COUNTIFS('Prácticas_Snowballing'!$AB$2:$AB$281,"T057",'Prácticas_Snowballing'!$AC$2:$AC$281,"SOFTWARE ENG. OPERATIONS &gt; Software Engineering Operations Planning")</f>
        <v>0</v>
      </c>
      <c r="AT67" s="17">
        <f>COUNTIFS('Prácticas_Revisiones'!$S$2:$S$282,"T057",'Prácticas_Revisiones'!$T$2:$T$282,"SOFTWARE ENG. OPERATIONS &gt; Software Engineering Operations Delivery")+COUNTIFS('Prácticas_Snowballing'!$AB$2:$AB$281,"T057",'Prácticas_Snowballing'!$AC$2:$AC$281,"SOFTWARE ENG. OPERATIONS &gt; Software Engineering Operations Delivery")</f>
        <v>0</v>
      </c>
      <c r="AU67" s="17">
        <f>COUNTIFS('Prácticas_Revisiones'!$S$2:$S$282,"T057",'Prácticas_Revisiones'!$T$2:$T$282,"SOFTWARE ENG. OPERATIONS &gt; Software Engineering Operations Control")+COUNTIFS('Prácticas_Snowballing'!$AB$2:$AB$281,"T057",'Prácticas_Snowballing'!$AC$2:$AC$281,"SOFTWARE ENG. OPERATIONS &gt; Software Engineering Operations Control")</f>
        <v>0</v>
      </c>
      <c r="AV67" s="17">
        <f>COUNTIFS('Prácticas_Revisiones'!$S$2:$S$282,"T057",'Prácticas_Revisiones'!$T$2:$T$282,"SOFTWARE ENG. OPERATIONS &gt; Practical Considerations")+COUNTIFS('Prácticas_Snowballing'!$AB$2:$AB$281,"T057",'Prácticas_Snowballing'!$AC$2:$AC$281,"SOFTWARE ENG. OPERATIONS &gt; Practical Considerations")</f>
        <v>0</v>
      </c>
      <c r="AW67" s="17">
        <f>COUNTIFS('Prácticas_Revisiones'!$S$2:$S$282,"T057",'Prácticas_Revisiones'!$T$2:$T$282,"SOFTWARE ENG. OPERATIONS &gt; Software Engineering Operations Tools")+COUNTIFS('Prácticas_Snowballing'!$AB$2:$AB$281,"T057",'Prácticas_Snowballing'!$AC$2:$AC$281,"SOFTWARE ENG. OPERATIONS &gt; Software Engineering Operations Tools")</f>
        <v>0</v>
      </c>
      <c r="AX67" s="17">
        <f>COUNTIFS('Prácticas_Revisiones'!$S$2:$S$282,"T057",'Prácticas_Revisiones'!$T$2:$T$282,"SOFTWARE ENG. OPERATIONS &gt; Subárea no determinable")+COUNTIFS('Prácticas_Snowballing'!$AB$2:$AB$281,"T057",'Prácticas_Snowballing'!$AC$2:$AC$281,"SOFTWARE ENG. OPERATIONS &gt; Subárea no determinable")</f>
        <v>0</v>
      </c>
      <c r="AY67" s="29">
        <f t="shared" si="40"/>
        <v>0</v>
      </c>
      <c r="AZ67" s="17">
        <f>COUNTIFS('Prácticas_Revisiones'!$S$2:$S$282,"T057",'Prácticas_Revisiones'!$T$2:$T$282,"MAINTENANCE &gt; Software Maintenance Fundamentals")+COUNTIFS('Prácticas_Snowballing'!$AB$2:$AB$281,"T057",'Prácticas_Snowballing'!$AC$2:$AC$281,"MAINTENANCE &gt; Software Maintenance Fundamentals")</f>
        <v>0</v>
      </c>
      <c r="BA67" s="17">
        <f>COUNTIFS('Prácticas_Revisiones'!$S$2:$S$282,"T057",'Prácticas_Revisiones'!$T$2:$T$282,"MAINTENANCE &gt; Key Issues in Software Maintenance")+COUNTIFS('Prácticas_Snowballing'!$AB$2:$AB$281,"T057",'Prácticas_Snowballing'!$AC$2:$AC$281,"MAINTENANCE &gt; Key Issues in Software Maintenance")</f>
        <v>0</v>
      </c>
      <c r="BB67" s="17">
        <f>COUNTIFS('Prácticas_Revisiones'!$S$2:$S$282,"T057",'Prácticas_Revisiones'!$T$2:$T$282,"MAINTENANCE &gt; Software Maintenance Processes")+COUNTIFS('Prácticas_Snowballing'!$AB$2:$AB$281,"T057",'Prácticas_Snowballing'!$AC$2:$AC$281,"MAINTENANCE &gt; Software Maintenance Processes")</f>
        <v>0</v>
      </c>
      <c r="BC67" s="17">
        <f>COUNTIFS('Prácticas_Revisiones'!$S$2:$S$282,"T057",'Prácticas_Revisiones'!$T$2:$T$282,"MAINTENANCE &gt; Software Maintenance Techniques")+COUNTIFS('Prácticas_Snowballing'!$AB$2:$AB$281,"T057",'Prácticas_Snowballing'!$AC$2:$AC$281,"MAINTENANCE &gt; Software Maintenance Techniques")</f>
        <v>0</v>
      </c>
      <c r="BD67" s="17">
        <f>COUNTIFS('Prácticas_Revisiones'!$S$2:$S$282,"T057",'Prácticas_Revisiones'!$T$2:$T$282,"MAINTENANCE &gt; Software Maintenance Tools")+COUNTIFS('Prácticas_Snowballing'!$AB$2:$AB$281,"T057",'Prácticas_Snowballing'!$AC$2:$AC$281,"MAINTENANCE &gt; Software Maintenance Tools")</f>
        <v>0</v>
      </c>
      <c r="BE67" s="17">
        <f>COUNTIFS('Prácticas_Revisiones'!$S$2:$S$282,"T057",'Prácticas_Revisiones'!$T$2:$T$282,"MAINTENANCE &gt; Subárea no determinable")+COUNTIFS('Prácticas_Snowballing'!$AB$2:$AB$281,"T057",'Prácticas_Snowballing'!$AC$2:$AC$281,"MAINTENANCE &gt; Subárea no determinable")</f>
        <v>0</v>
      </c>
      <c r="BF67" s="29">
        <f t="shared" si="41"/>
        <v>0</v>
      </c>
      <c r="BG67" s="17">
        <f>COUNTIFS('Prácticas_Revisiones'!$S$2:$S$282,"T057",'Prácticas_Revisiones'!$T$2:$T$282,"SOFTWARE CONFIG. MGMT. &gt; Management of the SCM Process")+COUNTIFS('Prácticas_Snowballing'!$AB$2:$AB$281,"T057",'Prácticas_Snowballing'!$AC$2:$AC$281,"SOFTWARE CONFIG. MGMT. &gt; Management of the SCM Process")</f>
        <v>0</v>
      </c>
      <c r="BH67" s="17">
        <f>COUNTIFS('Prácticas_Revisiones'!$S$2:$S$282,"T057",'Prácticas_Revisiones'!$T$2:$T$282,"SOFTWARE CONFIG. MGMT. &gt; Software Configuration Identification")+COUNTIFS('Prácticas_Snowballing'!$AB$2:$AB$281,"T057",'Prácticas_Snowballing'!$AC$2:$AC$281,"SOFTWARE CONFIG. MGMT. &gt; Software Configuration Identification")</f>
        <v>0</v>
      </c>
      <c r="BI67" s="17">
        <f>COUNTIFS('Prácticas_Revisiones'!$S$2:$S$282,"T057",'Prácticas_Revisiones'!$T$2:$T$282,"SOFTWARE CONFIG. MGMT. &gt; Software Configuration Change Control")+COUNTIFS('Prácticas_Snowballing'!$AB$2:$AB$281,"T057",'Prácticas_Snowballing'!$AC$2:$AC$281,"SOFTWARE CONFIG. MGMT. &gt; Software Configuration Change Control")</f>
        <v>0</v>
      </c>
      <c r="BJ67" s="17">
        <f>COUNTIFS('Prácticas_Revisiones'!$S$2:$S$282,"T057",'Prácticas_Revisiones'!$T$2:$T$282,"SOFTWARE CONFIG. MGMT. &gt; Software Configuration Status Accounting")+COUNTIFS('Prácticas_Snowballing'!$AB$2:$AB$281,"T057",'Prácticas_Snowballing'!$AC$2:$AC$281,"SOFTWARE CONFIG. MGMT. &gt; Software Configuration Status Accounting")</f>
        <v>0</v>
      </c>
      <c r="BK67" s="17">
        <f>COUNTIFS('Prácticas_Revisiones'!$S$2:$S$282,"T057",'Prácticas_Revisiones'!$T$2:$T$282,"SOFTWARE CONFIG. MGMT. &gt; Software Configuration Auditing")+COUNTIFS('Prácticas_Snowballing'!$AB$2:$AB$281,"T057",'Prácticas_Snowballing'!$AC$2:$AC$281,"SOFTWARE CONFIG. MGMT. &gt; Software Configuration Auditing")</f>
        <v>0</v>
      </c>
      <c r="BL67" s="17">
        <f>COUNTIFS('Prácticas_Revisiones'!$S$2:$S$282,"T057",'Prácticas_Revisiones'!$T$2:$T$282,"SOFTWARE CONFIG. MGMT. &gt; Software Release Management and Delivery")+COUNTIFS('Prácticas_Snowballing'!$AB$2:$AB$281,"T057",'Prácticas_Snowballing'!$AC$2:$AC$281,"SOFTWARE CONFIG. MGMT. &gt; Software Release Management and Delivery")</f>
        <v>0</v>
      </c>
      <c r="BM67" s="17">
        <f>COUNTIFS('Prácticas_Revisiones'!$S$2:$S$282,"T057",'Prácticas_Revisiones'!$T$2:$T$282,"SOFTWARE CONFIG. MGMT. &gt; Software Configuration Management Tools")+COUNTIFS('Prácticas_Snowballing'!$AB$2:$AB$281,"T057",'Prácticas_Snowballing'!$AC$2:$AC$281,"SOFTWARE CONFIG. MGMT. &gt; Software Configuration Management Tools")</f>
        <v>0</v>
      </c>
      <c r="BN67" s="17">
        <f>COUNTIFS('Prácticas_Revisiones'!$S$2:$S$282,"T057",'Prácticas_Revisiones'!$T$2:$T$282,"SOFTWARE CONFIG. MGMT. &gt; Subárea no determinable")+COUNTIFS('Prácticas_Snowballing'!$AB$2:$AB$281,"T057",'Prácticas_Snowballing'!$AC$2:$AC$281,"SOFTWARE CONFIG. MGMT. &gt; Subárea no determinable")</f>
        <v>0</v>
      </c>
      <c r="BO67" s="29">
        <f t="shared" si="42"/>
        <v>0</v>
      </c>
      <c r="BP67" s="17">
        <f>COUNTIFS('Prácticas_Revisiones'!$S$2:$S$282,"T057",'Prácticas_Revisiones'!$T$2:$T$282,"SOFTWARE ENG. PROCESS &gt; Software Engineering Process Fundamentals")+COUNTIFS('Prácticas_Snowballing'!$AB$2:$AB$281,"T057",'Prácticas_Snowballing'!$AC$2:$AC$281,"SOFTWARE ENG. PROCESS &gt; Software Engineering Process Fundamentals")</f>
        <v>0</v>
      </c>
      <c r="BQ67" s="17">
        <f>COUNTIFS('Prácticas_Revisiones'!$S$2:$S$282,"T057",'Prácticas_Revisiones'!$T$2:$T$282,"SOFTWARE ENG. PROCESS &gt; Life Cycles")+COUNTIFS('Prácticas_Snowballing'!$AB$2:$AB$281,"T057",'Prácticas_Snowballing'!$AC$2:$AC$281,"SOFTWARE ENG. PROCESS &gt; Life Cycles")</f>
        <v>0</v>
      </c>
      <c r="BR67" s="17">
        <f>COUNTIFS('Prácticas_Revisiones'!$S$2:$S$282,"T057",'Prácticas_Revisiones'!$T$2:$T$282,"SOFTWARE ENG. PROCESS &gt; Software Process Assessment and Improvement")+COUNTIFS('Prácticas_Snowballing'!$AB$2:$AB$281,"T057",'Prácticas_Snowballing'!$AC$2:$AC$281,"SOFTWARE ENG. PROCESS &gt; Software Process Assessment and Improvement")</f>
        <v>0</v>
      </c>
      <c r="BS67" s="17">
        <f>COUNTIFS('Prácticas_Revisiones'!$S$2:$S$282,"T057",'Prácticas_Revisiones'!$T$2:$T$282,"SOFTWARE ENG. PROCESS &gt; Subárea no determinable")+COUNTIFS('Prácticas_Snowballing'!$AB$2:$AB$281,"T057",'Prácticas_Snowballing'!$AC$2:$AC$281,"SOFTWARE ENG. PROCESS &gt; Subárea no determinable")</f>
        <v>0</v>
      </c>
      <c r="BT67" s="29">
        <f t="shared" si="43"/>
        <v>0</v>
      </c>
      <c r="BU67" s="17">
        <f>COUNTIFS('Prácticas_Revisiones'!$S$2:$S$282,"T057",'Prácticas_Revisiones'!$T$2:$T$282,"SOFTWARE ENG. MODELS/METH. &gt; Modeling")+COUNTIFS('Prácticas_Snowballing'!$AB$2:$AB$281,"T057",'Prácticas_Snowballing'!$AC$2:$AC$281,"SOFTWARE ENG. MODELS/METH. &gt; Modeling")</f>
        <v>0</v>
      </c>
      <c r="BV67" s="17">
        <f>COUNTIFS('Prácticas_Revisiones'!$S$2:$S$282,"T057",'Prácticas_Revisiones'!$T$2:$T$282,"SOFTWARE ENG. MODELS/METH. &gt; Types of Models")+COUNTIFS('Prácticas_Snowballing'!$AB$2:$AB$281,"T057",'Prácticas_Snowballing'!$AC$2:$AC$281,"SOFTWARE ENG. MODELS/METH. &gt; Types of Models")</f>
        <v>0</v>
      </c>
      <c r="BW67" s="17">
        <f>COUNTIFS('Prácticas_Revisiones'!$S$2:$S$282,"T057",'Prácticas_Revisiones'!$T$2:$T$282,"SOFTWARE ENG. MODELS/METH. &gt; Analysis of Models")+COUNTIFS('Prácticas_Snowballing'!$AB$2:$AB$281,"T057",'Prácticas_Snowballing'!$AC$2:$AC$281,"SOFTWARE ENG. MODELS/METH. &gt; Analysis of Models")</f>
        <v>0</v>
      </c>
      <c r="BX67" s="17">
        <f>COUNTIFS('Prácticas_Revisiones'!$S$2:$S$282,"T057",'Prácticas_Revisiones'!$T$2:$T$282,"SOFTWARE ENG. MODELS/METH. &gt; Software Engineering Methods")+COUNTIFS('Prácticas_Snowballing'!$AB$2:$AB$281,"T057",'Prácticas_Snowballing'!$AC$2:$AC$281,"SOFTWARE ENG. MODELS/METH. &gt; Software Engineering Methods")</f>
        <v>0</v>
      </c>
      <c r="BY67" s="17">
        <f>COUNTIFS('Prácticas_Revisiones'!$S$2:$S$282,"T057",'Prácticas_Revisiones'!$T$2:$T$282,"SOFTWARE ENG. MODELS/METH. &gt; Subárea no determinable")+COUNTIFS('Prácticas_Snowballing'!$AB$2:$AB$281,"T057",'Prácticas_Snowballing'!$AC$2:$AC$281,"SOFTWARE ENG. MODELS/METH. &gt; Subárea no determinable")</f>
        <v>0</v>
      </c>
      <c r="BZ67" s="29">
        <f t="shared" si="44"/>
        <v>0</v>
      </c>
      <c r="CA67" s="17">
        <f>COUNTIFS('Prácticas_Revisiones'!$S$2:$S$282,"T057",'Prácticas_Revisiones'!$T$2:$T$282,"SOFTWARE QUALITY &gt; Software Quality Fundamentals")+COUNTIFS('Prácticas_Snowballing'!$AB$2:$AB$281,"T057",'Prácticas_Snowballing'!$AC$2:$AC$281,"SOFTWARE QUALITY &gt; Software Quality Fundamentals")</f>
        <v>0</v>
      </c>
      <c r="CB67" s="17">
        <f>COUNTIFS('Prácticas_Revisiones'!$S$2:$S$282,"T057",'Prácticas_Revisiones'!$T$2:$T$282,"SOFTWARE QUALITY &gt; Software Quality Management Process")+COUNTIFS('Prácticas_Snowballing'!$AB$2:$AB$281,"T057",'Prácticas_Snowballing'!$AC$2:$AC$281,"SOFTWARE QUALITY &gt; Software Quality Management Process")</f>
        <v>0</v>
      </c>
      <c r="CC67" s="17">
        <f>COUNTIFS('Prácticas_Revisiones'!$S$2:$S$282,"T057",'Prácticas_Revisiones'!$T$2:$T$282,"SOFTWARE QUALITY &gt; Software Quality Assurance Process")+COUNTIFS('Prácticas_Snowballing'!$AB$2:$AB$281,"T057",'Prácticas_Snowballing'!$AC$2:$AC$281,"SOFTWARE QUALITY &gt; Software Quality Assurance Process")</f>
        <v>1</v>
      </c>
      <c r="CD67" s="17">
        <f>COUNTIFS('Prácticas_Revisiones'!$S$2:$S$282,"T057",'Prácticas_Revisiones'!$T$2:$T$282,"SOFTWARE QUALITY &gt; Software Quality Tools")+COUNTIFS('Prácticas_Snowballing'!$AB$2:$AB$281,"T057",'Prácticas_Snowballing'!$AC$2:$AC$281,"SOFTWARE QUALITY &gt; Software Quality Tools")</f>
        <v>0</v>
      </c>
      <c r="CE67" s="17">
        <f>COUNTIFS('Prácticas_Revisiones'!$S$2:$S$282,"T057",'Prácticas_Revisiones'!$T$2:$T$282,"SOFTWARE QUALITY &gt; Subárea no determinable")+COUNTIFS('Prácticas_Snowballing'!$AB$2:$AB$281,"T057",'Prácticas_Snowballing'!$AC$2:$AC$281,"SOFTWARE QUALITY &gt; Subárea no determinable")</f>
        <v>0</v>
      </c>
      <c r="CF67" s="29">
        <f t="shared" si="45"/>
        <v>1</v>
      </c>
      <c r="CG67" s="17">
        <f>COUNTIFS('Prácticas_Revisiones'!$S$2:$S$282,"T057",'Prácticas_Revisiones'!$T$2:$T$282,"SOFTWARE SECURITY &gt; Software Security Fundamentals")+COUNTIFS('Prácticas_Snowballing'!$AB$2:$AB$281,"T057",'Prácticas_Snowballing'!$AC$2:$AC$281,"SOFTWARE SECURITY &gt; Software Security Fundamentals")</f>
        <v>0</v>
      </c>
      <c r="CH67" s="17">
        <f>COUNTIFS('Prácticas_Revisiones'!$S$2:$S$282,"T057",'Prácticas_Revisiones'!$T$2:$T$282,"SOFTWARE SECURITY &gt; Security Management and Organization")+COUNTIFS('Prácticas_Snowballing'!$AB$2:$AB$281,"T057",'Prácticas_Snowballing'!$AC$2:$AC$281,"SOFTWARE SECURITY &gt; Security Management and Organization")</f>
        <v>0</v>
      </c>
      <c r="CI67" s="17">
        <f>COUNTIFS('Prácticas_Revisiones'!$S$2:$S$282,"T057",'Prácticas_Revisiones'!$T$2:$T$282,"SOFTWARE SECURITY &gt; Software Security Engineering and Process")+COUNTIFS('Prácticas_Snowballing'!$AB$2:$AB$281,"T057",'Prácticas_Snowballing'!$AC$2:$AC$281,"SOFTWARE SECURITY &gt; Software Security Engineering and Process")</f>
        <v>0</v>
      </c>
      <c r="CJ67" s="17">
        <f>COUNTIFS('Prácticas_Revisiones'!$S$2:$S$282,"T057",'Prácticas_Revisiones'!$T$2:$T$282,"SOFTWARE SECURITY &gt; Security Engineering for Software Systems")+COUNTIFS('Prácticas_Snowballing'!$AB$2:$AB$281,"T057",'Prácticas_Snowballing'!$AC$2:$AC$281,"SOFTWARE SECURITY &gt; Security Engineering for Software Systems")</f>
        <v>0</v>
      </c>
      <c r="CK67" s="17">
        <f>COUNTIFS('Prácticas_Revisiones'!$S$2:$S$282,"T057",'Prácticas_Revisiones'!$T$2:$T$282,"SOFTWARE SECURITY &gt; Software Security Tools")+COUNTIFS('Prácticas_Snowballing'!$AB$2:$AB$281,"T057",'Prácticas_Snowballing'!$AC$2:$AC$281,"SOFTWARE SECURITY &gt; Software Security Tools")</f>
        <v>0</v>
      </c>
      <c r="CL67" s="17">
        <f>COUNTIFS('Prácticas_Revisiones'!$S$2:$S$282,"T057",'Prácticas_Revisiones'!$T$2:$T$282,"SOFTWARE SECURITY &gt; Domain Specific Software Security")+COUNTIFS('Prácticas_Snowballing'!$AB$2:$AB$281,"T057",'Prácticas_Snowballing'!$AC$2:$AC$281,"SOFTWARE SECURITY &gt; Domain Specific Software Security")</f>
        <v>0</v>
      </c>
      <c r="CM67" s="17">
        <f>COUNTIFS('Prácticas_Revisiones'!$S$2:$S$282,"T057",'Prácticas_Revisiones'!$T$2:$T$282,"SOFTWARE SECURITY &gt; Subárea no determinable")+COUNTIFS('Prácticas_Snowballing'!$AB$2:$AB$281,"T057",'Prácticas_Snowballing'!$AC$2:$AC$281,"SOFTWARE SECURITY &gt; Subárea no determinable")</f>
        <v>0</v>
      </c>
      <c r="CN67" s="29">
        <f t="shared" si="46"/>
        <v>0</v>
      </c>
      <c r="CO67" s="17">
        <f>COUNTIFS('Prácticas_Revisiones'!$S$2:$S$282,"T057",'Prácticas_Revisiones'!$T$2:$T$282,"PROFESSIONAL PRACTICE &gt; Professionalism")+COUNTIFS('Prácticas_Snowballing'!$AB$2:$AB$281,"T057",'Prácticas_Snowballing'!$AC$2:$AC$281,"PROFESSIONAL PRACTICE &gt; Professionalism")</f>
        <v>0</v>
      </c>
      <c r="CP67" s="17">
        <f>COUNTIFS('Prácticas_Revisiones'!$S$2:$S$282,"T057",'Prácticas_Revisiones'!$T$2:$T$282,"PROFESSIONAL PRACTICE &gt; Group Dynamics and Psychology")+COUNTIFS('Prácticas_Snowballing'!$AB$2:$AB$281,"T057",'Prácticas_Snowballing'!$AC$2:$AC$281,"PROFESSIONAL PRACTICE &gt; Group Dynamics and Psychology")</f>
        <v>1</v>
      </c>
      <c r="CQ67" s="17">
        <f>COUNTIFS('Prácticas_Revisiones'!$S$2:$S$282,"T057",'Prácticas_Revisiones'!$T$2:$T$282,"PROFESSIONAL PRACTICE &gt; Communication Skills")+COUNTIFS('Prácticas_Snowballing'!$AB$2:$AB$281,"T057",'Prácticas_Snowballing'!$AC$2:$AC$281,"PROFESSIONAL PRACTICE &gt; Communication Skills")</f>
        <v>0</v>
      </c>
      <c r="CR67" s="17">
        <f>COUNTIFS('Prácticas_Revisiones'!$S$2:$S$282,"T057",'Prácticas_Revisiones'!$T$2:$T$282,"PROFESSIONAL PRACTICE &gt; Subárea no determinable")+COUNTIFS('Prácticas_Snowballing'!$AB$2:$AB$281,"T057",'Prácticas_Snowballing'!$AC$2:$AC$281,"PROFESSIONAL PRACTICE &gt; Subárea no determinable")</f>
        <v>0</v>
      </c>
      <c r="CS67" s="29">
        <f t="shared" si="47"/>
        <v>1</v>
      </c>
      <c r="CT67" s="17">
        <f>COUNTIFS('Prácticas_Revisiones'!$S$2:$S$282,"T057",'Prácticas_Revisiones'!$T$2:$T$282,"SOFTWARE ENG. ECONOMICS &gt; Software Engineering Economics Fundamentals")+COUNTIFS('Prácticas_Snowballing'!$AB$2:$AB$281,"T057",'Prácticas_Snowballing'!$AC$2:$AC$281,"SOFTWARE ENG. ECONOMICS &gt; Software Engineering Economics Fundamentals")</f>
        <v>0</v>
      </c>
      <c r="CU67" s="17">
        <f>COUNTIFS('Prácticas_Revisiones'!$S$2:$S$282,"T057",'Prácticas_Revisiones'!$T$2:$T$282,"SOFTWARE ENG. ECONOMICS &gt; The Engineering Decision-Making Process")+COUNTIFS('Prácticas_Snowballing'!$AB$2:$AB$281,"T057",'Prácticas_Snowballing'!$AC$2:$AC$281,"SOFTWARE ENG. ECONOMICS &gt; The Engineering Decision-Making Process")</f>
        <v>0</v>
      </c>
      <c r="CV67" s="17">
        <f>COUNTIFS('Prácticas_Revisiones'!$S$2:$S$282,"T057",'Prácticas_Revisiones'!$T$2:$T$282,"SOFTWARE ENG. ECONOMICS &gt; For-Profit Decision-Making")+COUNTIFS('Prácticas_Snowballing'!$AB$2:$AB$281,"T057",'Prácticas_Snowballing'!$AC$2:$AC$281,"SOFTWARE ENG. ECONOMICS &gt; For-Profit Decision-Making")</f>
        <v>0</v>
      </c>
      <c r="CW67" s="17">
        <f>COUNTIFS('Prácticas_Revisiones'!$S$2:$S$282,"T057",'Prácticas_Revisiones'!$T$2:$T$282,"SOFTWARE ENG. ECONOMICS &gt; Nonprofit Decision-Making")+COUNTIFS('Prácticas_Snowballing'!$AB$2:$AB$281,"T057",'Prácticas_Snowballing'!$AC$2:$AC$281,"SOFTWARE ENG. ECONOMICS &gt; Nonprofit Decision-Making")</f>
        <v>0</v>
      </c>
      <c r="CX67" s="17">
        <f>COUNTIFS('Prácticas_Revisiones'!$S$2:$S$282,"T057",'Prácticas_Revisiones'!$T$2:$T$282,"SOFTWARE ENG. ECONOMICS &gt; Present Economy Decision-Making")+COUNTIFS('Prácticas_Snowballing'!$AB$2:$AB$281,"T057",'Prácticas_Snowballing'!$AC$2:$AC$281,"SOFTWARE ENG. ECONOMICS &gt; Present Economy Decision-Making")</f>
        <v>0</v>
      </c>
      <c r="CY67" s="17">
        <f>COUNTIFS('Prácticas_Revisiones'!$S$2:$S$282,"T057",'Prácticas_Revisiones'!$T$2:$T$282,"SOFTWARE ENG. ECONOMICS &gt; Multiple-Attribute Decision-Making")+COUNTIFS('Prácticas_Snowballing'!$AB$2:$AB$281,"T057",'Prácticas_Snowballing'!$AC$2:$AC$281,"SOFTWARE ENG. ECONOMICS &gt; Multiple-Attribute Decision-Making")</f>
        <v>0</v>
      </c>
      <c r="CZ67" s="17">
        <f>COUNTIFS('Prácticas_Revisiones'!$S$2:$S$282,"T057",'Prácticas_Revisiones'!$T$2:$T$282,"SOFTWARE ENG. ECONOMICS &gt; Identifying and Characterizing Intangible Assets")+COUNTIFS('Prácticas_Snowballing'!$AB$2:$AB$281,"T057",'Prácticas_Snowballing'!$AC$2:$AC$281,"SOFTWARE ENG. ECONOMICS &gt; Identifying and Characterizing Intangible Assets")</f>
        <v>0</v>
      </c>
      <c r="DA67" s="17">
        <f>COUNTIFS('Prácticas_Revisiones'!$S$2:$S$282,"T057",'Prácticas_Revisiones'!$T$2:$T$282,"SOFTWARE ENG. ECONOMICS &gt; Estimation")+COUNTIFS('Prácticas_Snowballing'!$AB$2:$AB$281,"T057",'Prácticas_Snowballing'!$AC$2:$AC$281,"SOFTWARE ENG. ECONOMICS &gt; Estimation")</f>
        <v>0</v>
      </c>
      <c r="DB67" s="17">
        <f>COUNTIFS('Prácticas_Revisiones'!$S$2:$S$282,"T057",'Prácticas_Revisiones'!$T$2:$T$282,"SOFTWARE ENG. ECONOMICS &gt; Practical Considerations")+COUNTIFS('Prácticas_Snowballing'!$AB$2:$AB$281,"T057",'Prácticas_Snowballing'!$AC$2:$AC$281,"SOFTWARE ENG. ECONOMICS &gt; Practical Considerations")</f>
        <v>0</v>
      </c>
      <c r="DC67" s="17">
        <f>COUNTIFS('Prácticas_Revisiones'!$S$2:$S$282,"T057",'Prácticas_Revisiones'!$T$2:$T$282,"SOFTWARE ENG. ECONOMICS &gt; Related Concepts")+COUNTIFS('Prácticas_Snowballing'!$AB$2:$AB$281,"T057",'Prácticas_Snowballing'!$AC$2:$AC$281,"SOFTWARE ENG. ECONOMICS &gt; Related Concepts")</f>
        <v>0</v>
      </c>
      <c r="DD67" s="17">
        <f>COUNTIFS('Prácticas_Revisiones'!$S$2:$S$282,"T057",'Prácticas_Revisiones'!$T$2:$T$282,"SOFTWARE ENG. ECONOMICS &gt; Subárea no determinable")+COUNTIFS('Prácticas_Snowballing'!$AB$2:$AB$281,"T057",'Prácticas_Snowballing'!$AC$2:$AC$281,"SOFTWARE ENG. ECONOMICS &gt; Subárea no determinable")</f>
        <v>0</v>
      </c>
      <c r="DE67" s="29">
        <f t="shared" si="48"/>
        <v>0</v>
      </c>
      <c r="DF67" s="17">
        <f>COUNTIFS('Prácticas_Revisiones'!$S$2:$S$282,"T057",'Prácticas_Revisiones'!$T$2:$T$282,"SOFTWARE ENG. MANAGEMENT &gt; Software Engineering Management Fundamentals")+COUNTIFS('Prácticas_Snowballing'!$AB$2:$AB$281,"T057",'Prácticas_Snowballing'!$AC$2:$AC$281,"SOFTWARE ENG. MANAGEMENT &gt; Software Engineering Management Fundamentals")</f>
        <v>0</v>
      </c>
      <c r="DG67" s="17">
        <f>COUNTIFS('Prácticas_Revisiones'!$S$2:$S$282,"T057",'Prácticas_Revisiones'!$T$2:$T$282,"SOFTWARE ENG. MANAGEMENT &gt; Initiation and Scope Definition")+COUNTIFS('Prácticas_Snowballing'!$AB$2:$AB$281,"T057",'Prácticas_Snowballing'!$AC$2:$AC$281,"SOFTWARE ENG. MANAGEMENT &gt; Initiation and Scope Definition")</f>
        <v>0</v>
      </c>
      <c r="DH67" s="17">
        <f>COUNTIFS('Prácticas_Revisiones'!$S$2:$S$282,"T057",'Prácticas_Revisiones'!$T$2:$T$282,"SOFTWARE ENG. MANAGEMENT &gt; Software Project Planning")+COUNTIFS('Prácticas_Snowballing'!$AB$2:$AB$281,"T057",'Prácticas_Snowballing'!$AC$2:$AC$281,"SOFTWARE ENG. MANAGEMENT &gt; Software Project Planning")</f>
        <v>0</v>
      </c>
      <c r="DI67" s="17">
        <f>COUNTIFS('Prácticas_Revisiones'!$S$2:$S$282,"T057",'Prácticas_Revisiones'!$T$2:$T$282,"SOFTWARE ENG. MANAGEMENT &gt; Software Project Enactment")+COUNTIFS('Prácticas_Snowballing'!$AB$2:$AB$281,"T057",'Prácticas_Snowballing'!$AC$2:$AC$281,"SOFTWARE ENG. MANAGEMENT &gt; Software Project Enactment")</f>
        <v>0</v>
      </c>
      <c r="DJ67" s="17">
        <f>COUNTIFS('Prácticas_Revisiones'!$S$2:$S$282,"T057",'Prácticas_Revisiones'!$T$2:$T$282,"SOFTWARE ENG. MANAGEMENT &gt; Review and Evaluation")+COUNTIFS('Prácticas_Snowballing'!$AB$2:$AB$281,"T057",'Prácticas_Snowballing'!$AC$2:$AC$281,"SOFTWARE ENG. MANAGEMENT &gt; Review and Evaluation")</f>
        <v>0</v>
      </c>
      <c r="DK67" s="17">
        <f>COUNTIFS('Prácticas_Revisiones'!$S$2:$S$282,"T057",'Prácticas_Revisiones'!$T$2:$T$282,"SOFTWARE ENG. MANAGEMENT &gt; Closure")+COUNTIFS('Prácticas_Snowballing'!$AB$2:$AB$281,"T057",'Prácticas_Snowballing'!$AC$2:$AC$281,"SOFTWARE ENG. MANAGEMENT &gt; Closure")</f>
        <v>0</v>
      </c>
      <c r="DL67" s="17">
        <f>COUNTIFS('Prácticas_Revisiones'!$S$2:$S$282,"T057",'Prácticas_Revisiones'!$T$2:$T$282,"SOFTWARE ENG. MANAGEMENT &gt; Software Engineering Management Tools")+COUNTIFS('Prácticas_Snowballing'!$AB$2:$AB$281,"T057",'Prácticas_Snowballing'!$AC$2:$AC$281,"SOFTWARE ENG. MANAGEMENT &gt; Software Engineering Management Tools")</f>
        <v>0</v>
      </c>
      <c r="DM67" s="17">
        <f>COUNTIFS('Prácticas_Revisiones'!$S$2:$S$282,"T057",'Prácticas_Revisiones'!$T$2:$T$282,"SOFTWARE ENG. MANAGEMENT &gt; Subárea no determinable")+COUNTIFS('Prácticas_Snowballing'!$AB$2:$AB$281,"T057",'Prácticas_Snowballing'!$AC$2:$AC$281,"SOFTWARE ENG. MANAGEMENT &gt; Subárea no determinable")</f>
        <v>0</v>
      </c>
      <c r="DN67" s="29">
        <f t="shared" si="49"/>
        <v>0</v>
      </c>
      <c r="DO67" s="17">
        <f>COUNTIFS('Prácticas_Revisiones'!$S$2:$S$282,"T057",'Prácticas_Revisiones'!$T$2:$T$282,"Sin área SWEBOK")+COUNTIFS('Prácticas_Snowballing'!$AB$2:$AB$281,"T057",'Prácticas_Snowballing'!$AC$2:$AC$281,"Sin área SWEBOK")</f>
        <v>0</v>
      </c>
      <c r="DP67" s="27">
        <f t="shared" si="50"/>
        <v>17</v>
      </c>
    </row>
    <row r="68" ht="15.75" customHeight="1">
      <c r="A68" s="23"/>
      <c r="B68" s="9" t="s">
        <v>2199</v>
      </c>
      <c r="C68" s="17">
        <f>COUNTIFS('Prácticas_Revisiones'!$S$2:$S$282,"Sin equivalente en catálogo (APLICAR)",'Prácticas_Revisiones'!$T$2:$T$282,"REQUIREMENTS &gt; Software Requirements Fundamentals")+COUNTIFS('Prácticas_Snowballing'!$AB$2:$AB$281,"Sin equivalente en catálogo (APLICAR)",'Prácticas_Snowballing'!$AC$2:$AC$281,"REQUIREMENTS &gt; Software Requirements Fundamentals")</f>
        <v>0</v>
      </c>
      <c r="D68" s="17">
        <f>COUNTIFS('Prácticas_Revisiones'!$S$2:$S$282,"Sin equivalente en catálogo (APLICAR)",'Prácticas_Revisiones'!$T$2:$T$282,"REQUIREMENTS &gt; Requirements Elicitation")+COUNTIFS('Prácticas_Snowballing'!$AB$2:$AB$281,"Sin equivalente en catálogo (APLICAR)",'Prácticas_Snowballing'!$AC$2:$AC$281,"REQUIREMENTS &gt; Requirements Elicitation")</f>
        <v>0</v>
      </c>
      <c r="E68" s="17">
        <f>COUNTIFS('Prácticas_Revisiones'!$S$2:$S$282,"Sin equivalente en catálogo (APLICAR)",'Prácticas_Revisiones'!$T$2:$T$282,"REQUIREMENTS &gt; Requirements Analysis")+COUNTIFS('Prácticas_Snowballing'!$AB$2:$AB$281,"Sin equivalente en catálogo (APLICAR)",'Prácticas_Snowballing'!$AC$2:$AC$281,"REQUIREMENTS &gt; Requirements Analysis")</f>
        <v>0</v>
      </c>
      <c r="F68" s="17">
        <f>COUNTIFS('Prácticas_Revisiones'!$S$2:$S$282,"Sin equivalente en catálogo (APLICAR)",'Prácticas_Revisiones'!$T$2:$T$282,"REQUIREMENTS &gt; Requirements Specification")+COUNTIFS('Prácticas_Snowballing'!$AB$2:$AB$281,"Sin equivalente en catálogo (APLICAR)",'Prácticas_Snowballing'!$AC$2:$AC$281,"REQUIREMENTS &gt; Requirements Specification")</f>
        <v>0</v>
      </c>
      <c r="G68" s="17">
        <f>COUNTIFS('Prácticas_Revisiones'!$S$2:$S$282,"Sin equivalente en catálogo (APLICAR)",'Prácticas_Revisiones'!$T$2:$T$282,"REQUIREMENTS &gt; Requirements Validation")+COUNTIFS('Prácticas_Snowballing'!$AB$2:$AB$281,"Sin equivalente en catálogo (APLICAR)",'Prácticas_Snowballing'!$AC$2:$AC$281,"REQUIREMENTS &gt; Requirements Validation")</f>
        <v>0</v>
      </c>
      <c r="H68" s="17">
        <f>COUNTIFS('Prácticas_Revisiones'!$S$2:$S$282,"Sin equivalente en catálogo (APLICAR)",'Prácticas_Revisiones'!$T$2:$T$282,"REQUIREMENTS &gt; Requirements Management Activities")+COUNTIFS('Prácticas_Snowballing'!$AB$2:$AB$281,"Sin equivalente en catálogo (APLICAR)",'Prácticas_Snowballing'!$AC$2:$AC$281,"REQUIREMENTS &gt; Requirements Management Activities")</f>
        <v>0</v>
      </c>
      <c r="I68" s="17">
        <f>COUNTIFS('Prácticas_Revisiones'!$S$2:$S$282,"Sin equivalente en catálogo (APLICAR)",'Prácticas_Revisiones'!$T$2:$T$282,"REQUIREMENTS &gt; Practical Considerations")+COUNTIFS('Prácticas_Snowballing'!$AB$2:$AB$281,"Sin equivalente en catálogo (APLICAR)",'Prácticas_Snowballing'!$AC$2:$AC$281,"REQUIREMENTS &gt; Practical Considerations")</f>
        <v>0</v>
      </c>
      <c r="J68" s="17">
        <f>COUNTIFS('Prácticas_Revisiones'!$S$2:$S$282,"Sin equivalente en catálogo (APLICAR)",'Prácticas_Revisiones'!$T$2:$T$282,"REQUIREMENTS &gt; Software Requirements Tools")+COUNTIFS('Prácticas_Snowballing'!$AB$2:$AB$281,"Sin equivalente en catálogo (APLICAR)",'Prácticas_Snowballing'!$AC$2:$AC$281,"REQUIREMENTS &gt; Software Requirements Tools")</f>
        <v>0</v>
      </c>
      <c r="K68" s="17">
        <f>COUNTIFS('Prácticas_Revisiones'!$S$2:$S$282,"Sin equivalente en catálogo (APLICAR)",'Prácticas_Revisiones'!$T$2:$T$282,"REQUIREMENTS &gt; Subárea no determinable")+COUNTIFS('Prácticas_Snowballing'!$AB$2:$AB$281,"Sin equivalente en catálogo (APLICAR)",'Prácticas_Snowballing'!$AC$2:$AC$281,"REQUIREMENTS &gt; Subárea no determinable")</f>
        <v>0</v>
      </c>
      <c r="L68" s="29">
        <f t="shared" si="35"/>
        <v>0</v>
      </c>
      <c r="M68" s="17">
        <f>COUNTIFS('Prácticas_Revisiones'!$S$2:$S$282,"Sin equivalente en catálogo (APLICAR)",'Prácticas_Revisiones'!$T$2:$T$282,"ARCHITECTURE &gt; Software Architecture Fundamentals")+COUNTIFS('Prácticas_Snowballing'!$AB$2:$AB$281,"Sin equivalente en catálogo (APLICAR)",'Prácticas_Snowballing'!$AC$2:$AC$281,"ARCHITECTURE &gt; Software Architecture Fundamentals")</f>
        <v>0</v>
      </c>
      <c r="N68" s="17">
        <f>COUNTIFS('Prácticas_Revisiones'!$S$2:$S$282,"Sin equivalente en catálogo (APLICAR)",'Prácticas_Revisiones'!$T$2:$T$282,"ARCHITECTURE &gt; Software Architecture Description")+COUNTIFS('Prácticas_Snowballing'!$AB$2:$AB$281,"Sin equivalente en catálogo (APLICAR)",'Prácticas_Snowballing'!$AC$2:$AC$281,"ARCHITECTURE &gt; Software Architecture Description")</f>
        <v>0</v>
      </c>
      <c r="O68" s="17">
        <f>COUNTIFS('Prácticas_Revisiones'!$S$2:$S$282,"Sin equivalente en catálogo (APLICAR)",'Prácticas_Revisiones'!$T$2:$T$282,"ARCHITECTURE &gt; Software Architecture Process")+COUNTIFS('Prácticas_Snowballing'!$AB$2:$AB$281,"Sin equivalente en catálogo (APLICAR)",'Prácticas_Snowballing'!$AC$2:$AC$281,"ARCHITECTURE &gt; Software Architecture Process")</f>
        <v>0</v>
      </c>
      <c r="P68" s="17">
        <f>COUNTIFS('Prácticas_Revisiones'!$S$2:$S$282,"Sin equivalente en catálogo (APLICAR)",'Prácticas_Revisiones'!$T$2:$T$282,"ARCHITECTURE &gt; Software Architecture Evaluation")+COUNTIFS('Prácticas_Snowballing'!$AB$2:$AB$281,"Sin equivalente en catálogo (APLICAR)",'Prácticas_Snowballing'!$AC$2:$AC$281,"ARCHITECTURE &gt; Software Architecture Evaluation")</f>
        <v>0</v>
      </c>
      <c r="Q68" s="17">
        <f>COUNTIFS('Prácticas_Revisiones'!$S$2:$S$282,"Sin equivalente en catálogo (APLICAR)",'Prácticas_Revisiones'!$T$2:$T$282,"ARCHITECTURE &gt; Subárea no determinable")+COUNTIFS('Prácticas_Snowballing'!$AB$2:$AB$281,"Sin equivalente en catálogo (APLICAR)",'Prácticas_Snowballing'!$AC$2:$AC$281,"ARCHITECTURE &gt; Subárea no determinable")</f>
        <v>0</v>
      </c>
      <c r="R68" s="29">
        <f t="shared" si="36"/>
        <v>0</v>
      </c>
      <c r="S68" s="17">
        <f>COUNTIFS('Prácticas_Revisiones'!$S$2:$S$282,"Sin equivalente en catálogo (APLICAR)",'Prácticas_Revisiones'!$T$2:$T$282,"DESIGN &gt; Software Design Fundamentals")+COUNTIFS('Prácticas_Snowballing'!$AB$2:$AB$281,"Sin equivalente en catálogo (APLICAR)",'Prácticas_Snowballing'!$AC$2:$AC$281,"DESIGN &gt; Software Design Fundamentals")</f>
        <v>0</v>
      </c>
      <c r="T68" s="17">
        <f>COUNTIFS('Prácticas_Revisiones'!$S$2:$S$282,"Sin equivalente en catálogo (APLICAR)",'Prácticas_Revisiones'!$T$2:$T$282,"DESIGN &gt; Software Design Processes")+COUNTIFS('Prácticas_Snowballing'!$AB$2:$AB$281,"Sin equivalente en catálogo (APLICAR)",'Prácticas_Snowballing'!$AC$2:$AC$281,"DESIGN &gt; Software Design Processes")</f>
        <v>0</v>
      </c>
      <c r="U68" s="17">
        <f>COUNTIFS('Prácticas_Revisiones'!$S$2:$S$282,"Sin equivalente en catálogo (APLICAR)",'Prácticas_Revisiones'!$T$2:$T$282,"DESIGN &gt; Software Design Qualities")+COUNTIFS('Prácticas_Snowballing'!$AB$2:$AB$281,"Sin equivalente en catálogo (APLICAR)",'Prácticas_Snowballing'!$AC$2:$AC$281,"DESIGN &gt; Software Design Qualities")</f>
        <v>0</v>
      </c>
      <c r="V68" s="17">
        <f>COUNTIFS('Prácticas_Revisiones'!$S$2:$S$282,"Sin equivalente en catálogo (APLICAR)",'Prácticas_Revisiones'!$T$2:$T$282,"DESIGN &gt; Recording Software Design")+COUNTIFS('Prácticas_Snowballing'!$AB$2:$AB$281,"Sin equivalente en catálogo (APLICAR)",'Prácticas_Snowballing'!$AC$2:$AC$281,"DESIGN &gt; Recording Software Design")</f>
        <v>0</v>
      </c>
      <c r="W68" s="17">
        <f>COUNTIFS('Prácticas_Revisiones'!$S$2:$S$282,"Sin equivalente en catálogo (APLICAR)",'Prácticas_Revisiones'!$T$2:$T$282,"DESIGN &gt; Software Design Strategies and Methods")+COUNTIFS('Prácticas_Snowballing'!$AB$2:$AB$281,"Sin equivalente en catálogo (APLICAR)",'Prácticas_Snowballing'!$AC$2:$AC$281,"DESIGN &gt; Software Design Strategies and Methods")</f>
        <v>0</v>
      </c>
      <c r="X68" s="17">
        <f>COUNTIFS('Prácticas_Revisiones'!$S$2:$S$282,"Sin equivalente en catálogo (APLICAR)",'Prácticas_Revisiones'!$T$2:$T$282,"DESIGN &gt; Software Design Analysis and Evaluations")+COUNTIFS('Prácticas_Snowballing'!$AB$2:$AB$281,"Sin equivalente en catálogo (APLICAR)",'Prácticas_Snowballing'!$AC$2:$AC$281,"DESIGN &gt; Software Design Analysis and Evaluations")</f>
        <v>0</v>
      </c>
      <c r="Y68" s="17">
        <f>COUNTIFS('Prácticas_Revisiones'!$S$2:$S$282,"Sin equivalente en catálogo (APLICAR)",'Prácticas_Revisiones'!$T$2:$T$282,"DESIGN &gt; Subárea no determinable")+COUNTIFS('Prácticas_Snowballing'!$AB$2:$AB$281,"Sin equivalente en catálogo (APLICAR)",'Prácticas_Snowballing'!$AC$2:$AC$281,"DESIGN &gt; Subárea no determinable")</f>
        <v>0</v>
      </c>
      <c r="Z68" s="29">
        <f t="shared" si="37"/>
        <v>0</v>
      </c>
      <c r="AA68" s="17">
        <f>COUNTIFS('Prácticas_Revisiones'!$S$2:$S$282,"Sin equivalente en catálogo (APLICAR)",'Prácticas_Revisiones'!$T$2:$T$282,"CONSTRUCTION &gt; Software Construction Fundamentals")+COUNTIFS('Prácticas_Snowballing'!$AB$2:$AB$281,"Sin equivalente en catálogo (APLICAR)",'Prácticas_Snowballing'!$AC$2:$AC$281,"CONSTRUCTION &gt; Software Construction Fundamentals")</f>
        <v>0</v>
      </c>
      <c r="AB68" s="17">
        <f>COUNTIFS('Prácticas_Revisiones'!$S$2:$S$282,"Sin equivalente en catálogo (APLICAR)",'Prácticas_Revisiones'!$T$2:$T$282,"CONSTRUCTION &gt; Managing Construction")+COUNTIFS('Prácticas_Snowballing'!$AB$2:$AB$281,"Sin equivalente en catálogo (APLICAR)",'Prácticas_Snowballing'!$AC$2:$AC$281,"CONSTRUCTION &gt; Managing Construction")</f>
        <v>0</v>
      </c>
      <c r="AC68" s="17">
        <f>COUNTIFS('Prácticas_Revisiones'!$S$2:$S$282,"Sin equivalente en catálogo (APLICAR)",'Prácticas_Revisiones'!$T$2:$T$282,"CONSTRUCTION &gt; Practical Considerations")+COUNTIFS('Prácticas_Snowballing'!$AB$2:$AB$281,"Sin equivalente en catálogo (APLICAR)",'Prácticas_Snowballing'!$AC$2:$AC$281,"CONSTRUCTION &gt; Practical Considerations")</f>
        <v>0</v>
      </c>
      <c r="AD68" s="17">
        <f>COUNTIFS('Prácticas_Revisiones'!$S$2:$S$282,"Sin equivalente en catálogo (APLICAR)",'Prácticas_Revisiones'!$T$2:$T$282,"CONSTRUCTION &gt; Construction Technologies")+COUNTIFS('Prácticas_Snowballing'!$AB$2:$AB$281,"Sin equivalente en catálogo (APLICAR)",'Prácticas_Snowballing'!$AC$2:$AC$281,"CONSTRUCTION &gt; Construction Technologies")</f>
        <v>0</v>
      </c>
      <c r="AE68" s="17">
        <f>COUNTIFS('Prácticas_Revisiones'!$S$2:$S$282,"Sin equivalente en catálogo (APLICAR)",'Prácticas_Revisiones'!$T$2:$T$282,"CONSTRUCTION &gt; Software Construction Tools")+COUNTIFS('Prácticas_Snowballing'!$AB$2:$AB$281,"Sin equivalente en catálogo (APLICAR)",'Prácticas_Snowballing'!$AC$2:$AC$281,"CONSTRUCTION &gt; Software Construction Tools")</f>
        <v>0</v>
      </c>
      <c r="AF68" s="17">
        <f>COUNTIFS('Prácticas_Revisiones'!$S$2:$S$282,"Sin equivalente en catálogo (APLICAR)",'Prácticas_Revisiones'!$T$2:$T$282,"CONSTRUCTION &gt; Subárea no determinable")+COUNTIFS('Prácticas_Snowballing'!$AB$2:$AB$281,"Sin equivalente en catálogo (APLICAR)",'Prácticas_Snowballing'!$AC$2:$AC$281,"CONSTRUCTION &gt; Subárea no determinable")</f>
        <v>0</v>
      </c>
      <c r="AG68" s="29">
        <f t="shared" si="38"/>
        <v>0</v>
      </c>
      <c r="AH68" s="17">
        <f>COUNTIFS('Prácticas_Revisiones'!$S$2:$S$282,"Sin equivalente en catálogo (APLICAR)",'Prácticas_Revisiones'!$T$2:$T$282,"SOFTWARE TESTING &gt; Software Testing Fundamentals")+COUNTIFS('Prácticas_Snowballing'!$AB$2:$AB$281,"Sin equivalente en catálogo (APLICAR)",'Prácticas_Snowballing'!$AC$2:$AC$281,"SOFTWARE TESTING &gt; Software Testing Fundamentals")</f>
        <v>0</v>
      </c>
      <c r="AI68" s="17">
        <f>COUNTIFS('Prácticas_Revisiones'!$S$2:$S$282,"Sin equivalente en catálogo (APLICAR)",'Prácticas_Revisiones'!$T$2:$T$282,"SOFTWARE TESTING &gt; Test Levels")+COUNTIFS('Prácticas_Snowballing'!$AB$2:$AB$281,"Sin equivalente en catálogo (APLICAR)",'Prácticas_Snowballing'!$AC$2:$AC$281,"SOFTWARE TESTING &gt; Test Levels")</f>
        <v>0</v>
      </c>
      <c r="AJ68" s="17">
        <f>COUNTIFS('Prácticas_Revisiones'!$S$2:$S$282,"Sin equivalente en catálogo (APLICAR)",'Prácticas_Revisiones'!$T$2:$T$282,"SOFTWARE TESTING &gt; Test Techniques")+COUNTIFS('Prácticas_Snowballing'!$AB$2:$AB$281,"Sin equivalente en catálogo (APLICAR)",'Prácticas_Snowballing'!$AC$2:$AC$281,"SOFTWARE TESTING &gt; Test Techniques")</f>
        <v>0</v>
      </c>
      <c r="AK68" s="17">
        <f>COUNTIFS('Prácticas_Revisiones'!$S$2:$S$282,"Sin equivalente en catálogo (APLICAR)",'Prácticas_Revisiones'!$T$2:$T$282,"SOFTWARE TESTING &gt; Test-Related Measures")+COUNTIFS('Prácticas_Snowballing'!$AB$2:$AB$281,"Sin equivalente en catálogo (APLICAR)",'Prácticas_Snowballing'!$AC$2:$AC$281,"SOFTWARE TESTING &gt; Test-Related Measures")</f>
        <v>0</v>
      </c>
      <c r="AL68" s="17">
        <f>COUNTIFS('Prácticas_Revisiones'!$S$2:$S$282,"Sin equivalente en catálogo (APLICAR)",'Prácticas_Revisiones'!$T$2:$T$282,"SOFTWARE TESTING &gt; Test Process")+COUNTIFS('Prácticas_Snowballing'!$AB$2:$AB$281,"Sin equivalente en catálogo (APLICAR)",'Prácticas_Snowballing'!$AC$2:$AC$281,"SOFTWARE TESTING &gt; Test Process")</f>
        <v>0</v>
      </c>
      <c r="AM68" s="17">
        <f>COUNTIFS('Prácticas_Revisiones'!$S$2:$S$282,"Sin equivalente en catálogo (APLICAR)",'Prácticas_Revisiones'!$T$2:$T$282,"SOFTWARE TESTING &gt; Software Testing in the Development Processes...")+COUNTIFS('Prácticas_Snowballing'!$AB$2:$AB$281,"Sin equivalente en catálogo (APLICAR)",'Prácticas_Snowballing'!$AC$2:$AC$281,"SOFTWARE TESTING &gt; Software Testing in the Development Processes...")</f>
        <v>0</v>
      </c>
      <c r="AN68" s="17">
        <f>COUNTIFS('Prácticas_Revisiones'!$S$2:$S$282,"Sin equivalente en catálogo (APLICAR)",'Prácticas_Revisiones'!$T$2:$T$282,"SOFTWARE TESTING &gt; Testing of and Testing Through Emerging Tech...")+COUNTIFS('Prácticas_Snowballing'!$AB$2:$AB$281,"Sin equivalente en catálogo (APLICAR)",'Prácticas_Snowballing'!$AC$2:$AC$281,"SOFTWARE TESTING &gt; Testing of and Testing Through Emerging Tech...")</f>
        <v>0</v>
      </c>
      <c r="AO68" s="17">
        <f>COUNTIFS('Prácticas_Revisiones'!$S$2:$S$282,"Sin equivalente en catálogo (APLICAR)",'Prácticas_Revisiones'!$T$2:$T$282,"SOFTWARE TESTING &gt; Software Testing Tools")+COUNTIFS('Prácticas_Snowballing'!$AB$2:$AB$281,"Sin equivalente en catálogo (APLICAR)",'Prácticas_Snowballing'!$AC$2:$AC$281,"SOFTWARE TESTING &gt; Software Testing Tools")</f>
        <v>0</v>
      </c>
      <c r="AP68" s="17">
        <f>COUNTIFS('Prácticas_Revisiones'!$S$2:$S$282,"Sin equivalente en catálogo (APLICAR)",'Prácticas_Revisiones'!$T$2:$T$282,"SOFTWARE TESTING &gt; Subárea no determinable")+COUNTIFS('Prácticas_Snowballing'!$AB$2:$AB$281,"Sin equivalente en catálogo (APLICAR)",'Prácticas_Snowballing'!$AC$2:$AC$281,"SOFTWARE TESTING &gt; Subárea no determinable")</f>
        <v>0</v>
      </c>
      <c r="AQ68" s="29">
        <f t="shared" si="39"/>
        <v>0</v>
      </c>
      <c r="AR68" s="17">
        <f>COUNTIFS('Prácticas_Revisiones'!$S$2:$S$282,"Sin equivalente en catálogo (APLICAR)",'Prácticas_Revisiones'!$T$2:$T$282,"SOFTWARE ENG. OPERATIONS &gt; Software Engineering Operations Fundamentals")+COUNTIFS('Prácticas_Snowballing'!$AB$2:$AB$281,"Sin equivalente en catálogo (APLICAR)",'Prácticas_Snowballing'!$AC$2:$AC$281,"SOFTWARE ENG. OPERATIONS &gt; Software Engineering Operations Fundamentals")</f>
        <v>0</v>
      </c>
      <c r="AS68" s="17">
        <f>COUNTIFS('Prácticas_Revisiones'!$S$2:$S$282,"Sin equivalente en catálogo (APLICAR)",'Prácticas_Revisiones'!$T$2:$T$282,"SOFTWARE ENG. OPERATIONS &gt; Software Engineering Operations Planning")+COUNTIFS('Prácticas_Snowballing'!$AB$2:$AB$281,"Sin equivalente en catálogo (APLICAR)",'Prácticas_Snowballing'!$AC$2:$AC$281,"SOFTWARE ENG. OPERATIONS &gt; Software Engineering Operations Planning")</f>
        <v>0</v>
      </c>
      <c r="AT68" s="17">
        <f>COUNTIFS('Prácticas_Revisiones'!$S$2:$S$282,"Sin equivalente en catálogo (APLICAR)",'Prácticas_Revisiones'!$T$2:$T$282,"SOFTWARE ENG. OPERATIONS &gt; Software Engineering Operations Delivery")+COUNTIFS('Prácticas_Snowballing'!$AB$2:$AB$281,"Sin equivalente en catálogo (APLICAR)",'Prácticas_Snowballing'!$AC$2:$AC$281,"SOFTWARE ENG. OPERATIONS &gt; Software Engineering Operations Delivery")</f>
        <v>0</v>
      </c>
      <c r="AU68" s="17">
        <f>COUNTIFS('Prácticas_Revisiones'!$S$2:$S$282,"Sin equivalente en catálogo (APLICAR)",'Prácticas_Revisiones'!$T$2:$T$282,"SOFTWARE ENG. OPERATIONS &gt; Software Engineering Operations Control")+COUNTIFS('Prácticas_Snowballing'!$AB$2:$AB$281,"Sin equivalente en catálogo (APLICAR)",'Prácticas_Snowballing'!$AC$2:$AC$281,"SOFTWARE ENG. OPERATIONS &gt; Software Engineering Operations Control")</f>
        <v>0</v>
      </c>
      <c r="AV68" s="17">
        <f>COUNTIFS('Prácticas_Revisiones'!$S$2:$S$282,"Sin equivalente en catálogo (APLICAR)",'Prácticas_Revisiones'!$T$2:$T$282,"SOFTWARE ENG. OPERATIONS &gt; Practical Considerations")+COUNTIFS('Prácticas_Snowballing'!$AB$2:$AB$281,"Sin equivalente en catálogo (APLICAR)",'Prácticas_Snowballing'!$AC$2:$AC$281,"SOFTWARE ENG. OPERATIONS &gt; Practical Considerations")</f>
        <v>0</v>
      </c>
      <c r="AW68" s="17">
        <f>COUNTIFS('Prácticas_Revisiones'!$S$2:$S$282,"Sin equivalente en catálogo (APLICAR)",'Prácticas_Revisiones'!$T$2:$T$282,"SOFTWARE ENG. OPERATIONS &gt; Software Engineering Operations Tools")+COUNTIFS('Prácticas_Snowballing'!$AB$2:$AB$281,"Sin equivalente en catálogo (APLICAR)",'Prácticas_Snowballing'!$AC$2:$AC$281,"SOFTWARE ENG. OPERATIONS &gt; Software Engineering Operations Tools")</f>
        <v>0</v>
      </c>
      <c r="AX68" s="17">
        <f>COUNTIFS('Prácticas_Revisiones'!$S$2:$S$282,"Sin equivalente en catálogo (APLICAR)",'Prácticas_Revisiones'!$T$2:$T$282,"SOFTWARE ENG. OPERATIONS &gt; Subárea no determinable")+COUNTIFS('Prácticas_Snowballing'!$AB$2:$AB$281,"Sin equivalente en catálogo (APLICAR)",'Prácticas_Snowballing'!$AC$2:$AC$281,"SOFTWARE ENG. OPERATIONS &gt; Subárea no determinable")</f>
        <v>0</v>
      </c>
      <c r="AY68" s="29">
        <f t="shared" si="40"/>
        <v>0</v>
      </c>
      <c r="AZ68" s="17">
        <f>COUNTIFS('Prácticas_Revisiones'!$S$2:$S$282,"Sin equivalente en catálogo (APLICAR)",'Prácticas_Revisiones'!$T$2:$T$282,"MAINTENANCE &gt; Software Maintenance Fundamentals")+COUNTIFS('Prácticas_Snowballing'!$AB$2:$AB$281,"Sin equivalente en catálogo (APLICAR)",'Prácticas_Snowballing'!$AC$2:$AC$281,"MAINTENANCE &gt; Software Maintenance Fundamentals")</f>
        <v>0</v>
      </c>
      <c r="BA68" s="17">
        <f>COUNTIFS('Prácticas_Revisiones'!$S$2:$S$282,"Sin equivalente en catálogo (APLICAR)",'Prácticas_Revisiones'!$T$2:$T$282,"MAINTENANCE &gt; Key Issues in Software Maintenance")+COUNTIFS('Prácticas_Snowballing'!$AB$2:$AB$281,"Sin equivalente en catálogo (APLICAR)",'Prácticas_Snowballing'!$AC$2:$AC$281,"MAINTENANCE &gt; Key Issues in Software Maintenance")</f>
        <v>0</v>
      </c>
      <c r="BB68" s="17">
        <f>COUNTIFS('Prácticas_Revisiones'!$S$2:$S$282,"Sin equivalente en catálogo (APLICAR)",'Prácticas_Revisiones'!$T$2:$T$282,"MAINTENANCE &gt; Software Maintenance Processes")+COUNTIFS('Prácticas_Snowballing'!$AB$2:$AB$281,"Sin equivalente en catálogo (APLICAR)",'Prácticas_Snowballing'!$AC$2:$AC$281,"MAINTENANCE &gt; Software Maintenance Processes")</f>
        <v>0</v>
      </c>
      <c r="BC68" s="17">
        <f>COUNTIFS('Prácticas_Revisiones'!$S$2:$S$282,"Sin equivalente en catálogo (APLICAR)",'Prácticas_Revisiones'!$T$2:$T$282,"MAINTENANCE &gt; Software Maintenance Techniques")+COUNTIFS('Prácticas_Snowballing'!$AB$2:$AB$281,"Sin equivalente en catálogo (APLICAR)",'Prácticas_Snowballing'!$AC$2:$AC$281,"MAINTENANCE &gt; Software Maintenance Techniques")</f>
        <v>0</v>
      </c>
      <c r="BD68" s="17">
        <f>COUNTIFS('Prácticas_Revisiones'!$S$2:$S$282,"Sin equivalente en catálogo (APLICAR)",'Prácticas_Revisiones'!$T$2:$T$282,"MAINTENANCE &gt; Software Maintenance Tools")+COUNTIFS('Prácticas_Snowballing'!$AB$2:$AB$281,"Sin equivalente en catálogo (APLICAR)",'Prácticas_Snowballing'!$AC$2:$AC$281,"MAINTENANCE &gt; Software Maintenance Tools")</f>
        <v>0</v>
      </c>
      <c r="BE68" s="17">
        <f>COUNTIFS('Prácticas_Revisiones'!$S$2:$S$282,"Sin equivalente en catálogo (APLICAR)",'Prácticas_Revisiones'!$T$2:$T$282,"MAINTENANCE &gt; Subárea no determinable")+COUNTIFS('Prácticas_Snowballing'!$AB$2:$AB$281,"Sin equivalente en catálogo (APLICAR)",'Prácticas_Snowballing'!$AC$2:$AC$281,"MAINTENANCE &gt; Subárea no determinable")</f>
        <v>0</v>
      </c>
      <c r="BF68" s="29">
        <f t="shared" si="41"/>
        <v>0</v>
      </c>
      <c r="BG68" s="17">
        <f>COUNTIFS('Prácticas_Revisiones'!$S$2:$S$282,"Sin equivalente en catálogo (APLICAR)",'Prácticas_Revisiones'!$T$2:$T$282,"SOFTWARE CONFIG. MGMT. &gt; Management of the SCM Process")+COUNTIFS('Prácticas_Snowballing'!$AB$2:$AB$281,"Sin equivalente en catálogo (APLICAR)",'Prácticas_Snowballing'!$AC$2:$AC$281,"SOFTWARE CONFIG. MGMT. &gt; Management of the SCM Process")</f>
        <v>0</v>
      </c>
      <c r="BH68" s="17">
        <f>COUNTIFS('Prácticas_Revisiones'!$S$2:$S$282,"Sin equivalente en catálogo (APLICAR)",'Prácticas_Revisiones'!$T$2:$T$282,"SOFTWARE CONFIG. MGMT. &gt; Software Configuration Identification")+COUNTIFS('Prácticas_Snowballing'!$AB$2:$AB$281,"Sin equivalente en catálogo (APLICAR)",'Prácticas_Snowballing'!$AC$2:$AC$281,"SOFTWARE CONFIG. MGMT. &gt; Software Configuration Identification")</f>
        <v>0</v>
      </c>
      <c r="BI68" s="17">
        <f>COUNTIFS('Prácticas_Revisiones'!$S$2:$S$282,"Sin equivalente en catálogo (APLICAR)",'Prácticas_Revisiones'!$T$2:$T$282,"SOFTWARE CONFIG. MGMT. &gt; Software Configuration Change Control")+COUNTIFS('Prácticas_Snowballing'!$AB$2:$AB$281,"Sin equivalente en catálogo (APLICAR)",'Prácticas_Snowballing'!$AC$2:$AC$281,"SOFTWARE CONFIG. MGMT. &gt; Software Configuration Change Control")</f>
        <v>0</v>
      </c>
      <c r="BJ68" s="17">
        <f>COUNTIFS('Prácticas_Revisiones'!$S$2:$S$282,"Sin equivalente en catálogo (APLICAR)",'Prácticas_Revisiones'!$T$2:$T$282,"SOFTWARE CONFIG. MGMT. &gt; Software Configuration Status Accounting")+COUNTIFS('Prácticas_Snowballing'!$AB$2:$AB$281,"Sin equivalente en catálogo (APLICAR)",'Prácticas_Snowballing'!$AC$2:$AC$281,"SOFTWARE CONFIG. MGMT. &gt; Software Configuration Status Accounting")</f>
        <v>0</v>
      </c>
      <c r="BK68" s="17">
        <f>COUNTIFS('Prácticas_Revisiones'!$S$2:$S$282,"Sin equivalente en catálogo (APLICAR)",'Prácticas_Revisiones'!$T$2:$T$282,"SOFTWARE CONFIG. MGMT. &gt; Software Configuration Auditing")+COUNTIFS('Prácticas_Snowballing'!$AB$2:$AB$281,"Sin equivalente en catálogo (APLICAR)",'Prácticas_Snowballing'!$AC$2:$AC$281,"SOFTWARE CONFIG. MGMT. &gt; Software Configuration Auditing")</f>
        <v>0</v>
      </c>
      <c r="BL68" s="17">
        <f>COUNTIFS('Prácticas_Revisiones'!$S$2:$S$282,"Sin equivalente en catálogo (APLICAR)",'Prácticas_Revisiones'!$T$2:$T$282,"SOFTWARE CONFIG. MGMT. &gt; Software Release Management and Delivery")+COUNTIFS('Prácticas_Snowballing'!$AB$2:$AB$281,"Sin equivalente en catálogo (APLICAR)",'Prácticas_Snowballing'!$AC$2:$AC$281,"SOFTWARE CONFIG. MGMT. &gt; Software Release Management and Delivery")</f>
        <v>0</v>
      </c>
      <c r="BM68" s="17">
        <f>COUNTIFS('Prácticas_Revisiones'!$S$2:$S$282,"Sin equivalente en catálogo (APLICAR)",'Prácticas_Revisiones'!$T$2:$T$282,"SOFTWARE CONFIG. MGMT. &gt; Software Configuration Management Tools")+COUNTIFS('Prácticas_Snowballing'!$AB$2:$AB$281,"Sin equivalente en catálogo (APLICAR)",'Prácticas_Snowballing'!$AC$2:$AC$281,"SOFTWARE CONFIG. MGMT. &gt; Software Configuration Management Tools")</f>
        <v>0</v>
      </c>
      <c r="BN68" s="17">
        <f>COUNTIFS('Prácticas_Revisiones'!$S$2:$S$282,"Sin equivalente en catálogo (APLICAR)",'Prácticas_Revisiones'!$T$2:$T$282,"SOFTWARE CONFIG. MGMT. &gt; Subárea no determinable")+COUNTIFS('Prácticas_Snowballing'!$AB$2:$AB$281,"Sin equivalente en catálogo (APLICAR)",'Prácticas_Snowballing'!$AC$2:$AC$281,"SOFTWARE CONFIG. MGMT. &gt; Subárea no determinable")</f>
        <v>0</v>
      </c>
      <c r="BO68" s="29">
        <f t="shared" si="42"/>
        <v>0</v>
      </c>
      <c r="BP68" s="17">
        <f>COUNTIFS('Prácticas_Revisiones'!$S$2:$S$282,"Sin equivalente en catálogo (APLICAR)",'Prácticas_Revisiones'!$T$2:$T$282,"SOFTWARE ENG. PROCESS &gt; Software Engineering Process Fundamentals")+COUNTIFS('Prácticas_Snowballing'!$AB$2:$AB$281,"Sin equivalente en catálogo (APLICAR)",'Prácticas_Snowballing'!$AC$2:$AC$281,"SOFTWARE ENG. PROCESS &gt; Software Engineering Process Fundamentals")</f>
        <v>0</v>
      </c>
      <c r="BQ68" s="17">
        <f>COUNTIFS('Prácticas_Revisiones'!$S$2:$S$282,"Sin equivalente en catálogo (APLICAR)",'Prácticas_Revisiones'!$T$2:$T$282,"SOFTWARE ENG. PROCESS &gt; Life Cycles")+COUNTIFS('Prácticas_Snowballing'!$AB$2:$AB$281,"Sin equivalente en catálogo (APLICAR)",'Prácticas_Snowballing'!$AC$2:$AC$281,"SOFTWARE ENG. PROCESS &gt; Life Cycles")</f>
        <v>0</v>
      </c>
      <c r="BR68" s="17">
        <f>COUNTIFS('Prácticas_Revisiones'!$S$2:$S$282,"Sin equivalente en catálogo (APLICAR)",'Prácticas_Revisiones'!$T$2:$T$282,"SOFTWARE ENG. PROCESS &gt; Software Process Assessment and Improvement")+COUNTIFS('Prácticas_Snowballing'!$AB$2:$AB$281,"Sin equivalente en catálogo (APLICAR)",'Prácticas_Snowballing'!$AC$2:$AC$281,"SOFTWARE ENG. PROCESS &gt; Software Process Assessment and Improvement")</f>
        <v>0</v>
      </c>
      <c r="BS68" s="17">
        <f>COUNTIFS('Prácticas_Revisiones'!$S$2:$S$282,"Sin equivalente en catálogo (APLICAR)",'Prácticas_Revisiones'!$T$2:$T$282,"SOFTWARE ENG. PROCESS &gt; Subárea no determinable")+COUNTIFS('Prácticas_Snowballing'!$AB$2:$AB$281,"Sin equivalente en catálogo (APLICAR)",'Prácticas_Snowballing'!$AC$2:$AC$281,"SOFTWARE ENG. PROCESS &gt; Subárea no determinable")</f>
        <v>0</v>
      </c>
      <c r="BT68" s="29">
        <f t="shared" si="43"/>
        <v>0</v>
      </c>
      <c r="BU68" s="17">
        <f>COUNTIFS('Prácticas_Revisiones'!$S$2:$S$282,"Sin equivalente en catálogo (APLICAR)",'Prácticas_Revisiones'!$T$2:$T$282,"SOFTWARE ENG. MODELS/METH. &gt; Modeling")+COUNTIFS('Prácticas_Snowballing'!$AB$2:$AB$281,"Sin equivalente en catálogo (APLICAR)",'Prácticas_Snowballing'!$AC$2:$AC$281,"SOFTWARE ENG. MODELS/METH. &gt; Modeling")</f>
        <v>0</v>
      </c>
      <c r="BV68" s="17">
        <f>COUNTIFS('Prácticas_Revisiones'!$S$2:$S$282,"Sin equivalente en catálogo (APLICAR)",'Prácticas_Revisiones'!$T$2:$T$282,"SOFTWARE ENG. MODELS/METH. &gt; Types of Models")+COUNTIFS('Prácticas_Snowballing'!$AB$2:$AB$281,"Sin equivalente en catálogo (APLICAR)",'Prácticas_Snowballing'!$AC$2:$AC$281,"SOFTWARE ENG. MODELS/METH. &gt; Types of Models")</f>
        <v>0</v>
      </c>
      <c r="BW68" s="17">
        <f>COUNTIFS('Prácticas_Revisiones'!$S$2:$S$282,"Sin equivalente en catálogo (APLICAR)",'Prácticas_Revisiones'!$T$2:$T$282,"SOFTWARE ENG. MODELS/METH. &gt; Analysis of Models")+COUNTIFS('Prácticas_Snowballing'!$AB$2:$AB$281,"Sin equivalente en catálogo (APLICAR)",'Prácticas_Snowballing'!$AC$2:$AC$281,"SOFTWARE ENG. MODELS/METH. &gt; Analysis of Models")</f>
        <v>0</v>
      </c>
      <c r="BX68" s="17">
        <f>COUNTIFS('Prácticas_Revisiones'!$S$2:$S$282,"Sin equivalente en catálogo (APLICAR)",'Prácticas_Revisiones'!$T$2:$T$282,"SOFTWARE ENG. MODELS/METH. &gt; Software Engineering Methods")+COUNTIFS('Prácticas_Snowballing'!$AB$2:$AB$281,"Sin equivalente en catálogo (APLICAR)",'Prácticas_Snowballing'!$AC$2:$AC$281,"SOFTWARE ENG. MODELS/METH. &gt; Software Engineering Methods")</f>
        <v>0</v>
      </c>
      <c r="BY68" s="17">
        <f>COUNTIFS('Prácticas_Revisiones'!$S$2:$S$282,"Sin equivalente en catálogo (APLICAR)",'Prácticas_Revisiones'!$T$2:$T$282,"SOFTWARE ENG. MODELS/METH. &gt; Subárea no determinable")+COUNTIFS('Prácticas_Snowballing'!$AB$2:$AB$281,"Sin equivalente en catálogo (APLICAR)",'Prácticas_Snowballing'!$AC$2:$AC$281,"SOFTWARE ENG. MODELS/METH. &gt; Subárea no determinable")</f>
        <v>0</v>
      </c>
      <c r="BZ68" s="29">
        <f t="shared" si="44"/>
        <v>0</v>
      </c>
      <c r="CA68" s="17">
        <f>COUNTIFS('Prácticas_Revisiones'!$S$2:$S$282,"Sin equivalente en catálogo (APLICAR)",'Prácticas_Revisiones'!$T$2:$T$282,"SOFTWARE QUALITY &gt; Software Quality Fundamentals")+COUNTIFS('Prácticas_Snowballing'!$AB$2:$AB$281,"Sin equivalente en catálogo (APLICAR)",'Prácticas_Snowballing'!$AC$2:$AC$281,"SOFTWARE QUALITY &gt; Software Quality Fundamentals")</f>
        <v>0</v>
      </c>
      <c r="CB68" s="17">
        <f>COUNTIFS('Prácticas_Revisiones'!$S$2:$S$282,"Sin equivalente en catálogo (APLICAR)",'Prácticas_Revisiones'!$T$2:$T$282,"SOFTWARE QUALITY &gt; Software Quality Management Process")+COUNTIFS('Prácticas_Snowballing'!$AB$2:$AB$281,"Sin equivalente en catálogo (APLICAR)",'Prácticas_Snowballing'!$AC$2:$AC$281,"SOFTWARE QUALITY &gt; Software Quality Management Process")</f>
        <v>0</v>
      </c>
      <c r="CC68" s="17">
        <f>COUNTIFS('Prácticas_Revisiones'!$S$2:$S$282,"Sin equivalente en catálogo (APLICAR)",'Prácticas_Revisiones'!$T$2:$T$282,"SOFTWARE QUALITY &gt; Software Quality Assurance Process")+COUNTIFS('Prácticas_Snowballing'!$AB$2:$AB$281,"Sin equivalente en catálogo (APLICAR)",'Prácticas_Snowballing'!$AC$2:$AC$281,"SOFTWARE QUALITY &gt; Software Quality Assurance Process")</f>
        <v>0</v>
      </c>
      <c r="CD68" s="17">
        <f>COUNTIFS('Prácticas_Revisiones'!$S$2:$S$282,"Sin equivalente en catálogo (APLICAR)",'Prácticas_Revisiones'!$T$2:$T$282,"SOFTWARE QUALITY &gt; Software Quality Tools")+COUNTIFS('Prácticas_Snowballing'!$AB$2:$AB$281,"Sin equivalente en catálogo (APLICAR)",'Prácticas_Snowballing'!$AC$2:$AC$281,"SOFTWARE QUALITY &gt; Software Quality Tools")</f>
        <v>0</v>
      </c>
      <c r="CE68" s="17">
        <f>COUNTIFS('Prácticas_Revisiones'!$S$2:$S$282,"Sin equivalente en catálogo (APLICAR)",'Prácticas_Revisiones'!$T$2:$T$282,"SOFTWARE QUALITY &gt; Subárea no determinable")+COUNTIFS('Prácticas_Snowballing'!$AB$2:$AB$281,"Sin equivalente en catálogo (APLICAR)",'Prácticas_Snowballing'!$AC$2:$AC$281,"SOFTWARE QUALITY &gt; Subárea no determinable")</f>
        <v>0</v>
      </c>
      <c r="CF68" s="29">
        <f t="shared" si="45"/>
        <v>0</v>
      </c>
      <c r="CG68" s="17">
        <f>COUNTIFS('Prácticas_Revisiones'!$S$2:$S$282,"Sin equivalente en catálogo (APLICAR)",'Prácticas_Revisiones'!$T$2:$T$282,"SOFTWARE SECURITY &gt; Software Security Fundamentals")+COUNTIFS('Prácticas_Snowballing'!$AB$2:$AB$281,"Sin equivalente en catálogo (APLICAR)",'Prácticas_Snowballing'!$AC$2:$AC$281,"SOFTWARE SECURITY &gt; Software Security Fundamentals")</f>
        <v>0</v>
      </c>
      <c r="CH68" s="17">
        <f>COUNTIFS('Prácticas_Revisiones'!$S$2:$S$282,"Sin equivalente en catálogo (APLICAR)",'Prácticas_Revisiones'!$T$2:$T$282,"SOFTWARE SECURITY &gt; Security Management and Organization")+COUNTIFS('Prácticas_Snowballing'!$AB$2:$AB$281,"Sin equivalente en catálogo (APLICAR)",'Prácticas_Snowballing'!$AC$2:$AC$281,"SOFTWARE SECURITY &gt; Security Management and Organization")</f>
        <v>0</v>
      </c>
      <c r="CI68" s="17">
        <f>COUNTIFS('Prácticas_Revisiones'!$S$2:$S$282,"Sin equivalente en catálogo (APLICAR)",'Prácticas_Revisiones'!$T$2:$T$282,"SOFTWARE SECURITY &gt; Software Security Engineering and Process")+COUNTIFS('Prácticas_Snowballing'!$AB$2:$AB$281,"Sin equivalente en catálogo (APLICAR)",'Prácticas_Snowballing'!$AC$2:$AC$281,"SOFTWARE SECURITY &gt; Software Security Engineering and Process")</f>
        <v>0</v>
      </c>
      <c r="CJ68" s="17">
        <f>COUNTIFS('Prácticas_Revisiones'!$S$2:$S$282,"Sin equivalente en catálogo (APLICAR)",'Prácticas_Revisiones'!$T$2:$T$282,"SOFTWARE SECURITY &gt; Security Engineering for Software Systems")+COUNTIFS('Prácticas_Snowballing'!$AB$2:$AB$281,"Sin equivalente en catálogo (APLICAR)",'Prácticas_Snowballing'!$AC$2:$AC$281,"SOFTWARE SECURITY &gt; Security Engineering for Software Systems")</f>
        <v>0</v>
      </c>
      <c r="CK68" s="17">
        <f>COUNTIFS('Prácticas_Revisiones'!$S$2:$S$282,"Sin equivalente en catálogo (APLICAR)",'Prácticas_Revisiones'!$T$2:$T$282,"SOFTWARE SECURITY &gt; Software Security Tools")+COUNTIFS('Prácticas_Snowballing'!$AB$2:$AB$281,"Sin equivalente en catálogo (APLICAR)",'Prácticas_Snowballing'!$AC$2:$AC$281,"SOFTWARE SECURITY &gt; Software Security Tools")</f>
        <v>0</v>
      </c>
      <c r="CL68" s="17">
        <f>COUNTIFS('Prácticas_Revisiones'!$S$2:$S$282,"Sin equivalente en catálogo (APLICAR)",'Prácticas_Revisiones'!$T$2:$T$282,"SOFTWARE SECURITY &gt; Domain Specific Software Security")+COUNTIFS('Prácticas_Snowballing'!$AB$2:$AB$281,"Sin equivalente en catálogo (APLICAR)",'Prácticas_Snowballing'!$AC$2:$AC$281,"SOFTWARE SECURITY &gt; Domain Specific Software Security")</f>
        <v>0</v>
      </c>
      <c r="CM68" s="17">
        <f>COUNTIFS('Prácticas_Revisiones'!$S$2:$S$282,"Sin equivalente en catálogo (APLICAR)",'Prácticas_Revisiones'!$T$2:$T$282,"SOFTWARE SECURITY &gt; Subárea no determinable")+COUNTIFS('Prácticas_Snowballing'!$AB$2:$AB$281,"Sin equivalente en catálogo (APLICAR)",'Prácticas_Snowballing'!$AC$2:$AC$281,"SOFTWARE SECURITY &gt; Subárea no determinable")</f>
        <v>0</v>
      </c>
      <c r="CN68" s="29">
        <f t="shared" si="46"/>
        <v>0</v>
      </c>
      <c r="CO68" s="17">
        <f>COUNTIFS('Prácticas_Revisiones'!$S$2:$S$282,"Sin equivalente en catálogo (APLICAR)",'Prácticas_Revisiones'!$T$2:$T$282,"PROFESSIONAL PRACTICE &gt; Professionalism")+COUNTIFS('Prácticas_Snowballing'!$AB$2:$AB$281,"Sin equivalente en catálogo (APLICAR)",'Prácticas_Snowballing'!$AC$2:$AC$281,"PROFESSIONAL PRACTICE &gt; Professionalism")</f>
        <v>0</v>
      </c>
      <c r="CP68" s="17">
        <f>COUNTIFS('Prácticas_Revisiones'!$S$2:$S$282,"Sin equivalente en catálogo (APLICAR)",'Prácticas_Revisiones'!$T$2:$T$282,"PROFESSIONAL PRACTICE &gt; Group Dynamics and Psychology")+COUNTIFS('Prácticas_Snowballing'!$AB$2:$AB$281,"Sin equivalente en catálogo (APLICAR)",'Prácticas_Snowballing'!$AC$2:$AC$281,"PROFESSIONAL PRACTICE &gt; Group Dynamics and Psychology")</f>
        <v>0</v>
      </c>
      <c r="CQ68" s="17">
        <f>COUNTIFS('Prácticas_Revisiones'!$S$2:$S$282,"Sin equivalente en catálogo (APLICAR)",'Prácticas_Revisiones'!$T$2:$T$282,"PROFESSIONAL PRACTICE &gt; Communication Skills")+COUNTIFS('Prácticas_Snowballing'!$AB$2:$AB$281,"Sin equivalente en catálogo (APLICAR)",'Prácticas_Snowballing'!$AC$2:$AC$281,"PROFESSIONAL PRACTICE &gt; Communication Skills")</f>
        <v>0</v>
      </c>
      <c r="CR68" s="17">
        <f>COUNTIFS('Prácticas_Revisiones'!$S$2:$S$282,"Sin equivalente en catálogo (APLICAR)",'Prácticas_Revisiones'!$T$2:$T$282,"PROFESSIONAL PRACTICE &gt; Subárea no determinable")+COUNTIFS('Prácticas_Snowballing'!$AB$2:$AB$281,"Sin equivalente en catálogo (APLICAR)",'Prácticas_Snowballing'!$AC$2:$AC$281,"PROFESSIONAL PRACTICE &gt; Subárea no determinable")</f>
        <v>0</v>
      </c>
      <c r="CS68" s="29">
        <f t="shared" si="47"/>
        <v>0</v>
      </c>
      <c r="CT68" s="17">
        <f>COUNTIFS('Prácticas_Revisiones'!$S$2:$S$282,"Sin equivalente en catálogo (APLICAR)",'Prácticas_Revisiones'!$T$2:$T$282,"SOFTWARE ENG. ECONOMICS &gt; Software Engineering Economics Fundamentals")+COUNTIFS('Prácticas_Snowballing'!$AB$2:$AB$281,"Sin equivalente en catálogo (APLICAR)",'Prácticas_Snowballing'!$AC$2:$AC$281,"SOFTWARE ENG. ECONOMICS &gt; Software Engineering Economics Fundamentals")</f>
        <v>0</v>
      </c>
      <c r="CU68" s="17">
        <f>COUNTIFS('Prácticas_Revisiones'!$S$2:$S$282,"Sin equivalente en catálogo (APLICAR)",'Prácticas_Revisiones'!$T$2:$T$282,"SOFTWARE ENG. ECONOMICS &gt; The Engineering Decision-Making Process")+COUNTIFS('Prácticas_Snowballing'!$AB$2:$AB$281,"Sin equivalente en catálogo (APLICAR)",'Prácticas_Snowballing'!$AC$2:$AC$281,"SOFTWARE ENG. ECONOMICS &gt; The Engineering Decision-Making Process")</f>
        <v>0</v>
      </c>
      <c r="CV68" s="17">
        <f>COUNTIFS('Prácticas_Revisiones'!$S$2:$S$282,"Sin equivalente en catálogo (APLICAR)",'Prácticas_Revisiones'!$T$2:$T$282,"SOFTWARE ENG. ECONOMICS &gt; For-Profit Decision-Making")+COUNTIFS('Prácticas_Snowballing'!$AB$2:$AB$281,"Sin equivalente en catálogo (APLICAR)",'Prácticas_Snowballing'!$AC$2:$AC$281,"SOFTWARE ENG. ECONOMICS &gt; For-Profit Decision-Making")</f>
        <v>0</v>
      </c>
      <c r="CW68" s="17">
        <f>COUNTIFS('Prácticas_Revisiones'!$S$2:$S$282,"Sin equivalente en catálogo (APLICAR)",'Prácticas_Revisiones'!$T$2:$T$282,"SOFTWARE ENG. ECONOMICS &gt; Nonprofit Decision-Making")+COUNTIFS('Prácticas_Snowballing'!$AB$2:$AB$281,"Sin equivalente en catálogo (APLICAR)",'Prácticas_Snowballing'!$AC$2:$AC$281,"SOFTWARE ENG. ECONOMICS &gt; Nonprofit Decision-Making")</f>
        <v>0</v>
      </c>
      <c r="CX68" s="17">
        <f>COUNTIFS('Prácticas_Revisiones'!$S$2:$S$282,"Sin equivalente en catálogo (APLICAR)",'Prácticas_Revisiones'!$T$2:$T$282,"SOFTWARE ENG. ECONOMICS &gt; Present Economy Decision-Making")+COUNTIFS('Prácticas_Snowballing'!$AB$2:$AB$281,"Sin equivalente en catálogo (APLICAR)",'Prácticas_Snowballing'!$AC$2:$AC$281,"SOFTWARE ENG. ECONOMICS &gt; Present Economy Decision-Making")</f>
        <v>0</v>
      </c>
      <c r="CY68" s="17">
        <f>COUNTIFS('Prácticas_Revisiones'!$S$2:$S$282,"Sin equivalente en catálogo (APLICAR)",'Prácticas_Revisiones'!$T$2:$T$282,"SOFTWARE ENG. ECONOMICS &gt; Multiple-Attribute Decision-Making")+COUNTIFS('Prácticas_Snowballing'!$AB$2:$AB$281,"Sin equivalente en catálogo (APLICAR)",'Prácticas_Snowballing'!$AC$2:$AC$281,"SOFTWARE ENG. ECONOMICS &gt; Multiple-Attribute Decision-Making")</f>
        <v>0</v>
      </c>
      <c r="CZ68" s="17">
        <f>COUNTIFS('Prácticas_Revisiones'!$S$2:$S$282,"Sin equivalente en catálogo (APLICAR)",'Prácticas_Revisiones'!$T$2:$T$282,"SOFTWARE ENG. ECONOMICS &gt; Identifying and Characterizing Intangible Assets")+COUNTIFS('Prácticas_Snowballing'!$AB$2:$AB$281,"Sin equivalente en catálogo (APLICAR)",'Prácticas_Snowballing'!$AC$2:$AC$281,"SOFTWARE ENG. ECONOMICS &gt; Identifying and Characterizing Intangible Assets")</f>
        <v>0</v>
      </c>
      <c r="DA68" s="17">
        <f>COUNTIFS('Prácticas_Revisiones'!$S$2:$S$282,"Sin equivalente en catálogo (APLICAR)",'Prácticas_Revisiones'!$T$2:$T$282,"SOFTWARE ENG. ECONOMICS &gt; Estimation")+COUNTIFS('Prácticas_Snowballing'!$AB$2:$AB$281,"Sin equivalente en catálogo (APLICAR)",'Prácticas_Snowballing'!$AC$2:$AC$281,"SOFTWARE ENG. ECONOMICS &gt; Estimation")</f>
        <v>0</v>
      </c>
      <c r="DB68" s="17">
        <f>COUNTIFS('Prácticas_Revisiones'!$S$2:$S$282,"Sin equivalente en catálogo (APLICAR)",'Prácticas_Revisiones'!$T$2:$T$282,"SOFTWARE ENG. ECONOMICS &gt; Practical Considerations")+COUNTIFS('Prácticas_Snowballing'!$AB$2:$AB$281,"Sin equivalente en catálogo (APLICAR)",'Prácticas_Snowballing'!$AC$2:$AC$281,"SOFTWARE ENG. ECONOMICS &gt; Practical Considerations")</f>
        <v>0</v>
      </c>
      <c r="DC68" s="17">
        <f>COUNTIFS('Prácticas_Revisiones'!$S$2:$S$282,"Sin equivalente en catálogo (APLICAR)",'Prácticas_Revisiones'!$T$2:$T$282,"SOFTWARE ENG. ECONOMICS &gt; Related Concepts")+COUNTIFS('Prácticas_Snowballing'!$AB$2:$AB$281,"Sin equivalente en catálogo (APLICAR)",'Prácticas_Snowballing'!$AC$2:$AC$281,"SOFTWARE ENG. ECONOMICS &gt; Related Concepts")</f>
        <v>0</v>
      </c>
      <c r="DD68" s="17">
        <f>COUNTIFS('Prácticas_Revisiones'!$S$2:$S$282,"Sin equivalente en catálogo (APLICAR)",'Prácticas_Revisiones'!$T$2:$T$282,"SOFTWARE ENG. ECONOMICS &gt; Subárea no determinable")+COUNTIFS('Prácticas_Snowballing'!$AB$2:$AB$281,"Sin equivalente en catálogo (APLICAR)",'Prácticas_Snowballing'!$AC$2:$AC$281,"SOFTWARE ENG. ECONOMICS &gt; Subárea no determinable")</f>
        <v>0</v>
      </c>
      <c r="DE68" s="29">
        <f t="shared" si="48"/>
        <v>0</v>
      </c>
      <c r="DF68" s="17">
        <f>COUNTIFS('Prácticas_Revisiones'!$S$2:$S$282,"Sin equivalente en catálogo (APLICAR)",'Prácticas_Revisiones'!$T$2:$T$282,"SOFTWARE ENG. MANAGEMENT &gt; Software Engineering Management Fundamentals")+COUNTIFS('Prácticas_Snowballing'!$AB$2:$AB$281,"Sin equivalente en catálogo (APLICAR)",'Prácticas_Snowballing'!$AC$2:$AC$281,"SOFTWARE ENG. MANAGEMENT &gt; Software Engineering Management Fundamentals")</f>
        <v>0</v>
      </c>
      <c r="DG68" s="17">
        <f>COUNTIFS('Prácticas_Revisiones'!$S$2:$S$282,"Sin equivalente en catálogo (APLICAR)",'Prácticas_Revisiones'!$T$2:$T$282,"SOFTWARE ENG. MANAGEMENT &gt; Initiation and Scope Definition")+COUNTIFS('Prácticas_Snowballing'!$AB$2:$AB$281,"Sin equivalente en catálogo (APLICAR)",'Prácticas_Snowballing'!$AC$2:$AC$281,"SOFTWARE ENG. MANAGEMENT &gt; Initiation and Scope Definition")</f>
        <v>0</v>
      </c>
      <c r="DH68" s="17">
        <f>COUNTIFS('Prácticas_Revisiones'!$S$2:$S$282,"Sin equivalente en catálogo (APLICAR)",'Prácticas_Revisiones'!$T$2:$T$282,"SOFTWARE ENG. MANAGEMENT &gt; Software Project Planning")+COUNTIFS('Prácticas_Snowballing'!$AB$2:$AB$281,"Sin equivalente en catálogo (APLICAR)",'Prácticas_Snowballing'!$AC$2:$AC$281,"SOFTWARE ENG. MANAGEMENT &gt; Software Project Planning")</f>
        <v>0</v>
      </c>
      <c r="DI68" s="17">
        <f>COUNTIFS('Prácticas_Revisiones'!$S$2:$S$282,"Sin equivalente en catálogo (APLICAR)",'Prácticas_Revisiones'!$T$2:$T$282,"SOFTWARE ENG. MANAGEMENT &gt; Software Project Enactment")+COUNTIFS('Prácticas_Snowballing'!$AB$2:$AB$281,"Sin equivalente en catálogo (APLICAR)",'Prácticas_Snowballing'!$AC$2:$AC$281,"SOFTWARE ENG. MANAGEMENT &gt; Software Project Enactment")</f>
        <v>0</v>
      </c>
      <c r="DJ68" s="17">
        <f>COUNTIFS('Prácticas_Revisiones'!$S$2:$S$282,"Sin equivalente en catálogo (APLICAR)",'Prácticas_Revisiones'!$T$2:$T$282,"SOFTWARE ENG. MANAGEMENT &gt; Review and Evaluation")+COUNTIFS('Prácticas_Snowballing'!$AB$2:$AB$281,"Sin equivalente en catálogo (APLICAR)",'Prácticas_Snowballing'!$AC$2:$AC$281,"SOFTWARE ENG. MANAGEMENT &gt; Review and Evaluation")</f>
        <v>0</v>
      </c>
      <c r="DK68" s="17">
        <f>COUNTIFS('Prácticas_Revisiones'!$S$2:$S$282,"Sin equivalente en catálogo (APLICAR)",'Prácticas_Revisiones'!$T$2:$T$282,"SOFTWARE ENG. MANAGEMENT &gt; Closure")+COUNTIFS('Prácticas_Snowballing'!$AB$2:$AB$281,"Sin equivalente en catálogo (APLICAR)",'Prácticas_Snowballing'!$AC$2:$AC$281,"SOFTWARE ENG. MANAGEMENT &gt; Closure")</f>
        <v>0</v>
      </c>
      <c r="DL68" s="17">
        <f>COUNTIFS('Prácticas_Revisiones'!$S$2:$S$282,"Sin equivalente en catálogo (APLICAR)",'Prácticas_Revisiones'!$T$2:$T$282,"SOFTWARE ENG. MANAGEMENT &gt; Software Engineering Management Tools")+COUNTIFS('Prácticas_Snowballing'!$AB$2:$AB$281,"Sin equivalente en catálogo (APLICAR)",'Prácticas_Snowballing'!$AC$2:$AC$281,"SOFTWARE ENG. MANAGEMENT &gt; Software Engineering Management Tools")</f>
        <v>0</v>
      </c>
      <c r="DM68" s="17">
        <f>COUNTIFS('Prácticas_Revisiones'!$S$2:$S$282,"Sin equivalente en catálogo (APLICAR)",'Prácticas_Revisiones'!$T$2:$T$282,"SOFTWARE ENG. MANAGEMENT &gt; Subárea no determinable")+COUNTIFS('Prácticas_Snowballing'!$AB$2:$AB$281,"Sin equivalente en catálogo (APLICAR)",'Prácticas_Snowballing'!$AC$2:$AC$281,"SOFTWARE ENG. MANAGEMENT &gt; Subárea no determinable")</f>
        <v>0</v>
      </c>
      <c r="DN68" s="29">
        <f t="shared" si="49"/>
        <v>0</v>
      </c>
      <c r="DO68" s="17">
        <f>COUNTIFS('Prácticas_Revisiones'!$S$2:$S$282,"Sin equivalente en catálogo (APLICAR)",'Prácticas_Revisiones'!$T$2:$T$282,"Sin área SWEBOK")+COUNTIFS('Prácticas_Snowballing'!$AB$2:$AB$281,"Sin equivalente en catálogo (APLICAR)",'Prácticas_Snowballing'!$AC$2:$AC$281,"Sin área SWEBOK")</f>
        <v>0</v>
      </c>
      <c r="DP68" s="27">
        <f t="shared" si="50"/>
        <v>0</v>
      </c>
    </row>
    <row r="69" ht="15.75" customHeight="1">
      <c r="A69" s="35" t="s">
        <v>2871</v>
      </c>
      <c r="B69" s="20"/>
      <c r="C69" s="29">
        <f t="shared" ref="C69:DP69" si="51">SUM(C41:C68)</f>
        <v>0</v>
      </c>
      <c r="D69" s="29">
        <f t="shared" si="51"/>
        <v>5</v>
      </c>
      <c r="E69" s="29">
        <f t="shared" si="51"/>
        <v>0</v>
      </c>
      <c r="F69" s="29">
        <f t="shared" si="51"/>
        <v>2</v>
      </c>
      <c r="G69" s="29">
        <f t="shared" si="51"/>
        <v>0</v>
      </c>
      <c r="H69" s="29">
        <f t="shared" si="51"/>
        <v>0</v>
      </c>
      <c r="I69" s="29">
        <f t="shared" si="51"/>
        <v>0</v>
      </c>
      <c r="J69" s="29">
        <f t="shared" si="51"/>
        <v>0</v>
      </c>
      <c r="K69" s="29">
        <f t="shared" si="51"/>
        <v>0</v>
      </c>
      <c r="L69" s="29">
        <f t="shared" si="51"/>
        <v>7</v>
      </c>
      <c r="M69" s="29">
        <f t="shared" si="51"/>
        <v>0</v>
      </c>
      <c r="N69" s="29">
        <f t="shared" si="51"/>
        <v>0</v>
      </c>
      <c r="O69" s="29">
        <f t="shared" si="51"/>
        <v>0</v>
      </c>
      <c r="P69" s="29">
        <f t="shared" si="51"/>
        <v>0</v>
      </c>
      <c r="Q69" s="29">
        <f t="shared" si="51"/>
        <v>0</v>
      </c>
      <c r="R69" s="29">
        <f t="shared" si="51"/>
        <v>0</v>
      </c>
      <c r="S69" s="29">
        <f t="shared" si="51"/>
        <v>2</v>
      </c>
      <c r="T69" s="29">
        <f t="shared" si="51"/>
        <v>0</v>
      </c>
      <c r="U69" s="29">
        <f t="shared" si="51"/>
        <v>0</v>
      </c>
      <c r="V69" s="29">
        <f t="shared" si="51"/>
        <v>0</v>
      </c>
      <c r="W69" s="29">
        <f t="shared" si="51"/>
        <v>1</v>
      </c>
      <c r="X69" s="29">
        <f t="shared" si="51"/>
        <v>0</v>
      </c>
      <c r="Y69" s="29">
        <f t="shared" si="51"/>
        <v>0</v>
      </c>
      <c r="Z69" s="29">
        <f t="shared" si="51"/>
        <v>3</v>
      </c>
      <c r="AA69" s="29">
        <f t="shared" si="51"/>
        <v>76</v>
      </c>
      <c r="AB69" s="29">
        <f t="shared" si="51"/>
        <v>3</v>
      </c>
      <c r="AC69" s="29">
        <f t="shared" si="51"/>
        <v>63</v>
      </c>
      <c r="AD69" s="29">
        <f t="shared" si="51"/>
        <v>30</v>
      </c>
      <c r="AE69" s="29">
        <f t="shared" si="51"/>
        <v>22</v>
      </c>
      <c r="AF69" s="29">
        <f t="shared" si="51"/>
        <v>4</v>
      </c>
      <c r="AG69" s="29">
        <f t="shared" si="51"/>
        <v>198</v>
      </c>
      <c r="AH69" s="29">
        <f t="shared" si="51"/>
        <v>0</v>
      </c>
      <c r="AI69" s="29">
        <f t="shared" si="51"/>
        <v>0</v>
      </c>
      <c r="AJ69" s="29">
        <f t="shared" si="51"/>
        <v>7</v>
      </c>
      <c r="AK69" s="29">
        <f t="shared" si="51"/>
        <v>2</v>
      </c>
      <c r="AL69" s="29">
        <f t="shared" si="51"/>
        <v>0</v>
      </c>
      <c r="AM69" s="29">
        <f t="shared" si="51"/>
        <v>0</v>
      </c>
      <c r="AN69" s="29">
        <f t="shared" si="51"/>
        <v>0</v>
      </c>
      <c r="AO69" s="29">
        <f t="shared" si="51"/>
        <v>1</v>
      </c>
      <c r="AP69" s="29">
        <f t="shared" si="51"/>
        <v>0</v>
      </c>
      <c r="AQ69" s="29">
        <f t="shared" si="51"/>
        <v>10</v>
      </c>
      <c r="AR69" s="29">
        <f t="shared" si="51"/>
        <v>0</v>
      </c>
      <c r="AS69" s="29">
        <f t="shared" si="51"/>
        <v>0</v>
      </c>
      <c r="AT69" s="29">
        <f t="shared" si="51"/>
        <v>0</v>
      </c>
      <c r="AU69" s="29">
        <f t="shared" si="51"/>
        <v>0</v>
      </c>
      <c r="AV69" s="29">
        <f t="shared" si="51"/>
        <v>0</v>
      </c>
      <c r="AW69" s="29">
        <f t="shared" si="51"/>
        <v>0</v>
      </c>
      <c r="AX69" s="29">
        <f t="shared" si="51"/>
        <v>0</v>
      </c>
      <c r="AY69" s="29">
        <f t="shared" si="51"/>
        <v>0</v>
      </c>
      <c r="AZ69" s="29">
        <f t="shared" si="51"/>
        <v>0</v>
      </c>
      <c r="BA69" s="29">
        <f t="shared" si="51"/>
        <v>0</v>
      </c>
      <c r="BB69" s="29">
        <f t="shared" si="51"/>
        <v>0</v>
      </c>
      <c r="BC69" s="29">
        <f t="shared" si="51"/>
        <v>4</v>
      </c>
      <c r="BD69" s="29">
        <f t="shared" si="51"/>
        <v>0</v>
      </c>
      <c r="BE69" s="29">
        <f t="shared" si="51"/>
        <v>0</v>
      </c>
      <c r="BF69" s="29">
        <f t="shared" si="51"/>
        <v>4</v>
      </c>
      <c r="BG69" s="29">
        <f t="shared" si="51"/>
        <v>0</v>
      </c>
      <c r="BH69" s="29">
        <f t="shared" si="51"/>
        <v>0</v>
      </c>
      <c r="BI69" s="29">
        <f t="shared" si="51"/>
        <v>1</v>
      </c>
      <c r="BJ69" s="29">
        <f t="shared" si="51"/>
        <v>0</v>
      </c>
      <c r="BK69" s="29">
        <f t="shared" si="51"/>
        <v>0</v>
      </c>
      <c r="BL69" s="29">
        <f t="shared" si="51"/>
        <v>0</v>
      </c>
      <c r="BM69" s="29">
        <f t="shared" si="51"/>
        <v>0</v>
      </c>
      <c r="BN69" s="29">
        <f t="shared" si="51"/>
        <v>0</v>
      </c>
      <c r="BO69" s="29">
        <f t="shared" si="51"/>
        <v>1</v>
      </c>
      <c r="BP69" s="29">
        <f t="shared" si="51"/>
        <v>0</v>
      </c>
      <c r="BQ69" s="29">
        <f t="shared" si="51"/>
        <v>1</v>
      </c>
      <c r="BR69" s="29">
        <f t="shared" si="51"/>
        <v>0</v>
      </c>
      <c r="BS69" s="29">
        <f t="shared" si="51"/>
        <v>0</v>
      </c>
      <c r="BT69" s="29">
        <f t="shared" si="51"/>
        <v>1</v>
      </c>
      <c r="BU69" s="29">
        <f t="shared" si="51"/>
        <v>2</v>
      </c>
      <c r="BV69" s="29">
        <f t="shared" si="51"/>
        <v>0</v>
      </c>
      <c r="BW69" s="29">
        <f t="shared" si="51"/>
        <v>0</v>
      </c>
      <c r="BX69" s="29">
        <f t="shared" si="51"/>
        <v>0</v>
      </c>
      <c r="BY69" s="29">
        <f t="shared" si="51"/>
        <v>0</v>
      </c>
      <c r="BZ69" s="29">
        <f t="shared" si="51"/>
        <v>2</v>
      </c>
      <c r="CA69" s="29">
        <f t="shared" si="51"/>
        <v>0</v>
      </c>
      <c r="CB69" s="29">
        <f t="shared" si="51"/>
        <v>0</v>
      </c>
      <c r="CC69" s="29">
        <f t="shared" si="51"/>
        <v>5</v>
      </c>
      <c r="CD69" s="29">
        <f t="shared" si="51"/>
        <v>0</v>
      </c>
      <c r="CE69" s="29">
        <f t="shared" si="51"/>
        <v>0</v>
      </c>
      <c r="CF69" s="29">
        <f t="shared" si="51"/>
        <v>5</v>
      </c>
      <c r="CG69" s="29">
        <f t="shared" si="51"/>
        <v>0</v>
      </c>
      <c r="CH69" s="29">
        <f t="shared" si="51"/>
        <v>0</v>
      </c>
      <c r="CI69" s="29">
        <f t="shared" si="51"/>
        <v>1</v>
      </c>
      <c r="CJ69" s="29">
        <f t="shared" si="51"/>
        <v>1</v>
      </c>
      <c r="CK69" s="29">
        <f t="shared" si="51"/>
        <v>0</v>
      </c>
      <c r="CL69" s="29">
        <f t="shared" si="51"/>
        <v>0</v>
      </c>
      <c r="CM69" s="29">
        <f t="shared" si="51"/>
        <v>0</v>
      </c>
      <c r="CN69" s="29">
        <f t="shared" si="51"/>
        <v>2</v>
      </c>
      <c r="CO69" s="29">
        <f t="shared" si="51"/>
        <v>0</v>
      </c>
      <c r="CP69" s="29">
        <f t="shared" si="51"/>
        <v>2</v>
      </c>
      <c r="CQ69" s="29">
        <f t="shared" si="51"/>
        <v>3</v>
      </c>
      <c r="CR69" s="29">
        <f t="shared" si="51"/>
        <v>1</v>
      </c>
      <c r="CS69" s="29">
        <f t="shared" si="51"/>
        <v>6</v>
      </c>
      <c r="CT69" s="29">
        <f t="shared" si="51"/>
        <v>0</v>
      </c>
      <c r="CU69" s="29">
        <f t="shared" si="51"/>
        <v>0</v>
      </c>
      <c r="CV69" s="29">
        <f t="shared" si="51"/>
        <v>0</v>
      </c>
      <c r="CW69" s="29">
        <f t="shared" si="51"/>
        <v>0</v>
      </c>
      <c r="CX69" s="29">
        <f t="shared" si="51"/>
        <v>0</v>
      </c>
      <c r="CY69" s="29">
        <f t="shared" si="51"/>
        <v>0</v>
      </c>
      <c r="CZ69" s="29">
        <f t="shared" si="51"/>
        <v>0</v>
      </c>
      <c r="DA69" s="29">
        <f t="shared" si="51"/>
        <v>0</v>
      </c>
      <c r="DB69" s="29">
        <f t="shared" si="51"/>
        <v>0</v>
      </c>
      <c r="DC69" s="29">
        <f t="shared" si="51"/>
        <v>0</v>
      </c>
      <c r="DD69" s="29">
        <f t="shared" si="51"/>
        <v>0</v>
      </c>
      <c r="DE69" s="29">
        <f t="shared" si="51"/>
        <v>0</v>
      </c>
      <c r="DF69" s="29">
        <f t="shared" si="51"/>
        <v>0</v>
      </c>
      <c r="DG69" s="29">
        <f t="shared" si="51"/>
        <v>0</v>
      </c>
      <c r="DH69" s="29">
        <f t="shared" si="51"/>
        <v>1</v>
      </c>
      <c r="DI69" s="29">
        <f t="shared" si="51"/>
        <v>1</v>
      </c>
      <c r="DJ69" s="29">
        <f t="shared" si="51"/>
        <v>0</v>
      </c>
      <c r="DK69" s="29">
        <f t="shared" si="51"/>
        <v>0</v>
      </c>
      <c r="DL69" s="29">
        <f t="shared" si="51"/>
        <v>0</v>
      </c>
      <c r="DM69" s="29">
        <f t="shared" si="51"/>
        <v>0</v>
      </c>
      <c r="DN69" s="29">
        <f t="shared" si="51"/>
        <v>2</v>
      </c>
      <c r="DO69" s="29">
        <f t="shared" si="51"/>
        <v>2</v>
      </c>
      <c r="DP69" s="29">
        <f t="shared" si="51"/>
        <v>243</v>
      </c>
    </row>
    <row r="70" ht="15.75" customHeight="1">
      <c r="A70" s="15" t="s">
        <v>159</v>
      </c>
      <c r="B70" s="16" t="s">
        <v>2823</v>
      </c>
      <c r="C70" s="17">
        <f>COUNTIFS('Prácticas_Revisiones'!$S$2:$S$282,"T058",'Prácticas_Revisiones'!$T$2:$T$282,"REQUIREMENTS &gt; Software Requirements Fundamentals")+COUNTIFS('Prácticas_Snowballing'!$AB$2:$AB$281,"T058",'Prácticas_Snowballing'!$AC$2:$AC$281,"REQUIREMENTS &gt; Software Requirements Fundamentals")</f>
        <v>0</v>
      </c>
      <c r="D70" s="17">
        <f>COUNTIFS('Prácticas_Revisiones'!$S$2:$S$282,"T058",'Prácticas_Revisiones'!$T$2:$T$282,"REQUIREMENTS &gt; Requirements Elicitation")+COUNTIFS('Prácticas_Snowballing'!$AB$2:$AB$281,"T058",'Prácticas_Snowballing'!$AC$2:$AC$281,"REQUIREMENTS &gt; Requirements Elicitation")</f>
        <v>0</v>
      </c>
      <c r="E70" s="17">
        <f>COUNTIFS('Prácticas_Revisiones'!$S$2:$S$282,"T058",'Prácticas_Revisiones'!$T$2:$T$282,"REQUIREMENTS &gt; Requirements Analysis")+COUNTIFS('Prácticas_Snowballing'!$AB$2:$AB$281,"T058",'Prácticas_Snowballing'!$AC$2:$AC$281,"REQUIREMENTS &gt; Requirements Analysis")</f>
        <v>0</v>
      </c>
      <c r="F70" s="17">
        <f>COUNTIFS('Prácticas_Revisiones'!$S$2:$S$282,"T058",'Prácticas_Revisiones'!$T$2:$T$282,"REQUIREMENTS &gt; Requirements Specification")+COUNTIFS('Prácticas_Snowballing'!$AB$2:$AB$281,"T058",'Prácticas_Snowballing'!$AC$2:$AC$281,"REQUIREMENTS &gt; Requirements Specification")</f>
        <v>0</v>
      </c>
      <c r="G70" s="17">
        <f>COUNTIFS('Prácticas_Revisiones'!$S$2:$S$282,"T058",'Prácticas_Revisiones'!$T$2:$T$282,"REQUIREMENTS &gt; Requirements Validation")+COUNTIFS('Prácticas_Snowballing'!$AB$2:$AB$281,"T058",'Prácticas_Snowballing'!$AC$2:$AC$281,"REQUIREMENTS &gt; Requirements Validation")</f>
        <v>1</v>
      </c>
      <c r="H70" s="17">
        <f>COUNTIFS('Prácticas_Revisiones'!$S$2:$S$282,"T058",'Prácticas_Revisiones'!$T$2:$T$282,"REQUIREMENTS &gt; Requirements Management Activities")+COUNTIFS('Prácticas_Snowballing'!$AB$2:$AB$281,"T058",'Prácticas_Snowballing'!$AC$2:$AC$281,"REQUIREMENTS &gt; Requirements Management Activities")</f>
        <v>0</v>
      </c>
      <c r="I70" s="17">
        <f>COUNTIFS('Prácticas_Revisiones'!$S$2:$S$282,"T058",'Prácticas_Revisiones'!$T$2:$T$282,"REQUIREMENTS &gt; Practical Considerations")+COUNTIFS('Prácticas_Snowballing'!$AB$2:$AB$281,"T058",'Prácticas_Snowballing'!$AC$2:$AC$281,"REQUIREMENTS &gt; Practical Considerations")</f>
        <v>0</v>
      </c>
      <c r="J70" s="17">
        <f>COUNTIFS('Prácticas_Revisiones'!$S$2:$S$282,"T058",'Prácticas_Revisiones'!$T$2:$T$282,"REQUIREMENTS &gt; Software Requirements Tools")+COUNTIFS('Prácticas_Snowballing'!$AB$2:$AB$281,"T058",'Prácticas_Snowballing'!$AC$2:$AC$281,"REQUIREMENTS &gt; Software Requirements Tools")</f>
        <v>0</v>
      </c>
      <c r="K70" s="17">
        <f>COUNTIFS('Prácticas_Revisiones'!$S$2:$S$282,"T058",'Prácticas_Revisiones'!$T$2:$T$282,"REQUIREMENTS &gt; Subárea no determinable")+COUNTIFS('Prácticas_Snowballing'!$AB$2:$AB$281,"T058",'Prácticas_Snowballing'!$AC$2:$AC$281,"REQUIREMENTS &gt; Subárea no determinable")</f>
        <v>0</v>
      </c>
      <c r="L70" s="29">
        <f t="shared" ref="L70:L87" si="52">SUM(C70:K70)</f>
        <v>1</v>
      </c>
      <c r="M70" s="17">
        <f>COUNTIFS('Prácticas_Revisiones'!$S$2:$S$282,"T058",'Prácticas_Revisiones'!$T$2:$T$282,"ARCHITECTURE &gt; Software Architecture Fundamentals")+COUNTIFS('Prácticas_Snowballing'!$AB$2:$AB$281,"T058",'Prácticas_Snowballing'!$AC$2:$AC$281,"ARCHITECTURE &gt; Software Architecture Fundamentals")</f>
        <v>0</v>
      </c>
      <c r="N70" s="17">
        <f>COUNTIFS('Prácticas_Revisiones'!$S$2:$S$282,"T058",'Prácticas_Revisiones'!$T$2:$T$282,"ARCHITECTURE &gt; Software Architecture Description")+COUNTIFS('Prácticas_Snowballing'!$AB$2:$AB$281,"T058",'Prácticas_Snowballing'!$AC$2:$AC$281,"ARCHITECTURE &gt; Software Architecture Description")</f>
        <v>0</v>
      </c>
      <c r="O70" s="17">
        <f>COUNTIFS('Prácticas_Revisiones'!$S$2:$S$282,"T058",'Prácticas_Revisiones'!$T$2:$T$282,"ARCHITECTURE &gt; Software Architecture Process")+COUNTIFS('Prácticas_Snowballing'!$AB$2:$AB$281,"T058",'Prácticas_Snowballing'!$AC$2:$AC$281,"ARCHITECTURE &gt; Software Architecture Process")</f>
        <v>0</v>
      </c>
      <c r="P70" s="17">
        <f>COUNTIFS('Prácticas_Revisiones'!$S$2:$S$282,"T058",'Prácticas_Revisiones'!$T$2:$T$282,"ARCHITECTURE &gt; Software Architecture Evaluation")+COUNTIFS('Prácticas_Snowballing'!$AB$2:$AB$281,"T058",'Prácticas_Snowballing'!$AC$2:$AC$281,"ARCHITECTURE &gt; Software Architecture Evaluation")</f>
        <v>0</v>
      </c>
      <c r="Q70" s="17">
        <f>COUNTIFS('Prácticas_Revisiones'!$S$2:$S$282,"T058",'Prácticas_Revisiones'!$T$2:$T$282,"ARCHITECTURE &gt; Subárea no determinable")+COUNTIFS('Prácticas_Snowballing'!$AB$2:$AB$281,"T058",'Prácticas_Snowballing'!$AC$2:$AC$281,"ARCHITECTURE &gt; Subárea no determinable")</f>
        <v>0</v>
      </c>
      <c r="R70" s="29">
        <f t="shared" ref="R70:R87" si="53">SUM(M70:Q70)</f>
        <v>0</v>
      </c>
      <c r="S70" s="17">
        <f>COUNTIFS('Prácticas_Revisiones'!$S$2:$S$282,"T058",'Prácticas_Revisiones'!$T$2:$T$282,"DESIGN &gt; Software Design Fundamentals")+COUNTIFS('Prácticas_Snowballing'!$AB$2:$AB$281,"T058",'Prácticas_Snowballing'!$AC$2:$AC$281,"DESIGN &gt; Software Design Fundamentals")</f>
        <v>0</v>
      </c>
      <c r="T70" s="17">
        <f>COUNTIFS('Prácticas_Revisiones'!$S$2:$S$282,"T058",'Prácticas_Revisiones'!$T$2:$T$282,"DESIGN &gt; Software Design Processes")+COUNTIFS('Prácticas_Snowballing'!$AB$2:$AB$281,"T058",'Prácticas_Snowballing'!$AC$2:$AC$281,"DESIGN &gt; Software Design Processes")</f>
        <v>0</v>
      </c>
      <c r="U70" s="17">
        <f>COUNTIFS('Prácticas_Revisiones'!$S$2:$S$282,"T058",'Prácticas_Revisiones'!$T$2:$T$282,"DESIGN &gt; Software Design Qualities")+COUNTIFS('Prácticas_Snowballing'!$AB$2:$AB$281,"T058",'Prácticas_Snowballing'!$AC$2:$AC$281,"DESIGN &gt; Software Design Qualities")</f>
        <v>0</v>
      </c>
      <c r="V70" s="17">
        <f>COUNTIFS('Prácticas_Revisiones'!$S$2:$S$282,"T058",'Prácticas_Revisiones'!$T$2:$T$282,"DESIGN &gt; Recording Software Design")+COUNTIFS('Prácticas_Snowballing'!$AB$2:$AB$281,"T058",'Prácticas_Snowballing'!$AC$2:$AC$281,"DESIGN &gt; Recording Software Design")</f>
        <v>0</v>
      </c>
      <c r="W70" s="17">
        <f>COUNTIFS('Prácticas_Revisiones'!$S$2:$S$282,"T058",'Prácticas_Revisiones'!$T$2:$T$282,"DESIGN &gt; Software Design Strategies and Methods")+COUNTIFS('Prácticas_Snowballing'!$AB$2:$AB$281,"T058",'Prácticas_Snowballing'!$AC$2:$AC$281,"DESIGN &gt; Software Design Strategies and Methods")</f>
        <v>0</v>
      </c>
      <c r="X70" s="17">
        <f>COUNTIFS('Prácticas_Revisiones'!$S$2:$S$282,"T058",'Prácticas_Revisiones'!$T$2:$T$282,"DESIGN &gt; Software Design Analysis and Evaluations")+COUNTIFS('Prácticas_Snowballing'!$AB$2:$AB$281,"T058",'Prácticas_Snowballing'!$AC$2:$AC$281,"DESIGN &gt; Software Design Analysis and Evaluations")</f>
        <v>1</v>
      </c>
      <c r="Y70" s="17">
        <f>COUNTIFS('Prácticas_Revisiones'!$S$2:$S$282,"T058",'Prácticas_Revisiones'!$T$2:$T$282,"DESIGN &gt; Subárea no determinable")+COUNTIFS('Prácticas_Snowballing'!$AB$2:$AB$281,"T058",'Prácticas_Snowballing'!$AC$2:$AC$281,"DESIGN &gt; Subárea no determinable")</f>
        <v>0</v>
      </c>
      <c r="Z70" s="29">
        <f t="shared" ref="Z70:Z87" si="54">SUM(S70:Y70)</f>
        <v>1</v>
      </c>
      <c r="AA70" s="17">
        <f>COUNTIFS('Prácticas_Revisiones'!$S$2:$S$282,"T058",'Prácticas_Revisiones'!$T$2:$T$282,"CONSTRUCTION &gt; Software Construction Fundamentals")+COUNTIFS('Prácticas_Snowballing'!$AB$2:$AB$281,"T058",'Prácticas_Snowballing'!$AC$2:$AC$281,"CONSTRUCTION &gt; Software Construction Fundamentals")</f>
        <v>1</v>
      </c>
      <c r="AB70" s="17">
        <f>COUNTIFS('Prácticas_Revisiones'!$S$2:$S$282,"T058",'Prácticas_Revisiones'!$T$2:$T$282,"CONSTRUCTION &gt; Managing Construction")+COUNTIFS('Prácticas_Snowballing'!$AB$2:$AB$281,"T058",'Prácticas_Snowballing'!$AC$2:$AC$281,"CONSTRUCTION &gt; Managing Construction")</f>
        <v>0</v>
      </c>
      <c r="AC70" s="17">
        <f>COUNTIFS('Prácticas_Revisiones'!$S$2:$S$282,"T058",'Prácticas_Revisiones'!$T$2:$T$282,"CONSTRUCTION &gt; Practical Considerations")+COUNTIFS('Prácticas_Snowballing'!$AB$2:$AB$281,"T058",'Prácticas_Snowballing'!$AC$2:$AC$281,"CONSTRUCTION &gt; Practical Considerations")</f>
        <v>2</v>
      </c>
      <c r="AD70" s="17">
        <f>COUNTIFS('Prácticas_Revisiones'!$S$2:$S$282,"T058",'Prácticas_Revisiones'!$T$2:$T$282,"CONSTRUCTION &gt; Construction Technologies")+COUNTIFS('Prácticas_Snowballing'!$AB$2:$AB$281,"T058",'Prácticas_Snowballing'!$AC$2:$AC$281,"CONSTRUCTION &gt; Construction Technologies")</f>
        <v>0</v>
      </c>
      <c r="AE70" s="17">
        <f>COUNTIFS('Prácticas_Revisiones'!$S$2:$S$282,"T058",'Prácticas_Revisiones'!$T$2:$T$282,"CONSTRUCTION &gt; Software Construction Tools")+COUNTIFS('Prácticas_Snowballing'!$AB$2:$AB$281,"T058",'Prácticas_Snowballing'!$AC$2:$AC$281,"CONSTRUCTION &gt; Software Construction Tools")</f>
        <v>0</v>
      </c>
      <c r="AF70" s="17">
        <f>COUNTIFS('Prácticas_Revisiones'!$S$2:$S$282,"T058",'Prácticas_Revisiones'!$T$2:$T$282,"CONSTRUCTION &gt; Subárea no determinable")+COUNTIFS('Prácticas_Snowballing'!$AB$2:$AB$281,"T058",'Prácticas_Snowballing'!$AC$2:$AC$281,"CONSTRUCTION &gt; Subárea no determinable")</f>
        <v>0</v>
      </c>
      <c r="AG70" s="29">
        <f t="shared" ref="AG70:AG87" si="55">SUM(AA70:AF70)</f>
        <v>3</v>
      </c>
      <c r="AH70" s="17">
        <f>COUNTIFS('Prácticas_Revisiones'!$S$2:$S$282,"T058",'Prácticas_Revisiones'!$T$2:$T$282,"SOFTWARE TESTING &gt; Software Testing Fundamentals")+COUNTIFS('Prácticas_Snowballing'!$AB$2:$AB$281,"T058",'Prácticas_Snowballing'!$AC$2:$AC$281,"SOFTWARE TESTING &gt; Software Testing Fundamentals")</f>
        <v>0</v>
      </c>
      <c r="AI70" s="17">
        <f>COUNTIFS('Prácticas_Revisiones'!$S$2:$S$282,"T058",'Prácticas_Revisiones'!$T$2:$T$282,"SOFTWARE TESTING &gt; Test Levels")+COUNTIFS('Prácticas_Snowballing'!$AB$2:$AB$281,"T058",'Prácticas_Snowballing'!$AC$2:$AC$281,"SOFTWARE TESTING &gt; Test Levels")</f>
        <v>0</v>
      </c>
      <c r="AJ70" s="17">
        <f>COUNTIFS('Prácticas_Revisiones'!$S$2:$S$282,"T058",'Prácticas_Revisiones'!$T$2:$T$282,"SOFTWARE TESTING &gt; Test Techniques")+COUNTIFS('Prácticas_Snowballing'!$AB$2:$AB$281,"T058",'Prácticas_Snowballing'!$AC$2:$AC$281,"SOFTWARE TESTING &gt; Test Techniques")</f>
        <v>2</v>
      </c>
      <c r="AK70" s="17">
        <f>COUNTIFS('Prácticas_Revisiones'!$S$2:$S$282,"T058",'Prácticas_Revisiones'!$T$2:$T$282,"SOFTWARE TESTING &gt; Test-Related Measures")+COUNTIFS('Prácticas_Snowballing'!$AB$2:$AB$281,"T058",'Prácticas_Snowballing'!$AC$2:$AC$281,"SOFTWARE TESTING &gt; Test-Related Measures")</f>
        <v>0</v>
      </c>
      <c r="AL70" s="17">
        <f>COUNTIFS('Prácticas_Revisiones'!$S$2:$S$282,"T058",'Prácticas_Revisiones'!$T$2:$T$282,"SOFTWARE TESTING &gt; Test Process")+COUNTIFS('Prácticas_Snowballing'!$AB$2:$AB$281,"T058",'Prácticas_Snowballing'!$AC$2:$AC$281,"SOFTWARE TESTING &gt; Test Process")</f>
        <v>0</v>
      </c>
      <c r="AM70" s="17">
        <f>COUNTIFS('Prácticas_Revisiones'!$S$2:$S$282,"T058",'Prácticas_Revisiones'!$T$2:$T$282,"SOFTWARE TESTING &gt; Software Testing in the Development Processes...")+COUNTIFS('Prácticas_Snowballing'!$AB$2:$AB$281,"T058",'Prácticas_Snowballing'!$AC$2:$AC$281,"SOFTWARE TESTING &gt; Software Testing in the Development Processes...")</f>
        <v>0</v>
      </c>
      <c r="AN70" s="17">
        <f>COUNTIFS('Prácticas_Revisiones'!$S$2:$S$282,"T058",'Prácticas_Revisiones'!$T$2:$T$282,"SOFTWARE TESTING &gt; Testing of and Testing Through Emerging Tech...")+COUNTIFS('Prácticas_Snowballing'!$AB$2:$AB$281,"T058",'Prácticas_Snowballing'!$AC$2:$AC$281,"SOFTWARE TESTING &gt; Testing of and Testing Through Emerging Tech...")</f>
        <v>0</v>
      </c>
      <c r="AO70" s="17">
        <f>COUNTIFS('Prácticas_Revisiones'!$S$2:$S$282,"T058",'Prácticas_Revisiones'!$T$2:$T$282,"SOFTWARE TESTING &gt; Software Testing Tools")+COUNTIFS('Prácticas_Snowballing'!$AB$2:$AB$281,"T058",'Prácticas_Snowballing'!$AC$2:$AC$281,"SOFTWARE TESTING &gt; Software Testing Tools")</f>
        <v>0</v>
      </c>
      <c r="AP70" s="17">
        <f>COUNTIFS('Prácticas_Revisiones'!$S$2:$S$282,"T058",'Prácticas_Revisiones'!$T$2:$T$282,"SOFTWARE TESTING &gt; Subárea no determinable")+COUNTIFS('Prácticas_Snowballing'!$AB$2:$AB$281,"T058",'Prácticas_Snowballing'!$AC$2:$AC$281,"SOFTWARE TESTING &gt; Subárea no determinable")</f>
        <v>0</v>
      </c>
      <c r="AQ70" s="29">
        <f t="shared" ref="AQ70:AQ87" si="56">SUM(AH70:AP70)</f>
        <v>2</v>
      </c>
      <c r="AR70" s="17">
        <f>COUNTIFS('Prácticas_Revisiones'!$S$2:$S$282,"T058",'Prácticas_Revisiones'!$T$2:$T$282,"SOFTWARE ENG. OPERATIONS &gt; Software Engineering Operations Fundamentals")+COUNTIFS('Prácticas_Snowballing'!$AB$2:$AB$281,"T058",'Prácticas_Snowballing'!$AC$2:$AC$281,"SOFTWARE ENG. OPERATIONS &gt; Software Engineering Operations Fundamentals")</f>
        <v>0</v>
      </c>
      <c r="AS70" s="17">
        <f>COUNTIFS('Prácticas_Revisiones'!$S$2:$S$282,"T058",'Prácticas_Revisiones'!$T$2:$T$282,"SOFTWARE ENG. OPERATIONS &gt; Software Engineering Operations Planning")+COUNTIFS('Prácticas_Snowballing'!$AB$2:$AB$281,"T058",'Prácticas_Snowballing'!$AC$2:$AC$281,"SOFTWARE ENG. OPERATIONS &gt; Software Engineering Operations Planning")</f>
        <v>0</v>
      </c>
      <c r="AT70" s="17">
        <f>COUNTIFS('Prácticas_Revisiones'!$S$2:$S$282,"T058",'Prácticas_Revisiones'!$T$2:$T$282,"SOFTWARE ENG. OPERATIONS &gt; Software Engineering Operations Delivery")+COUNTIFS('Prácticas_Snowballing'!$AB$2:$AB$281,"T058",'Prácticas_Snowballing'!$AC$2:$AC$281,"SOFTWARE ENG. OPERATIONS &gt; Software Engineering Operations Delivery")</f>
        <v>0</v>
      </c>
      <c r="AU70" s="17">
        <f>COUNTIFS('Prácticas_Revisiones'!$S$2:$S$282,"T058",'Prácticas_Revisiones'!$T$2:$T$282,"SOFTWARE ENG. OPERATIONS &gt; Software Engineering Operations Control")+COUNTIFS('Prácticas_Snowballing'!$AB$2:$AB$281,"T058",'Prácticas_Snowballing'!$AC$2:$AC$281,"SOFTWARE ENG. OPERATIONS &gt; Software Engineering Operations Control")</f>
        <v>0</v>
      </c>
      <c r="AV70" s="17">
        <f>COUNTIFS('Prácticas_Revisiones'!$S$2:$S$282,"T058",'Prácticas_Revisiones'!$T$2:$T$282,"SOFTWARE ENG. OPERATIONS &gt; Practical Considerations")+COUNTIFS('Prácticas_Snowballing'!$AB$2:$AB$281,"T058",'Prácticas_Snowballing'!$AC$2:$AC$281,"SOFTWARE ENG. OPERATIONS &gt; Practical Considerations")</f>
        <v>0</v>
      </c>
      <c r="AW70" s="17">
        <f>COUNTIFS('Prácticas_Revisiones'!$S$2:$S$282,"T058",'Prácticas_Revisiones'!$T$2:$T$282,"SOFTWARE ENG. OPERATIONS &gt; Software Engineering Operations Tools")+COUNTIFS('Prácticas_Snowballing'!$AB$2:$AB$281,"T058",'Prácticas_Snowballing'!$AC$2:$AC$281,"SOFTWARE ENG. OPERATIONS &gt; Software Engineering Operations Tools")</f>
        <v>0</v>
      </c>
      <c r="AX70" s="17">
        <f>COUNTIFS('Prácticas_Revisiones'!$S$2:$S$282,"T058",'Prácticas_Revisiones'!$T$2:$T$282,"SOFTWARE ENG. OPERATIONS &gt; Subárea no determinable")+COUNTIFS('Prácticas_Snowballing'!$AB$2:$AB$281,"T058",'Prácticas_Snowballing'!$AC$2:$AC$281,"SOFTWARE ENG. OPERATIONS &gt; Subárea no determinable")</f>
        <v>0</v>
      </c>
      <c r="AY70" s="29">
        <f t="shared" ref="AY70:AY87" si="57">SUM(AR70:AX70)</f>
        <v>0</v>
      </c>
      <c r="AZ70" s="17">
        <f>COUNTIFS('Prácticas_Revisiones'!$S$2:$S$282,"T058",'Prácticas_Revisiones'!$T$2:$T$282,"MAINTENANCE &gt; Software Maintenance Fundamentals")+COUNTIFS('Prácticas_Snowballing'!$AB$2:$AB$281,"T058",'Prácticas_Snowballing'!$AC$2:$AC$281,"MAINTENANCE &gt; Software Maintenance Fundamentals")</f>
        <v>0</v>
      </c>
      <c r="BA70" s="17">
        <f>COUNTIFS('Prácticas_Revisiones'!$S$2:$S$282,"T058",'Prácticas_Revisiones'!$T$2:$T$282,"MAINTENANCE &gt; Key Issues in Software Maintenance")+COUNTIFS('Prácticas_Snowballing'!$AB$2:$AB$281,"T058",'Prácticas_Snowballing'!$AC$2:$AC$281,"MAINTENANCE &gt; Key Issues in Software Maintenance")</f>
        <v>0</v>
      </c>
      <c r="BB70" s="17">
        <f>COUNTIFS('Prácticas_Revisiones'!$S$2:$S$282,"T058",'Prácticas_Revisiones'!$T$2:$T$282,"MAINTENANCE &gt; Software Maintenance Processes")+COUNTIFS('Prácticas_Snowballing'!$AB$2:$AB$281,"T058",'Prácticas_Snowballing'!$AC$2:$AC$281,"MAINTENANCE &gt; Software Maintenance Processes")</f>
        <v>0</v>
      </c>
      <c r="BC70" s="17">
        <f>COUNTIFS('Prácticas_Revisiones'!$S$2:$S$282,"T058",'Prácticas_Revisiones'!$T$2:$T$282,"MAINTENANCE &gt; Software Maintenance Techniques")+COUNTIFS('Prácticas_Snowballing'!$AB$2:$AB$281,"T058",'Prácticas_Snowballing'!$AC$2:$AC$281,"MAINTENANCE &gt; Software Maintenance Techniques")</f>
        <v>1</v>
      </c>
      <c r="BD70" s="17">
        <f>COUNTIFS('Prácticas_Revisiones'!$S$2:$S$282,"T058",'Prácticas_Revisiones'!$T$2:$T$282,"MAINTENANCE &gt; Software Maintenance Tools")+COUNTIFS('Prácticas_Snowballing'!$AB$2:$AB$281,"T058",'Prácticas_Snowballing'!$AC$2:$AC$281,"MAINTENANCE &gt; Software Maintenance Tools")</f>
        <v>0</v>
      </c>
      <c r="BE70" s="17">
        <f>COUNTIFS('Prácticas_Revisiones'!$S$2:$S$282,"T058",'Prácticas_Revisiones'!$T$2:$T$282,"MAINTENANCE &gt; Subárea no determinable")+COUNTIFS('Prácticas_Snowballing'!$AB$2:$AB$281,"T058",'Prácticas_Snowballing'!$AC$2:$AC$281,"MAINTENANCE &gt; Subárea no determinable")</f>
        <v>0</v>
      </c>
      <c r="BF70" s="29">
        <f t="shared" ref="BF70:BF87" si="58">SUM(AZ70:BE70)</f>
        <v>1</v>
      </c>
      <c r="BG70" s="17">
        <f>COUNTIFS('Prácticas_Revisiones'!$S$2:$S$282,"T058",'Prácticas_Revisiones'!$T$2:$T$282,"SOFTWARE CONFIG. MGMT. &gt; Management of the SCM Process")+COUNTIFS('Prácticas_Snowballing'!$AB$2:$AB$281,"T058",'Prácticas_Snowballing'!$AC$2:$AC$281,"SOFTWARE CONFIG. MGMT. &gt; Management of the SCM Process")</f>
        <v>0</v>
      </c>
      <c r="BH70" s="17">
        <f>COUNTIFS('Prácticas_Revisiones'!$S$2:$S$282,"T058",'Prácticas_Revisiones'!$T$2:$T$282,"SOFTWARE CONFIG. MGMT. &gt; Software Configuration Identification")+COUNTIFS('Prácticas_Snowballing'!$AB$2:$AB$281,"T058",'Prácticas_Snowballing'!$AC$2:$AC$281,"SOFTWARE CONFIG. MGMT. &gt; Software Configuration Identification")</f>
        <v>0</v>
      </c>
      <c r="BI70" s="17">
        <f>COUNTIFS('Prácticas_Revisiones'!$S$2:$S$282,"T058",'Prácticas_Revisiones'!$T$2:$T$282,"SOFTWARE CONFIG. MGMT. &gt; Software Configuration Change Control")+COUNTIFS('Prácticas_Snowballing'!$AB$2:$AB$281,"T058",'Prácticas_Snowballing'!$AC$2:$AC$281,"SOFTWARE CONFIG. MGMT. &gt; Software Configuration Change Control")</f>
        <v>0</v>
      </c>
      <c r="BJ70" s="17">
        <f>COUNTIFS('Prácticas_Revisiones'!$S$2:$S$282,"T058",'Prácticas_Revisiones'!$T$2:$T$282,"SOFTWARE CONFIG. MGMT. &gt; Software Configuration Status Accounting")+COUNTIFS('Prácticas_Snowballing'!$AB$2:$AB$281,"T058",'Prácticas_Snowballing'!$AC$2:$AC$281,"SOFTWARE CONFIG. MGMT. &gt; Software Configuration Status Accounting")</f>
        <v>0</v>
      </c>
      <c r="BK70" s="17">
        <f>COUNTIFS('Prácticas_Revisiones'!$S$2:$S$282,"T058",'Prácticas_Revisiones'!$T$2:$T$282,"SOFTWARE CONFIG. MGMT. &gt; Software Configuration Auditing")+COUNTIFS('Prácticas_Snowballing'!$AB$2:$AB$281,"T058",'Prácticas_Snowballing'!$AC$2:$AC$281,"SOFTWARE CONFIG. MGMT. &gt; Software Configuration Auditing")</f>
        <v>0</v>
      </c>
      <c r="BL70" s="17">
        <f>COUNTIFS('Prácticas_Revisiones'!$S$2:$S$282,"T058",'Prácticas_Revisiones'!$T$2:$T$282,"SOFTWARE CONFIG. MGMT. &gt; Software Release Management and Delivery")+COUNTIFS('Prácticas_Snowballing'!$AB$2:$AB$281,"T058",'Prácticas_Snowballing'!$AC$2:$AC$281,"SOFTWARE CONFIG. MGMT. &gt; Software Release Management and Delivery")</f>
        <v>0</v>
      </c>
      <c r="BM70" s="17">
        <f>COUNTIFS('Prácticas_Revisiones'!$S$2:$S$282,"T058",'Prácticas_Revisiones'!$T$2:$T$282,"SOFTWARE CONFIG. MGMT. &gt; Software Configuration Management Tools")+COUNTIFS('Prácticas_Snowballing'!$AB$2:$AB$281,"T058",'Prácticas_Snowballing'!$AC$2:$AC$281,"SOFTWARE CONFIG. MGMT. &gt; Software Configuration Management Tools")</f>
        <v>0</v>
      </c>
      <c r="BN70" s="17">
        <f>COUNTIFS('Prácticas_Revisiones'!$S$2:$S$282,"T058",'Prácticas_Revisiones'!$T$2:$T$282,"SOFTWARE CONFIG. MGMT. &gt; Subárea no determinable")+COUNTIFS('Prácticas_Snowballing'!$AB$2:$AB$281,"T058",'Prácticas_Snowballing'!$AC$2:$AC$281,"SOFTWARE CONFIG. MGMT. &gt; Subárea no determinable")</f>
        <v>0</v>
      </c>
      <c r="BO70" s="29">
        <f t="shared" ref="BO70:BO87" si="59">SUM(BG70:BN70)</f>
        <v>0</v>
      </c>
      <c r="BP70" s="17">
        <f>COUNTIFS('Prácticas_Revisiones'!$S$2:$S$282,"T058",'Prácticas_Revisiones'!$T$2:$T$282,"SOFTWARE ENG. PROCESS &gt; Software Engineering Process Fundamentals")+COUNTIFS('Prácticas_Snowballing'!$AB$2:$AB$281,"T058",'Prácticas_Snowballing'!$AC$2:$AC$281,"SOFTWARE ENG. PROCESS &gt; Software Engineering Process Fundamentals")</f>
        <v>0</v>
      </c>
      <c r="BQ70" s="17">
        <f>COUNTIFS('Prácticas_Revisiones'!$S$2:$S$282,"T058",'Prácticas_Revisiones'!$T$2:$T$282,"SOFTWARE ENG. PROCESS &gt; Life Cycles")+COUNTIFS('Prácticas_Snowballing'!$AB$2:$AB$281,"T058",'Prácticas_Snowballing'!$AC$2:$AC$281,"SOFTWARE ENG. PROCESS &gt; Life Cycles")</f>
        <v>0</v>
      </c>
      <c r="BR70" s="17">
        <f>COUNTIFS('Prácticas_Revisiones'!$S$2:$S$282,"T058",'Prácticas_Revisiones'!$T$2:$T$282,"SOFTWARE ENG. PROCESS &gt; Software Process Assessment and Improvement")+COUNTIFS('Prácticas_Snowballing'!$AB$2:$AB$281,"T058",'Prácticas_Snowballing'!$AC$2:$AC$281,"SOFTWARE ENG. PROCESS &gt; Software Process Assessment and Improvement")</f>
        <v>0</v>
      </c>
      <c r="BS70" s="17">
        <f>COUNTIFS('Prácticas_Revisiones'!$S$2:$S$282,"T058",'Prácticas_Revisiones'!$T$2:$T$282,"SOFTWARE ENG. PROCESS &gt; Subárea no determinable")+COUNTIFS('Prácticas_Snowballing'!$AB$2:$AB$281,"T058",'Prácticas_Snowballing'!$AC$2:$AC$281,"SOFTWARE ENG. PROCESS &gt; Subárea no determinable")</f>
        <v>0</v>
      </c>
      <c r="BT70" s="29">
        <f t="shared" ref="BT70:BT87" si="60">SUM(BP70:BS70)</f>
        <v>0</v>
      </c>
      <c r="BU70" s="17">
        <f>COUNTIFS('Prácticas_Revisiones'!$S$2:$S$282,"T058",'Prácticas_Revisiones'!$T$2:$T$282,"SOFTWARE ENG. MODELS/METH. &gt; Modeling")+COUNTIFS('Prácticas_Snowballing'!$AB$2:$AB$281,"T058",'Prácticas_Snowballing'!$AC$2:$AC$281,"SOFTWARE ENG. MODELS/METH. &gt; Modeling")</f>
        <v>0</v>
      </c>
      <c r="BV70" s="17">
        <f>COUNTIFS('Prácticas_Revisiones'!$S$2:$S$282,"T058",'Prácticas_Revisiones'!$T$2:$T$282,"SOFTWARE ENG. MODELS/METH. &gt; Types of Models")+COUNTIFS('Prácticas_Snowballing'!$AB$2:$AB$281,"T058",'Prácticas_Snowballing'!$AC$2:$AC$281,"SOFTWARE ENG. MODELS/METH. &gt; Types of Models")</f>
        <v>0</v>
      </c>
      <c r="BW70" s="17">
        <f>COUNTIFS('Prácticas_Revisiones'!$S$2:$S$282,"T058",'Prácticas_Revisiones'!$T$2:$T$282,"SOFTWARE ENG. MODELS/METH. &gt; Analysis of Models")+COUNTIFS('Prácticas_Snowballing'!$AB$2:$AB$281,"T058",'Prácticas_Snowballing'!$AC$2:$AC$281,"SOFTWARE ENG. MODELS/METH. &gt; Analysis of Models")</f>
        <v>0</v>
      </c>
      <c r="BX70" s="17">
        <f>COUNTIFS('Prácticas_Revisiones'!$S$2:$S$282,"T058",'Prácticas_Revisiones'!$T$2:$T$282,"SOFTWARE ENG. MODELS/METH. &gt; Software Engineering Methods")+COUNTIFS('Prácticas_Snowballing'!$AB$2:$AB$281,"T058",'Prácticas_Snowballing'!$AC$2:$AC$281,"SOFTWARE ENG. MODELS/METH. &gt; Software Engineering Methods")</f>
        <v>0</v>
      </c>
      <c r="BY70" s="17">
        <f>COUNTIFS('Prácticas_Revisiones'!$S$2:$S$282,"T058",'Prácticas_Revisiones'!$T$2:$T$282,"SOFTWARE ENG. MODELS/METH. &gt; Subárea no determinable")+COUNTIFS('Prácticas_Snowballing'!$AB$2:$AB$281,"T058",'Prácticas_Snowballing'!$AC$2:$AC$281,"SOFTWARE ENG. MODELS/METH. &gt; Subárea no determinable")</f>
        <v>0</v>
      </c>
      <c r="BZ70" s="29">
        <f t="shared" ref="BZ70:BZ87" si="61">SUM(BU70:BY70)</f>
        <v>0</v>
      </c>
      <c r="CA70" s="17">
        <f>COUNTIFS('Prácticas_Revisiones'!$S$2:$S$282,"T058",'Prácticas_Revisiones'!$T$2:$T$282,"SOFTWARE QUALITY &gt; Software Quality Fundamentals")+COUNTIFS('Prácticas_Snowballing'!$AB$2:$AB$281,"T058",'Prácticas_Snowballing'!$AC$2:$AC$281,"SOFTWARE QUALITY &gt; Software Quality Fundamentals")</f>
        <v>0</v>
      </c>
      <c r="CB70" s="17">
        <f>COUNTIFS('Prácticas_Revisiones'!$S$2:$S$282,"T058",'Prácticas_Revisiones'!$T$2:$T$282,"SOFTWARE QUALITY &gt; Software Quality Management Process")+COUNTIFS('Prácticas_Snowballing'!$AB$2:$AB$281,"T058",'Prácticas_Snowballing'!$AC$2:$AC$281,"SOFTWARE QUALITY &gt; Software Quality Management Process")</f>
        <v>0</v>
      </c>
      <c r="CC70" s="17">
        <f>COUNTIFS('Prácticas_Revisiones'!$S$2:$S$282,"T058",'Prácticas_Revisiones'!$T$2:$T$282,"SOFTWARE QUALITY &gt; Software Quality Assurance Process")+COUNTIFS('Prácticas_Snowballing'!$AB$2:$AB$281,"T058",'Prácticas_Snowballing'!$AC$2:$AC$281,"SOFTWARE QUALITY &gt; Software Quality Assurance Process")</f>
        <v>1</v>
      </c>
      <c r="CD70" s="17">
        <f>COUNTIFS('Prácticas_Revisiones'!$S$2:$S$282,"T058",'Prácticas_Revisiones'!$T$2:$T$282,"SOFTWARE QUALITY &gt; Software Quality Tools")+COUNTIFS('Prácticas_Snowballing'!$AB$2:$AB$281,"T058",'Prácticas_Snowballing'!$AC$2:$AC$281,"SOFTWARE QUALITY &gt; Software Quality Tools")</f>
        <v>0</v>
      </c>
      <c r="CE70" s="17">
        <f>COUNTIFS('Prácticas_Revisiones'!$S$2:$S$282,"T058",'Prácticas_Revisiones'!$T$2:$T$282,"SOFTWARE QUALITY &gt; Subárea no determinable")+COUNTIFS('Prácticas_Snowballing'!$AB$2:$AB$281,"T058",'Prácticas_Snowballing'!$AC$2:$AC$281,"SOFTWARE QUALITY &gt; Subárea no determinable")</f>
        <v>0</v>
      </c>
      <c r="CF70" s="29">
        <f t="shared" ref="CF70:CF87" si="62">SUM(CA70:CE70)</f>
        <v>1</v>
      </c>
      <c r="CG70" s="17">
        <f>COUNTIFS('Prácticas_Revisiones'!$S$2:$S$282,"T058",'Prácticas_Revisiones'!$T$2:$T$282,"SOFTWARE SECURITY &gt; Software Security Fundamentals")+COUNTIFS('Prácticas_Snowballing'!$AB$2:$AB$281,"T058",'Prácticas_Snowballing'!$AC$2:$AC$281,"SOFTWARE SECURITY &gt; Software Security Fundamentals")</f>
        <v>0</v>
      </c>
      <c r="CH70" s="17">
        <f>COUNTIFS('Prácticas_Revisiones'!$S$2:$S$282,"T058",'Prácticas_Revisiones'!$T$2:$T$282,"SOFTWARE SECURITY &gt; Security Management and Organization")+COUNTIFS('Prácticas_Snowballing'!$AB$2:$AB$281,"T058",'Prácticas_Snowballing'!$AC$2:$AC$281,"SOFTWARE SECURITY &gt; Security Management and Organization")</f>
        <v>0</v>
      </c>
      <c r="CI70" s="17">
        <f>COUNTIFS('Prácticas_Revisiones'!$S$2:$S$282,"T058",'Prácticas_Revisiones'!$T$2:$T$282,"SOFTWARE SECURITY &gt; Software Security Engineering and Process")+COUNTIFS('Prácticas_Snowballing'!$AB$2:$AB$281,"T058",'Prácticas_Snowballing'!$AC$2:$AC$281,"SOFTWARE SECURITY &gt; Software Security Engineering and Process")</f>
        <v>0</v>
      </c>
      <c r="CJ70" s="17">
        <f>COUNTIFS('Prácticas_Revisiones'!$S$2:$S$282,"T058",'Prácticas_Revisiones'!$T$2:$T$282,"SOFTWARE SECURITY &gt; Security Engineering for Software Systems")+COUNTIFS('Prácticas_Snowballing'!$AB$2:$AB$281,"T058",'Prácticas_Snowballing'!$AC$2:$AC$281,"SOFTWARE SECURITY &gt; Security Engineering for Software Systems")</f>
        <v>0</v>
      </c>
      <c r="CK70" s="17">
        <f>COUNTIFS('Prácticas_Revisiones'!$S$2:$S$282,"T058",'Prácticas_Revisiones'!$T$2:$T$282,"SOFTWARE SECURITY &gt; Software Security Tools")+COUNTIFS('Prácticas_Snowballing'!$AB$2:$AB$281,"T058",'Prácticas_Snowballing'!$AC$2:$AC$281,"SOFTWARE SECURITY &gt; Software Security Tools")</f>
        <v>0</v>
      </c>
      <c r="CL70" s="17">
        <f>COUNTIFS('Prácticas_Revisiones'!$S$2:$S$282,"T058",'Prácticas_Revisiones'!$T$2:$T$282,"SOFTWARE SECURITY &gt; Domain Specific Software Security")+COUNTIFS('Prácticas_Snowballing'!$AB$2:$AB$281,"T058",'Prácticas_Snowballing'!$AC$2:$AC$281,"SOFTWARE SECURITY &gt; Domain Specific Software Security")</f>
        <v>0</v>
      </c>
      <c r="CM70" s="17">
        <f>COUNTIFS('Prácticas_Revisiones'!$S$2:$S$282,"T058",'Prácticas_Revisiones'!$T$2:$T$282,"SOFTWARE SECURITY &gt; Subárea no determinable")+COUNTIFS('Prácticas_Snowballing'!$AB$2:$AB$281,"T058",'Prácticas_Snowballing'!$AC$2:$AC$281,"SOFTWARE SECURITY &gt; Subárea no determinable")</f>
        <v>0</v>
      </c>
      <c r="CN70" s="29">
        <f t="shared" ref="CN70:CN87" si="63">SUM(CG70:CM70)</f>
        <v>0</v>
      </c>
      <c r="CO70" s="17">
        <f>COUNTIFS('Prácticas_Revisiones'!$S$2:$S$282,"T058",'Prácticas_Revisiones'!$T$2:$T$282,"PROFESSIONAL PRACTICE &gt; Professionalism")+COUNTIFS('Prácticas_Snowballing'!$AB$2:$AB$281,"T058",'Prácticas_Snowballing'!$AC$2:$AC$281,"PROFESSIONAL PRACTICE &gt; Professionalism")</f>
        <v>1</v>
      </c>
      <c r="CP70" s="17">
        <f>COUNTIFS('Prácticas_Revisiones'!$S$2:$S$282,"T058",'Prácticas_Revisiones'!$T$2:$T$282,"PROFESSIONAL PRACTICE &gt; Group Dynamics and Psychology")+COUNTIFS('Prácticas_Snowballing'!$AB$2:$AB$281,"T058",'Prácticas_Snowballing'!$AC$2:$AC$281,"PROFESSIONAL PRACTICE &gt; Group Dynamics and Psychology")</f>
        <v>0</v>
      </c>
      <c r="CQ70" s="17">
        <f>COUNTIFS('Prácticas_Revisiones'!$S$2:$S$282,"T058",'Prácticas_Revisiones'!$T$2:$T$282,"PROFESSIONAL PRACTICE &gt; Communication Skills")+COUNTIFS('Prácticas_Snowballing'!$AB$2:$AB$281,"T058",'Prácticas_Snowballing'!$AC$2:$AC$281,"PROFESSIONAL PRACTICE &gt; Communication Skills")</f>
        <v>0</v>
      </c>
      <c r="CR70" s="17">
        <f>COUNTIFS('Prácticas_Revisiones'!$S$2:$S$282,"T058",'Prácticas_Revisiones'!$T$2:$T$282,"PROFESSIONAL PRACTICE &gt; Subárea no determinable")+COUNTIFS('Prácticas_Snowballing'!$AB$2:$AB$281,"T058",'Prácticas_Snowballing'!$AC$2:$AC$281,"PROFESSIONAL PRACTICE &gt; Subárea no determinable")</f>
        <v>0</v>
      </c>
      <c r="CS70" s="29">
        <f t="shared" ref="CS70:CS87" si="64">SUM(CO70:CR70)</f>
        <v>1</v>
      </c>
      <c r="CT70" s="17">
        <f>COUNTIFS('Prácticas_Revisiones'!$S$2:$S$282,"T058",'Prácticas_Revisiones'!$T$2:$T$282,"SOFTWARE ENG. ECONOMICS &gt; Software Engineering Economics Fundamentals")+COUNTIFS('Prácticas_Snowballing'!$AB$2:$AB$281,"T058",'Prácticas_Snowballing'!$AC$2:$AC$281,"SOFTWARE ENG. ECONOMICS &gt; Software Engineering Economics Fundamentals")</f>
        <v>0</v>
      </c>
      <c r="CU70" s="17">
        <f>COUNTIFS('Prácticas_Revisiones'!$S$2:$S$282,"T058",'Prácticas_Revisiones'!$T$2:$T$282,"SOFTWARE ENG. ECONOMICS &gt; The Engineering Decision-Making Process")+COUNTIFS('Prácticas_Snowballing'!$AB$2:$AB$281,"T058",'Prácticas_Snowballing'!$AC$2:$AC$281,"SOFTWARE ENG. ECONOMICS &gt; The Engineering Decision-Making Process")</f>
        <v>0</v>
      </c>
      <c r="CV70" s="17">
        <f>COUNTIFS('Prácticas_Revisiones'!$S$2:$S$282,"T058",'Prácticas_Revisiones'!$T$2:$T$282,"SOFTWARE ENG. ECONOMICS &gt; For-Profit Decision-Making")+COUNTIFS('Prácticas_Snowballing'!$AB$2:$AB$281,"T058",'Prácticas_Snowballing'!$AC$2:$AC$281,"SOFTWARE ENG. ECONOMICS &gt; For-Profit Decision-Making")</f>
        <v>0</v>
      </c>
      <c r="CW70" s="17">
        <f>COUNTIFS('Prácticas_Revisiones'!$S$2:$S$282,"T058",'Prácticas_Revisiones'!$T$2:$T$282,"SOFTWARE ENG. ECONOMICS &gt; Nonprofit Decision-Making")+COUNTIFS('Prácticas_Snowballing'!$AB$2:$AB$281,"T058",'Prácticas_Snowballing'!$AC$2:$AC$281,"SOFTWARE ENG. ECONOMICS &gt; Nonprofit Decision-Making")</f>
        <v>0</v>
      </c>
      <c r="CX70" s="17">
        <f>COUNTIFS('Prácticas_Revisiones'!$S$2:$S$282,"T058",'Prácticas_Revisiones'!$T$2:$T$282,"SOFTWARE ENG. ECONOMICS &gt; Present Economy Decision-Making")+COUNTIFS('Prácticas_Snowballing'!$AB$2:$AB$281,"T058",'Prácticas_Snowballing'!$AC$2:$AC$281,"SOFTWARE ENG. ECONOMICS &gt; Present Economy Decision-Making")</f>
        <v>0</v>
      </c>
      <c r="CY70" s="17">
        <f>COUNTIFS('Prácticas_Revisiones'!$S$2:$S$282,"T058",'Prácticas_Revisiones'!$T$2:$T$282,"SOFTWARE ENG. ECONOMICS &gt; Multiple-Attribute Decision-Making")+COUNTIFS('Prácticas_Snowballing'!$AB$2:$AB$281,"T058",'Prácticas_Snowballing'!$AC$2:$AC$281,"SOFTWARE ENG. ECONOMICS &gt; Multiple-Attribute Decision-Making")</f>
        <v>0</v>
      </c>
      <c r="CZ70" s="17">
        <f>COUNTIFS('Prácticas_Revisiones'!$S$2:$S$282,"T058",'Prácticas_Revisiones'!$T$2:$T$282,"SOFTWARE ENG. ECONOMICS &gt; Identifying and Characterizing Intangible Assets")+COUNTIFS('Prácticas_Snowballing'!$AB$2:$AB$281,"T058",'Prácticas_Snowballing'!$AC$2:$AC$281,"SOFTWARE ENG. ECONOMICS &gt; Identifying and Characterizing Intangible Assets")</f>
        <v>0</v>
      </c>
      <c r="DA70" s="17">
        <f>COUNTIFS('Prácticas_Revisiones'!$S$2:$S$282,"T058",'Prácticas_Revisiones'!$T$2:$T$282,"SOFTWARE ENG. ECONOMICS &gt; Estimation")+COUNTIFS('Prácticas_Snowballing'!$AB$2:$AB$281,"T058",'Prácticas_Snowballing'!$AC$2:$AC$281,"SOFTWARE ENG. ECONOMICS &gt; Estimation")</f>
        <v>0</v>
      </c>
      <c r="DB70" s="17">
        <f>COUNTIFS('Prácticas_Revisiones'!$S$2:$S$282,"T058",'Prácticas_Revisiones'!$T$2:$T$282,"SOFTWARE ENG. ECONOMICS &gt; Practical Considerations")+COUNTIFS('Prácticas_Snowballing'!$AB$2:$AB$281,"T058",'Prácticas_Snowballing'!$AC$2:$AC$281,"SOFTWARE ENG. ECONOMICS &gt; Practical Considerations")</f>
        <v>0</v>
      </c>
      <c r="DC70" s="17">
        <f>COUNTIFS('Prácticas_Revisiones'!$S$2:$S$282,"T058",'Prácticas_Revisiones'!$T$2:$T$282,"SOFTWARE ENG. ECONOMICS &gt; Related Concepts")+COUNTIFS('Prácticas_Snowballing'!$AB$2:$AB$281,"T058",'Prácticas_Snowballing'!$AC$2:$AC$281,"SOFTWARE ENG. ECONOMICS &gt; Related Concepts")</f>
        <v>0</v>
      </c>
      <c r="DD70" s="17">
        <f>COUNTIFS('Prácticas_Revisiones'!$S$2:$S$282,"T058",'Prácticas_Revisiones'!$T$2:$T$282,"SOFTWARE ENG. ECONOMICS &gt; Subárea no determinable")+COUNTIFS('Prácticas_Snowballing'!$AB$2:$AB$281,"T058",'Prácticas_Snowballing'!$AC$2:$AC$281,"SOFTWARE ENG. ECONOMICS &gt; Subárea no determinable")</f>
        <v>0</v>
      </c>
      <c r="DE70" s="29">
        <f t="shared" ref="DE70:DE87" si="65">SUM(CT70:DD70)</f>
        <v>0</v>
      </c>
      <c r="DF70" s="17">
        <f>COUNTIFS('Prácticas_Revisiones'!$S$2:$S$282,"T058",'Prácticas_Revisiones'!$T$2:$T$282,"SOFTWARE ENG. MANAGEMENT &gt; Software Engineering Management Fundamentals")+COUNTIFS('Prácticas_Snowballing'!$AB$2:$AB$281,"T058",'Prácticas_Snowballing'!$AC$2:$AC$281,"SOFTWARE ENG. MANAGEMENT &gt; Software Engineering Management Fundamentals")</f>
        <v>0</v>
      </c>
      <c r="DG70" s="17">
        <f>COUNTIFS('Prácticas_Revisiones'!$S$2:$S$282,"T058",'Prácticas_Revisiones'!$T$2:$T$282,"SOFTWARE ENG. MANAGEMENT &gt; Initiation and Scope Definition")+COUNTIFS('Prácticas_Snowballing'!$AB$2:$AB$281,"T058",'Prácticas_Snowballing'!$AC$2:$AC$281,"SOFTWARE ENG. MANAGEMENT &gt; Initiation and Scope Definition")</f>
        <v>0</v>
      </c>
      <c r="DH70" s="17">
        <f>COUNTIFS('Prácticas_Revisiones'!$S$2:$S$282,"T058",'Prácticas_Revisiones'!$T$2:$T$282,"SOFTWARE ENG. MANAGEMENT &gt; Software Project Planning")+COUNTIFS('Prácticas_Snowballing'!$AB$2:$AB$281,"T058",'Prácticas_Snowballing'!$AC$2:$AC$281,"SOFTWARE ENG. MANAGEMENT &gt; Software Project Planning")</f>
        <v>0</v>
      </c>
      <c r="DI70" s="17">
        <f>COUNTIFS('Prácticas_Revisiones'!$S$2:$S$282,"T058",'Prácticas_Revisiones'!$T$2:$T$282,"SOFTWARE ENG. MANAGEMENT &gt; Software Project Enactment")+COUNTIFS('Prácticas_Snowballing'!$AB$2:$AB$281,"T058",'Prácticas_Snowballing'!$AC$2:$AC$281,"SOFTWARE ENG. MANAGEMENT &gt; Software Project Enactment")</f>
        <v>0</v>
      </c>
      <c r="DJ70" s="17">
        <f>COUNTIFS('Prácticas_Revisiones'!$S$2:$S$282,"T058",'Prácticas_Revisiones'!$T$2:$T$282,"SOFTWARE ENG. MANAGEMENT &gt; Review and Evaluation")+COUNTIFS('Prácticas_Snowballing'!$AB$2:$AB$281,"T058",'Prácticas_Snowballing'!$AC$2:$AC$281,"SOFTWARE ENG. MANAGEMENT &gt; Review and Evaluation")</f>
        <v>0</v>
      </c>
      <c r="DK70" s="17">
        <f>COUNTIFS('Prácticas_Revisiones'!$S$2:$S$282,"T058",'Prácticas_Revisiones'!$T$2:$T$282,"SOFTWARE ENG. MANAGEMENT &gt; Closure")+COUNTIFS('Prácticas_Snowballing'!$AB$2:$AB$281,"T058",'Prácticas_Snowballing'!$AC$2:$AC$281,"SOFTWARE ENG. MANAGEMENT &gt; Closure")</f>
        <v>0</v>
      </c>
      <c r="DL70" s="17">
        <f>COUNTIFS('Prácticas_Revisiones'!$S$2:$S$282,"T058",'Prácticas_Revisiones'!$T$2:$T$282,"SOFTWARE ENG. MANAGEMENT &gt; Software Engineering Management Tools")+COUNTIFS('Prácticas_Snowballing'!$AB$2:$AB$281,"T058",'Prácticas_Snowballing'!$AC$2:$AC$281,"SOFTWARE ENG. MANAGEMENT &gt; Software Engineering Management Tools")</f>
        <v>0</v>
      </c>
      <c r="DM70" s="17">
        <f>COUNTIFS('Prácticas_Revisiones'!$S$2:$S$282,"T058",'Prácticas_Revisiones'!$T$2:$T$282,"SOFTWARE ENG. MANAGEMENT &gt; Subárea no determinable")+COUNTIFS('Prácticas_Snowballing'!$AB$2:$AB$281,"T058",'Prácticas_Snowballing'!$AC$2:$AC$281,"SOFTWARE ENG. MANAGEMENT &gt; Subárea no determinable")</f>
        <v>0</v>
      </c>
      <c r="DN70" s="29">
        <f t="shared" ref="DN70:DN87" si="66">SUM(DF70:DM70)</f>
        <v>0</v>
      </c>
      <c r="DO70" s="17">
        <f>COUNTIFS('Prácticas_Revisiones'!$S$2:$S$282,"T058",'Prácticas_Revisiones'!$T$2:$T$282,"Sin área SWEBOK")+COUNTIFS('Prácticas_Snowballing'!$AB$2:$AB$281,"T058",'Prácticas_Snowballing'!$AC$2:$AC$281,"Sin área SWEBOK")</f>
        <v>0</v>
      </c>
      <c r="DP70" s="27">
        <f t="shared" ref="DP70:DP87" si="67">SUM(C70:K70,M70:Q70,S70:Y70,AA70:AF70,AH70:AP70,AR70:AX70,AZ70:BE70,BG70:BN70,BP70:BS70,BU70:BY70,CA70:CE70,CG70:CM70,CO70:CR70,CT70:DD70,DF70:DM70,DO70)</f>
        <v>10</v>
      </c>
    </row>
    <row r="71" ht="15.75" customHeight="1">
      <c r="A71" s="28"/>
      <c r="B71" s="16" t="s">
        <v>2825</v>
      </c>
      <c r="C71" s="17">
        <f>COUNTIFS('Prácticas_Revisiones'!$S$2:$S$282,"T059",'Prácticas_Revisiones'!$T$2:$T$282,"REQUIREMENTS &gt; Software Requirements Fundamentals")+COUNTIFS('Prácticas_Snowballing'!$AB$2:$AB$281,"T059",'Prácticas_Snowballing'!$AC$2:$AC$281,"REQUIREMENTS &gt; Software Requirements Fundamentals")</f>
        <v>0</v>
      </c>
      <c r="D71" s="17">
        <f>COUNTIFS('Prácticas_Revisiones'!$S$2:$S$282,"T059",'Prácticas_Revisiones'!$T$2:$T$282,"REQUIREMENTS &gt; Requirements Elicitation")+COUNTIFS('Prácticas_Snowballing'!$AB$2:$AB$281,"T059",'Prácticas_Snowballing'!$AC$2:$AC$281,"REQUIREMENTS &gt; Requirements Elicitation")</f>
        <v>0</v>
      </c>
      <c r="E71" s="17">
        <f>COUNTIFS('Prácticas_Revisiones'!$S$2:$S$282,"T059",'Prácticas_Revisiones'!$T$2:$T$282,"REQUIREMENTS &gt; Requirements Analysis")+COUNTIFS('Prácticas_Snowballing'!$AB$2:$AB$281,"T059",'Prácticas_Snowballing'!$AC$2:$AC$281,"REQUIREMENTS &gt; Requirements Analysis")</f>
        <v>0</v>
      </c>
      <c r="F71" s="17">
        <f>COUNTIFS('Prácticas_Revisiones'!$S$2:$S$282,"T059",'Prácticas_Revisiones'!$T$2:$T$282,"REQUIREMENTS &gt; Requirements Specification")+COUNTIFS('Prácticas_Snowballing'!$AB$2:$AB$281,"T059",'Prácticas_Snowballing'!$AC$2:$AC$281,"REQUIREMENTS &gt; Requirements Specification")</f>
        <v>0</v>
      </c>
      <c r="G71" s="17">
        <f>COUNTIFS('Prácticas_Revisiones'!$S$2:$S$282,"T059",'Prácticas_Revisiones'!$T$2:$T$282,"REQUIREMENTS &gt; Requirements Validation")+COUNTIFS('Prácticas_Snowballing'!$AB$2:$AB$281,"T059",'Prácticas_Snowballing'!$AC$2:$AC$281,"REQUIREMENTS &gt; Requirements Validation")</f>
        <v>0</v>
      </c>
      <c r="H71" s="17">
        <f>COUNTIFS('Prácticas_Revisiones'!$S$2:$S$282,"T059",'Prácticas_Revisiones'!$T$2:$T$282,"REQUIREMENTS &gt; Requirements Management Activities")+COUNTIFS('Prácticas_Snowballing'!$AB$2:$AB$281,"T059",'Prácticas_Snowballing'!$AC$2:$AC$281,"REQUIREMENTS &gt; Requirements Management Activities")</f>
        <v>0</v>
      </c>
      <c r="I71" s="17">
        <f>COUNTIFS('Prácticas_Revisiones'!$S$2:$S$282,"T059",'Prácticas_Revisiones'!$T$2:$T$282,"REQUIREMENTS &gt; Practical Considerations")+COUNTIFS('Prácticas_Snowballing'!$AB$2:$AB$281,"T059",'Prácticas_Snowballing'!$AC$2:$AC$281,"REQUIREMENTS &gt; Practical Considerations")</f>
        <v>0</v>
      </c>
      <c r="J71" s="17">
        <f>COUNTIFS('Prácticas_Revisiones'!$S$2:$S$282,"T059",'Prácticas_Revisiones'!$T$2:$T$282,"REQUIREMENTS &gt; Software Requirements Tools")+COUNTIFS('Prácticas_Snowballing'!$AB$2:$AB$281,"T059",'Prácticas_Snowballing'!$AC$2:$AC$281,"REQUIREMENTS &gt; Software Requirements Tools")</f>
        <v>0</v>
      </c>
      <c r="K71" s="17">
        <f>COUNTIFS('Prácticas_Revisiones'!$S$2:$S$282,"T059",'Prácticas_Revisiones'!$T$2:$T$282,"REQUIREMENTS &gt; Subárea no determinable")+COUNTIFS('Prácticas_Snowballing'!$AB$2:$AB$281,"T059",'Prácticas_Snowballing'!$AC$2:$AC$281,"REQUIREMENTS &gt; Subárea no determinable")</f>
        <v>0</v>
      </c>
      <c r="L71" s="29">
        <f t="shared" si="52"/>
        <v>0</v>
      </c>
      <c r="M71" s="17">
        <f>COUNTIFS('Prácticas_Revisiones'!$S$2:$S$282,"T059",'Prácticas_Revisiones'!$T$2:$T$282,"ARCHITECTURE &gt; Software Architecture Fundamentals")+COUNTIFS('Prácticas_Snowballing'!$AB$2:$AB$281,"T059",'Prácticas_Snowballing'!$AC$2:$AC$281,"ARCHITECTURE &gt; Software Architecture Fundamentals")</f>
        <v>0</v>
      </c>
      <c r="N71" s="17">
        <f>COUNTIFS('Prácticas_Revisiones'!$S$2:$S$282,"T059",'Prácticas_Revisiones'!$T$2:$T$282,"ARCHITECTURE &gt; Software Architecture Description")+COUNTIFS('Prácticas_Snowballing'!$AB$2:$AB$281,"T059",'Prácticas_Snowballing'!$AC$2:$AC$281,"ARCHITECTURE &gt; Software Architecture Description")</f>
        <v>0</v>
      </c>
      <c r="O71" s="17">
        <f>COUNTIFS('Prácticas_Revisiones'!$S$2:$S$282,"T059",'Prácticas_Revisiones'!$T$2:$T$282,"ARCHITECTURE &gt; Software Architecture Process")+COUNTIFS('Prácticas_Snowballing'!$AB$2:$AB$281,"T059",'Prácticas_Snowballing'!$AC$2:$AC$281,"ARCHITECTURE &gt; Software Architecture Process")</f>
        <v>0</v>
      </c>
      <c r="P71" s="17">
        <f>COUNTIFS('Prácticas_Revisiones'!$S$2:$S$282,"T059",'Prácticas_Revisiones'!$T$2:$T$282,"ARCHITECTURE &gt; Software Architecture Evaluation")+COUNTIFS('Prácticas_Snowballing'!$AB$2:$AB$281,"T059",'Prácticas_Snowballing'!$AC$2:$AC$281,"ARCHITECTURE &gt; Software Architecture Evaluation")</f>
        <v>0</v>
      </c>
      <c r="Q71" s="17">
        <f>COUNTIFS('Prácticas_Revisiones'!$S$2:$S$282,"T059",'Prácticas_Revisiones'!$T$2:$T$282,"ARCHITECTURE &gt; Subárea no determinable")+COUNTIFS('Prácticas_Snowballing'!$AB$2:$AB$281,"T059",'Prácticas_Snowballing'!$AC$2:$AC$281,"ARCHITECTURE &gt; Subárea no determinable")</f>
        <v>0</v>
      </c>
      <c r="R71" s="29">
        <f t="shared" si="53"/>
        <v>0</v>
      </c>
      <c r="S71" s="17">
        <f>COUNTIFS('Prácticas_Revisiones'!$S$2:$S$282,"T059",'Prácticas_Revisiones'!$T$2:$T$282,"DESIGN &gt; Software Design Fundamentals")+COUNTIFS('Prácticas_Snowballing'!$AB$2:$AB$281,"T059",'Prácticas_Snowballing'!$AC$2:$AC$281,"DESIGN &gt; Software Design Fundamentals")</f>
        <v>0</v>
      </c>
      <c r="T71" s="17">
        <f>COUNTIFS('Prácticas_Revisiones'!$S$2:$S$282,"T059",'Prácticas_Revisiones'!$T$2:$T$282,"DESIGN &gt; Software Design Processes")+COUNTIFS('Prácticas_Snowballing'!$AB$2:$AB$281,"T059",'Prácticas_Snowballing'!$AC$2:$AC$281,"DESIGN &gt; Software Design Processes")</f>
        <v>0</v>
      </c>
      <c r="U71" s="17">
        <f>COUNTIFS('Prácticas_Revisiones'!$S$2:$S$282,"T059",'Prácticas_Revisiones'!$T$2:$T$282,"DESIGN &gt; Software Design Qualities")+COUNTIFS('Prácticas_Snowballing'!$AB$2:$AB$281,"T059",'Prácticas_Snowballing'!$AC$2:$AC$281,"DESIGN &gt; Software Design Qualities")</f>
        <v>0</v>
      </c>
      <c r="V71" s="17">
        <f>COUNTIFS('Prácticas_Revisiones'!$S$2:$S$282,"T059",'Prácticas_Revisiones'!$T$2:$T$282,"DESIGN &gt; Recording Software Design")+COUNTIFS('Prácticas_Snowballing'!$AB$2:$AB$281,"T059",'Prácticas_Snowballing'!$AC$2:$AC$281,"DESIGN &gt; Recording Software Design")</f>
        <v>0</v>
      </c>
      <c r="W71" s="17">
        <f>COUNTIFS('Prácticas_Revisiones'!$S$2:$S$282,"T059",'Prácticas_Revisiones'!$T$2:$T$282,"DESIGN &gt; Software Design Strategies and Methods")+COUNTIFS('Prácticas_Snowballing'!$AB$2:$AB$281,"T059",'Prácticas_Snowballing'!$AC$2:$AC$281,"DESIGN &gt; Software Design Strategies and Methods")</f>
        <v>0</v>
      </c>
      <c r="X71" s="17">
        <f>COUNTIFS('Prácticas_Revisiones'!$S$2:$S$282,"T059",'Prácticas_Revisiones'!$T$2:$T$282,"DESIGN &gt; Software Design Analysis and Evaluations")+COUNTIFS('Prácticas_Snowballing'!$AB$2:$AB$281,"T059",'Prácticas_Snowballing'!$AC$2:$AC$281,"DESIGN &gt; Software Design Analysis and Evaluations")</f>
        <v>0</v>
      </c>
      <c r="Y71" s="17">
        <f>COUNTIFS('Prácticas_Revisiones'!$S$2:$S$282,"T059",'Prácticas_Revisiones'!$T$2:$T$282,"DESIGN &gt; Subárea no determinable")+COUNTIFS('Prácticas_Snowballing'!$AB$2:$AB$281,"T059",'Prácticas_Snowballing'!$AC$2:$AC$281,"DESIGN &gt; Subárea no determinable")</f>
        <v>0</v>
      </c>
      <c r="Z71" s="29">
        <f t="shared" si="54"/>
        <v>0</v>
      </c>
      <c r="AA71" s="17">
        <f>COUNTIFS('Prácticas_Revisiones'!$S$2:$S$282,"T059",'Prácticas_Revisiones'!$T$2:$T$282,"CONSTRUCTION &gt; Software Construction Fundamentals")+COUNTIFS('Prácticas_Snowballing'!$AB$2:$AB$281,"T059",'Prácticas_Snowballing'!$AC$2:$AC$281,"CONSTRUCTION &gt; Software Construction Fundamentals")</f>
        <v>0</v>
      </c>
      <c r="AB71" s="17">
        <f>COUNTIFS('Prácticas_Revisiones'!$S$2:$S$282,"T059",'Prácticas_Revisiones'!$T$2:$T$282,"CONSTRUCTION &gt; Managing Construction")+COUNTIFS('Prácticas_Snowballing'!$AB$2:$AB$281,"T059",'Prácticas_Snowballing'!$AC$2:$AC$281,"CONSTRUCTION &gt; Managing Construction")</f>
        <v>0</v>
      </c>
      <c r="AC71" s="17">
        <f>COUNTIFS('Prácticas_Revisiones'!$S$2:$S$282,"T059",'Prácticas_Revisiones'!$T$2:$T$282,"CONSTRUCTION &gt; Practical Considerations")+COUNTIFS('Prácticas_Snowballing'!$AB$2:$AB$281,"T059",'Prácticas_Snowballing'!$AC$2:$AC$281,"CONSTRUCTION &gt; Practical Considerations")</f>
        <v>0</v>
      </c>
      <c r="AD71" s="17">
        <f>COUNTIFS('Prácticas_Revisiones'!$S$2:$S$282,"T059",'Prácticas_Revisiones'!$T$2:$T$282,"CONSTRUCTION &gt; Construction Technologies")+COUNTIFS('Prácticas_Snowballing'!$AB$2:$AB$281,"T059",'Prácticas_Snowballing'!$AC$2:$AC$281,"CONSTRUCTION &gt; Construction Technologies")</f>
        <v>0</v>
      </c>
      <c r="AE71" s="17">
        <f>COUNTIFS('Prácticas_Revisiones'!$S$2:$S$282,"T059",'Prácticas_Revisiones'!$T$2:$T$282,"CONSTRUCTION &gt; Software Construction Tools")+COUNTIFS('Prácticas_Snowballing'!$AB$2:$AB$281,"T059",'Prácticas_Snowballing'!$AC$2:$AC$281,"CONSTRUCTION &gt; Software Construction Tools")</f>
        <v>0</v>
      </c>
      <c r="AF71" s="17">
        <f>COUNTIFS('Prácticas_Revisiones'!$S$2:$S$282,"T059",'Prácticas_Revisiones'!$T$2:$T$282,"CONSTRUCTION &gt; Subárea no determinable")+COUNTIFS('Prácticas_Snowballing'!$AB$2:$AB$281,"T059",'Prácticas_Snowballing'!$AC$2:$AC$281,"CONSTRUCTION &gt; Subárea no determinable")</f>
        <v>0</v>
      </c>
      <c r="AG71" s="29">
        <f t="shared" si="55"/>
        <v>0</v>
      </c>
      <c r="AH71" s="17">
        <f>COUNTIFS('Prácticas_Revisiones'!$S$2:$S$282,"T059",'Prácticas_Revisiones'!$T$2:$T$282,"SOFTWARE TESTING &gt; Software Testing Fundamentals")+COUNTIFS('Prácticas_Snowballing'!$AB$2:$AB$281,"T059",'Prácticas_Snowballing'!$AC$2:$AC$281,"SOFTWARE TESTING &gt; Software Testing Fundamentals")</f>
        <v>0</v>
      </c>
      <c r="AI71" s="17">
        <f>COUNTIFS('Prácticas_Revisiones'!$S$2:$S$282,"T059",'Prácticas_Revisiones'!$T$2:$T$282,"SOFTWARE TESTING &gt; Test Levels")+COUNTIFS('Prácticas_Snowballing'!$AB$2:$AB$281,"T059",'Prácticas_Snowballing'!$AC$2:$AC$281,"SOFTWARE TESTING &gt; Test Levels")</f>
        <v>0</v>
      </c>
      <c r="AJ71" s="17">
        <f>COUNTIFS('Prácticas_Revisiones'!$S$2:$S$282,"T059",'Prácticas_Revisiones'!$T$2:$T$282,"SOFTWARE TESTING &gt; Test Techniques")+COUNTIFS('Prácticas_Snowballing'!$AB$2:$AB$281,"T059",'Prácticas_Snowballing'!$AC$2:$AC$281,"SOFTWARE TESTING &gt; Test Techniques")</f>
        <v>0</v>
      </c>
      <c r="AK71" s="17">
        <f>COUNTIFS('Prácticas_Revisiones'!$S$2:$S$282,"T059",'Prácticas_Revisiones'!$T$2:$T$282,"SOFTWARE TESTING &gt; Test-Related Measures")+COUNTIFS('Prácticas_Snowballing'!$AB$2:$AB$281,"T059",'Prácticas_Snowballing'!$AC$2:$AC$281,"SOFTWARE TESTING &gt; Test-Related Measures")</f>
        <v>0</v>
      </c>
      <c r="AL71" s="17">
        <f>COUNTIFS('Prácticas_Revisiones'!$S$2:$S$282,"T059",'Prácticas_Revisiones'!$T$2:$T$282,"SOFTWARE TESTING &gt; Test Process")+COUNTIFS('Prácticas_Snowballing'!$AB$2:$AB$281,"T059",'Prácticas_Snowballing'!$AC$2:$AC$281,"SOFTWARE TESTING &gt; Test Process")</f>
        <v>0</v>
      </c>
      <c r="AM71" s="17">
        <f>COUNTIFS('Prácticas_Revisiones'!$S$2:$S$282,"T059",'Prácticas_Revisiones'!$T$2:$T$282,"SOFTWARE TESTING &gt; Software Testing in the Development Processes...")+COUNTIFS('Prácticas_Snowballing'!$AB$2:$AB$281,"T059",'Prácticas_Snowballing'!$AC$2:$AC$281,"SOFTWARE TESTING &gt; Software Testing in the Development Processes...")</f>
        <v>0</v>
      </c>
      <c r="AN71" s="17">
        <f>COUNTIFS('Prácticas_Revisiones'!$S$2:$S$282,"T059",'Prácticas_Revisiones'!$T$2:$T$282,"SOFTWARE TESTING &gt; Testing of and Testing Through Emerging Tech...")+COUNTIFS('Prácticas_Snowballing'!$AB$2:$AB$281,"T059",'Prácticas_Snowballing'!$AC$2:$AC$281,"SOFTWARE TESTING &gt; Testing of and Testing Through Emerging Tech...")</f>
        <v>0</v>
      </c>
      <c r="AO71" s="17">
        <f>COUNTIFS('Prácticas_Revisiones'!$S$2:$S$282,"T059",'Prácticas_Revisiones'!$T$2:$T$282,"SOFTWARE TESTING &gt; Software Testing Tools")+COUNTIFS('Prácticas_Snowballing'!$AB$2:$AB$281,"T059",'Prácticas_Snowballing'!$AC$2:$AC$281,"SOFTWARE TESTING &gt; Software Testing Tools")</f>
        <v>0</v>
      </c>
      <c r="AP71" s="17">
        <f>COUNTIFS('Prácticas_Revisiones'!$S$2:$S$282,"T059",'Prácticas_Revisiones'!$T$2:$T$282,"SOFTWARE TESTING &gt; Subárea no determinable")+COUNTIFS('Prácticas_Snowballing'!$AB$2:$AB$281,"T059",'Prácticas_Snowballing'!$AC$2:$AC$281,"SOFTWARE TESTING &gt; Subárea no determinable")</f>
        <v>0</v>
      </c>
      <c r="AQ71" s="29">
        <f t="shared" si="56"/>
        <v>0</v>
      </c>
      <c r="AR71" s="17">
        <f>COUNTIFS('Prácticas_Revisiones'!$S$2:$S$282,"T059",'Prácticas_Revisiones'!$T$2:$T$282,"SOFTWARE ENG. OPERATIONS &gt; Software Engineering Operations Fundamentals")+COUNTIFS('Prácticas_Snowballing'!$AB$2:$AB$281,"T059",'Prácticas_Snowballing'!$AC$2:$AC$281,"SOFTWARE ENG. OPERATIONS &gt; Software Engineering Operations Fundamentals")</f>
        <v>0</v>
      </c>
      <c r="AS71" s="17">
        <f>COUNTIFS('Prácticas_Revisiones'!$S$2:$S$282,"T059",'Prácticas_Revisiones'!$T$2:$T$282,"SOFTWARE ENG. OPERATIONS &gt; Software Engineering Operations Planning")+COUNTIFS('Prácticas_Snowballing'!$AB$2:$AB$281,"T059",'Prácticas_Snowballing'!$AC$2:$AC$281,"SOFTWARE ENG. OPERATIONS &gt; Software Engineering Operations Planning")</f>
        <v>0</v>
      </c>
      <c r="AT71" s="17">
        <f>COUNTIFS('Prácticas_Revisiones'!$S$2:$S$282,"T059",'Prácticas_Revisiones'!$T$2:$T$282,"SOFTWARE ENG. OPERATIONS &gt; Software Engineering Operations Delivery")+COUNTIFS('Prácticas_Snowballing'!$AB$2:$AB$281,"T059",'Prácticas_Snowballing'!$AC$2:$AC$281,"SOFTWARE ENG. OPERATIONS &gt; Software Engineering Operations Delivery")</f>
        <v>0</v>
      </c>
      <c r="AU71" s="17">
        <f>COUNTIFS('Prácticas_Revisiones'!$S$2:$S$282,"T059",'Prácticas_Revisiones'!$T$2:$T$282,"SOFTWARE ENG. OPERATIONS &gt; Software Engineering Operations Control")+COUNTIFS('Prácticas_Snowballing'!$AB$2:$AB$281,"T059",'Prácticas_Snowballing'!$AC$2:$AC$281,"SOFTWARE ENG. OPERATIONS &gt; Software Engineering Operations Control")</f>
        <v>0</v>
      </c>
      <c r="AV71" s="17">
        <f>COUNTIFS('Prácticas_Revisiones'!$S$2:$S$282,"T059",'Prácticas_Revisiones'!$T$2:$T$282,"SOFTWARE ENG. OPERATIONS &gt; Practical Considerations")+COUNTIFS('Prácticas_Snowballing'!$AB$2:$AB$281,"T059",'Prácticas_Snowballing'!$AC$2:$AC$281,"SOFTWARE ENG. OPERATIONS &gt; Practical Considerations")</f>
        <v>0</v>
      </c>
      <c r="AW71" s="17">
        <f>COUNTIFS('Prácticas_Revisiones'!$S$2:$S$282,"T059",'Prácticas_Revisiones'!$T$2:$T$282,"SOFTWARE ENG. OPERATIONS &gt; Software Engineering Operations Tools")+COUNTIFS('Prácticas_Snowballing'!$AB$2:$AB$281,"T059",'Prácticas_Snowballing'!$AC$2:$AC$281,"SOFTWARE ENG. OPERATIONS &gt; Software Engineering Operations Tools")</f>
        <v>0</v>
      </c>
      <c r="AX71" s="17">
        <f>COUNTIFS('Prácticas_Revisiones'!$S$2:$S$282,"T059",'Prácticas_Revisiones'!$T$2:$T$282,"SOFTWARE ENG. OPERATIONS &gt; Subárea no determinable")+COUNTIFS('Prácticas_Snowballing'!$AB$2:$AB$281,"T059",'Prácticas_Snowballing'!$AC$2:$AC$281,"SOFTWARE ENG. OPERATIONS &gt; Subárea no determinable")</f>
        <v>0</v>
      </c>
      <c r="AY71" s="29">
        <f t="shared" si="57"/>
        <v>0</v>
      </c>
      <c r="AZ71" s="17">
        <f>COUNTIFS('Prácticas_Revisiones'!$S$2:$S$282,"T059",'Prácticas_Revisiones'!$T$2:$T$282,"MAINTENANCE &gt; Software Maintenance Fundamentals")+COUNTIFS('Prácticas_Snowballing'!$AB$2:$AB$281,"T059",'Prácticas_Snowballing'!$AC$2:$AC$281,"MAINTENANCE &gt; Software Maintenance Fundamentals")</f>
        <v>0</v>
      </c>
      <c r="BA71" s="17">
        <f>COUNTIFS('Prácticas_Revisiones'!$S$2:$S$282,"T059",'Prácticas_Revisiones'!$T$2:$T$282,"MAINTENANCE &gt; Key Issues in Software Maintenance")+COUNTIFS('Prácticas_Snowballing'!$AB$2:$AB$281,"T059",'Prácticas_Snowballing'!$AC$2:$AC$281,"MAINTENANCE &gt; Key Issues in Software Maintenance")</f>
        <v>0</v>
      </c>
      <c r="BB71" s="17">
        <f>COUNTIFS('Prácticas_Revisiones'!$S$2:$S$282,"T059",'Prácticas_Revisiones'!$T$2:$T$282,"MAINTENANCE &gt; Software Maintenance Processes")+COUNTIFS('Prácticas_Snowballing'!$AB$2:$AB$281,"T059",'Prácticas_Snowballing'!$AC$2:$AC$281,"MAINTENANCE &gt; Software Maintenance Processes")</f>
        <v>0</v>
      </c>
      <c r="BC71" s="17">
        <f>COUNTIFS('Prácticas_Revisiones'!$S$2:$S$282,"T059",'Prácticas_Revisiones'!$T$2:$T$282,"MAINTENANCE &gt; Software Maintenance Techniques")+COUNTIFS('Prácticas_Snowballing'!$AB$2:$AB$281,"T059",'Prácticas_Snowballing'!$AC$2:$AC$281,"MAINTENANCE &gt; Software Maintenance Techniques")</f>
        <v>0</v>
      </c>
      <c r="BD71" s="17">
        <f>COUNTIFS('Prácticas_Revisiones'!$S$2:$S$282,"T059",'Prácticas_Revisiones'!$T$2:$T$282,"MAINTENANCE &gt; Software Maintenance Tools")+COUNTIFS('Prácticas_Snowballing'!$AB$2:$AB$281,"T059",'Prácticas_Snowballing'!$AC$2:$AC$281,"MAINTENANCE &gt; Software Maintenance Tools")</f>
        <v>0</v>
      </c>
      <c r="BE71" s="17">
        <f>COUNTIFS('Prácticas_Revisiones'!$S$2:$S$282,"T059",'Prácticas_Revisiones'!$T$2:$T$282,"MAINTENANCE &gt; Subárea no determinable")+COUNTIFS('Prácticas_Snowballing'!$AB$2:$AB$281,"T059",'Prácticas_Snowballing'!$AC$2:$AC$281,"MAINTENANCE &gt; Subárea no determinable")</f>
        <v>0</v>
      </c>
      <c r="BF71" s="29">
        <f t="shared" si="58"/>
        <v>0</v>
      </c>
      <c r="BG71" s="17">
        <f>COUNTIFS('Prácticas_Revisiones'!$S$2:$S$282,"T059",'Prácticas_Revisiones'!$T$2:$T$282,"SOFTWARE CONFIG. MGMT. &gt; Management of the SCM Process")+COUNTIFS('Prácticas_Snowballing'!$AB$2:$AB$281,"T059",'Prácticas_Snowballing'!$AC$2:$AC$281,"SOFTWARE CONFIG. MGMT. &gt; Management of the SCM Process")</f>
        <v>0</v>
      </c>
      <c r="BH71" s="17">
        <f>COUNTIFS('Prácticas_Revisiones'!$S$2:$S$282,"T059",'Prácticas_Revisiones'!$T$2:$T$282,"SOFTWARE CONFIG. MGMT. &gt; Software Configuration Identification")+COUNTIFS('Prácticas_Snowballing'!$AB$2:$AB$281,"T059",'Prácticas_Snowballing'!$AC$2:$AC$281,"SOFTWARE CONFIG. MGMT. &gt; Software Configuration Identification")</f>
        <v>0</v>
      </c>
      <c r="BI71" s="17">
        <f>COUNTIFS('Prácticas_Revisiones'!$S$2:$S$282,"T059",'Prácticas_Revisiones'!$T$2:$T$282,"SOFTWARE CONFIG. MGMT. &gt; Software Configuration Change Control")+COUNTIFS('Prácticas_Snowballing'!$AB$2:$AB$281,"T059",'Prácticas_Snowballing'!$AC$2:$AC$281,"SOFTWARE CONFIG. MGMT. &gt; Software Configuration Change Control")</f>
        <v>0</v>
      </c>
      <c r="BJ71" s="17">
        <f>COUNTIFS('Prácticas_Revisiones'!$S$2:$S$282,"T059",'Prácticas_Revisiones'!$T$2:$T$282,"SOFTWARE CONFIG. MGMT. &gt; Software Configuration Status Accounting")+COUNTIFS('Prácticas_Snowballing'!$AB$2:$AB$281,"T059",'Prácticas_Snowballing'!$AC$2:$AC$281,"SOFTWARE CONFIG. MGMT. &gt; Software Configuration Status Accounting")</f>
        <v>0</v>
      </c>
      <c r="BK71" s="17">
        <f>COUNTIFS('Prácticas_Revisiones'!$S$2:$S$282,"T059",'Prácticas_Revisiones'!$T$2:$T$282,"SOFTWARE CONFIG. MGMT. &gt; Software Configuration Auditing")+COUNTIFS('Prácticas_Snowballing'!$AB$2:$AB$281,"T059",'Prácticas_Snowballing'!$AC$2:$AC$281,"SOFTWARE CONFIG. MGMT. &gt; Software Configuration Auditing")</f>
        <v>0</v>
      </c>
      <c r="BL71" s="17">
        <f>COUNTIFS('Prácticas_Revisiones'!$S$2:$S$282,"T059",'Prácticas_Revisiones'!$T$2:$T$282,"SOFTWARE CONFIG. MGMT. &gt; Software Release Management and Delivery")+COUNTIFS('Prácticas_Snowballing'!$AB$2:$AB$281,"T059",'Prácticas_Snowballing'!$AC$2:$AC$281,"SOFTWARE CONFIG. MGMT. &gt; Software Release Management and Delivery")</f>
        <v>0</v>
      </c>
      <c r="BM71" s="17">
        <f>COUNTIFS('Prácticas_Revisiones'!$S$2:$S$282,"T059",'Prácticas_Revisiones'!$T$2:$T$282,"SOFTWARE CONFIG. MGMT. &gt; Software Configuration Management Tools")+COUNTIFS('Prácticas_Snowballing'!$AB$2:$AB$281,"T059",'Prácticas_Snowballing'!$AC$2:$AC$281,"SOFTWARE CONFIG. MGMT. &gt; Software Configuration Management Tools")</f>
        <v>0</v>
      </c>
      <c r="BN71" s="17">
        <f>COUNTIFS('Prácticas_Revisiones'!$S$2:$S$282,"T059",'Prácticas_Revisiones'!$T$2:$T$282,"SOFTWARE CONFIG. MGMT. &gt; Subárea no determinable")+COUNTIFS('Prácticas_Snowballing'!$AB$2:$AB$281,"T059",'Prácticas_Snowballing'!$AC$2:$AC$281,"SOFTWARE CONFIG. MGMT. &gt; Subárea no determinable")</f>
        <v>0</v>
      </c>
      <c r="BO71" s="29">
        <f t="shared" si="59"/>
        <v>0</v>
      </c>
      <c r="BP71" s="17">
        <f>COUNTIFS('Prácticas_Revisiones'!$S$2:$S$282,"T059",'Prácticas_Revisiones'!$T$2:$T$282,"SOFTWARE ENG. PROCESS &gt; Software Engineering Process Fundamentals")+COUNTIFS('Prácticas_Snowballing'!$AB$2:$AB$281,"T059",'Prácticas_Snowballing'!$AC$2:$AC$281,"SOFTWARE ENG. PROCESS &gt; Software Engineering Process Fundamentals")</f>
        <v>0</v>
      </c>
      <c r="BQ71" s="17">
        <f>COUNTIFS('Prácticas_Revisiones'!$S$2:$S$282,"T059",'Prácticas_Revisiones'!$T$2:$T$282,"SOFTWARE ENG. PROCESS &gt; Life Cycles")+COUNTIFS('Prácticas_Snowballing'!$AB$2:$AB$281,"T059",'Prácticas_Snowballing'!$AC$2:$AC$281,"SOFTWARE ENG. PROCESS &gt; Life Cycles")</f>
        <v>0</v>
      </c>
      <c r="BR71" s="17">
        <f>COUNTIFS('Prácticas_Revisiones'!$S$2:$S$282,"T059",'Prácticas_Revisiones'!$T$2:$T$282,"SOFTWARE ENG. PROCESS &gt; Software Process Assessment and Improvement")+COUNTIFS('Prácticas_Snowballing'!$AB$2:$AB$281,"T059",'Prácticas_Snowballing'!$AC$2:$AC$281,"SOFTWARE ENG. PROCESS &gt; Software Process Assessment and Improvement")</f>
        <v>0</v>
      </c>
      <c r="BS71" s="17">
        <f>COUNTIFS('Prácticas_Revisiones'!$S$2:$S$282,"T059",'Prácticas_Revisiones'!$T$2:$T$282,"SOFTWARE ENG. PROCESS &gt; Subárea no determinable")+COUNTIFS('Prácticas_Snowballing'!$AB$2:$AB$281,"T059",'Prácticas_Snowballing'!$AC$2:$AC$281,"SOFTWARE ENG. PROCESS &gt; Subárea no determinable")</f>
        <v>0</v>
      </c>
      <c r="BT71" s="29">
        <f t="shared" si="60"/>
        <v>0</v>
      </c>
      <c r="BU71" s="17">
        <f>COUNTIFS('Prácticas_Revisiones'!$S$2:$S$282,"T059",'Prácticas_Revisiones'!$T$2:$T$282,"SOFTWARE ENG. MODELS/METH. &gt; Modeling")+COUNTIFS('Prácticas_Snowballing'!$AB$2:$AB$281,"T059",'Prácticas_Snowballing'!$AC$2:$AC$281,"SOFTWARE ENG. MODELS/METH. &gt; Modeling")</f>
        <v>0</v>
      </c>
      <c r="BV71" s="17">
        <f>COUNTIFS('Prácticas_Revisiones'!$S$2:$S$282,"T059",'Prácticas_Revisiones'!$T$2:$T$282,"SOFTWARE ENG. MODELS/METH. &gt; Types of Models")+COUNTIFS('Prácticas_Snowballing'!$AB$2:$AB$281,"T059",'Prácticas_Snowballing'!$AC$2:$AC$281,"SOFTWARE ENG. MODELS/METH. &gt; Types of Models")</f>
        <v>0</v>
      </c>
      <c r="BW71" s="17">
        <f>COUNTIFS('Prácticas_Revisiones'!$S$2:$S$282,"T059",'Prácticas_Revisiones'!$T$2:$T$282,"SOFTWARE ENG. MODELS/METH. &gt; Analysis of Models")+COUNTIFS('Prácticas_Snowballing'!$AB$2:$AB$281,"T059",'Prácticas_Snowballing'!$AC$2:$AC$281,"SOFTWARE ENG. MODELS/METH. &gt; Analysis of Models")</f>
        <v>0</v>
      </c>
      <c r="BX71" s="17">
        <f>COUNTIFS('Prácticas_Revisiones'!$S$2:$S$282,"T059",'Prácticas_Revisiones'!$T$2:$T$282,"SOFTWARE ENG. MODELS/METH. &gt; Software Engineering Methods")+COUNTIFS('Prácticas_Snowballing'!$AB$2:$AB$281,"T059",'Prácticas_Snowballing'!$AC$2:$AC$281,"SOFTWARE ENG. MODELS/METH. &gt; Software Engineering Methods")</f>
        <v>0</v>
      </c>
      <c r="BY71" s="17">
        <f>COUNTIFS('Prácticas_Revisiones'!$S$2:$S$282,"T059",'Prácticas_Revisiones'!$T$2:$T$282,"SOFTWARE ENG. MODELS/METH. &gt; Subárea no determinable")+COUNTIFS('Prácticas_Snowballing'!$AB$2:$AB$281,"T059",'Prácticas_Snowballing'!$AC$2:$AC$281,"SOFTWARE ENG. MODELS/METH. &gt; Subárea no determinable")</f>
        <v>0</v>
      </c>
      <c r="BZ71" s="29">
        <f t="shared" si="61"/>
        <v>0</v>
      </c>
      <c r="CA71" s="17">
        <f>COUNTIFS('Prácticas_Revisiones'!$S$2:$S$282,"T059",'Prácticas_Revisiones'!$T$2:$T$282,"SOFTWARE QUALITY &gt; Software Quality Fundamentals")+COUNTIFS('Prácticas_Snowballing'!$AB$2:$AB$281,"T059",'Prácticas_Snowballing'!$AC$2:$AC$281,"SOFTWARE QUALITY &gt; Software Quality Fundamentals")</f>
        <v>0</v>
      </c>
      <c r="CB71" s="17">
        <f>COUNTIFS('Prácticas_Revisiones'!$S$2:$S$282,"T059",'Prácticas_Revisiones'!$T$2:$T$282,"SOFTWARE QUALITY &gt; Software Quality Management Process")+COUNTIFS('Prácticas_Snowballing'!$AB$2:$AB$281,"T059",'Prácticas_Snowballing'!$AC$2:$AC$281,"SOFTWARE QUALITY &gt; Software Quality Management Process")</f>
        <v>0</v>
      </c>
      <c r="CC71" s="17">
        <f>COUNTIFS('Prácticas_Revisiones'!$S$2:$S$282,"T059",'Prácticas_Revisiones'!$T$2:$T$282,"SOFTWARE QUALITY &gt; Software Quality Assurance Process")+COUNTIFS('Prácticas_Snowballing'!$AB$2:$AB$281,"T059",'Prácticas_Snowballing'!$AC$2:$AC$281,"SOFTWARE QUALITY &gt; Software Quality Assurance Process")</f>
        <v>0</v>
      </c>
      <c r="CD71" s="17">
        <f>COUNTIFS('Prácticas_Revisiones'!$S$2:$S$282,"T059",'Prácticas_Revisiones'!$T$2:$T$282,"SOFTWARE QUALITY &gt; Software Quality Tools")+COUNTIFS('Prácticas_Snowballing'!$AB$2:$AB$281,"T059",'Prácticas_Snowballing'!$AC$2:$AC$281,"SOFTWARE QUALITY &gt; Software Quality Tools")</f>
        <v>0</v>
      </c>
      <c r="CE71" s="17">
        <f>COUNTIFS('Prácticas_Revisiones'!$S$2:$S$282,"T059",'Prácticas_Revisiones'!$T$2:$T$282,"SOFTWARE QUALITY &gt; Subárea no determinable")+COUNTIFS('Prácticas_Snowballing'!$AB$2:$AB$281,"T059",'Prácticas_Snowballing'!$AC$2:$AC$281,"SOFTWARE QUALITY &gt; Subárea no determinable")</f>
        <v>0</v>
      </c>
      <c r="CF71" s="29">
        <f t="shared" si="62"/>
        <v>0</v>
      </c>
      <c r="CG71" s="17">
        <f>COUNTIFS('Prácticas_Revisiones'!$S$2:$S$282,"T059",'Prácticas_Revisiones'!$T$2:$T$282,"SOFTWARE SECURITY &gt; Software Security Fundamentals")+COUNTIFS('Prácticas_Snowballing'!$AB$2:$AB$281,"T059",'Prácticas_Snowballing'!$AC$2:$AC$281,"SOFTWARE SECURITY &gt; Software Security Fundamentals")</f>
        <v>0</v>
      </c>
      <c r="CH71" s="17">
        <f>COUNTIFS('Prácticas_Revisiones'!$S$2:$S$282,"T059",'Prácticas_Revisiones'!$T$2:$T$282,"SOFTWARE SECURITY &gt; Security Management and Organization")+COUNTIFS('Prácticas_Snowballing'!$AB$2:$AB$281,"T059",'Prácticas_Snowballing'!$AC$2:$AC$281,"SOFTWARE SECURITY &gt; Security Management and Organization")</f>
        <v>0</v>
      </c>
      <c r="CI71" s="17">
        <f>COUNTIFS('Prácticas_Revisiones'!$S$2:$S$282,"T059",'Prácticas_Revisiones'!$T$2:$T$282,"SOFTWARE SECURITY &gt; Software Security Engineering and Process")+COUNTIFS('Prácticas_Snowballing'!$AB$2:$AB$281,"T059",'Prácticas_Snowballing'!$AC$2:$AC$281,"SOFTWARE SECURITY &gt; Software Security Engineering and Process")</f>
        <v>0</v>
      </c>
      <c r="CJ71" s="17">
        <f>COUNTIFS('Prácticas_Revisiones'!$S$2:$S$282,"T059",'Prácticas_Revisiones'!$T$2:$T$282,"SOFTWARE SECURITY &gt; Security Engineering for Software Systems")+COUNTIFS('Prácticas_Snowballing'!$AB$2:$AB$281,"T059",'Prácticas_Snowballing'!$AC$2:$AC$281,"SOFTWARE SECURITY &gt; Security Engineering for Software Systems")</f>
        <v>0</v>
      </c>
      <c r="CK71" s="17">
        <f>COUNTIFS('Prácticas_Revisiones'!$S$2:$S$282,"T059",'Prácticas_Revisiones'!$T$2:$T$282,"SOFTWARE SECURITY &gt; Software Security Tools")+COUNTIFS('Prácticas_Snowballing'!$AB$2:$AB$281,"T059",'Prácticas_Snowballing'!$AC$2:$AC$281,"SOFTWARE SECURITY &gt; Software Security Tools")</f>
        <v>0</v>
      </c>
      <c r="CL71" s="17">
        <f>COUNTIFS('Prácticas_Revisiones'!$S$2:$S$282,"T059",'Prácticas_Revisiones'!$T$2:$T$282,"SOFTWARE SECURITY &gt; Domain Specific Software Security")+COUNTIFS('Prácticas_Snowballing'!$AB$2:$AB$281,"T059",'Prácticas_Snowballing'!$AC$2:$AC$281,"SOFTWARE SECURITY &gt; Domain Specific Software Security")</f>
        <v>0</v>
      </c>
      <c r="CM71" s="17">
        <f>COUNTIFS('Prácticas_Revisiones'!$S$2:$S$282,"T059",'Prácticas_Revisiones'!$T$2:$T$282,"SOFTWARE SECURITY &gt; Subárea no determinable")+COUNTIFS('Prácticas_Snowballing'!$AB$2:$AB$281,"T059",'Prácticas_Snowballing'!$AC$2:$AC$281,"SOFTWARE SECURITY &gt; Subárea no determinable")</f>
        <v>0</v>
      </c>
      <c r="CN71" s="29">
        <f t="shared" si="63"/>
        <v>0</v>
      </c>
      <c r="CO71" s="17">
        <f>COUNTIFS('Prácticas_Revisiones'!$S$2:$S$282,"T059",'Prácticas_Revisiones'!$T$2:$T$282,"PROFESSIONAL PRACTICE &gt; Professionalism")+COUNTIFS('Prácticas_Snowballing'!$AB$2:$AB$281,"T059",'Prácticas_Snowballing'!$AC$2:$AC$281,"PROFESSIONAL PRACTICE &gt; Professionalism")</f>
        <v>0</v>
      </c>
      <c r="CP71" s="17">
        <f>COUNTIFS('Prácticas_Revisiones'!$S$2:$S$282,"T059",'Prácticas_Revisiones'!$T$2:$T$282,"PROFESSIONAL PRACTICE &gt; Group Dynamics and Psychology")+COUNTIFS('Prácticas_Snowballing'!$AB$2:$AB$281,"T059",'Prácticas_Snowballing'!$AC$2:$AC$281,"PROFESSIONAL PRACTICE &gt; Group Dynamics and Psychology")</f>
        <v>0</v>
      </c>
      <c r="CQ71" s="17">
        <f>COUNTIFS('Prácticas_Revisiones'!$S$2:$S$282,"T059",'Prácticas_Revisiones'!$T$2:$T$282,"PROFESSIONAL PRACTICE &gt; Communication Skills")+COUNTIFS('Prácticas_Snowballing'!$AB$2:$AB$281,"T059",'Prácticas_Snowballing'!$AC$2:$AC$281,"PROFESSIONAL PRACTICE &gt; Communication Skills")</f>
        <v>0</v>
      </c>
      <c r="CR71" s="17">
        <f>COUNTIFS('Prácticas_Revisiones'!$S$2:$S$282,"T059",'Prácticas_Revisiones'!$T$2:$T$282,"PROFESSIONAL PRACTICE &gt; Subárea no determinable")+COUNTIFS('Prácticas_Snowballing'!$AB$2:$AB$281,"T059",'Prácticas_Snowballing'!$AC$2:$AC$281,"PROFESSIONAL PRACTICE &gt; Subárea no determinable")</f>
        <v>0</v>
      </c>
      <c r="CS71" s="29">
        <f t="shared" si="64"/>
        <v>0</v>
      </c>
      <c r="CT71" s="17">
        <f>COUNTIFS('Prácticas_Revisiones'!$S$2:$S$282,"T059",'Prácticas_Revisiones'!$T$2:$T$282,"SOFTWARE ENG. ECONOMICS &gt; Software Engineering Economics Fundamentals")+COUNTIFS('Prácticas_Snowballing'!$AB$2:$AB$281,"T059",'Prácticas_Snowballing'!$AC$2:$AC$281,"SOFTWARE ENG. ECONOMICS &gt; Software Engineering Economics Fundamentals")</f>
        <v>0</v>
      </c>
      <c r="CU71" s="17">
        <f>COUNTIFS('Prácticas_Revisiones'!$S$2:$S$282,"T059",'Prácticas_Revisiones'!$T$2:$T$282,"SOFTWARE ENG. ECONOMICS &gt; The Engineering Decision-Making Process")+COUNTIFS('Prácticas_Snowballing'!$AB$2:$AB$281,"T059",'Prácticas_Snowballing'!$AC$2:$AC$281,"SOFTWARE ENG. ECONOMICS &gt; The Engineering Decision-Making Process")</f>
        <v>0</v>
      </c>
      <c r="CV71" s="17">
        <f>COUNTIFS('Prácticas_Revisiones'!$S$2:$S$282,"T059",'Prácticas_Revisiones'!$T$2:$T$282,"SOFTWARE ENG. ECONOMICS &gt; For-Profit Decision-Making")+COUNTIFS('Prácticas_Snowballing'!$AB$2:$AB$281,"T059",'Prácticas_Snowballing'!$AC$2:$AC$281,"SOFTWARE ENG. ECONOMICS &gt; For-Profit Decision-Making")</f>
        <v>0</v>
      </c>
      <c r="CW71" s="17">
        <f>COUNTIFS('Prácticas_Revisiones'!$S$2:$S$282,"T059",'Prácticas_Revisiones'!$T$2:$T$282,"SOFTWARE ENG. ECONOMICS &gt; Nonprofit Decision-Making")+COUNTIFS('Prácticas_Snowballing'!$AB$2:$AB$281,"T059",'Prácticas_Snowballing'!$AC$2:$AC$281,"SOFTWARE ENG. ECONOMICS &gt; Nonprofit Decision-Making")</f>
        <v>0</v>
      </c>
      <c r="CX71" s="17">
        <f>COUNTIFS('Prácticas_Revisiones'!$S$2:$S$282,"T059",'Prácticas_Revisiones'!$T$2:$T$282,"SOFTWARE ENG. ECONOMICS &gt; Present Economy Decision-Making")+COUNTIFS('Prácticas_Snowballing'!$AB$2:$AB$281,"T059",'Prácticas_Snowballing'!$AC$2:$AC$281,"SOFTWARE ENG. ECONOMICS &gt; Present Economy Decision-Making")</f>
        <v>0</v>
      </c>
      <c r="CY71" s="17">
        <f>COUNTIFS('Prácticas_Revisiones'!$S$2:$S$282,"T059",'Prácticas_Revisiones'!$T$2:$T$282,"SOFTWARE ENG. ECONOMICS &gt; Multiple-Attribute Decision-Making")+COUNTIFS('Prácticas_Snowballing'!$AB$2:$AB$281,"T059",'Prácticas_Snowballing'!$AC$2:$AC$281,"SOFTWARE ENG. ECONOMICS &gt; Multiple-Attribute Decision-Making")</f>
        <v>0</v>
      </c>
      <c r="CZ71" s="17">
        <f>COUNTIFS('Prácticas_Revisiones'!$S$2:$S$282,"T059",'Prácticas_Revisiones'!$T$2:$T$282,"SOFTWARE ENG. ECONOMICS &gt; Identifying and Characterizing Intangible Assets")+COUNTIFS('Prácticas_Snowballing'!$AB$2:$AB$281,"T059",'Prácticas_Snowballing'!$AC$2:$AC$281,"SOFTWARE ENG. ECONOMICS &gt; Identifying and Characterizing Intangible Assets")</f>
        <v>0</v>
      </c>
      <c r="DA71" s="17">
        <f>COUNTIFS('Prácticas_Revisiones'!$S$2:$S$282,"T059",'Prácticas_Revisiones'!$T$2:$T$282,"SOFTWARE ENG. ECONOMICS &gt; Estimation")+COUNTIFS('Prácticas_Snowballing'!$AB$2:$AB$281,"T059",'Prácticas_Snowballing'!$AC$2:$AC$281,"SOFTWARE ENG. ECONOMICS &gt; Estimation")</f>
        <v>0</v>
      </c>
      <c r="DB71" s="17">
        <f>COUNTIFS('Prácticas_Revisiones'!$S$2:$S$282,"T059",'Prácticas_Revisiones'!$T$2:$T$282,"SOFTWARE ENG. ECONOMICS &gt; Practical Considerations")+COUNTIFS('Prácticas_Snowballing'!$AB$2:$AB$281,"T059",'Prácticas_Snowballing'!$AC$2:$AC$281,"SOFTWARE ENG. ECONOMICS &gt; Practical Considerations")</f>
        <v>0</v>
      </c>
      <c r="DC71" s="17">
        <f>COUNTIFS('Prácticas_Revisiones'!$S$2:$S$282,"T059",'Prácticas_Revisiones'!$T$2:$T$282,"SOFTWARE ENG. ECONOMICS &gt; Related Concepts")+COUNTIFS('Prácticas_Snowballing'!$AB$2:$AB$281,"T059",'Prácticas_Snowballing'!$AC$2:$AC$281,"SOFTWARE ENG. ECONOMICS &gt; Related Concepts")</f>
        <v>0</v>
      </c>
      <c r="DD71" s="17">
        <f>COUNTIFS('Prácticas_Revisiones'!$S$2:$S$282,"T059",'Prácticas_Revisiones'!$T$2:$T$282,"SOFTWARE ENG. ECONOMICS &gt; Subárea no determinable")+COUNTIFS('Prácticas_Snowballing'!$AB$2:$AB$281,"T059",'Prácticas_Snowballing'!$AC$2:$AC$281,"SOFTWARE ENG. ECONOMICS &gt; Subárea no determinable")</f>
        <v>0</v>
      </c>
      <c r="DE71" s="29">
        <f t="shared" si="65"/>
        <v>0</v>
      </c>
      <c r="DF71" s="17">
        <f>COUNTIFS('Prácticas_Revisiones'!$S$2:$S$282,"T059",'Prácticas_Revisiones'!$T$2:$T$282,"SOFTWARE ENG. MANAGEMENT &gt; Software Engineering Management Fundamentals")+COUNTIFS('Prácticas_Snowballing'!$AB$2:$AB$281,"T059",'Prácticas_Snowballing'!$AC$2:$AC$281,"SOFTWARE ENG. MANAGEMENT &gt; Software Engineering Management Fundamentals")</f>
        <v>0</v>
      </c>
      <c r="DG71" s="17">
        <f>COUNTIFS('Prácticas_Revisiones'!$S$2:$S$282,"T059",'Prácticas_Revisiones'!$T$2:$T$282,"SOFTWARE ENG. MANAGEMENT &gt; Initiation and Scope Definition")+COUNTIFS('Prácticas_Snowballing'!$AB$2:$AB$281,"T059",'Prácticas_Snowballing'!$AC$2:$AC$281,"SOFTWARE ENG. MANAGEMENT &gt; Initiation and Scope Definition")</f>
        <v>0</v>
      </c>
      <c r="DH71" s="17">
        <f>COUNTIFS('Prácticas_Revisiones'!$S$2:$S$282,"T059",'Prácticas_Revisiones'!$T$2:$T$282,"SOFTWARE ENG. MANAGEMENT &gt; Software Project Planning")+COUNTIFS('Prácticas_Snowballing'!$AB$2:$AB$281,"T059",'Prácticas_Snowballing'!$AC$2:$AC$281,"SOFTWARE ENG. MANAGEMENT &gt; Software Project Planning")</f>
        <v>0</v>
      </c>
      <c r="DI71" s="17">
        <f>COUNTIFS('Prácticas_Revisiones'!$S$2:$S$282,"T059",'Prácticas_Revisiones'!$T$2:$T$282,"SOFTWARE ENG. MANAGEMENT &gt; Software Project Enactment")+COUNTIFS('Prácticas_Snowballing'!$AB$2:$AB$281,"T059",'Prácticas_Snowballing'!$AC$2:$AC$281,"SOFTWARE ENG. MANAGEMENT &gt; Software Project Enactment")</f>
        <v>0</v>
      </c>
      <c r="DJ71" s="17">
        <f>COUNTIFS('Prácticas_Revisiones'!$S$2:$S$282,"T059",'Prácticas_Revisiones'!$T$2:$T$282,"SOFTWARE ENG. MANAGEMENT &gt; Review and Evaluation")+COUNTIFS('Prácticas_Snowballing'!$AB$2:$AB$281,"T059",'Prácticas_Snowballing'!$AC$2:$AC$281,"SOFTWARE ENG. MANAGEMENT &gt; Review and Evaluation")</f>
        <v>0</v>
      </c>
      <c r="DK71" s="17">
        <f>COUNTIFS('Prácticas_Revisiones'!$S$2:$S$282,"T059",'Prácticas_Revisiones'!$T$2:$T$282,"SOFTWARE ENG. MANAGEMENT &gt; Closure")+COUNTIFS('Prácticas_Snowballing'!$AB$2:$AB$281,"T059",'Prácticas_Snowballing'!$AC$2:$AC$281,"SOFTWARE ENG. MANAGEMENT &gt; Closure")</f>
        <v>0</v>
      </c>
      <c r="DL71" s="17">
        <f>COUNTIFS('Prácticas_Revisiones'!$S$2:$S$282,"T059",'Prácticas_Revisiones'!$T$2:$T$282,"SOFTWARE ENG. MANAGEMENT &gt; Software Engineering Management Tools")+COUNTIFS('Prácticas_Snowballing'!$AB$2:$AB$281,"T059",'Prácticas_Snowballing'!$AC$2:$AC$281,"SOFTWARE ENG. MANAGEMENT &gt; Software Engineering Management Tools")</f>
        <v>0</v>
      </c>
      <c r="DM71" s="17">
        <f>COUNTIFS('Prácticas_Revisiones'!$S$2:$S$282,"T059",'Prácticas_Revisiones'!$T$2:$T$282,"SOFTWARE ENG. MANAGEMENT &gt; Subárea no determinable")+COUNTIFS('Prácticas_Snowballing'!$AB$2:$AB$281,"T059",'Prácticas_Snowballing'!$AC$2:$AC$281,"SOFTWARE ENG. MANAGEMENT &gt; Subárea no determinable")</f>
        <v>0</v>
      </c>
      <c r="DN71" s="29">
        <f t="shared" si="66"/>
        <v>0</v>
      </c>
      <c r="DO71" s="17">
        <f>COUNTIFS('Prácticas_Revisiones'!$S$2:$S$282,"T059",'Prácticas_Revisiones'!$T$2:$T$282,"Sin área SWEBOK")+COUNTIFS('Prácticas_Snowballing'!$AB$2:$AB$281,"T059",'Prácticas_Snowballing'!$AC$2:$AC$281,"Sin área SWEBOK")</f>
        <v>0</v>
      </c>
      <c r="DP71" s="27">
        <f t="shared" si="67"/>
        <v>0</v>
      </c>
    </row>
    <row r="72" ht="15.75" customHeight="1">
      <c r="A72" s="28"/>
      <c r="B72" s="16" t="s">
        <v>2778</v>
      </c>
      <c r="C72" s="17">
        <f>COUNTIFS('Prácticas_Revisiones'!$S$2:$S$282,"T060",'Prácticas_Revisiones'!$T$2:$T$282,"REQUIREMENTS &gt; Software Requirements Fundamentals")+COUNTIFS('Prácticas_Snowballing'!$AB$2:$AB$281,"T060",'Prácticas_Snowballing'!$AC$2:$AC$281,"REQUIREMENTS &gt; Software Requirements Fundamentals")</f>
        <v>0</v>
      </c>
      <c r="D72" s="17">
        <f>COUNTIFS('Prácticas_Revisiones'!$S$2:$S$282,"T060",'Prácticas_Revisiones'!$T$2:$T$282,"REQUIREMENTS &gt; Requirements Elicitation")+COUNTIFS('Prácticas_Snowballing'!$AB$2:$AB$281,"T060",'Prácticas_Snowballing'!$AC$2:$AC$281,"REQUIREMENTS &gt; Requirements Elicitation")</f>
        <v>0</v>
      </c>
      <c r="E72" s="17">
        <f>COUNTIFS('Prácticas_Revisiones'!$S$2:$S$282,"T060",'Prácticas_Revisiones'!$T$2:$T$282,"REQUIREMENTS &gt; Requirements Analysis")+COUNTIFS('Prácticas_Snowballing'!$AB$2:$AB$281,"T060",'Prácticas_Snowballing'!$AC$2:$AC$281,"REQUIREMENTS &gt; Requirements Analysis")</f>
        <v>0</v>
      </c>
      <c r="F72" s="17">
        <f>COUNTIFS('Prácticas_Revisiones'!$S$2:$S$282,"T060",'Prácticas_Revisiones'!$T$2:$T$282,"REQUIREMENTS &gt; Requirements Specification")+COUNTIFS('Prácticas_Snowballing'!$AB$2:$AB$281,"T060",'Prácticas_Snowballing'!$AC$2:$AC$281,"REQUIREMENTS &gt; Requirements Specification")</f>
        <v>0</v>
      </c>
      <c r="G72" s="17">
        <f>COUNTIFS('Prácticas_Revisiones'!$S$2:$S$282,"T060",'Prácticas_Revisiones'!$T$2:$T$282,"REQUIREMENTS &gt; Requirements Validation")+COUNTIFS('Prácticas_Snowballing'!$AB$2:$AB$281,"T060",'Prácticas_Snowballing'!$AC$2:$AC$281,"REQUIREMENTS &gt; Requirements Validation")</f>
        <v>0</v>
      </c>
      <c r="H72" s="17">
        <f>COUNTIFS('Prácticas_Revisiones'!$S$2:$S$282,"T060",'Prácticas_Revisiones'!$T$2:$T$282,"REQUIREMENTS &gt; Requirements Management Activities")+COUNTIFS('Prácticas_Snowballing'!$AB$2:$AB$281,"T060",'Prácticas_Snowballing'!$AC$2:$AC$281,"REQUIREMENTS &gt; Requirements Management Activities")</f>
        <v>0</v>
      </c>
      <c r="I72" s="17">
        <f>COUNTIFS('Prácticas_Revisiones'!$S$2:$S$282,"T060",'Prácticas_Revisiones'!$T$2:$T$282,"REQUIREMENTS &gt; Practical Considerations")+COUNTIFS('Prácticas_Snowballing'!$AB$2:$AB$281,"T060",'Prácticas_Snowballing'!$AC$2:$AC$281,"REQUIREMENTS &gt; Practical Considerations")</f>
        <v>0</v>
      </c>
      <c r="J72" s="17">
        <f>COUNTIFS('Prácticas_Revisiones'!$S$2:$S$282,"T060",'Prácticas_Revisiones'!$T$2:$T$282,"REQUIREMENTS &gt; Software Requirements Tools")+COUNTIFS('Prácticas_Snowballing'!$AB$2:$AB$281,"T060",'Prácticas_Snowballing'!$AC$2:$AC$281,"REQUIREMENTS &gt; Software Requirements Tools")</f>
        <v>0</v>
      </c>
      <c r="K72" s="17">
        <f>COUNTIFS('Prácticas_Revisiones'!$S$2:$S$282,"T060",'Prácticas_Revisiones'!$T$2:$T$282,"REQUIREMENTS &gt; Subárea no determinable")+COUNTIFS('Prácticas_Snowballing'!$AB$2:$AB$281,"T060",'Prácticas_Snowballing'!$AC$2:$AC$281,"REQUIREMENTS &gt; Subárea no determinable")</f>
        <v>0</v>
      </c>
      <c r="L72" s="29">
        <f t="shared" si="52"/>
        <v>0</v>
      </c>
      <c r="M72" s="17">
        <f>COUNTIFS('Prácticas_Revisiones'!$S$2:$S$282,"T060",'Prácticas_Revisiones'!$T$2:$T$282,"ARCHITECTURE &gt; Software Architecture Fundamentals")+COUNTIFS('Prácticas_Snowballing'!$AB$2:$AB$281,"T060",'Prácticas_Snowballing'!$AC$2:$AC$281,"ARCHITECTURE &gt; Software Architecture Fundamentals")</f>
        <v>0</v>
      </c>
      <c r="N72" s="17">
        <f>COUNTIFS('Prácticas_Revisiones'!$S$2:$S$282,"T060",'Prácticas_Revisiones'!$T$2:$T$282,"ARCHITECTURE &gt; Software Architecture Description")+COUNTIFS('Prácticas_Snowballing'!$AB$2:$AB$281,"T060",'Prácticas_Snowballing'!$AC$2:$AC$281,"ARCHITECTURE &gt; Software Architecture Description")</f>
        <v>0</v>
      </c>
      <c r="O72" s="17">
        <f>COUNTIFS('Prácticas_Revisiones'!$S$2:$S$282,"T060",'Prácticas_Revisiones'!$T$2:$T$282,"ARCHITECTURE &gt; Software Architecture Process")+COUNTIFS('Prácticas_Snowballing'!$AB$2:$AB$281,"T060",'Prácticas_Snowballing'!$AC$2:$AC$281,"ARCHITECTURE &gt; Software Architecture Process")</f>
        <v>0</v>
      </c>
      <c r="P72" s="17">
        <f>COUNTIFS('Prácticas_Revisiones'!$S$2:$S$282,"T060",'Prácticas_Revisiones'!$T$2:$T$282,"ARCHITECTURE &gt; Software Architecture Evaluation")+COUNTIFS('Prácticas_Snowballing'!$AB$2:$AB$281,"T060",'Prácticas_Snowballing'!$AC$2:$AC$281,"ARCHITECTURE &gt; Software Architecture Evaluation")</f>
        <v>0</v>
      </c>
      <c r="Q72" s="17">
        <f>COUNTIFS('Prácticas_Revisiones'!$S$2:$S$282,"T060",'Prácticas_Revisiones'!$T$2:$T$282,"ARCHITECTURE &gt; Subárea no determinable")+COUNTIFS('Prácticas_Snowballing'!$AB$2:$AB$281,"T060",'Prácticas_Snowballing'!$AC$2:$AC$281,"ARCHITECTURE &gt; Subárea no determinable")</f>
        <v>0</v>
      </c>
      <c r="R72" s="29">
        <f t="shared" si="53"/>
        <v>0</v>
      </c>
      <c r="S72" s="17">
        <f>COUNTIFS('Prácticas_Revisiones'!$S$2:$S$282,"T060",'Prácticas_Revisiones'!$T$2:$T$282,"DESIGN &gt; Software Design Fundamentals")+COUNTIFS('Prácticas_Snowballing'!$AB$2:$AB$281,"T060",'Prácticas_Snowballing'!$AC$2:$AC$281,"DESIGN &gt; Software Design Fundamentals")</f>
        <v>0</v>
      </c>
      <c r="T72" s="17">
        <f>COUNTIFS('Prácticas_Revisiones'!$S$2:$S$282,"T060",'Prácticas_Revisiones'!$T$2:$T$282,"DESIGN &gt; Software Design Processes")+COUNTIFS('Prácticas_Snowballing'!$AB$2:$AB$281,"T060",'Prácticas_Snowballing'!$AC$2:$AC$281,"DESIGN &gt; Software Design Processes")</f>
        <v>0</v>
      </c>
      <c r="U72" s="17">
        <f>COUNTIFS('Prácticas_Revisiones'!$S$2:$S$282,"T060",'Prácticas_Revisiones'!$T$2:$T$282,"DESIGN &gt; Software Design Qualities")+COUNTIFS('Prácticas_Snowballing'!$AB$2:$AB$281,"T060",'Prácticas_Snowballing'!$AC$2:$AC$281,"DESIGN &gt; Software Design Qualities")</f>
        <v>0</v>
      </c>
      <c r="V72" s="17">
        <f>COUNTIFS('Prácticas_Revisiones'!$S$2:$S$282,"T060",'Prácticas_Revisiones'!$T$2:$T$282,"DESIGN &gt; Recording Software Design")+COUNTIFS('Prácticas_Snowballing'!$AB$2:$AB$281,"T060",'Prácticas_Snowballing'!$AC$2:$AC$281,"DESIGN &gt; Recording Software Design")</f>
        <v>0</v>
      </c>
      <c r="W72" s="17">
        <f>COUNTIFS('Prácticas_Revisiones'!$S$2:$S$282,"T060",'Prácticas_Revisiones'!$T$2:$T$282,"DESIGN &gt; Software Design Strategies and Methods")+COUNTIFS('Prácticas_Snowballing'!$AB$2:$AB$281,"T060",'Prácticas_Snowballing'!$AC$2:$AC$281,"DESIGN &gt; Software Design Strategies and Methods")</f>
        <v>0</v>
      </c>
      <c r="X72" s="17">
        <f>COUNTIFS('Prácticas_Revisiones'!$S$2:$S$282,"T060",'Prácticas_Revisiones'!$T$2:$T$282,"DESIGN &gt; Software Design Analysis and Evaluations")+COUNTIFS('Prácticas_Snowballing'!$AB$2:$AB$281,"T060",'Prácticas_Snowballing'!$AC$2:$AC$281,"DESIGN &gt; Software Design Analysis and Evaluations")</f>
        <v>0</v>
      </c>
      <c r="Y72" s="17">
        <f>COUNTIFS('Prácticas_Revisiones'!$S$2:$S$282,"T060",'Prácticas_Revisiones'!$T$2:$T$282,"DESIGN &gt; Subárea no determinable")+COUNTIFS('Prácticas_Snowballing'!$AB$2:$AB$281,"T060",'Prácticas_Snowballing'!$AC$2:$AC$281,"DESIGN &gt; Subárea no determinable")</f>
        <v>0</v>
      </c>
      <c r="Z72" s="29">
        <f t="shared" si="54"/>
        <v>0</v>
      </c>
      <c r="AA72" s="17">
        <f>COUNTIFS('Prácticas_Revisiones'!$S$2:$S$282,"T060",'Prácticas_Revisiones'!$T$2:$T$282,"CONSTRUCTION &gt; Software Construction Fundamentals")+COUNTIFS('Prácticas_Snowballing'!$AB$2:$AB$281,"T060",'Prácticas_Snowballing'!$AC$2:$AC$281,"CONSTRUCTION &gt; Software Construction Fundamentals")</f>
        <v>1</v>
      </c>
      <c r="AB72" s="17">
        <f>COUNTIFS('Prácticas_Revisiones'!$S$2:$S$282,"T060",'Prácticas_Revisiones'!$T$2:$T$282,"CONSTRUCTION &gt; Managing Construction")+COUNTIFS('Prácticas_Snowballing'!$AB$2:$AB$281,"T060",'Prácticas_Snowballing'!$AC$2:$AC$281,"CONSTRUCTION &gt; Managing Construction")</f>
        <v>0</v>
      </c>
      <c r="AC72" s="17">
        <f>COUNTIFS('Prácticas_Revisiones'!$S$2:$S$282,"T060",'Prácticas_Revisiones'!$T$2:$T$282,"CONSTRUCTION &gt; Practical Considerations")+COUNTIFS('Prácticas_Snowballing'!$AB$2:$AB$281,"T060",'Prácticas_Snowballing'!$AC$2:$AC$281,"CONSTRUCTION &gt; Practical Considerations")</f>
        <v>0</v>
      </c>
      <c r="AD72" s="17">
        <f>COUNTIFS('Prácticas_Revisiones'!$S$2:$S$282,"T060",'Prácticas_Revisiones'!$T$2:$T$282,"CONSTRUCTION &gt; Construction Technologies")+COUNTIFS('Prácticas_Snowballing'!$AB$2:$AB$281,"T060",'Prácticas_Snowballing'!$AC$2:$AC$281,"CONSTRUCTION &gt; Construction Technologies")</f>
        <v>0</v>
      </c>
      <c r="AE72" s="17">
        <f>COUNTIFS('Prácticas_Revisiones'!$S$2:$S$282,"T060",'Prácticas_Revisiones'!$T$2:$T$282,"CONSTRUCTION &gt; Software Construction Tools")+COUNTIFS('Prácticas_Snowballing'!$AB$2:$AB$281,"T060",'Prácticas_Snowballing'!$AC$2:$AC$281,"CONSTRUCTION &gt; Software Construction Tools")</f>
        <v>0</v>
      </c>
      <c r="AF72" s="17">
        <f>COUNTIFS('Prácticas_Revisiones'!$S$2:$S$282,"T060",'Prácticas_Revisiones'!$T$2:$T$282,"CONSTRUCTION &gt; Subárea no determinable")+COUNTIFS('Prácticas_Snowballing'!$AB$2:$AB$281,"T060",'Prácticas_Snowballing'!$AC$2:$AC$281,"CONSTRUCTION &gt; Subárea no determinable")</f>
        <v>0</v>
      </c>
      <c r="AG72" s="29">
        <f t="shared" si="55"/>
        <v>1</v>
      </c>
      <c r="AH72" s="17">
        <f>COUNTIFS('Prácticas_Revisiones'!$S$2:$S$282,"T060",'Prácticas_Revisiones'!$T$2:$T$282,"SOFTWARE TESTING &gt; Software Testing Fundamentals")+COUNTIFS('Prácticas_Snowballing'!$AB$2:$AB$281,"T060",'Prácticas_Snowballing'!$AC$2:$AC$281,"SOFTWARE TESTING &gt; Software Testing Fundamentals")</f>
        <v>0</v>
      </c>
      <c r="AI72" s="17">
        <f>COUNTIFS('Prácticas_Revisiones'!$S$2:$S$282,"T060",'Prácticas_Revisiones'!$T$2:$T$282,"SOFTWARE TESTING &gt; Test Levels")+COUNTIFS('Prácticas_Snowballing'!$AB$2:$AB$281,"T060",'Prácticas_Snowballing'!$AC$2:$AC$281,"SOFTWARE TESTING &gt; Test Levels")</f>
        <v>0</v>
      </c>
      <c r="AJ72" s="17">
        <f>COUNTIFS('Prácticas_Revisiones'!$S$2:$S$282,"T060",'Prácticas_Revisiones'!$T$2:$T$282,"SOFTWARE TESTING &gt; Test Techniques")+COUNTIFS('Prácticas_Snowballing'!$AB$2:$AB$281,"T060",'Prácticas_Snowballing'!$AC$2:$AC$281,"SOFTWARE TESTING &gt; Test Techniques")</f>
        <v>0</v>
      </c>
      <c r="AK72" s="17">
        <f>COUNTIFS('Prácticas_Revisiones'!$S$2:$S$282,"T060",'Prácticas_Revisiones'!$T$2:$T$282,"SOFTWARE TESTING &gt; Test-Related Measures")+COUNTIFS('Prácticas_Snowballing'!$AB$2:$AB$281,"T060",'Prácticas_Snowballing'!$AC$2:$AC$281,"SOFTWARE TESTING &gt; Test-Related Measures")</f>
        <v>0</v>
      </c>
      <c r="AL72" s="17">
        <f>COUNTIFS('Prácticas_Revisiones'!$S$2:$S$282,"T060",'Prácticas_Revisiones'!$T$2:$T$282,"SOFTWARE TESTING &gt; Test Process")+COUNTIFS('Prácticas_Snowballing'!$AB$2:$AB$281,"T060",'Prácticas_Snowballing'!$AC$2:$AC$281,"SOFTWARE TESTING &gt; Test Process")</f>
        <v>0</v>
      </c>
      <c r="AM72" s="17">
        <f>COUNTIFS('Prácticas_Revisiones'!$S$2:$S$282,"T060",'Prácticas_Revisiones'!$T$2:$T$282,"SOFTWARE TESTING &gt; Software Testing in the Development Processes...")+COUNTIFS('Prácticas_Snowballing'!$AB$2:$AB$281,"T060",'Prácticas_Snowballing'!$AC$2:$AC$281,"SOFTWARE TESTING &gt; Software Testing in the Development Processes...")</f>
        <v>0</v>
      </c>
      <c r="AN72" s="17">
        <f>COUNTIFS('Prácticas_Revisiones'!$S$2:$S$282,"T060",'Prácticas_Revisiones'!$T$2:$T$282,"SOFTWARE TESTING &gt; Testing of and Testing Through Emerging Tech...")+COUNTIFS('Prácticas_Snowballing'!$AB$2:$AB$281,"T060",'Prácticas_Snowballing'!$AC$2:$AC$281,"SOFTWARE TESTING &gt; Testing of and Testing Through Emerging Tech...")</f>
        <v>0</v>
      </c>
      <c r="AO72" s="17">
        <f>COUNTIFS('Prácticas_Revisiones'!$S$2:$S$282,"T060",'Prácticas_Revisiones'!$T$2:$T$282,"SOFTWARE TESTING &gt; Software Testing Tools")+COUNTIFS('Prácticas_Snowballing'!$AB$2:$AB$281,"T060",'Prácticas_Snowballing'!$AC$2:$AC$281,"SOFTWARE TESTING &gt; Software Testing Tools")</f>
        <v>0</v>
      </c>
      <c r="AP72" s="17">
        <f>COUNTIFS('Prácticas_Revisiones'!$S$2:$S$282,"T060",'Prácticas_Revisiones'!$T$2:$T$282,"SOFTWARE TESTING &gt; Subárea no determinable")+COUNTIFS('Prácticas_Snowballing'!$AB$2:$AB$281,"T060",'Prácticas_Snowballing'!$AC$2:$AC$281,"SOFTWARE TESTING &gt; Subárea no determinable")</f>
        <v>0</v>
      </c>
      <c r="AQ72" s="29">
        <f t="shared" si="56"/>
        <v>0</v>
      </c>
      <c r="AR72" s="17">
        <f>COUNTIFS('Prácticas_Revisiones'!$S$2:$S$282,"T060",'Prácticas_Revisiones'!$T$2:$T$282,"SOFTWARE ENG. OPERATIONS &gt; Software Engineering Operations Fundamentals")+COUNTIFS('Prácticas_Snowballing'!$AB$2:$AB$281,"T060",'Prácticas_Snowballing'!$AC$2:$AC$281,"SOFTWARE ENG. OPERATIONS &gt; Software Engineering Operations Fundamentals")</f>
        <v>0</v>
      </c>
      <c r="AS72" s="17">
        <f>COUNTIFS('Prácticas_Revisiones'!$S$2:$S$282,"T060",'Prácticas_Revisiones'!$T$2:$T$282,"SOFTWARE ENG. OPERATIONS &gt; Software Engineering Operations Planning")+COUNTIFS('Prácticas_Snowballing'!$AB$2:$AB$281,"T060",'Prácticas_Snowballing'!$AC$2:$AC$281,"SOFTWARE ENG. OPERATIONS &gt; Software Engineering Operations Planning")</f>
        <v>0</v>
      </c>
      <c r="AT72" s="17">
        <f>COUNTIFS('Prácticas_Revisiones'!$S$2:$S$282,"T060",'Prácticas_Revisiones'!$T$2:$T$282,"SOFTWARE ENG. OPERATIONS &gt; Software Engineering Operations Delivery")+COUNTIFS('Prácticas_Snowballing'!$AB$2:$AB$281,"T060",'Prácticas_Snowballing'!$AC$2:$AC$281,"SOFTWARE ENG. OPERATIONS &gt; Software Engineering Operations Delivery")</f>
        <v>0</v>
      </c>
      <c r="AU72" s="17">
        <f>COUNTIFS('Prácticas_Revisiones'!$S$2:$S$282,"T060",'Prácticas_Revisiones'!$T$2:$T$282,"SOFTWARE ENG. OPERATIONS &gt; Software Engineering Operations Control")+COUNTIFS('Prácticas_Snowballing'!$AB$2:$AB$281,"T060",'Prácticas_Snowballing'!$AC$2:$AC$281,"SOFTWARE ENG. OPERATIONS &gt; Software Engineering Operations Control")</f>
        <v>0</v>
      </c>
      <c r="AV72" s="17">
        <f>COUNTIFS('Prácticas_Revisiones'!$S$2:$S$282,"T060",'Prácticas_Revisiones'!$T$2:$T$282,"SOFTWARE ENG. OPERATIONS &gt; Practical Considerations")+COUNTIFS('Prácticas_Snowballing'!$AB$2:$AB$281,"T060",'Prácticas_Snowballing'!$AC$2:$AC$281,"SOFTWARE ENG. OPERATIONS &gt; Practical Considerations")</f>
        <v>0</v>
      </c>
      <c r="AW72" s="17">
        <f>COUNTIFS('Prácticas_Revisiones'!$S$2:$S$282,"T060",'Prácticas_Revisiones'!$T$2:$T$282,"SOFTWARE ENG. OPERATIONS &gt; Software Engineering Operations Tools")+COUNTIFS('Prácticas_Snowballing'!$AB$2:$AB$281,"T060",'Prácticas_Snowballing'!$AC$2:$AC$281,"SOFTWARE ENG. OPERATIONS &gt; Software Engineering Operations Tools")</f>
        <v>0</v>
      </c>
      <c r="AX72" s="17">
        <f>COUNTIFS('Prácticas_Revisiones'!$S$2:$S$282,"T060",'Prácticas_Revisiones'!$T$2:$T$282,"SOFTWARE ENG. OPERATIONS &gt; Subárea no determinable")+COUNTIFS('Prácticas_Snowballing'!$AB$2:$AB$281,"T060",'Prácticas_Snowballing'!$AC$2:$AC$281,"SOFTWARE ENG. OPERATIONS &gt; Subárea no determinable")</f>
        <v>0</v>
      </c>
      <c r="AY72" s="29">
        <f t="shared" si="57"/>
        <v>0</v>
      </c>
      <c r="AZ72" s="17">
        <f>COUNTIFS('Prácticas_Revisiones'!$S$2:$S$282,"T060",'Prácticas_Revisiones'!$T$2:$T$282,"MAINTENANCE &gt; Software Maintenance Fundamentals")+COUNTIFS('Prácticas_Snowballing'!$AB$2:$AB$281,"T060",'Prácticas_Snowballing'!$AC$2:$AC$281,"MAINTENANCE &gt; Software Maintenance Fundamentals")</f>
        <v>0</v>
      </c>
      <c r="BA72" s="17">
        <f>COUNTIFS('Prácticas_Revisiones'!$S$2:$S$282,"T060",'Prácticas_Revisiones'!$T$2:$T$282,"MAINTENANCE &gt; Key Issues in Software Maintenance")+COUNTIFS('Prácticas_Snowballing'!$AB$2:$AB$281,"T060",'Prácticas_Snowballing'!$AC$2:$AC$281,"MAINTENANCE &gt; Key Issues in Software Maintenance")</f>
        <v>0</v>
      </c>
      <c r="BB72" s="17">
        <f>COUNTIFS('Prácticas_Revisiones'!$S$2:$S$282,"T060",'Prácticas_Revisiones'!$T$2:$T$282,"MAINTENANCE &gt; Software Maintenance Processes")+COUNTIFS('Prácticas_Snowballing'!$AB$2:$AB$281,"T060",'Prácticas_Snowballing'!$AC$2:$AC$281,"MAINTENANCE &gt; Software Maintenance Processes")</f>
        <v>0</v>
      </c>
      <c r="BC72" s="17">
        <f>COUNTIFS('Prácticas_Revisiones'!$S$2:$S$282,"T060",'Prácticas_Revisiones'!$T$2:$T$282,"MAINTENANCE &gt; Software Maintenance Techniques")+COUNTIFS('Prácticas_Snowballing'!$AB$2:$AB$281,"T060",'Prácticas_Snowballing'!$AC$2:$AC$281,"MAINTENANCE &gt; Software Maintenance Techniques")</f>
        <v>0</v>
      </c>
      <c r="BD72" s="17">
        <f>COUNTIFS('Prácticas_Revisiones'!$S$2:$S$282,"T060",'Prácticas_Revisiones'!$T$2:$T$282,"MAINTENANCE &gt; Software Maintenance Tools")+COUNTIFS('Prácticas_Snowballing'!$AB$2:$AB$281,"T060",'Prácticas_Snowballing'!$AC$2:$AC$281,"MAINTENANCE &gt; Software Maintenance Tools")</f>
        <v>0</v>
      </c>
      <c r="BE72" s="17">
        <f>COUNTIFS('Prácticas_Revisiones'!$S$2:$S$282,"T060",'Prácticas_Revisiones'!$T$2:$T$282,"MAINTENANCE &gt; Subárea no determinable")+COUNTIFS('Prácticas_Snowballing'!$AB$2:$AB$281,"T060",'Prácticas_Snowballing'!$AC$2:$AC$281,"MAINTENANCE &gt; Subárea no determinable")</f>
        <v>0</v>
      </c>
      <c r="BF72" s="29">
        <f t="shared" si="58"/>
        <v>0</v>
      </c>
      <c r="BG72" s="17">
        <f>COUNTIFS('Prácticas_Revisiones'!$S$2:$S$282,"T060",'Prácticas_Revisiones'!$T$2:$T$282,"SOFTWARE CONFIG. MGMT. &gt; Management of the SCM Process")+COUNTIFS('Prácticas_Snowballing'!$AB$2:$AB$281,"T060",'Prácticas_Snowballing'!$AC$2:$AC$281,"SOFTWARE CONFIG. MGMT. &gt; Management of the SCM Process")</f>
        <v>0</v>
      </c>
      <c r="BH72" s="17">
        <f>COUNTIFS('Prácticas_Revisiones'!$S$2:$S$282,"T060",'Prácticas_Revisiones'!$T$2:$T$282,"SOFTWARE CONFIG. MGMT. &gt; Software Configuration Identification")+COUNTIFS('Prácticas_Snowballing'!$AB$2:$AB$281,"T060",'Prácticas_Snowballing'!$AC$2:$AC$281,"SOFTWARE CONFIG. MGMT. &gt; Software Configuration Identification")</f>
        <v>0</v>
      </c>
      <c r="BI72" s="17">
        <f>COUNTIFS('Prácticas_Revisiones'!$S$2:$S$282,"T060",'Prácticas_Revisiones'!$T$2:$T$282,"SOFTWARE CONFIG. MGMT. &gt; Software Configuration Change Control")+COUNTIFS('Prácticas_Snowballing'!$AB$2:$AB$281,"T060",'Prácticas_Snowballing'!$AC$2:$AC$281,"SOFTWARE CONFIG. MGMT. &gt; Software Configuration Change Control")</f>
        <v>0</v>
      </c>
      <c r="BJ72" s="17">
        <f>COUNTIFS('Prácticas_Revisiones'!$S$2:$S$282,"T060",'Prácticas_Revisiones'!$T$2:$T$282,"SOFTWARE CONFIG. MGMT. &gt; Software Configuration Status Accounting")+COUNTIFS('Prácticas_Snowballing'!$AB$2:$AB$281,"T060",'Prácticas_Snowballing'!$AC$2:$AC$281,"SOFTWARE CONFIG. MGMT. &gt; Software Configuration Status Accounting")</f>
        <v>0</v>
      </c>
      <c r="BK72" s="17">
        <f>COUNTIFS('Prácticas_Revisiones'!$S$2:$S$282,"T060",'Prácticas_Revisiones'!$T$2:$T$282,"SOFTWARE CONFIG. MGMT. &gt; Software Configuration Auditing")+COUNTIFS('Prácticas_Snowballing'!$AB$2:$AB$281,"T060",'Prácticas_Snowballing'!$AC$2:$AC$281,"SOFTWARE CONFIG. MGMT. &gt; Software Configuration Auditing")</f>
        <v>0</v>
      </c>
      <c r="BL72" s="17">
        <f>COUNTIFS('Prácticas_Revisiones'!$S$2:$S$282,"T060",'Prácticas_Revisiones'!$T$2:$T$282,"SOFTWARE CONFIG. MGMT. &gt; Software Release Management and Delivery")+COUNTIFS('Prácticas_Snowballing'!$AB$2:$AB$281,"T060",'Prácticas_Snowballing'!$AC$2:$AC$281,"SOFTWARE CONFIG. MGMT. &gt; Software Release Management and Delivery")</f>
        <v>0</v>
      </c>
      <c r="BM72" s="17">
        <f>COUNTIFS('Prácticas_Revisiones'!$S$2:$S$282,"T060",'Prácticas_Revisiones'!$T$2:$T$282,"SOFTWARE CONFIG. MGMT. &gt; Software Configuration Management Tools")+COUNTIFS('Prácticas_Snowballing'!$AB$2:$AB$281,"T060",'Prácticas_Snowballing'!$AC$2:$AC$281,"SOFTWARE CONFIG. MGMT. &gt; Software Configuration Management Tools")</f>
        <v>0</v>
      </c>
      <c r="BN72" s="17">
        <f>COUNTIFS('Prácticas_Revisiones'!$S$2:$S$282,"T060",'Prácticas_Revisiones'!$T$2:$T$282,"SOFTWARE CONFIG. MGMT. &gt; Subárea no determinable")+COUNTIFS('Prácticas_Snowballing'!$AB$2:$AB$281,"T060",'Prácticas_Snowballing'!$AC$2:$AC$281,"SOFTWARE CONFIG. MGMT. &gt; Subárea no determinable")</f>
        <v>0</v>
      </c>
      <c r="BO72" s="29">
        <f t="shared" si="59"/>
        <v>0</v>
      </c>
      <c r="BP72" s="17">
        <f>COUNTIFS('Prácticas_Revisiones'!$S$2:$S$282,"T060",'Prácticas_Revisiones'!$T$2:$T$282,"SOFTWARE ENG. PROCESS &gt; Software Engineering Process Fundamentals")+COUNTIFS('Prácticas_Snowballing'!$AB$2:$AB$281,"T060",'Prácticas_Snowballing'!$AC$2:$AC$281,"SOFTWARE ENG. PROCESS &gt; Software Engineering Process Fundamentals")</f>
        <v>0</v>
      </c>
      <c r="BQ72" s="17">
        <f>COUNTIFS('Prácticas_Revisiones'!$S$2:$S$282,"T060",'Prácticas_Revisiones'!$T$2:$T$282,"SOFTWARE ENG. PROCESS &gt; Life Cycles")+COUNTIFS('Prácticas_Snowballing'!$AB$2:$AB$281,"T060",'Prácticas_Snowballing'!$AC$2:$AC$281,"SOFTWARE ENG. PROCESS &gt; Life Cycles")</f>
        <v>0</v>
      </c>
      <c r="BR72" s="17">
        <f>COUNTIFS('Prácticas_Revisiones'!$S$2:$S$282,"T060",'Prácticas_Revisiones'!$T$2:$T$282,"SOFTWARE ENG. PROCESS &gt; Software Process Assessment and Improvement")+COUNTIFS('Prácticas_Snowballing'!$AB$2:$AB$281,"T060",'Prácticas_Snowballing'!$AC$2:$AC$281,"SOFTWARE ENG. PROCESS &gt; Software Process Assessment and Improvement")</f>
        <v>0</v>
      </c>
      <c r="BS72" s="17">
        <f>COUNTIFS('Prácticas_Revisiones'!$S$2:$S$282,"T060",'Prácticas_Revisiones'!$T$2:$T$282,"SOFTWARE ENG. PROCESS &gt; Subárea no determinable")+COUNTIFS('Prácticas_Snowballing'!$AB$2:$AB$281,"T060",'Prácticas_Snowballing'!$AC$2:$AC$281,"SOFTWARE ENG. PROCESS &gt; Subárea no determinable")</f>
        <v>0</v>
      </c>
      <c r="BT72" s="29">
        <f t="shared" si="60"/>
        <v>0</v>
      </c>
      <c r="BU72" s="17">
        <f>COUNTIFS('Prácticas_Revisiones'!$S$2:$S$282,"T060",'Prácticas_Revisiones'!$T$2:$T$282,"SOFTWARE ENG. MODELS/METH. &gt; Modeling")+COUNTIFS('Prácticas_Snowballing'!$AB$2:$AB$281,"T060",'Prácticas_Snowballing'!$AC$2:$AC$281,"SOFTWARE ENG. MODELS/METH. &gt; Modeling")</f>
        <v>0</v>
      </c>
      <c r="BV72" s="17">
        <f>COUNTIFS('Prácticas_Revisiones'!$S$2:$S$282,"T060",'Prácticas_Revisiones'!$T$2:$T$282,"SOFTWARE ENG. MODELS/METH. &gt; Types of Models")+COUNTIFS('Prácticas_Snowballing'!$AB$2:$AB$281,"T060",'Prácticas_Snowballing'!$AC$2:$AC$281,"SOFTWARE ENG. MODELS/METH. &gt; Types of Models")</f>
        <v>0</v>
      </c>
      <c r="BW72" s="17">
        <f>COUNTIFS('Prácticas_Revisiones'!$S$2:$S$282,"T060",'Prácticas_Revisiones'!$T$2:$T$282,"SOFTWARE ENG. MODELS/METH. &gt; Analysis of Models")+COUNTIFS('Prácticas_Snowballing'!$AB$2:$AB$281,"T060",'Prácticas_Snowballing'!$AC$2:$AC$281,"SOFTWARE ENG. MODELS/METH. &gt; Analysis of Models")</f>
        <v>0</v>
      </c>
      <c r="BX72" s="17">
        <f>COUNTIFS('Prácticas_Revisiones'!$S$2:$S$282,"T060",'Prácticas_Revisiones'!$T$2:$T$282,"SOFTWARE ENG. MODELS/METH. &gt; Software Engineering Methods")+COUNTIFS('Prácticas_Snowballing'!$AB$2:$AB$281,"T060",'Prácticas_Snowballing'!$AC$2:$AC$281,"SOFTWARE ENG. MODELS/METH. &gt; Software Engineering Methods")</f>
        <v>0</v>
      </c>
      <c r="BY72" s="17">
        <f>COUNTIFS('Prácticas_Revisiones'!$S$2:$S$282,"T060",'Prácticas_Revisiones'!$T$2:$T$282,"SOFTWARE ENG. MODELS/METH. &gt; Subárea no determinable")+COUNTIFS('Prácticas_Snowballing'!$AB$2:$AB$281,"T060",'Prácticas_Snowballing'!$AC$2:$AC$281,"SOFTWARE ENG. MODELS/METH. &gt; Subárea no determinable")</f>
        <v>0</v>
      </c>
      <c r="BZ72" s="29">
        <f t="shared" si="61"/>
        <v>0</v>
      </c>
      <c r="CA72" s="17">
        <f>COUNTIFS('Prácticas_Revisiones'!$S$2:$S$282,"T060",'Prácticas_Revisiones'!$T$2:$T$282,"SOFTWARE QUALITY &gt; Software Quality Fundamentals")+COUNTIFS('Prácticas_Snowballing'!$AB$2:$AB$281,"T060",'Prácticas_Snowballing'!$AC$2:$AC$281,"SOFTWARE QUALITY &gt; Software Quality Fundamentals")</f>
        <v>0</v>
      </c>
      <c r="CB72" s="17">
        <f>COUNTIFS('Prácticas_Revisiones'!$S$2:$S$282,"T060",'Prácticas_Revisiones'!$T$2:$T$282,"SOFTWARE QUALITY &gt; Software Quality Management Process")+COUNTIFS('Prácticas_Snowballing'!$AB$2:$AB$281,"T060",'Prácticas_Snowballing'!$AC$2:$AC$281,"SOFTWARE QUALITY &gt; Software Quality Management Process")</f>
        <v>0</v>
      </c>
      <c r="CC72" s="17">
        <f>COUNTIFS('Prácticas_Revisiones'!$S$2:$S$282,"T060",'Prácticas_Revisiones'!$T$2:$T$282,"SOFTWARE QUALITY &gt; Software Quality Assurance Process")+COUNTIFS('Prácticas_Snowballing'!$AB$2:$AB$281,"T060",'Prácticas_Snowballing'!$AC$2:$AC$281,"SOFTWARE QUALITY &gt; Software Quality Assurance Process")</f>
        <v>0</v>
      </c>
      <c r="CD72" s="17">
        <f>COUNTIFS('Prácticas_Revisiones'!$S$2:$S$282,"T060",'Prácticas_Revisiones'!$T$2:$T$282,"SOFTWARE QUALITY &gt; Software Quality Tools")+COUNTIFS('Prácticas_Snowballing'!$AB$2:$AB$281,"T060",'Prácticas_Snowballing'!$AC$2:$AC$281,"SOFTWARE QUALITY &gt; Software Quality Tools")</f>
        <v>0</v>
      </c>
      <c r="CE72" s="17">
        <f>COUNTIFS('Prácticas_Revisiones'!$S$2:$S$282,"T060",'Prácticas_Revisiones'!$T$2:$T$282,"SOFTWARE QUALITY &gt; Subárea no determinable")+COUNTIFS('Prácticas_Snowballing'!$AB$2:$AB$281,"T060",'Prácticas_Snowballing'!$AC$2:$AC$281,"SOFTWARE QUALITY &gt; Subárea no determinable")</f>
        <v>0</v>
      </c>
      <c r="CF72" s="29">
        <f t="shared" si="62"/>
        <v>0</v>
      </c>
      <c r="CG72" s="17">
        <f>COUNTIFS('Prácticas_Revisiones'!$S$2:$S$282,"T060",'Prácticas_Revisiones'!$T$2:$T$282,"SOFTWARE SECURITY &gt; Software Security Fundamentals")+COUNTIFS('Prácticas_Snowballing'!$AB$2:$AB$281,"T060",'Prácticas_Snowballing'!$AC$2:$AC$281,"SOFTWARE SECURITY &gt; Software Security Fundamentals")</f>
        <v>0</v>
      </c>
      <c r="CH72" s="17">
        <f>COUNTIFS('Prácticas_Revisiones'!$S$2:$S$282,"T060",'Prácticas_Revisiones'!$T$2:$T$282,"SOFTWARE SECURITY &gt; Security Management and Organization")+COUNTIFS('Prácticas_Snowballing'!$AB$2:$AB$281,"T060",'Prácticas_Snowballing'!$AC$2:$AC$281,"SOFTWARE SECURITY &gt; Security Management and Organization")</f>
        <v>0</v>
      </c>
      <c r="CI72" s="17">
        <f>COUNTIFS('Prácticas_Revisiones'!$S$2:$S$282,"T060",'Prácticas_Revisiones'!$T$2:$T$282,"SOFTWARE SECURITY &gt; Software Security Engineering and Process")+COUNTIFS('Prácticas_Snowballing'!$AB$2:$AB$281,"T060",'Prácticas_Snowballing'!$AC$2:$AC$281,"SOFTWARE SECURITY &gt; Software Security Engineering and Process")</f>
        <v>0</v>
      </c>
      <c r="CJ72" s="17">
        <f>COUNTIFS('Prácticas_Revisiones'!$S$2:$S$282,"T060",'Prácticas_Revisiones'!$T$2:$T$282,"SOFTWARE SECURITY &gt; Security Engineering for Software Systems")+COUNTIFS('Prácticas_Snowballing'!$AB$2:$AB$281,"T060",'Prácticas_Snowballing'!$AC$2:$AC$281,"SOFTWARE SECURITY &gt; Security Engineering for Software Systems")</f>
        <v>0</v>
      </c>
      <c r="CK72" s="17">
        <f>COUNTIFS('Prácticas_Revisiones'!$S$2:$S$282,"T060",'Prácticas_Revisiones'!$T$2:$T$282,"SOFTWARE SECURITY &gt; Software Security Tools")+COUNTIFS('Prácticas_Snowballing'!$AB$2:$AB$281,"T060",'Prácticas_Snowballing'!$AC$2:$AC$281,"SOFTWARE SECURITY &gt; Software Security Tools")</f>
        <v>0</v>
      </c>
      <c r="CL72" s="17">
        <f>COUNTIFS('Prácticas_Revisiones'!$S$2:$S$282,"T060",'Prácticas_Revisiones'!$T$2:$T$282,"SOFTWARE SECURITY &gt; Domain Specific Software Security")+COUNTIFS('Prácticas_Snowballing'!$AB$2:$AB$281,"T060",'Prácticas_Snowballing'!$AC$2:$AC$281,"SOFTWARE SECURITY &gt; Domain Specific Software Security")</f>
        <v>0</v>
      </c>
      <c r="CM72" s="17">
        <f>COUNTIFS('Prácticas_Revisiones'!$S$2:$S$282,"T060",'Prácticas_Revisiones'!$T$2:$T$282,"SOFTWARE SECURITY &gt; Subárea no determinable")+COUNTIFS('Prácticas_Snowballing'!$AB$2:$AB$281,"T060",'Prácticas_Snowballing'!$AC$2:$AC$281,"SOFTWARE SECURITY &gt; Subárea no determinable")</f>
        <v>0</v>
      </c>
      <c r="CN72" s="29">
        <f t="shared" si="63"/>
        <v>0</v>
      </c>
      <c r="CO72" s="17">
        <f>COUNTIFS('Prácticas_Revisiones'!$S$2:$S$282,"T060",'Prácticas_Revisiones'!$T$2:$T$282,"PROFESSIONAL PRACTICE &gt; Professionalism")+COUNTIFS('Prácticas_Snowballing'!$AB$2:$AB$281,"T060",'Prácticas_Snowballing'!$AC$2:$AC$281,"PROFESSIONAL PRACTICE &gt; Professionalism")</f>
        <v>0</v>
      </c>
      <c r="CP72" s="17">
        <f>COUNTIFS('Prácticas_Revisiones'!$S$2:$S$282,"T060",'Prácticas_Revisiones'!$T$2:$T$282,"PROFESSIONAL PRACTICE &gt; Group Dynamics and Psychology")+COUNTIFS('Prácticas_Snowballing'!$AB$2:$AB$281,"T060",'Prácticas_Snowballing'!$AC$2:$AC$281,"PROFESSIONAL PRACTICE &gt; Group Dynamics and Psychology")</f>
        <v>0</v>
      </c>
      <c r="CQ72" s="17">
        <f>COUNTIFS('Prácticas_Revisiones'!$S$2:$S$282,"T060",'Prácticas_Revisiones'!$T$2:$T$282,"PROFESSIONAL PRACTICE &gt; Communication Skills")+COUNTIFS('Prácticas_Snowballing'!$AB$2:$AB$281,"T060",'Prácticas_Snowballing'!$AC$2:$AC$281,"PROFESSIONAL PRACTICE &gt; Communication Skills")</f>
        <v>0</v>
      </c>
      <c r="CR72" s="17">
        <f>COUNTIFS('Prácticas_Revisiones'!$S$2:$S$282,"T060",'Prácticas_Revisiones'!$T$2:$T$282,"PROFESSIONAL PRACTICE &gt; Subárea no determinable")+COUNTIFS('Prácticas_Snowballing'!$AB$2:$AB$281,"T060",'Prácticas_Snowballing'!$AC$2:$AC$281,"PROFESSIONAL PRACTICE &gt; Subárea no determinable")</f>
        <v>0</v>
      </c>
      <c r="CS72" s="29">
        <f t="shared" si="64"/>
        <v>0</v>
      </c>
      <c r="CT72" s="17">
        <f>COUNTIFS('Prácticas_Revisiones'!$S$2:$S$282,"T060",'Prácticas_Revisiones'!$T$2:$T$282,"SOFTWARE ENG. ECONOMICS &gt; Software Engineering Economics Fundamentals")+COUNTIFS('Prácticas_Snowballing'!$AB$2:$AB$281,"T060",'Prácticas_Snowballing'!$AC$2:$AC$281,"SOFTWARE ENG. ECONOMICS &gt; Software Engineering Economics Fundamentals")</f>
        <v>0</v>
      </c>
      <c r="CU72" s="17">
        <f>COUNTIFS('Prácticas_Revisiones'!$S$2:$S$282,"T060",'Prácticas_Revisiones'!$T$2:$T$282,"SOFTWARE ENG. ECONOMICS &gt; The Engineering Decision-Making Process")+COUNTIFS('Prácticas_Snowballing'!$AB$2:$AB$281,"T060",'Prácticas_Snowballing'!$AC$2:$AC$281,"SOFTWARE ENG. ECONOMICS &gt; The Engineering Decision-Making Process")</f>
        <v>0</v>
      </c>
      <c r="CV72" s="17">
        <f>COUNTIFS('Prácticas_Revisiones'!$S$2:$S$282,"T060",'Prácticas_Revisiones'!$T$2:$T$282,"SOFTWARE ENG. ECONOMICS &gt; For-Profit Decision-Making")+COUNTIFS('Prácticas_Snowballing'!$AB$2:$AB$281,"T060",'Prácticas_Snowballing'!$AC$2:$AC$281,"SOFTWARE ENG. ECONOMICS &gt; For-Profit Decision-Making")</f>
        <v>0</v>
      </c>
      <c r="CW72" s="17">
        <f>COUNTIFS('Prácticas_Revisiones'!$S$2:$S$282,"T060",'Prácticas_Revisiones'!$T$2:$T$282,"SOFTWARE ENG. ECONOMICS &gt; Nonprofit Decision-Making")+COUNTIFS('Prácticas_Snowballing'!$AB$2:$AB$281,"T060",'Prácticas_Snowballing'!$AC$2:$AC$281,"SOFTWARE ENG. ECONOMICS &gt; Nonprofit Decision-Making")</f>
        <v>0</v>
      </c>
      <c r="CX72" s="17">
        <f>COUNTIFS('Prácticas_Revisiones'!$S$2:$S$282,"T060",'Prácticas_Revisiones'!$T$2:$T$282,"SOFTWARE ENG. ECONOMICS &gt; Present Economy Decision-Making")+COUNTIFS('Prácticas_Snowballing'!$AB$2:$AB$281,"T060",'Prácticas_Snowballing'!$AC$2:$AC$281,"SOFTWARE ENG. ECONOMICS &gt; Present Economy Decision-Making")</f>
        <v>0</v>
      </c>
      <c r="CY72" s="17">
        <f>COUNTIFS('Prácticas_Revisiones'!$S$2:$S$282,"T060",'Prácticas_Revisiones'!$T$2:$T$282,"SOFTWARE ENG. ECONOMICS &gt; Multiple-Attribute Decision-Making")+COUNTIFS('Prácticas_Snowballing'!$AB$2:$AB$281,"T060",'Prácticas_Snowballing'!$AC$2:$AC$281,"SOFTWARE ENG. ECONOMICS &gt; Multiple-Attribute Decision-Making")</f>
        <v>0</v>
      </c>
      <c r="CZ72" s="17">
        <f>COUNTIFS('Prácticas_Revisiones'!$S$2:$S$282,"T060",'Prácticas_Revisiones'!$T$2:$T$282,"SOFTWARE ENG. ECONOMICS &gt; Identifying and Characterizing Intangible Assets")+COUNTIFS('Prácticas_Snowballing'!$AB$2:$AB$281,"T060",'Prácticas_Snowballing'!$AC$2:$AC$281,"SOFTWARE ENG. ECONOMICS &gt; Identifying and Characterizing Intangible Assets")</f>
        <v>0</v>
      </c>
      <c r="DA72" s="17">
        <f>COUNTIFS('Prácticas_Revisiones'!$S$2:$S$282,"T060",'Prácticas_Revisiones'!$T$2:$T$282,"SOFTWARE ENG. ECONOMICS &gt; Estimation")+COUNTIFS('Prácticas_Snowballing'!$AB$2:$AB$281,"T060",'Prácticas_Snowballing'!$AC$2:$AC$281,"SOFTWARE ENG. ECONOMICS &gt; Estimation")</f>
        <v>0</v>
      </c>
      <c r="DB72" s="17">
        <f>COUNTIFS('Prácticas_Revisiones'!$S$2:$S$282,"T060",'Prácticas_Revisiones'!$T$2:$T$282,"SOFTWARE ENG. ECONOMICS &gt; Practical Considerations")+COUNTIFS('Prácticas_Snowballing'!$AB$2:$AB$281,"T060",'Prácticas_Snowballing'!$AC$2:$AC$281,"SOFTWARE ENG. ECONOMICS &gt; Practical Considerations")</f>
        <v>0</v>
      </c>
      <c r="DC72" s="17">
        <f>COUNTIFS('Prácticas_Revisiones'!$S$2:$S$282,"T060",'Prácticas_Revisiones'!$T$2:$T$282,"SOFTWARE ENG. ECONOMICS &gt; Related Concepts")+COUNTIFS('Prácticas_Snowballing'!$AB$2:$AB$281,"T060",'Prácticas_Snowballing'!$AC$2:$AC$281,"SOFTWARE ENG. ECONOMICS &gt; Related Concepts")</f>
        <v>0</v>
      </c>
      <c r="DD72" s="17">
        <f>COUNTIFS('Prácticas_Revisiones'!$S$2:$S$282,"T060",'Prácticas_Revisiones'!$T$2:$T$282,"SOFTWARE ENG. ECONOMICS &gt; Subárea no determinable")+COUNTIFS('Prácticas_Snowballing'!$AB$2:$AB$281,"T060",'Prácticas_Snowballing'!$AC$2:$AC$281,"SOFTWARE ENG. ECONOMICS &gt; Subárea no determinable")</f>
        <v>0</v>
      </c>
      <c r="DE72" s="29">
        <f t="shared" si="65"/>
        <v>0</v>
      </c>
      <c r="DF72" s="17">
        <f>COUNTIFS('Prácticas_Revisiones'!$S$2:$S$282,"T060",'Prácticas_Revisiones'!$T$2:$T$282,"SOFTWARE ENG. MANAGEMENT &gt; Software Engineering Management Fundamentals")+COUNTIFS('Prácticas_Snowballing'!$AB$2:$AB$281,"T060",'Prácticas_Snowballing'!$AC$2:$AC$281,"SOFTWARE ENG. MANAGEMENT &gt; Software Engineering Management Fundamentals")</f>
        <v>0</v>
      </c>
      <c r="DG72" s="17">
        <f>COUNTIFS('Prácticas_Revisiones'!$S$2:$S$282,"T060",'Prácticas_Revisiones'!$T$2:$T$282,"SOFTWARE ENG. MANAGEMENT &gt; Initiation and Scope Definition")+COUNTIFS('Prácticas_Snowballing'!$AB$2:$AB$281,"T060",'Prácticas_Snowballing'!$AC$2:$AC$281,"SOFTWARE ENG. MANAGEMENT &gt; Initiation and Scope Definition")</f>
        <v>0</v>
      </c>
      <c r="DH72" s="17">
        <f>COUNTIFS('Prácticas_Revisiones'!$S$2:$S$282,"T060",'Prácticas_Revisiones'!$T$2:$T$282,"SOFTWARE ENG. MANAGEMENT &gt; Software Project Planning")+COUNTIFS('Prácticas_Snowballing'!$AB$2:$AB$281,"T060",'Prácticas_Snowballing'!$AC$2:$AC$281,"SOFTWARE ENG. MANAGEMENT &gt; Software Project Planning")</f>
        <v>0</v>
      </c>
      <c r="DI72" s="17">
        <f>COUNTIFS('Prácticas_Revisiones'!$S$2:$S$282,"T060",'Prácticas_Revisiones'!$T$2:$T$282,"SOFTWARE ENG. MANAGEMENT &gt; Software Project Enactment")+COUNTIFS('Prácticas_Snowballing'!$AB$2:$AB$281,"T060",'Prácticas_Snowballing'!$AC$2:$AC$281,"SOFTWARE ENG. MANAGEMENT &gt; Software Project Enactment")</f>
        <v>0</v>
      </c>
      <c r="DJ72" s="17">
        <f>COUNTIFS('Prácticas_Revisiones'!$S$2:$S$282,"T060",'Prácticas_Revisiones'!$T$2:$T$282,"SOFTWARE ENG. MANAGEMENT &gt; Review and Evaluation")+COUNTIFS('Prácticas_Snowballing'!$AB$2:$AB$281,"T060",'Prácticas_Snowballing'!$AC$2:$AC$281,"SOFTWARE ENG. MANAGEMENT &gt; Review and Evaluation")</f>
        <v>0</v>
      </c>
      <c r="DK72" s="17">
        <f>COUNTIFS('Prácticas_Revisiones'!$S$2:$S$282,"T060",'Prácticas_Revisiones'!$T$2:$T$282,"SOFTWARE ENG. MANAGEMENT &gt; Closure")+COUNTIFS('Prácticas_Snowballing'!$AB$2:$AB$281,"T060",'Prácticas_Snowballing'!$AC$2:$AC$281,"SOFTWARE ENG. MANAGEMENT &gt; Closure")</f>
        <v>0</v>
      </c>
      <c r="DL72" s="17">
        <f>COUNTIFS('Prácticas_Revisiones'!$S$2:$S$282,"T060",'Prácticas_Revisiones'!$T$2:$T$282,"SOFTWARE ENG. MANAGEMENT &gt; Software Engineering Management Tools")+COUNTIFS('Prácticas_Snowballing'!$AB$2:$AB$281,"T060",'Prácticas_Snowballing'!$AC$2:$AC$281,"SOFTWARE ENG. MANAGEMENT &gt; Software Engineering Management Tools")</f>
        <v>0</v>
      </c>
      <c r="DM72" s="17">
        <f>COUNTIFS('Prácticas_Revisiones'!$S$2:$S$282,"T060",'Prácticas_Revisiones'!$T$2:$T$282,"SOFTWARE ENG. MANAGEMENT &gt; Subárea no determinable")+COUNTIFS('Prácticas_Snowballing'!$AB$2:$AB$281,"T060",'Prácticas_Snowballing'!$AC$2:$AC$281,"SOFTWARE ENG. MANAGEMENT &gt; Subárea no determinable")</f>
        <v>0</v>
      </c>
      <c r="DN72" s="29">
        <f t="shared" si="66"/>
        <v>0</v>
      </c>
      <c r="DO72" s="17">
        <f>COUNTIFS('Prácticas_Revisiones'!$S$2:$S$282,"T060",'Prácticas_Revisiones'!$T$2:$T$282,"Sin área SWEBOK")+COUNTIFS('Prácticas_Snowballing'!$AB$2:$AB$281,"T060",'Prácticas_Snowballing'!$AC$2:$AC$281,"Sin área SWEBOK")</f>
        <v>0</v>
      </c>
      <c r="DP72" s="27">
        <f t="shared" si="67"/>
        <v>1</v>
      </c>
    </row>
    <row r="73" ht="15.75" customHeight="1">
      <c r="A73" s="28"/>
      <c r="B73" s="16" t="s">
        <v>2829</v>
      </c>
      <c r="C73" s="17">
        <f>COUNTIFS('Prácticas_Revisiones'!$S$2:$S$282,"T061",'Prácticas_Revisiones'!$T$2:$T$282,"REQUIREMENTS &gt; Software Requirements Fundamentals")+COUNTIFS('Prácticas_Snowballing'!$AB$2:$AB$281,"T061",'Prácticas_Snowballing'!$AC$2:$AC$281,"REQUIREMENTS &gt; Software Requirements Fundamentals")</f>
        <v>0</v>
      </c>
      <c r="D73" s="17">
        <f>COUNTIFS('Prácticas_Revisiones'!$S$2:$S$282,"T061",'Prácticas_Revisiones'!$T$2:$T$282,"REQUIREMENTS &gt; Requirements Elicitation")+COUNTIFS('Prácticas_Snowballing'!$AB$2:$AB$281,"T061",'Prácticas_Snowballing'!$AC$2:$AC$281,"REQUIREMENTS &gt; Requirements Elicitation")</f>
        <v>0</v>
      </c>
      <c r="E73" s="17">
        <f>COUNTIFS('Prácticas_Revisiones'!$S$2:$S$282,"T061",'Prácticas_Revisiones'!$T$2:$T$282,"REQUIREMENTS &gt; Requirements Analysis")+COUNTIFS('Prácticas_Snowballing'!$AB$2:$AB$281,"T061",'Prácticas_Snowballing'!$AC$2:$AC$281,"REQUIREMENTS &gt; Requirements Analysis")</f>
        <v>0</v>
      </c>
      <c r="F73" s="17">
        <f>COUNTIFS('Prácticas_Revisiones'!$S$2:$S$282,"T061",'Prácticas_Revisiones'!$T$2:$T$282,"REQUIREMENTS &gt; Requirements Specification")+COUNTIFS('Prácticas_Snowballing'!$AB$2:$AB$281,"T061",'Prácticas_Snowballing'!$AC$2:$AC$281,"REQUIREMENTS &gt; Requirements Specification")</f>
        <v>0</v>
      </c>
      <c r="G73" s="17">
        <f>COUNTIFS('Prácticas_Revisiones'!$S$2:$S$282,"T061",'Prácticas_Revisiones'!$T$2:$T$282,"REQUIREMENTS &gt; Requirements Validation")+COUNTIFS('Prácticas_Snowballing'!$AB$2:$AB$281,"T061",'Prácticas_Snowballing'!$AC$2:$AC$281,"REQUIREMENTS &gt; Requirements Validation")</f>
        <v>0</v>
      </c>
      <c r="H73" s="17">
        <f>COUNTIFS('Prácticas_Revisiones'!$S$2:$S$282,"T061",'Prácticas_Revisiones'!$T$2:$T$282,"REQUIREMENTS &gt; Requirements Management Activities")+COUNTIFS('Prácticas_Snowballing'!$AB$2:$AB$281,"T061",'Prácticas_Snowballing'!$AC$2:$AC$281,"REQUIREMENTS &gt; Requirements Management Activities")</f>
        <v>0</v>
      </c>
      <c r="I73" s="17">
        <f>COUNTIFS('Prácticas_Revisiones'!$S$2:$S$282,"T061",'Prácticas_Revisiones'!$T$2:$T$282,"REQUIREMENTS &gt; Practical Considerations")+COUNTIFS('Prácticas_Snowballing'!$AB$2:$AB$281,"T061",'Prácticas_Snowballing'!$AC$2:$AC$281,"REQUIREMENTS &gt; Practical Considerations")</f>
        <v>0</v>
      </c>
      <c r="J73" s="17">
        <f>COUNTIFS('Prácticas_Revisiones'!$S$2:$S$282,"T061",'Prácticas_Revisiones'!$T$2:$T$282,"REQUIREMENTS &gt; Software Requirements Tools")+COUNTIFS('Prácticas_Snowballing'!$AB$2:$AB$281,"T061",'Prácticas_Snowballing'!$AC$2:$AC$281,"REQUIREMENTS &gt; Software Requirements Tools")</f>
        <v>0</v>
      </c>
      <c r="K73" s="17">
        <f>COUNTIFS('Prácticas_Revisiones'!$S$2:$S$282,"T061",'Prácticas_Revisiones'!$T$2:$T$282,"REQUIREMENTS &gt; Subárea no determinable")+COUNTIFS('Prácticas_Snowballing'!$AB$2:$AB$281,"T061",'Prácticas_Snowballing'!$AC$2:$AC$281,"REQUIREMENTS &gt; Subárea no determinable")</f>
        <v>0</v>
      </c>
      <c r="L73" s="29">
        <f t="shared" si="52"/>
        <v>0</v>
      </c>
      <c r="M73" s="17">
        <f>COUNTIFS('Prácticas_Revisiones'!$S$2:$S$282,"T061",'Prácticas_Revisiones'!$T$2:$T$282,"ARCHITECTURE &gt; Software Architecture Fundamentals")+COUNTIFS('Prácticas_Snowballing'!$AB$2:$AB$281,"T061",'Prácticas_Snowballing'!$AC$2:$AC$281,"ARCHITECTURE &gt; Software Architecture Fundamentals")</f>
        <v>0</v>
      </c>
      <c r="N73" s="17">
        <f>COUNTIFS('Prácticas_Revisiones'!$S$2:$S$282,"T061",'Prácticas_Revisiones'!$T$2:$T$282,"ARCHITECTURE &gt; Software Architecture Description")+COUNTIFS('Prácticas_Snowballing'!$AB$2:$AB$281,"T061",'Prácticas_Snowballing'!$AC$2:$AC$281,"ARCHITECTURE &gt; Software Architecture Description")</f>
        <v>0</v>
      </c>
      <c r="O73" s="17">
        <f>COUNTIFS('Prácticas_Revisiones'!$S$2:$S$282,"T061",'Prácticas_Revisiones'!$T$2:$T$282,"ARCHITECTURE &gt; Software Architecture Process")+COUNTIFS('Prácticas_Snowballing'!$AB$2:$AB$281,"T061",'Prácticas_Snowballing'!$AC$2:$AC$281,"ARCHITECTURE &gt; Software Architecture Process")</f>
        <v>0</v>
      </c>
      <c r="P73" s="17">
        <f>COUNTIFS('Prácticas_Revisiones'!$S$2:$S$282,"T061",'Prácticas_Revisiones'!$T$2:$T$282,"ARCHITECTURE &gt; Software Architecture Evaluation")+COUNTIFS('Prácticas_Snowballing'!$AB$2:$AB$281,"T061",'Prácticas_Snowballing'!$AC$2:$AC$281,"ARCHITECTURE &gt; Software Architecture Evaluation")</f>
        <v>0</v>
      </c>
      <c r="Q73" s="17">
        <f>COUNTIFS('Prácticas_Revisiones'!$S$2:$S$282,"T061",'Prácticas_Revisiones'!$T$2:$T$282,"ARCHITECTURE &gt; Subárea no determinable")+COUNTIFS('Prácticas_Snowballing'!$AB$2:$AB$281,"T061",'Prácticas_Snowballing'!$AC$2:$AC$281,"ARCHITECTURE &gt; Subárea no determinable")</f>
        <v>0</v>
      </c>
      <c r="R73" s="29">
        <f t="shared" si="53"/>
        <v>0</v>
      </c>
      <c r="S73" s="17">
        <f>COUNTIFS('Prácticas_Revisiones'!$S$2:$S$282,"T061",'Prácticas_Revisiones'!$T$2:$T$282,"DESIGN &gt; Software Design Fundamentals")+COUNTIFS('Prácticas_Snowballing'!$AB$2:$AB$281,"T061",'Prácticas_Snowballing'!$AC$2:$AC$281,"DESIGN &gt; Software Design Fundamentals")</f>
        <v>0</v>
      </c>
      <c r="T73" s="17">
        <f>COUNTIFS('Prácticas_Revisiones'!$S$2:$S$282,"T061",'Prácticas_Revisiones'!$T$2:$T$282,"DESIGN &gt; Software Design Processes")+COUNTIFS('Prácticas_Snowballing'!$AB$2:$AB$281,"T061",'Prácticas_Snowballing'!$AC$2:$AC$281,"DESIGN &gt; Software Design Processes")</f>
        <v>0</v>
      </c>
      <c r="U73" s="17">
        <f>COUNTIFS('Prácticas_Revisiones'!$S$2:$S$282,"T061",'Prácticas_Revisiones'!$T$2:$T$282,"DESIGN &gt; Software Design Qualities")+COUNTIFS('Prácticas_Snowballing'!$AB$2:$AB$281,"T061",'Prácticas_Snowballing'!$AC$2:$AC$281,"DESIGN &gt; Software Design Qualities")</f>
        <v>0</v>
      </c>
      <c r="V73" s="17">
        <f>COUNTIFS('Prácticas_Revisiones'!$S$2:$S$282,"T061",'Prácticas_Revisiones'!$T$2:$T$282,"DESIGN &gt; Recording Software Design")+COUNTIFS('Prácticas_Snowballing'!$AB$2:$AB$281,"T061",'Prácticas_Snowballing'!$AC$2:$AC$281,"DESIGN &gt; Recording Software Design")</f>
        <v>0</v>
      </c>
      <c r="W73" s="17">
        <f>COUNTIFS('Prácticas_Revisiones'!$S$2:$S$282,"T061",'Prácticas_Revisiones'!$T$2:$T$282,"DESIGN &gt; Software Design Strategies and Methods")+COUNTIFS('Prácticas_Snowballing'!$AB$2:$AB$281,"T061",'Prácticas_Snowballing'!$AC$2:$AC$281,"DESIGN &gt; Software Design Strategies and Methods")</f>
        <v>0</v>
      </c>
      <c r="X73" s="17">
        <f>COUNTIFS('Prácticas_Revisiones'!$S$2:$S$282,"T061",'Prácticas_Revisiones'!$T$2:$T$282,"DESIGN &gt; Software Design Analysis and Evaluations")+COUNTIFS('Prácticas_Snowballing'!$AB$2:$AB$281,"T061",'Prácticas_Snowballing'!$AC$2:$AC$281,"DESIGN &gt; Software Design Analysis and Evaluations")</f>
        <v>0</v>
      </c>
      <c r="Y73" s="17">
        <f>COUNTIFS('Prácticas_Revisiones'!$S$2:$S$282,"T061",'Prácticas_Revisiones'!$T$2:$T$282,"DESIGN &gt; Subárea no determinable")+COUNTIFS('Prácticas_Snowballing'!$AB$2:$AB$281,"T061",'Prácticas_Snowballing'!$AC$2:$AC$281,"DESIGN &gt; Subárea no determinable")</f>
        <v>0</v>
      </c>
      <c r="Z73" s="29">
        <f t="shared" si="54"/>
        <v>0</v>
      </c>
      <c r="AA73" s="17">
        <f>COUNTIFS('Prácticas_Revisiones'!$S$2:$S$282,"T061",'Prácticas_Revisiones'!$T$2:$T$282,"CONSTRUCTION &gt; Software Construction Fundamentals")+COUNTIFS('Prácticas_Snowballing'!$AB$2:$AB$281,"T061",'Prácticas_Snowballing'!$AC$2:$AC$281,"CONSTRUCTION &gt; Software Construction Fundamentals")</f>
        <v>0</v>
      </c>
      <c r="AB73" s="17">
        <f>COUNTIFS('Prácticas_Revisiones'!$S$2:$S$282,"T061",'Prácticas_Revisiones'!$T$2:$T$282,"CONSTRUCTION &gt; Managing Construction")+COUNTIFS('Prácticas_Snowballing'!$AB$2:$AB$281,"T061",'Prácticas_Snowballing'!$AC$2:$AC$281,"CONSTRUCTION &gt; Managing Construction")</f>
        <v>0</v>
      </c>
      <c r="AC73" s="17">
        <f>COUNTIFS('Prácticas_Revisiones'!$S$2:$S$282,"T061",'Prácticas_Revisiones'!$T$2:$T$282,"CONSTRUCTION &gt; Practical Considerations")+COUNTIFS('Prácticas_Snowballing'!$AB$2:$AB$281,"T061",'Prácticas_Snowballing'!$AC$2:$AC$281,"CONSTRUCTION &gt; Practical Considerations")</f>
        <v>0</v>
      </c>
      <c r="AD73" s="17">
        <f>COUNTIFS('Prácticas_Revisiones'!$S$2:$S$282,"T061",'Prácticas_Revisiones'!$T$2:$T$282,"CONSTRUCTION &gt; Construction Technologies")+COUNTIFS('Prácticas_Snowballing'!$AB$2:$AB$281,"T061",'Prácticas_Snowballing'!$AC$2:$AC$281,"CONSTRUCTION &gt; Construction Technologies")</f>
        <v>0</v>
      </c>
      <c r="AE73" s="17">
        <f>COUNTIFS('Prácticas_Revisiones'!$S$2:$S$282,"T061",'Prácticas_Revisiones'!$T$2:$T$282,"CONSTRUCTION &gt; Software Construction Tools")+COUNTIFS('Prácticas_Snowballing'!$AB$2:$AB$281,"T061",'Prácticas_Snowballing'!$AC$2:$AC$281,"CONSTRUCTION &gt; Software Construction Tools")</f>
        <v>0</v>
      </c>
      <c r="AF73" s="17">
        <f>COUNTIFS('Prácticas_Revisiones'!$S$2:$S$282,"T061",'Prácticas_Revisiones'!$T$2:$T$282,"CONSTRUCTION &gt; Subárea no determinable")+COUNTIFS('Prácticas_Snowballing'!$AB$2:$AB$281,"T061",'Prácticas_Snowballing'!$AC$2:$AC$281,"CONSTRUCTION &gt; Subárea no determinable")</f>
        <v>0</v>
      </c>
      <c r="AG73" s="29">
        <f t="shared" si="55"/>
        <v>0</v>
      </c>
      <c r="AH73" s="17">
        <f>COUNTIFS('Prácticas_Revisiones'!$S$2:$S$282,"T061",'Prácticas_Revisiones'!$T$2:$T$282,"SOFTWARE TESTING &gt; Software Testing Fundamentals")+COUNTIFS('Prácticas_Snowballing'!$AB$2:$AB$281,"T061",'Prácticas_Snowballing'!$AC$2:$AC$281,"SOFTWARE TESTING &gt; Software Testing Fundamentals")</f>
        <v>0</v>
      </c>
      <c r="AI73" s="17">
        <f>COUNTIFS('Prácticas_Revisiones'!$S$2:$S$282,"T061",'Prácticas_Revisiones'!$T$2:$T$282,"SOFTWARE TESTING &gt; Test Levels")+COUNTIFS('Prácticas_Snowballing'!$AB$2:$AB$281,"T061",'Prácticas_Snowballing'!$AC$2:$AC$281,"SOFTWARE TESTING &gt; Test Levels")</f>
        <v>0</v>
      </c>
      <c r="AJ73" s="17">
        <f>COUNTIFS('Prácticas_Revisiones'!$S$2:$S$282,"T061",'Prácticas_Revisiones'!$T$2:$T$282,"SOFTWARE TESTING &gt; Test Techniques")+COUNTIFS('Prácticas_Snowballing'!$AB$2:$AB$281,"T061",'Prácticas_Snowballing'!$AC$2:$AC$281,"SOFTWARE TESTING &gt; Test Techniques")</f>
        <v>0</v>
      </c>
      <c r="AK73" s="17">
        <f>COUNTIFS('Prácticas_Revisiones'!$S$2:$S$282,"T061",'Prácticas_Revisiones'!$T$2:$T$282,"SOFTWARE TESTING &gt; Test-Related Measures")+COUNTIFS('Prácticas_Snowballing'!$AB$2:$AB$281,"T061",'Prácticas_Snowballing'!$AC$2:$AC$281,"SOFTWARE TESTING &gt; Test-Related Measures")</f>
        <v>0</v>
      </c>
      <c r="AL73" s="17">
        <f>COUNTIFS('Prácticas_Revisiones'!$S$2:$S$282,"T061",'Prácticas_Revisiones'!$T$2:$T$282,"SOFTWARE TESTING &gt; Test Process")+COUNTIFS('Prácticas_Snowballing'!$AB$2:$AB$281,"T061",'Prácticas_Snowballing'!$AC$2:$AC$281,"SOFTWARE TESTING &gt; Test Process")</f>
        <v>0</v>
      </c>
      <c r="AM73" s="17">
        <f>COUNTIFS('Prácticas_Revisiones'!$S$2:$S$282,"T061",'Prácticas_Revisiones'!$T$2:$T$282,"SOFTWARE TESTING &gt; Software Testing in the Development Processes...")+COUNTIFS('Prácticas_Snowballing'!$AB$2:$AB$281,"T061",'Prácticas_Snowballing'!$AC$2:$AC$281,"SOFTWARE TESTING &gt; Software Testing in the Development Processes...")</f>
        <v>0</v>
      </c>
      <c r="AN73" s="17">
        <f>COUNTIFS('Prácticas_Revisiones'!$S$2:$S$282,"T061",'Prácticas_Revisiones'!$T$2:$T$282,"SOFTWARE TESTING &gt; Testing of and Testing Through Emerging Tech...")+COUNTIFS('Prácticas_Snowballing'!$AB$2:$AB$281,"T061",'Prácticas_Snowballing'!$AC$2:$AC$281,"SOFTWARE TESTING &gt; Testing of and Testing Through Emerging Tech...")</f>
        <v>0</v>
      </c>
      <c r="AO73" s="17">
        <f>COUNTIFS('Prácticas_Revisiones'!$S$2:$S$282,"T061",'Prácticas_Revisiones'!$T$2:$T$282,"SOFTWARE TESTING &gt; Software Testing Tools")+COUNTIFS('Prácticas_Snowballing'!$AB$2:$AB$281,"T061",'Prácticas_Snowballing'!$AC$2:$AC$281,"SOFTWARE TESTING &gt; Software Testing Tools")</f>
        <v>0</v>
      </c>
      <c r="AP73" s="17">
        <f>COUNTIFS('Prácticas_Revisiones'!$S$2:$S$282,"T061",'Prácticas_Revisiones'!$T$2:$T$282,"SOFTWARE TESTING &gt; Subárea no determinable")+COUNTIFS('Prácticas_Snowballing'!$AB$2:$AB$281,"T061",'Prácticas_Snowballing'!$AC$2:$AC$281,"SOFTWARE TESTING &gt; Subárea no determinable")</f>
        <v>0</v>
      </c>
      <c r="AQ73" s="29">
        <f t="shared" si="56"/>
        <v>0</v>
      </c>
      <c r="AR73" s="17">
        <f>COUNTIFS('Prácticas_Revisiones'!$S$2:$S$282,"T061",'Prácticas_Revisiones'!$T$2:$T$282,"SOFTWARE ENG. OPERATIONS &gt; Software Engineering Operations Fundamentals")+COUNTIFS('Prácticas_Snowballing'!$AB$2:$AB$281,"T061",'Prácticas_Snowballing'!$AC$2:$AC$281,"SOFTWARE ENG. OPERATIONS &gt; Software Engineering Operations Fundamentals")</f>
        <v>0</v>
      </c>
      <c r="AS73" s="17">
        <f>COUNTIFS('Prácticas_Revisiones'!$S$2:$S$282,"T061",'Prácticas_Revisiones'!$T$2:$T$282,"SOFTWARE ENG. OPERATIONS &gt; Software Engineering Operations Planning")+COUNTIFS('Prácticas_Snowballing'!$AB$2:$AB$281,"T061",'Prácticas_Snowballing'!$AC$2:$AC$281,"SOFTWARE ENG. OPERATIONS &gt; Software Engineering Operations Planning")</f>
        <v>0</v>
      </c>
      <c r="AT73" s="17">
        <f>COUNTIFS('Prácticas_Revisiones'!$S$2:$S$282,"T061",'Prácticas_Revisiones'!$T$2:$T$282,"SOFTWARE ENG. OPERATIONS &gt; Software Engineering Operations Delivery")+COUNTIFS('Prácticas_Snowballing'!$AB$2:$AB$281,"T061",'Prácticas_Snowballing'!$AC$2:$AC$281,"SOFTWARE ENG. OPERATIONS &gt; Software Engineering Operations Delivery")</f>
        <v>0</v>
      </c>
      <c r="AU73" s="17">
        <f>COUNTIFS('Prácticas_Revisiones'!$S$2:$S$282,"T061",'Prácticas_Revisiones'!$T$2:$T$282,"SOFTWARE ENG. OPERATIONS &gt; Software Engineering Operations Control")+COUNTIFS('Prácticas_Snowballing'!$AB$2:$AB$281,"T061",'Prácticas_Snowballing'!$AC$2:$AC$281,"SOFTWARE ENG. OPERATIONS &gt; Software Engineering Operations Control")</f>
        <v>0</v>
      </c>
      <c r="AV73" s="17">
        <f>COUNTIFS('Prácticas_Revisiones'!$S$2:$S$282,"T061",'Prácticas_Revisiones'!$T$2:$T$282,"SOFTWARE ENG. OPERATIONS &gt; Practical Considerations")+COUNTIFS('Prácticas_Snowballing'!$AB$2:$AB$281,"T061",'Prácticas_Snowballing'!$AC$2:$AC$281,"SOFTWARE ENG. OPERATIONS &gt; Practical Considerations")</f>
        <v>0</v>
      </c>
      <c r="AW73" s="17">
        <f>COUNTIFS('Prácticas_Revisiones'!$S$2:$S$282,"T061",'Prácticas_Revisiones'!$T$2:$T$282,"SOFTWARE ENG. OPERATIONS &gt; Software Engineering Operations Tools")+COUNTIFS('Prácticas_Snowballing'!$AB$2:$AB$281,"T061",'Prácticas_Snowballing'!$AC$2:$AC$281,"SOFTWARE ENG. OPERATIONS &gt; Software Engineering Operations Tools")</f>
        <v>0</v>
      </c>
      <c r="AX73" s="17">
        <f>COUNTIFS('Prácticas_Revisiones'!$S$2:$S$282,"T061",'Prácticas_Revisiones'!$T$2:$T$282,"SOFTWARE ENG. OPERATIONS &gt; Subárea no determinable")+COUNTIFS('Prácticas_Snowballing'!$AB$2:$AB$281,"T061",'Prácticas_Snowballing'!$AC$2:$AC$281,"SOFTWARE ENG. OPERATIONS &gt; Subárea no determinable")</f>
        <v>0</v>
      </c>
      <c r="AY73" s="29">
        <f t="shared" si="57"/>
        <v>0</v>
      </c>
      <c r="AZ73" s="17">
        <f>COUNTIFS('Prácticas_Revisiones'!$S$2:$S$282,"T061",'Prácticas_Revisiones'!$T$2:$T$282,"MAINTENANCE &gt; Software Maintenance Fundamentals")+COUNTIFS('Prácticas_Snowballing'!$AB$2:$AB$281,"T061",'Prácticas_Snowballing'!$AC$2:$AC$281,"MAINTENANCE &gt; Software Maintenance Fundamentals")</f>
        <v>0</v>
      </c>
      <c r="BA73" s="17">
        <f>COUNTIFS('Prácticas_Revisiones'!$S$2:$S$282,"T061",'Prácticas_Revisiones'!$T$2:$T$282,"MAINTENANCE &gt; Key Issues in Software Maintenance")+COUNTIFS('Prácticas_Snowballing'!$AB$2:$AB$281,"T061",'Prácticas_Snowballing'!$AC$2:$AC$281,"MAINTENANCE &gt; Key Issues in Software Maintenance")</f>
        <v>0</v>
      </c>
      <c r="BB73" s="17">
        <f>COUNTIFS('Prácticas_Revisiones'!$S$2:$S$282,"T061",'Prácticas_Revisiones'!$T$2:$T$282,"MAINTENANCE &gt; Software Maintenance Processes")+COUNTIFS('Prácticas_Snowballing'!$AB$2:$AB$281,"T061",'Prácticas_Snowballing'!$AC$2:$AC$281,"MAINTENANCE &gt; Software Maintenance Processes")</f>
        <v>0</v>
      </c>
      <c r="BC73" s="17">
        <f>COUNTIFS('Prácticas_Revisiones'!$S$2:$S$282,"T061",'Prácticas_Revisiones'!$T$2:$T$282,"MAINTENANCE &gt; Software Maintenance Techniques")+COUNTIFS('Prácticas_Snowballing'!$AB$2:$AB$281,"T061",'Prácticas_Snowballing'!$AC$2:$AC$281,"MAINTENANCE &gt; Software Maintenance Techniques")</f>
        <v>0</v>
      </c>
      <c r="BD73" s="17">
        <f>COUNTIFS('Prácticas_Revisiones'!$S$2:$S$282,"T061",'Prácticas_Revisiones'!$T$2:$T$282,"MAINTENANCE &gt; Software Maintenance Tools")+COUNTIFS('Prácticas_Snowballing'!$AB$2:$AB$281,"T061",'Prácticas_Snowballing'!$AC$2:$AC$281,"MAINTENANCE &gt; Software Maintenance Tools")</f>
        <v>0</v>
      </c>
      <c r="BE73" s="17">
        <f>COUNTIFS('Prácticas_Revisiones'!$S$2:$S$282,"T061",'Prácticas_Revisiones'!$T$2:$T$282,"MAINTENANCE &gt; Subárea no determinable")+COUNTIFS('Prácticas_Snowballing'!$AB$2:$AB$281,"T061",'Prácticas_Snowballing'!$AC$2:$AC$281,"MAINTENANCE &gt; Subárea no determinable")</f>
        <v>0</v>
      </c>
      <c r="BF73" s="29">
        <f t="shared" si="58"/>
        <v>0</v>
      </c>
      <c r="BG73" s="17">
        <f>COUNTIFS('Prácticas_Revisiones'!$S$2:$S$282,"T061",'Prácticas_Revisiones'!$T$2:$T$282,"SOFTWARE CONFIG. MGMT. &gt; Management of the SCM Process")+COUNTIFS('Prácticas_Snowballing'!$AB$2:$AB$281,"T061",'Prácticas_Snowballing'!$AC$2:$AC$281,"SOFTWARE CONFIG. MGMT. &gt; Management of the SCM Process")</f>
        <v>0</v>
      </c>
      <c r="BH73" s="17">
        <f>COUNTIFS('Prácticas_Revisiones'!$S$2:$S$282,"T061",'Prácticas_Revisiones'!$T$2:$T$282,"SOFTWARE CONFIG. MGMT. &gt; Software Configuration Identification")+COUNTIFS('Prácticas_Snowballing'!$AB$2:$AB$281,"T061",'Prácticas_Snowballing'!$AC$2:$AC$281,"SOFTWARE CONFIG. MGMT. &gt; Software Configuration Identification")</f>
        <v>0</v>
      </c>
      <c r="BI73" s="17">
        <f>COUNTIFS('Prácticas_Revisiones'!$S$2:$S$282,"T061",'Prácticas_Revisiones'!$T$2:$T$282,"SOFTWARE CONFIG. MGMT. &gt; Software Configuration Change Control")+COUNTIFS('Prácticas_Snowballing'!$AB$2:$AB$281,"T061",'Prácticas_Snowballing'!$AC$2:$AC$281,"SOFTWARE CONFIG. MGMT. &gt; Software Configuration Change Control")</f>
        <v>0</v>
      </c>
      <c r="BJ73" s="17">
        <f>COUNTIFS('Prácticas_Revisiones'!$S$2:$S$282,"T061",'Prácticas_Revisiones'!$T$2:$T$282,"SOFTWARE CONFIG. MGMT. &gt; Software Configuration Status Accounting")+COUNTIFS('Prácticas_Snowballing'!$AB$2:$AB$281,"T061",'Prácticas_Snowballing'!$AC$2:$AC$281,"SOFTWARE CONFIG. MGMT. &gt; Software Configuration Status Accounting")</f>
        <v>0</v>
      </c>
      <c r="BK73" s="17">
        <f>COUNTIFS('Prácticas_Revisiones'!$S$2:$S$282,"T061",'Prácticas_Revisiones'!$T$2:$T$282,"SOFTWARE CONFIG. MGMT. &gt; Software Configuration Auditing")+COUNTIFS('Prácticas_Snowballing'!$AB$2:$AB$281,"T061",'Prácticas_Snowballing'!$AC$2:$AC$281,"SOFTWARE CONFIG. MGMT. &gt; Software Configuration Auditing")</f>
        <v>0</v>
      </c>
      <c r="BL73" s="17">
        <f>COUNTIFS('Prácticas_Revisiones'!$S$2:$S$282,"T061",'Prácticas_Revisiones'!$T$2:$T$282,"SOFTWARE CONFIG. MGMT. &gt; Software Release Management and Delivery")+COUNTIFS('Prácticas_Snowballing'!$AB$2:$AB$281,"T061",'Prácticas_Snowballing'!$AC$2:$AC$281,"SOFTWARE CONFIG. MGMT. &gt; Software Release Management and Delivery")</f>
        <v>0</v>
      </c>
      <c r="BM73" s="17">
        <f>COUNTIFS('Prácticas_Revisiones'!$S$2:$S$282,"T061",'Prácticas_Revisiones'!$T$2:$T$282,"SOFTWARE CONFIG. MGMT. &gt; Software Configuration Management Tools")+COUNTIFS('Prácticas_Snowballing'!$AB$2:$AB$281,"T061",'Prácticas_Snowballing'!$AC$2:$AC$281,"SOFTWARE CONFIG. MGMT. &gt; Software Configuration Management Tools")</f>
        <v>0</v>
      </c>
      <c r="BN73" s="17">
        <f>COUNTIFS('Prácticas_Revisiones'!$S$2:$S$282,"T061",'Prácticas_Revisiones'!$T$2:$T$282,"SOFTWARE CONFIG. MGMT. &gt; Subárea no determinable")+COUNTIFS('Prácticas_Snowballing'!$AB$2:$AB$281,"T061",'Prácticas_Snowballing'!$AC$2:$AC$281,"SOFTWARE CONFIG. MGMT. &gt; Subárea no determinable")</f>
        <v>0</v>
      </c>
      <c r="BO73" s="29">
        <f t="shared" si="59"/>
        <v>0</v>
      </c>
      <c r="BP73" s="17">
        <f>COUNTIFS('Prácticas_Revisiones'!$S$2:$S$282,"T061",'Prácticas_Revisiones'!$T$2:$T$282,"SOFTWARE ENG. PROCESS &gt; Software Engineering Process Fundamentals")+COUNTIFS('Prácticas_Snowballing'!$AB$2:$AB$281,"T061",'Prácticas_Snowballing'!$AC$2:$AC$281,"SOFTWARE ENG. PROCESS &gt; Software Engineering Process Fundamentals")</f>
        <v>0</v>
      </c>
      <c r="BQ73" s="17">
        <f>COUNTIFS('Prácticas_Revisiones'!$S$2:$S$282,"T061",'Prácticas_Revisiones'!$T$2:$T$282,"SOFTWARE ENG. PROCESS &gt; Life Cycles")+COUNTIFS('Prácticas_Snowballing'!$AB$2:$AB$281,"T061",'Prácticas_Snowballing'!$AC$2:$AC$281,"SOFTWARE ENG. PROCESS &gt; Life Cycles")</f>
        <v>0</v>
      </c>
      <c r="BR73" s="17">
        <f>COUNTIFS('Prácticas_Revisiones'!$S$2:$S$282,"T061",'Prácticas_Revisiones'!$T$2:$T$282,"SOFTWARE ENG. PROCESS &gt; Software Process Assessment and Improvement")+COUNTIFS('Prácticas_Snowballing'!$AB$2:$AB$281,"T061",'Prácticas_Snowballing'!$AC$2:$AC$281,"SOFTWARE ENG. PROCESS &gt; Software Process Assessment and Improvement")</f>
        <v>0</v>
      </c>
      <c r="BS73" s="17">
        <f>COUNTIFS('Prácticas_Revisiones'!$S$2:$S$282,"T061",'Prácticas_Revisiones'!$T$2:$T$282,"SOFTWARE ENG. PROCESS &gt; Subárea no determinable")+COUNTIFS('Prácticas_Snowballing'!$AB$2:$AB$281,"T061",'Prácticas_Snowballing'!$AC$2:$AC$281,"SOFTWARE ENG. PROCESS &gt; Subárea no determinable")</f>
        <v>0</v>
      </c>
      <c r="BT73" s="29">
        <f t="shared" si="60"/>
        <v>0</v>
      </c>
      <c r="BU73" s="17">
        <f>COUNTIFS('Prácticas_Revisiones'!$S$2:$S$282,"T061",'Prácticas_Revisiones'!$T$2:$T$282,"SOFTWARE ENG. MODELS/METH. &gt; Modeling")+COUNTIFS('Prácticas_Snowballing'!$AB$2:$AB$281,"T061",'Prácticas_Snowballing'!$AC$2:$AC$281,"SOFTWARE ENG. MODELS/METH. &gt; Modeling")</f>
        <v>0</v>
      </c>
      <c r="BV73" s="17">
        <f>COUNTIFS('Prácticas_Revisiones'!$S$2:$S$282,"T061",'Prácticas_Revisiones'!$T$2:$T$282,"SOFTWARE ENG. MODELS/METH. &gt; Types of Models")+COUNTIFS('Prácticas_Snowballing'!$AB$2:$AB$281,"T061",'Prácticas_Snowballing'!$AC$2:$AC$281,"SOFTWARE ENG. MODELS/METH. &gt; Types of Models")</f>
        <v>0</v>
      </c>
      <c r="BW73" s="17">
        <f>COUNTIFS('Prácticas_Revisiones'!$S$2:$S$282,"T061",'Prácticas_Revisiones'!$T$2:$T$282,"SOFTWARE ENG. MODELS/METH. &gt; Analysis of Models")+COUNTIFS('Prácticas_Snowballing'!$AB$2:$AB$281,"T061",'Prácticas_Snowballing'!$AC$2:$AC$281,"SOFTWARE ENG. MODELS/METH. &gt; Analysis of Models")</f>
        <v>0</v>
      </c>
      <c r="BX73" s="17">
        <f>COUNTIFS('Prácticas_Revisiones'!$S$2:$S$282,"T061",'Prácticas_Revisiones'!$T$2:$T$282,"SOFTWARE ENG. MODELS/METH. &gt; Software Engineering Methods")+COUNTIFS('Prácticas_Snowballing'!$AB$2:$AB$281,"T061",'Prácticas_Snowballing'!$AC$2:$AC$281,"SOFTWARE ENG. MODELS/METH. &gt; Software Engineering Methods")</f>
        <v>0</v>
      </c>
      <c r="BY73" s="17">
        <f>COUNTIFS('Prácticas_Revisiones'!$S$2:$S$282,"T061",'Prácticas_Revisiones'!$T$2:$T$282,"SOFTWARE ENG. MODELS/METH. &gt; Subárea no determinable")+COUNTIFS('Prácticas_Snowballing'!$AB$2:$AB$281,"T061",'Prácticas_Snowballing'!$AC$2:$AC$281,"SOFTWARE ENG. MODELS/METH. &gt; Subárea no determinable")</f>
        <v>0</v>
      </c>
      <c r="BZ73" s="29">
        <f t="shared" si="61"/>
        <v>0</v>
      </c>
      <c r="CA73" s="17">
        <f>COUNTIFS('Prácticas_Revisiones'!$S$2:$S$282,"T061",'Prácticas_Revisiones'!$T$2:$T$282,"SOFTWARE QUALITY &gt; Software Quality Fundamentals")+COUNTIFS('Prácticas_Snowballing'!$AB$2:$AB$281,"T061",'Prácticas_Snowballing'!$AC$2:$AC$281,"SOFTWARE QUALITY &gt; Software Quality Fundamentals")</f>
        <v>0</v>
      </c>
      <c r="CB73" s="17">
        <f>COUNTIFS('Prácticas_Revisiones'!$S$2:$S$282,"T061",'Prácticas_Revisiones'!$T$2:$T$282,"SOFTWARE QUALITY &gt; Software Quality Management Process")+COUNTIFS('Prácticas_Snowballing'!$AB$2:$AB$281,"T061",'Prácticas_Snowballing'!$AC$2:$AC$281,"SOFTWARE QUALITY &gt; Software Quality Management Process")</f>
        <v>0</v>
      </c>
      <c r="CC73" s="17">
        <f>COUNTIFS('Prácticas_Revisiones'!$S$2:$S$282,"T061",'Prácticas_Revisiones'!$T$2:$T$282,"SOFTWARE QUALITY &gt; Software Quality Assurance Process")+COUNTIFS('Prácticas_Snowballing'!$AB$2:$AB$281,"T061",'Prácticas_Snowballing'!$AC$2:$AC$281,"SOFTWARE QUALITY &gt; Software Quality Assurance Process")</f>
        <v>0</v>
      </c>
      <c r="CD73" s="17">
        <f>COUNTIFS('Prácticas_Revisiones'!$S$2:$S$282,"T061",'Prácticas_Revisiones'!$T$2:$T$282,"SOFTWARE QUALITY &gt; Software Quality Tools")+COUNTIFS('Prácticas_Snowballing'!$AB$2:$AB$281,"T061",'Prácticas_Snowballing'!$AC$2:$AC$281,"SOFTWARE QUALITY &gt; Software Quality Tools")</f>
        <v>0</v>
      </c>
      <c r="CE73" s="17">
        <f>COUNTIFS('Prácticas_Revisiones'!$S$2:$S$282,"T061",'Prácticas_Revisiones'!$T$2:$T$282,"SOFTWARE QUALITY &gt; Subárea no determinable")+COUNTIFS('Prácticas_Snowballing'!$AB$2:$AB$281,"T061",'Prácticas_Snowballing'!$AC$2:$AC$281,"SOFTWARE QUALITY &gt; Subárea no determinable")</f>
        <v>0</v>
      </c>
      <c r="CF73" s="29">
        <f t="shared" si="62"/>
        <v>0</v>
      </c>
      <c r="CG73" s="17">
        <f>COUNTIFS('Prácticas_Revisiones'!$S$2:$S$282,"T061",'Prácticas_Revisiones'!$T$2:$T$282,"SOFTWARE SECURITY &gt; Software Security Fundamentals")+COUNTIFS('Prácticas_Snowballing'!$AB$2:$AB$281,"T061",'Prácticas_Snowballing'!$AC$2:$AC$281,"SOFTWARE SECURITY &gt; Software Security Fundamentals")</f>
        <v>0</v>
      </c>
      <c r="CH73" s="17">
        <f>COUNTIFS('Prácticas_Revisiones'!$S$2:$S$282,"T061",'Prácticas_Revisiones'!$T$2:$T$282,"SOFTWARE SECURITY &gt; Security Management and Organization")+COUNTIFS('Prácticas_Snowballing'!$AB$2:$AB$281,"T061",'Prácticas_Snowballing'!$AC$2:$AC$281,"SOFTWARE SECURITY &gt; Security Management and Organization")</f>
        <v>0</v>
      </c>
      <c r="CI73" s="17">
        <f>COUNTIFS('Prácticas_Revisiones'!$S$2:$S$282,"T061",'Prácticas_Revisiones'!$T$2:$T$282,"SOFTWARE SECURITY &gt; Software Security Engineering and Process")+COUNTIFS('Prácticas_Snowballing'!$AB$2:$AB$281,"T061",'Prácticas_Snowballing'!$AC$2:$AC$281,"SOFTWARE SECURITY &gt; Software Security Engineering and Process")</f>
        <v>0</v>
      </c>
      <c r="CJ73" s="17">
        <f>COUNTIFS('Prácticas_Revisiones'!$S$2:$S$282,"T061",'Prácticas_Revisiones'!$T$2:$T$282,"SOFTWARE SECURITY &gt; Security Engineering for Software Systems")+COUNTIFS('Prácticas_Snowballing'!$AB$2:$AB$281,"T061",'Prácticas_Snowballing'!$AC$2:$AC$281,"SOFTWARE SECURITY &gt; Security Engineering for Software Systems")</f>
        <v>0</v>
      </c>
      <c r="CK73" s="17">
        <f>COUNTIFS('Prácticas_Revisiones'!$S$2:$S$282,"T061",'Prácticas_Revisiones'!$T$2:$T$282,"SOFTWARE SECURITY &gt; Software Security Tools")+COUNTIFS('Prácticas_Snowballing'!$AB$2:$AB$281,"T061",'Prácticas_Snowballing'!$AC$2:$AC$281,"SOFTWARE SECURITY &gt; Software Security Tools")</f>
        <v>0</v>
      </c>
      <c r="CL73" s="17">
        <f>COUNTIFS('Prácticas_Revisiones'!$S$2:$S$282,"T061",'Prácticas_Revisiones'!$T$2:$T$282,"SOFTWARE SECURITY &gt; Domain Specific Software Security")+COUNTIFS('Prácticas_Snowballing'!$AB$2:$AB$281,"T061",'Prácticas_Snowballing'!$AC$2:$AC$281,"SOFTWARE SECURITY &gt; Domain Specific Software Security")</f>
        <v>0</v>
      </c>
      <c r="CM73" s="17">
        <f>COUNTIFS('Prácticas_Revisiones'!$S$2:$S$282,"T061",'Prácticas_Revisiones'!$T$2:$T$282,"SOFTWARE SECURITY &gt; Subárea no determinable")+COUNTIFS('Prácticas_Snowballing'!$AB$2:$AB$281,"T061",'Prácticas_Snowballing'!$AC$2:$AC$281,"SOFTWARE SECURITY &gt; Subárea no determinable")</f>
        <v>0</v>
      </c>
      <c r="CN73" s="29">
        <f t="shared" si="63"/>
        <v>0</v>
      </c>
      <c r="CO73" s="17">
        <f>COUNTIFS('Prácticas_Revisiones'!$S$2:$S$282,"T061",'Prácticas_Revisiones'!$T$2:$T$282,"PROFESSIONAL PRACTICE &gt; Professionalism")+COUNTIFS('Prácticas_Snowballing'!$AB$2:$AB$281,"T061",'Prácticas_Snowballing'!$AC$2:$AC$281,"PROFESSIONAL PRACTICE &gt; Professionalism")</f>
        <v>0</v>
      </c>
      <c r="CP73" s="17">
        <f>COUNTIFS('Prácticas_Revisiones'!$S$2:$S$282,"T061",'Prácticas_Revisiones'!$T$2:$T$282,"PROFESSIONAL PRACTICE &gt; Group Dynamics and Psychology")+COUNTIFS('Prácticas_Snowballing'!$AB$2:$AB$281,"T061",'Prácticas_Snowballing'!$AC$2:$AC$281,"PROFESSIONAL PRACTICE &gt; Group Dynamics and Psychology")</f>
        <v>0</v>
      </c>
      <c r="CQ73" s="17">
        <f>COUNTIFS('Prácticas_Revisiones'!$S$2:$S$282,"T061",'Prácticas_Revisiones'!$T$2:$T$282,"PROFESSIONAL PRACTICE &gt; Communication Skills")+COUNTIFS('Prácticas_Snowballing'!$AB$2:$AB$281,"T061",'Prácticas_Snowballing'!$AC$2:$AC$281,"PROFESSIONAL PRACTICE &gt; Communication Skills")</f>
        <v>0</v>
      </c>
      <c r="CR73" s="17">
        <f>COUNTIFS('Prácticas_Revisiones'!$S$2:$S$282,"T061",'Prácticas_Revisiones'!$T$2:$T$282,"PROFESSIONAL PRACTICE &gt; Subárea no determinable")+COUNTIFS('Prácticas_Snowballing'!$AB$2:$AB$281,"T061",'Prácticas_Snowballing'!$AC$2:$AC$281,"PROFESSIONAL PRACTICE &gt; Subárea no determinable")</f>
        <v>0</v>
      </c>
      <c r="CS73" s="29">
        <f t="shared" si="64"/>
        <v>0</v>
      </c>
      <c r="CT73" s="17">
        <f>COUNTIFS('Prácticas_Revisiones'!$S$2:$S$282,"T061",'Prácticas_Revisiones'!$T$2:$T$282,"SOFTWARE ENG. ECONOMICS &gt; Software Engineering Economics Fundamentals")+COUNTIFS('Prácticas_Snowballing'!$AB$2:$AB$281,"T061",'Prácticas_Snowballing'!$AC$2:$AC$281,"SOFTWARE ENG. ECONOMICS &gt; Software Engineering Economics Fundamentals")</f>
        <v>0</v>
      </c>
      <c r="CU73" s="17">
        <f>COUNTIFS('Prácticas_Revisiones'!$S$2:$S$282,"T061",'Prácticas_Revisiones'!$T$2:$T$282,"SOFTWARE ENG. ECONOMICS &gt; The Engineering Decision-Making Process")+COUNTIFS('Prácticas_Snowballing'!$AB$2:$AB$281,"T061",'Prácticas_Snowballing'!$AC$2:$AC$281,"SOFTWARE ENG. ECONOMICS &gt; The Engineering Decision-Making Process")</f>
        <v>0</v>
      </c>
      <c r="CV73" s="17">
        <f>COUNTIFS('Prácticas_Revisiones'!$S$2:$S$282,"T061",'Prácticas_Revisiones'!$T$2:$T$282,"SOFTWARE ENG. ECONOMICS &gt; For-Profit Decision-Making")+COUNTIFS('Prácticas_Snowballing'!$AB$2:$AB$281,"T061",'Prácticas_Snowballing'!$AC$2:$AC$281,"SOFTWARE ENG. ECONOMICS &gt; For-Profit Decision-Making")</f>
        <v>0</v>
      </c>
      <c r="CW73" s="17">
        <f>COUNTIFS('Prácticas_Revisiones'!$S$2:$S$282,"T061",'Prácticas_Revisiones'!$T$2:$T$282,"SOFTWARE ENG. ECONOMICS &gt; Nonprofit Decision-Making")+COUNTIFS('Prácticas_Snowballing'!$AB$2:$AB$281,"T061",'Prácticas_Snowballing'!$AC$2:$AC$281,"SOFTWARE ENG. ECONOMICS &gt; Nonprofit Decision-Making")</f>
        <v>0</v>
      </c>
      <c r="CX73" s="17">
        <f>COUNTIFS('Prácticas_Revisiones'!$S$2:$S$282,"T061",'Prácticas_Revisiones'!$T$2:$T$282,"SOFTWARE ENG. ECONOMICS &gt; Present Economy Decision-Making")+COUNTIFS('Prácticas_Snowballing'!$AB$2:$AB$281,"T061",'Prácticas_Snowballing'!$AC$2:$AC$281,"SOFTWARE ENG. ECONOMICS &gt; Present Economy Decision-Making")</f>
        <v>0</v>
      </c>
      <c r="CY73" s="17">
        <f>COUNTIFS('Prácticas_Revisiones'!$S$2:$S$282,"T061",'Prácticas_Revisiones'!$T$2:$T$282,"SOFTWARE ENG. ECONOMICS &gt; Multiple-Attribute Decision-Making")+COUNTIFS('Prácticas_Snowballing'!$AB$2:$AB$281,"T061",'Prácticas_Snowballing'!$AC$2:$AC$281,"SOFTWARE ENG. ECONOMICS &gt; Multiple-Attribute Decision-Making")</f>
        <v>0</v>
      </c>
      <c r="CZ73" s="17">
        <f>COUNTIFS('Prácticas_Revisiones'!$S$2:$S$282,"T061",'Prácticas_Revisiones'!$T$2:$T$282,"SOFTWARE ENG. ECONOMICS &gt; Identifying and Characterizing Intangible Assets")+COUNTIFS('Prácticas_Snowballing'!$AB$2:$AB$281,"T061",'Prácticas_Snowballing'!$AC$2:$AC$281,"SOFTWARE ENG. ECONOMICS &gt; Identifying and Characterizing Intangible Assets")</f>
        <v>0</v>
      </c>
      <c r="DA73" s="17">
        <f>COUNTIFS('Prácticas_Revisiones'!$S$2:$S$282,"T061",'Prácticas_Revisiones'!$T$2:$T$282,"SOFTWARE ENG. ECONOMICS &gt; Estimation")+COUNTIFS('Prácticas_Snowballing'!$AB$2:$AB$281,"T061",'Prácticas_Snowballing'!$AC$2:$AC$281,"SOFTWARE ENG. ECONOMICS &gt; Estimation")</f>
        <v>0</v>
      </c>
      <c r="DB73" s="17">
        <f>COUNTIFS('Prácticas_Revisiones'!$S$2:$S$282,"T061",'Prácticas_Revisiones'!$T$2:$T$282,"SOFTWARE ENG. ECONOMICS &gt; Practical Considerations")+COUNTIFS('Prácticas_Snowballing'!$AB$2:$AB$281,"T061",'Prácticas_Snowballing'!$AC$2:$AC$281,"SOFTWARE ENG. ECONOMICS &gt; Practical Considerations")</f>
        <v>0</v>
      </c>
      <c r="DC73" s="17">
        <f>COUNTIFS('Prácticas_Revisiones'!$S$2:$S$282,"T061",'Prácticas_Revisiones'!$T$2:$T$282,"SOFTWARE ENG. ECONOMICS &gt; Related Concepts")+COUNTIFS('Prácticas_Snowballing'!$AB$2:$AB$281,"T061",'Prácticas_Snowballing'!$AC$2:$AC$281,"SOFTWARE ENG. ECONOMICS &gt; Related Concepts")</f>
        <v>0</v>
      </c>
      <c r="DD73" s="17">
        <f>COUNTIFS('Prácticas_Revisiones'!$S$2:$S$282,"T061",'Prácticas_Revisiones'!$T$2:$T$282,"SOFTWARE ENG. ECONOMICS &gt; Subárea no determinable")+COUNTIFS('Prácticas_Snowballing'!$AB$2:$AB$281,"T061",'Prácticas_Snowballing'!$AC$2:$AC$281,"SOFTWARE ENG. ECONOMICS &gt; Subárea no determinable")</f>
        <v>0</v>
      </c>
      <c r="DE73" s="29">
        <f t="shared" si="65"/>
        <v>0</v>
      </c>
      <c r="DF73" s="17">
        <f>COUNTIFS('Prácticas_Revisiones'!$S$2:$S$282,"T061",'Prácticas_Revisiones'!$T$2:$T$282,"SOFTWARE ENG. MANAGEMENT &gt; Software Engineering Management Fundamentals")+COUNTIFS('Prácticas_Snowballing'!$AB$2:$AB$281,"T061",'Prácticas_Snowballing'!$AC$2:$AC$281,"SOFTWARE ENG. MANAGEMENT &gt; Software Engineering Management Fundamentals")</f>
        <v>0</v>
      </c>
      <c r="DG73" s="17">
        <f>COUNTIFS('Prácticas_Revisiones'!$S$2:$S$282,"T061",'Prácticas_Revisiones'!$T$2:$T$282,"SOFTWARE ENG. MANAGEMENT &gt; Initiation and Scope Definition")+COUNTIFS('Prácticas_Snowballing'!$AB$2:$AB$281,"T061",'Prácticas_Snowballing'!$AC$2:$AC$281,"SOFTWARE ENG. MANAGEMENT &gt; Initiation and Scope Definition")</f>
        <v>0</v>
      </c>
      <c r="DH73" s="17">
        <f>COUNTIFS('Prácticas_Revisiones'!$S$2:$S$282,"T061",'Prácticas_Revisiones'!$T$2:$T$282,"SOFTWARE ENG. MANAGEMENT &gt; Software Project Planning")+COUNTIFS('Prácticas_Snowballing'!$AB$2:$AB$281,"T061",'Prácticas_Snowballing'!$AC$2:$AC$281,"SOFTWARE ENG. MANAGEMENT &gt; Software Project Planning")</f>
        <v>0</v>
      </c>
      <c r="DI73" s="17">
        <f>COUNTIFS('Prácticas_Revisiones'!$S$2:$S$282,"T061",'Prácticas_Revisiones'!$T$2:$T$282,"SOFTWARE ENG. MANAGEMENT &gt; Software Project Enactment")+COUNTIFS('Prácticas_Snowballing'!$AB$2:$AB$281,"T061",'Prácticas_Snowballing'!$AC$2:$AC$281,"SOFTWARE ENG. MANAGEMENT &gt; Software Project Enactment")</f>
        <v>0</v>
      </c>
      <c r="DJ73" s="17">
        <f>COUNTIFS('Prácticas_Revisiones'!$S$2:$S$282,"T061",'Prácticas_Revisiones'!$T$2:$T$282,"SOFTWARE ENG. MANAGEMENT &gt; Review and Evaluation")+COUNTIFS('Prácticas_Snowballing'!$AB$2:$AB$281,"T061",'Prácticas_Snowballing'!$AC$2:$AC$281,"SOFTWARE ENG. MANAGEMENT &gt; Review and Evaluation")</f>
        <v>0</v>
      </c>
      <c r="DK73" s="17">
        <f>COUNTIFS('Prácticas_Revisiones'!$S$2:$S$282,"T061",'Prácticas_Revisiones'!$T$2:$T$282,"SOFTWARE ENG. MANAGEMENT &gt; Closure")+COUNTIFS('Prácticas_Snowballing'!$AB$2:$AB$281,"T061",'Prácticas_Snowballing'!$AC$2:$AC$281,"SOFTWARE ENG. MANAGEMENT &gt; Closure")</f>
        <v>0</v>
      </c>
      <c r="DL73" s="17">
        <f>COUNTIFS('Prácticas_Revisiones'!$S$2:$S$282,"T061",'Prácticas_Revisiones'!$T$2:$T$282,"SOFTWARE ENG. MANAGEMENT &gt; Software Engineering Management Tools")+COUNTIFS('Prácticas_Snowballing'!$AB$2:$AB$281,"T061",'Prácticas_Snowballing'!$AC$2:$AC$281,"SOFTWARE ENG. MANAGEMENT &gt; Software Engineering Management Tools")</f>
        <v>0</v>
      </c>
      <c r="DM73" s="17">
        <f>COUNTIFS('Prácticas_Revisiones'!$S$2:$S$282,"T061",'Prácticas_Revisiones'!$T$2:$T$282,"SOFTWARE ENG. MANAGEMENT &gt; Subárea no determinable")+COUNTIFS('Prácticas_Snowballing'!$AB$2:$AB$281,"T061",'Prácticas_Snowballing'!$AC$2:$AC$281,"SOFTWARE ENG. MANAGEMENT &gt; Subárea no determinable")</f>
        <v>0</v>
      </c>
      <c r="DN73" s="29">
        <f t="shared" si="66"/>
        <v>0</v>
      </c>
      <c r="DO73" s="17">
        <f>COUNTIFS('Prácticas_Revisiones'!$S$2:$S$282,"T061",'Prácticas_Revisiones'!$T$2:$T$282,"Sin área SWEBOK")+COUNTIFS('Prácticas_Snowballing'!$AB$2:$AB$281,"T061",'Prácticas_Snowballing'!$AC$2:$AC$281,"Sin área SWEBOK")</f>
        <v>0</v>
      </c>
      <c r="DP73" s="27">
        <f t="shared" si="67"/>
        <v>0</v>
      </c>
    </row>
    <row r="74" ht="15.75" customHeight="1">
      <c r="A74" s="28"/>
      <c r="B74" s="16" t="s">
        <v>2832</v>
      </c>
      <c r="C74" s="17">
        <f>COUNTIFS('Prácticas_Revisiones'!$S$2:$S$282,"T062",'Prácticas_Revisiones'!$T$2:$T$282,"REQUIREMENTS &gt; Software Requirements Fundamentals")+COUNTIFS('Prácticas_Snowballing'!$AB$2:$AB$281,"T062",'Prácticas_Snowballing'!$AC$2:$AC$281,"REQUIREMENTS &gt; Software Requirements Fundamentals")</f>
        <v>0</v>
      </c>
      <c r="D74" s="17">
        <f>COUNTIFS('Prácticas_Revisiones'!$S$2:$S$282,"T062",'Prácticas_Revisiones'!$T$2:$T$282,"REQUIREMENTS &gt; Requirements Elicitation")+COUNTIFS('Prácticas_Snowballing'!$AB$2:$AB$281,"T062",'Prácticas_Snowballing'!$AC$2:$AC$281,"REQUIREMENTS &gt; Requirements Elicitation")</f>
        <v>0</v>
      </c>
      <c r="E74" s="17">
        <f>COUNTIFS('Prácticas_Revisiones'!$S$2:$S$282,"T062",'Prácticas_Revisiones'!$T$2:$T$282,"REQUIREMENTS &gt; Requirements Analysis")+COUNTIFS('Prácticas_Snowballing'!$AB$2:$AB$281,"T062",'Prácticas_Snowballing'!$AC$2:$AC$281,"REQUIREMENTS &gt; Requirements Analysis")</f>
        <v>0</v>
      </c>
      <c r="F74" s="17">
        <f>COUNTIFS('Prácticas_Revisiones'!$S$2:$S$282,"T062",'Prácticas_Revisiones'!$T$2:$T$282,"REQUIREMENTS &gt; Requirements Specification")+COUNTIFS('Prácticas_Snowballing'!$AB$2:$AB$281,"T062",'Prácticas_Snowballing'!$AC$2:$AC$281,"REQUIREMENTS &gt; Requirements Specification")</f>
        <v>0</v>
      </c>
      <c r="G74" s="17">
        <f>COUNTIFS('Prácticas_Revisiones'!$S$2:$S$282,"T062",'Prácticas_Revisiones'!$T$2:$T$282,"REQUIREMENTS &gt; Requirements Validation")+COUNTIFS('Prácticas_Snowballing'!$AB$2:$AB$281,"T062",'Prácticas_Snowballing'!$AC$2:$AC$281,"REQUIREMENTS &gt; Requirements Validation")</f>
        <v>0</v>
      </c>
      <c r="H74" s="17">
        <f>COUNTIFS('Prácticas_Revisiones'!$S$2:$S$282,"T062",'Prácticas_Revisiones'!$T$2:$T$282,"REQUIREMENTS &gt; Requirements Management Activities")+COUNTIFS('Prácticas_Snowballing'!$AB$2:$AB$281,"T062",'Prácticas_Snowballing'!$AC$2:$AC$281,"REQUIREMENTS &gt; Requirements Management Activities")</f>
        <v>0</v>
      </c>
      <c r="I74" s="17">
        <f>COUNTIFS('Prácticas_Revisiones'!$S$2:$S$282,"T062",'Prácticas_Revisiones'!$T$2:$T$282,"REQUIREMENTS &gt; Practical Considerations")+COUNTIFS('Prácticas_Snowballing'!$AB$2:$AB$281,"T062",'Prácticas_Snowballing'!$AC$2:$AC$281,"REQUIREMENTS &gt; Practical Considerations")</f>
        <v>0</v>
      </c>
      <c r="J74" s="17">
        <f>COUNTIFS('Prácticas_Revisiones'!$S$2:$S$282,"T062",'Prácticas_Revisiones'!$T$2:$T$282,"REQUIREMENTS &gt; Software Requirements Tools")+COUNTIFS('Prácticas_Snowballing'!$AB$2:$AB$281,"T062",'Prácticas_Snowballing'!$AC$2:$AC$281,"REQUIREMENTS &gt; Software Requirements Tools")</f>
        <v>0</v>
      </c>
      <c r="K74" s="17">
        <f>COUNTIFS('Prácticas_Revisiones'!$S$2:$S$282,"T062",'Prácticas_Revisiones'!$T$2:$T$282,"REQUIREMENTS &gt; Subárea no determinable")+COUNTIFS('Prácticas_Snowballing'!$AB$2:$AB$281,"T062",'Prácticas_Snowballing'!$AC$2:$AC$281,"REQUIREMENTS &gt; Subárea no determinable")</f>
        <v>0</v>
      </c>
      <c r="L74" s="29">
        <f t="shared" si="52"/>
        <v>0</v>
      </c>
      <c r="M74" s="17">
        <f>COUNTIFS('Prácticas_Revisiones'!$S$2:$S$282,"T062",'Prácticas_Revisiones'!$T$2:$T$282,"ARCHITECTURE &gt; Software Architecture Fundamentals")+COUNTIFS('Prácticas_Snowballing'!$AB$2:$AB$281,"T062",'Prácticas_Snowballing'!$AC$2:$AC$281,"ARCHITECTURE &gt; Software Architecture Fundamentals")</f>
        <v>0</v>
      </c>
      <c r="N74" s="17">
        <f>COUNTIFS('Prácticas_Revisiones'!$S$2:$S$282,"T062",'Prácticas_Revisiones'!$T$2:$T$282,"ARCHITECTURE &gt; Software Architecture Description")+COUNTIFS('Prácticas_Snowballing'!$AB$2:$AB$281,"T062",'Prácticas_Snowballing'!$AC$2:$AC$281,"ARCHITECTURE &gt; Software Architecture Description")</f>
        <v>0</v>
      </c>
      <c r="O74" s="17">
        <f>COUNTIFS('Prácticas_Revisiones'!$S$2:$S$282,"T062",'Prácticas_Revisiones'!$T$2:$T$282,"ARCHITECTURE &gt; Software Architecture Process")+COUNTIFS('Prácticas_Snowballing'!$AB$2:$AB$281,"T062",'Prácticas_Snowballing'!$AC$2:$AC$281,"ARCHITECTURE &gt; Software Architecture Process")</f>
        <v>0</v>
      </c>
      <c r="P74" s="17">
        <f>COUNTIFS('Prácticas_Revisiones'!$S$2:$S$282,"T062",'Prácticas_Revisiones'!$T$2:$T$282,"ARCHITECTURE &gt; Software Architecture Evaluation")+COUNTIFS('Prácticas_Snowballing'!$AB$2:$AB$281,"T062",'Prácticas_Snowballing'!$AC$2:$AC$281,"ARCHITECTURE &gt; Software Architecture Evaluation")</f>
        <v>0</v>
      </c>
      <c r="Q74" s="17">
        <f>COUNTIFS('Prácticas_Revisiones'!$S$2:$S$282,"T062",'Prácticas_Revisiones'!$T$2:$T$282,"ARCHITECTURE &gt; Subárea no determinable")+COUNTIFS('Prácticas_Snowballing'!$AB$2:$AB$281,"T062",'Prácticas_Snowballing'!$AC$2:$AC$281,"ARCHITECTURE &gt; Subárea no determinable")</f>
        <v>0</v>
      </c>
      <c r="R74" s="29">
        <f t="shared" si="53"/>
        <v>0</v>
      </c>
      <c r="S74" s="17">
        <f>COUNTIFS('Prácticas_Revisiones'!$S$2:$S$282,"T062",'Prácticas_Revisiones'!$T$2:$T$282,"DESIGN &gt; Software Design Fundamentals")+COUNTIFS('Prácticas_Snowballing'!$AB$2:$AB$281,"T062",'Prácticas_Snowballing'!$AC$2:$AC$281,"DESIGN &gt; Software Design Fundamentals")</f>
        <v>0</v>
      </c>
      <c r="T74" s="17">
        <f>COUNTIFS('Prácticas_Revisiones'!$S$2:$S$282,"T062",'Prácticas_Revisiones'!$T$2:$T$282,"DESIGN &gt; Software Design Processes")+COUNTIFS('Prácticas_Snowballing'!$AB$2:$AB$281,"T062",'Prácticas_Snowballing'!$AC$2:$AC$281,"DESIGN &gt; Software Design Processes")</f>
        <v>0</v>
      </c>
      <c r="U74" s="17">
        <f>COUNTIFS('Prácticas_Revisiones'!$S$2:$S$282,"T062",'Prácticas_Revisiones'!$T$2:$T$282,"DESIGN &gt; Software Design Qualities")+COUNTIFS('Prácticas_Snowballing'!$AB$2:$AB$281,"T062",'Prácticas_Snowballing'!$AC$2:$AC$281,"DESIGN &gt; Software Design Qualities")</f>
        <v>0</v>
      </c>
      <c r="V74" s="17">
        <f>COUNTIFS('Prácticas_Revisiones'!$S$2:$S$282,"T062",'Prácticas_Revisiones'!$T$2:$T$282,"DESIGN &gt; Recording Software Design")+COUNTIFS('Prácticas_Snowballing'!$AB$2:$AB$281,"T062",'Prácticas_Snowballing'!$AC$2:$AC$281,"DESIGN &gt; Recording Software Design")</f>
        <v>0</v>
      </c>
      <c r="W74" s="17">
        <f>COUNTIFS('Prácticas_Revisiones'!$S$2:$S$282,"T062",'Prácticas_Revisiones'!$T$2:$T$282,"DESIGN &gt; Software Design Strategies and Methods")+COUNTIFS('Prácticas_Snowballing'!$AB$2:$AB$281,"T062",'Prácticas_Snowballing'!$AC$2:$AC$281,"DESIGN &gt; Software Design Strategies and Methods")</f>
        <v>0</v>
      </c>
      <c r="X74" s="17">
        <f>COUNTIFS('Prácticas_Revisiones'!$S$2:$S$282,"T062",'Prácticas_Revisiones'!$T$2:$T$282,"DESIGN &gt; Software Design Analysis and Evaluations")+COUNTIFS('Prácticas_Snowballing'!$AB$2:$AB$281,"T062",'Prácticas_Snowballing'!$AC$2:$AC$281,"DESIGN &gt; Software Design Analysis and Evaluations")</f>
        <v>0</v>
      </c>
      <c r="Y74" s="17">
        <f>COUNTIFS('Prácticas_Revisiones'!$S$2:$S$282,"T062",'Prácticas_Revisiones'!$T$2:$T$282,"DESIGN &gt; Subárea no determinable")+COUNTIFS('Prácticas_Snowballing'!$AB$2:$AB$281,"T062",'Prácticas_Snowballing'!$AC$2:$AC$281,"DESIGN &gt; Subárea no determinable")</f>
        <v>0</v>
      </c>
      <c r="Z74" s="29">
        <f t="shared" si="54"/>
        <v>0</v>
      </c>
      <c r="AA74" s="17">
        <f>COUNTIFS('Prácticas_Revisiones'!$S$2:$S$282,"T062",'Prácticas_Revisiones'!$T$2:$T$282,"CONSTRUCTION &gt; Software Construction Fundamentals")+COUNTIFS('Prácticas_Snowballing'!$AB$2:$AB$281,"T062",'Prácticas_Snowballing'!$AC$2:$AC$281,"CONSTRUCTION &gt; Software Construction Fundamentals")</f>
        <v>0</v>
      </c>
      <c r="AB74" s="17">
        <f>COUNTIFS('Prácticas_Revisiones'!$S$2:$S$282,"T062",'Prácticas_Revisiones'!$T$2:$T$282,"CONSTRUCTION &gt; Managing Construction")+COUNTIFS('Prácticas_Snowballing'!$AB$2:$AB$281,"T062",'Prácticas_Snowballing'!$AC$2:$AC$281,"CONSTRUCTION &gt; Managing Construction")</f>
        <v>0</v>
      </c>
      <c r="AC74" s="17">
        <f>COUNTIFS('Prácticas_Revisiones'!$S$2:$S$282,"T062",'Prácticas_Revisiones'!$T$2:$T$282,"CONSTRUCTION &gt; Practical Considerations")+COUNTIFS('Prácticas_Snowballing'!$AB$2:$AB$281,"T062",'Prácticas_Snowballing'!$AC$2:$AC$281,"CONSTRUCTION &gt; Practical Considerations")</f>
        <v>0</v>
      </c>
      <c r="AD74" s="17">
        <f>COUNTIFS('Prácticas_Revisiones'!$S$2:$S$282,"T062",'Prácticas_Revisiones'!$T$2:$T$282,"CONSTRUCTION &gt; Construction Technologies")+COUNTIFS('Prácticas_Snowballing'!$AB$2:$AB$281,"T062",'Prácticas_Snowballing'!$AC$2:$AC$281,"CONSTRUCTION &gt; Construction Technologies")</f>
        <v>0</v>
      </c>
      <c r="AE74" s="17">
        <f>COUNTIFS('Prácticas_Revisiones'!$S$2:$S$282,"T062",'Prácticas_Revisiones'!$T$2:$T$282,"CONSTRUCTION &gt; Software Construction Tools")+COUNTIFS('Prácticas_Snowballing'!$AB$2:$AB$281,"T062",'Prácticas_Snowballing'!$AC$2:$AC$281,"CONSTRUCTION &gt; Software Construction Tools")</f>
        <v>0</v>
      </c>
      <c r="AF74" s="17">
        <f>COUNTIFS('Prácticas_Revisiones'!$S$2:$S$282,"T062",'Prácticas_Revisiones'!$T$2:$T$282,"CONSTRUCTION &gt; Subárea no determinable")+COUNTIFS('Prácticas_Snowballing'!$AB$2:$AB$281,"T062",'Prácticas_Snowballing'!$AC$2:$AC$281,"CONSTRUCTION &gt; Subárea no determinable")</f>
        <v>0</v>
      </c>
      <c r="AG74" s="29">
        <f t="shared" si="55"/>
        <v>0</v>
      </c>
      <c r="AH74" s="17">
        <f>COUNTIFS('Prácticas_Revisiones'!$S$2:$S$282,"T062",'Prácticas_Revisiones'!$T$2:$T$282,"SOFTWARE TESTING &gt; Software Testing Fundamentals")+COUNTIFS('Prácticas_Snowballing'!$AB$2:$AB$281,"T062",'Prácticas_Snowballing'!$AC$2:$AC$281,"SOFTWARE TESTING &gt; Software Testing Fundamentals")</f>
        <v>0</v>
      </c>
      <c r="AI74" s="17">
        <f>COUNTIFS('Prácticas_Revisiones'!$S$2:$S$282,"T062",'Prácticas_Revisiones'!$T$2:$T$282,"SOFTWARE TESTING &gt; Test Levels")+COUNTIFS('Prácticas_Snowballing'!$AB$2:$AB$281,"T062",'Prácticas_Snowballing'!$AC$2:$AC$281,"SOFTWARE TESTING &gt; Test Levels")</f>
        <v>0</v>
      </c>
      <c r="AJ74" s="17">
        <f>COUNTIFS('Prácticas_Revisiones'!$S$2:$S$282,"T062",'Prácticas_Revisiones'!$T$2:$T$282,"SOFTWARE TESTING &gt; Test Techniques")+COUNTIFS('Prácticas_Snowballing'!$AB$2:$AB$281,"T062",'Prácticas_Snowballing'!$AC$2:$AC$281,"SOFTWARE TESTING &gt; Test Techniques")</f>
        <v>0</v>
      </c>
      <c r="AK74" s="17">
        <f>COUNTIFS('Prácticas_Revisiones'!$S$2:$S$282,"T062",'Prácticas_Revisiones'!$T$2:$T$282,"SOFTWARE TESTING &gt; Test-Related Measures")+COUNTIFS('Prácticas_Snowballing'!$AB$2:$AB$281,"T062",'Prácticas_Snowballing'!$AC$2:$AC$281,"SOFTWARE TESTING &gt; Test-Related Measures")</f>
        <v>0</v>
      </c>
      <c r="AL74" s="17">
        <f>COUNTIFS('Prácticas_Revisiones'!$S$2:$S$282,"T062",'Prácticas_Revisiones'!$T$2:$T$282,"SOFTWARE TESTING &gt; Test Process")+COUNTIFS('Prácticas_Snowballing'!$AB$2:$AB$281,"T062",'Prácticas_Snowballing'!$AC$2:$AC$281,"SOFTWARE TESTING &gt; Test Process")</f>
        <v>0</v>
      </c>
      <c r="AM74" s="17">
        <f>COUNTIFS('Prácticas_Revisiones'!$S$2:$S$282,"T062",'Prácticas_Revisiones'!$T$2:$T$282,"SOFTWARE TESTING &gt; Software Testing in the Development Processes...")+COUNTIFS('Prácticas_Snowballing'!$AB$2:$AB$281,"T062",'Prácticas_Snowballing'!$AC$2:$AC$281,"SOFTWARE TESTING &gt; Software Testing in the Development Processes...")</f>
        <v>0</v>
      </c>
      <c r="AN74" s="17">
        <f>COUNTIFS('Prácticas_Revisiones'!$S$2:$S$282,"T062",'Prácticas_Revisiones'!$T$2:$T$282,"SOFTWARE TESTING &gt; Testing of and Testing Through Emerging Tech...")+COUNTIFS('Prácticas_Snowballing'!$AB$2:$AB$281,"T062",'Prácticas_Snowballing'!$AC$2:$AC$281,"SOFTWARE TESTING &gt; Testing of and Testing Through Emerging Tech...")</f>
        <v>0</v>
      </c>
      <c r="AO74" s="17">
        <f>COUNTIFS('Prácticas_Revisiones'!$S$2:$S$282,"T062",'Prácticas_Revisiones'!$T$2:$T$282,"SOFTWARE TESTING &gt; Software Testing Tools")+COUNTIFS('Prácticas_Snowballing'!$AB$2:$AB$281,"T062",'Prácticas_Snowballing'!$AC$2:$AC$281,"SOFTWARE TESTING &gt; Software Testing Tools")</f>
        <v>0</v>
      </c>
      <c r="AP74" s="17">
        <f>COUNTIFS('Prácticas_Revisiones'!$S$2:$S$282,"T062",'Prácticas_Revisiones'!$T$2:$T$282,"SOFTWARE TESTING &gt; Subárea no determinable")+COUNTIFS('Prácticas_Snowballing'!$AB$2:$AB$281,"T062",'Prácticas_Snowballing'!$AC$2:$AC$281,"SOFTWARE TESTING &gt; Subárea no determinable")</f>
        <v>0</v>
      </c>
      <c r="AQ74" s="29">
        <f t="shared" si="56"/>
        <v>0</v>
      </c>
      <c r="AR74" s="17">
        <f>COUNTIFS('Prácticas_Revisiones'!$S$2:$S$282,"T062",'Prácticas_Revisiones'!$T$2:$T$282,"SOFTWARE ENG. OPERATIONS &gt; Software Engineering Operations Fundamentals")+COUNTIFS('Prácticas_Snowballing'!$AB$2:$AB$281,"T062",'Prácticas_Snowballing'!$AC$2:$AC$281,"SOFTWARE ENG. OPERATIONS &gt; Software Engineering Operations Fundamentals")</f>
        <v>0</v>
      </c>
      <c r="AS74" s="17">
        <f>COUNTIFS('Prácticas_Revisiones'!$S$2:$S$282,"T062",'Prácticas_Revisiones'!$T$2:$T$282,"SOFTWARE ENG. OPERATIONS &gt; Software Engineering Operations Planning")+COUNTIFS('Prácticas_Snowballing'!$AB$2:$AB$281,"T062",'Prácticas_Snowballing'!$AC$2:$AC$281,"SOFTWARE ENG. OPERATIONS &gt; Software Engineering Operations Planning")</f>
        <v>0</v>
      </c>
      <c r="AT74" s="17">
        <f>COUNTIFS('Prácticas_Revisiones'!$S$2:$S$282,"T062",'Prácticas_Revisiones'!$T$2:$T$282,"SOFTWARE ENG. OPERATIONS &gt; Software Engineering Operations Delivery")+COUNTIFS('Prácticas_Snowballing'!$AB$2:$AB$281,"T062",'Prácticas_Snowballing'!$AC$2:$AC$281,"SOFTWARE ENG. OPERATIONS &gt; Software Engineering Operations Delivery")</f>
        <v>0</v>
      </c>
      <c r="AU74" s="17">
        <f>COUNTIFS('Prácticas_Revisiones'!$S$2:$S$282,"T062",'Prácticas_Revisiones'!$T$2:$T$282,"SOFTWARE ENG. OPERATIONS &gt; Software Engineering Operations Control")+COUNTIFS('Prácticas_Snowballing'!$AB$2:$AB$281,"T062",'Prácticas_Snowballing'!$AC$2:$AC$281,"SOFTWARE ENG. OPERATIONS &gt; Software Engineering Operations Control")</f>
        <v>0</v>
      </c>
      <c r="AV74" s="17">
        <f>COUNTIFS('Prácticas_Revisiones'!$S$2:$S$282,"T062",'Prácticas_Revisiones'!$T$2:$T$282,"SOFTWARE ENG. OPERATIONS &gt; Practical Considerations")+COUNTIFS('Prácticas_Snowballing'!$AB$2:$AB$281,"T062",'Prácticas_Snowballing'!$AC$2:$AC$281,"SOFTWARE ENG. OPERATIONS &gt; Practical Considerations")</f>
        <v>0</v>
      </c>
      <c r="AW74" s="17">
        <f>COUNTIFS('Prácticas_Revisiones'!$S$2:$S$282,"T062",'Prácticas_Revisiones'!$T$2:$T$282,"SOFTWARE ENG. OPERATIONS &gt; Software Engineering Operations Tools")+COUNTIFS('Prácticas_Snowballing'!$AB$2:$AB$281,"T062",'Prácticas_Snowballing'!$AC$2:$AC$281,"SOFTWARE ENG. OPERATIONS &gt; Software Engineering Operations Tools")</f>
        <v>0</v>
      </c>
      <c r="AX74" s="17">
        <f>COUNTIFS('Prácticas_Revisiones'!$S$2:$S$282,"T062",'Prácticas_Revisiones'!$T$2:$T$282,"SOFTWARE ENG. OPERATIONS &gt; Subárea no determinable")+COUNTIFS('Prácticas_Snowballing'!$AB$2:$AB$281,"T062",'Prácticas_Snowballing'!$AC$2:$AC$281,"SOFTWARE ENG. OPERATIONS &gt; Subárea no determinable")</f>
        <v>0</v>
      </c>
      <c r="AY74" s="29">
        <f t="shared" si="57"/>
        <v>0</v>
      </c>
      <c r="AZ74" s="17">
        <f>COUNTIFS('Prácticas_Revisiones'!$S$2:$S$282,"T062",'Prácticas_Revisiones'!$T$2:$T$282,"MAINTENANCE &gt; Software Maintenance Fundamentals")+COUNTIFS('Prácticas_Snowballing'!$AB$2:$AB$281,"T062",'Prácticas_Snowballing'!$AC$2:$AC$281,"MAINTENANCE &gt; Software Maintenance Fundamentals")</f>
        <v>0</v>
      </c>
      <c r="BA74" s="17">
        <f>COUNTIFS('Prácticas_Revisiones'!$S$2:$S$282,"T062",'Prácticas_Revisiones'!$T$2:$T$282,"MAINTENANCE &gt; Key Issues in Software Maintenance")+COUNTIFS('Prácticas_Snowballing'!$AB$2:$AB$281,"T062",'Prácticas_Snowballing'!$AC$2:$AC$281,"MAINTENANCE &gt; Key Issues in Software Maintenance")</f>
        <v>0</v>
      </c>
      <c r="BB74" s="17">
        <f>COUNTIFS('Prácticas_Revisiones'!$S$2:$S$282,"T062",'Prácticas_Revisiones'!$T$2:$T$282,"MAINTENANCE &gt; Software Maintenance Processes")+COUNTIFS('Prácticas_Snowballing'!$AB$2:$AB$281,"T062",'Prácticas_Snowballing'!$AC$2:$AC$281,"MAINTENANCE &gt; Software Maintenance Processes")</f>
        <v>0</v>
      </c>
      <c r="BC74" s="17">
        <f>COUNTIFS('Prácticas_Revisiones'!$S$2:$S$282,"T062",'Prácticas_Revisiones'!$T$2:$T$282,"MAINTENANCE &gt; Software Maintenance Techniques")+COUNTIFS('Prácticas_Snowballing'!$AB$2:$AB$281,"T062",'Prácticas_Snowballing'!$AC$2:$AC$281,"MAINTENANCE &gt; Software Maintenance Techniques")</f>
        <v>0</v>
      </c>
      <c r="BD74" s="17">
        <f>COUNTIFS('Prácticas_Revisiones'!$S$2:$S$282,"T062",'Prácticas_Revisiones'!$T$2:$T$282,"MAINTENANCE &gt; Software Maintenance Tools")+COUNTIFS('Prácticas_Snowballing'!$AB$2:$AB$281,"T062",'Prácticas_Snowballing'!$AC$2:$AC$281,"MAINTENANCE &gt; Software Maintenance Tools")</f>
        <v>0</v>
      </c>
      <c r="BE74" s="17">
        <f>COUNTIFS('Prácticas_Revisiones'!$S$2:$S$282,"T062",'Prácticas_Revisiones'!$T$2:$T$282,"MAINTENANCE &gt; Subárea no determinable")+COUNTIFS('Prácticas_Snowballing'!$AB$2:$AB$281,"T062",'Prácticas_Snowballing'!$AC$2:$AC$281,"MAINTENANCE &gt; Subárea no determinable")</f>
        <v>0</v>
      </c>
      <c r="BF74" s="29">
        <f t="shared" si="58"/>
        <v>0</v>
      </c>
      <c r="BG74" s="17">
        <f>COUNTIFS('Prácticas_Revisiones'!$S$2:$S$282,"T062",'Prácticas_Revisiones'!$T$2:$T$282,"SOFTWARE CONFIG. MGMT. &gt; Management of the SCM Process")+COUNTIFS('Prácticas_Snowballing'!$AB$2:$AB$281,"T062",'Prácticas_Snowballing'!$AC$2:$AC$281,"SOFTWARE CONFIG. MGMT. &gt; Management of the SCM Process")</f>
        <v>0</v>
      </c>
      <c r="BH74" s="17">
        <f>COUNTIFS('Prácticas_Revisiones'!$S$2:$S$282,"T062",'Prácticas_Revisiones'!$T$2:$T$282,"SOFTWARE CONFIG. MGMT. &gt; Software Configuration Identification")+COUNTIFS('Prácticas_Snowballing'!$AB$2:$AB$281,"T062",'Prácticas_Snowballing'!$AC$2:$AC$281,"SOFTWARE CONFIG. MGMT. &gt; Software Configuration Identification")</f>
        <v>0</v>
      </c>
      <c r="BI74" s="17">
        <f>COUNTIFS('Prácticas_Revisiones'!$S$2:$S$282,"T062",'Prácticas_Revisiones'!$T$2:$T$282,"SOFTWARE CONFIG. MGMT. &gt; Software Configuration Change Control")+COUNTIFS('Prácticas_Snowballing'!$AB$2:$AB$281,"T062",'Prácticas_Snowballing'!$AC$2:$AC$281,"SOFTWARE CONFIG. MGMT. &gt; Software Configuration Change Control")</f>
        <v>0</v>
      </c>
      <c r="BJ74" s="17">
        <f>COUNTIFS('Prácticas_Revisiones'!$S$2:$S$282,"T062",'Prácticas_Revisiones'!$T$2:$T$282,"SOFTWARE CONFIG. MGMT. &gt; Software Configuration Status Accounting")+COUNTIFS('Prácticas_Snowballing'!$AB$2:$AB$281,"T062",'Prácticas_Snowballing'!$AC$2:$AC$281,"SOFTWARE CONFIG. MGMT. &gt; Software Configuration Status Accounting")</f>
        <v>0</v>
      </c>
      <c r="BK74" s="17">
        <f>COUNTIFS('Prácticas_Revisiones'!$S$2:$S$282,"T062",'Prácticas_Revisiones'!$T$2:$T$282,"SOFTWARE CONFIG. MGMT. &gt; Software Configuration Auditing")+COUNTIFS('Prácticas_Snowballing'!$AB$2:$AB$281,"T062",'Prácticas_Snowballing'!$AC$2:$AC$281,"SOFTWARE CONFIG. MGMT. &gt; Software Configuration Auditing")</f>
        <v>0</v>
      </c>
      <c r="BL74" s="17">
        <f>COUNTIFS('Prácticas_Revisiones'!$S$2:$S$282,"T062",'Prácticas_Revisiones'!$T$2:$T$282,"SOFTWARE CONFIG. MGMT. &gt; Software Release Management and Delivery")+COUNTIFS('Prácticas_Snowballing'!$AB$2:$AB$281,"T062",'Prácticas_Snowballing'!$AC$2:$AC$281,"SOFTWARE CONFIG. MGMT. &gt; Software Release Management and Delivery")</f>
        <v>0</v>
      </c>
      <c r="BM74" s="17">
        <f>COUNTIFS('Prácticas_Revisiones'!$S$2:$S$282,"T062",'Prácticas_Revisiones'!$T$2:$T$282,"SOFTWARE CONFIG. MGMT. &gt; Software Configuration Management Tools")+COUNTIFS('Prácticas_Snowballing'!$AB$2:$AB$281,"T062",'Prácticas_Snowballing'!$AC$2:$AC$281,"SOFTWARE CONFIG. MGMT. &gt; Software Configuration Management Tools")</f>
        <v>0</v>
      </c>
      <c r="BN74" s="17">
        <f>COUNTIFS('Prácticas_Revisiones'!$S$2:$S$282,"T062",'Prácticas_Revisiones'!$T$2:$T$282,"SOFTWARE CONFIG. MGMT. &gt; Subárea no determinable")+COUNTIFS('Prácticas_Snowballing'!$AB$2:$AB$281,"T062",'Prácticas_Snowballing'!$AC$2:$AC$281,"SOFTWARE CONFIG. MGMT. &gt; Subárea no determinable")</f>
        <v>0</v>
      </c>
      <c r="BO74" s="29">
        <f t="shared" si="59"/>
        <v>0</v>
      </c>
      <c r="BP74" s="17">
        <f>COUNTIFS('Prácticas_Revisiones'!$S$2:$S$282,"T062",'Prácticas_Revisiones'!$T$2:$T$282,"SOFTWARE ENG. PROCESS &gt; Software Engineering Process Fundamentals")+COUNTIFS('Prácticas_Snowballing'!$AB$2:$AB$281,"T062",'Prácticas_Snowballing'!$AC$2:$AC$281,"SOFTWARE ENG. PROCESS &gt; Software Engineering Process Fundamentals")</f>
        <v>0</v>
      </c>
      <c r="BQ74" s="17">
        <f>COUNTIFS('Prácticas_Revisiones'!$S$2:$S$282,"T062",'Prácticas_Revisiones'!$T$2:$T$282,"SOFTWARE ENG. PROCESS &gt; Life Cycles")+COUNTIFS('Prácticas_Snowballing'!$AB$2:$AB$281,"T062",'Prácticas_Snowballing'!$AC$2:$AC$281,"SOFTWARE ENG. PROCESS &gt; Life Cycles")</f>
        <v>0</v>
      </c>
      <c r="BR74" s="17">
        <f>COUNTIFS('Prácticas_Revisiones'!$S$2:$S$282,"T062",'Prácticas_Revisiones'!$T$2:$T$282,"SOFTWARE ENG. PROCESS &gt; Software Process Assessment and Improvement")+COUNTIFS('Prácticas_Snowballing'!$AB$2:$AB$281,"T062",'Prácticas_Snowballing'!$AC$2:$AC$281,"SOFTWARE ENG. PROCESS &gt; Software Process Assessment and Improvement")</f>
        <v>0</v>
      </c>
      <c r="BS74" s="17">
        <f>COUNTIFS('Prácticas_Revisiones'!$S$2:$S$282,"T062",'Prácticas_Revisiones'!$T$2:$T$282,"SOFTWARE ENG. PROCESS &gt; Subárea no determinable")+COUNTIFS('Prácticas_Snowballing'!$AB$2:$AB$281,"T062",'Prácticas_Snowballing'!$AC$2:$AC$281,"SOFTWARE ENG. PROCESS &gt; Subárea no determinable")</f>
        <v>0</v>
      </c>
      <c r="BT74" s="29">
        <f t="shared" si="60"/>
        <v>0</v>
      </c>
      <c r="BU74" s="17">
        <f>COUNTIFS('Prácticas_Revisiones'!$S$2:$S$282,"T062",'Prácticas_Revisiones'!$T$2:$T$282,"SOFTWARE ENG. MODELS/METH. &gt; Modeling")+COUNTIFS('Prácticas_Snowballing'!$AB$2:$AB$281,"T062",'Prácticas_Snowballing'!$AC$2:$AC$281,"SOFTWARE ENG. MODELS/METH. &gt; Modeling")</f>
        <v>0</v>
      </c>
      <c r="BV74" s="17">
        <f>COUNTIFS('Prácticas_Revisiones'!$S$2:$S$282,"T062",'Prácticas_Revisiones'!$T$2:$T$282,"SOFTWARE ENG. MODELS/METH. &gt; Types of Models")+COUNTIFS('Prácticas_Snowballing'!$AB$2:$AB$281,"T062",'Prácticas_Snowballing'!$AC$2:$AC$281,"SOFTWARE ENG. MODELS/METH. &gt; Types of Models")</f>
        <v>0</v>
      </c>
      <c r="BW74" s="17">
        <f>COUNTIFS('Prácticas_Revisiones'!$S$2:$S$282,"T062",'Prácticas_Revisiones'!$T$2:$T$282,"SOFTWARE ENG. MODELS/METH. &gt; Analysis of Models")+COUNTIFS('Prácticas_Snowballing'!$AB$2:$AB$281,"T062",'Prácticas_Snowballing'!$AC$2:$AC$281,"SOFTWARE ENG. MODELS/METH. &gt; Analysis of Models")</f>
        <v>0</v>
      </c>
      <c r="BX74" s="17">
        <f>COUNTIFS('Prácticas_Revisiones'!$S$2:$S$282,"T062",'Prácticas_Revisiones'!$T$2:$T$282,"SOFTWARE ENG. MODELS/METH. &gt; Software Engineering Methods")+COUNTIFS('Prácticas_Snowballing'!$AB$2:$AB$281,"T062",'Prácticas_Snowballing'!$AC$2:$AC$281,"SOFTWARE ENG. MODELS/METH. &gt; Software Engineering Methods")</f>
        <v>0</v>
      </c>
      <c r="BY74" s="17">
        <f>COUNTIFS('Prácticas_Revisiones'!$S$2:$S$282,"T062",'Prácticas_Revisiones'!$T$2:$T$282,"SOFTWARE ENG. MODELS/METH. &gt; Subárea no determinable")+COUNTIFS('Prácticas_Snowballing'!$AB$2:$AB$281,"T062",'Prácticas_Snowballing'!$AC$2:$AC$281,"SOFTWARE ENG. MODELS/METH. &gt; Subárea no determinable")</f>
        <v>0</v>
      </c>
      <c r="BZ74" s="29">
        <f t="shared" si="61"/>
        <v>0</v>
      </c>
      <c r="CA74" s="17">
        <f>COUNTIFS('Prácticas_Revisiones'!$S$2:$S$282,"T062",'Prácticas_Revisiones'!$T$2:$T$282,"SOFTWARE QUALITY &gt; Software Quality Fundamentals")+COUNTIFS('Prácticas_Snowballing'!$AB$2:$AB$281,"T062",'Prácticas_Snowballing'!$AC$2:$AC$281,"SOFTWARE QUALITY &gt; Software Quality Fundamentals")</f>
        <v>0</v>
      </c>
      <c r="CB74" s="17">
        <f>COUNTIFS('Prácticas_Revisiones'!$S$2:$S$282,"T062",'Prácticas_Revisiones'!$T$2:$T$282,"SOFTWARE QUALITY &gt; Software Quality Management Process")+COUNTIFS('Prácticas_Snowballing'!$AB$2:$AB$281,"T062",'Prácticas_Snowballing'!$AC$2:$AC$281,"SOFTWARE QUALITY &gt; Software Quality Management Process")</f>
        <v>0</v>
      </c>
      <c r="CC74" s="17">
        <f>COUNTIFS('Prácticas_Revisiones'!$S$2:$S$282,"T062",'Prácticas_Revisiones'!$T$2:$T$282,"SOFTWARE QUALITY &gt; Software Quality Assurance Process")+COUNTIFS('Prácticas_Snowballing'!$AB$2:$AB$281,"T062",'Prácticas_Snowballing'!$AC$2:$AC$281,"SOFTWARE QUALITY &gt; Software Quality Assurance Process")</f>
        <v>0</v>
      </c>
      <c r="CD74" s="17">
        <f>COUNTIFS('Prácticas_Revisiones'!$S$2:$S$282,"T062",'Prácticas_Revisiones'!$T$2:$T$282,"SOFTWARE QUALITY &gt; Software Quality Tools")+COUNTIFS('Prácticas_Snowballing'!$AB$2:$AB$281,"T062",'Prácticas_Snowballing'!$AC$2:$AC$281,"SOFTWARE QUALITY &gt; Software Quality Tools")</f>
        <v>0</v>
      </c>
      <c r="CE74" s="17">
        <f>COUNTIFS('Prácticas_Revisiones'!$S$2:$S$282,"T062",'Prácticas_Revisiones'!$T$2:$T$282,"SOFTWARE QUALITY &gt; Subárea no determinable")+COUNTIFS('Prácticas_Snowballing'!$AB$2:$AB$281,"T062",'Prácticas_Snowballing'!$AC$2:$AC$281,"SOFTWARE QUALITY &gt; Subárea no determinable")</f>
        <v>0</v>
      </c>
      <c r="CF74" s="29">
        <f t="shared" si="62"/>
        <v>0</v>
      </c>
      <c r="CG74" s="17">
        <f>COUNTIFS('Prácticas_Revisiones'!$S$2:$S$282,"T062",'Prácticas_Revisiones'!$T$2:$T$282,"SOFTWARE SECURITY &gt; Software Security Fundamentals")+COUNTIFS('Prácticas_Snowballing'!$AB$2:$AB$281,"T062",'Prácticas_Snowballing'!$AC$2:$AC$281,"SOFTWARE SECURITY &gt; Software Security Fundamentals")</f>
        <v>0</v>
      </c>
      <c r="CH74" s="17">
        <f>COUNTIFS('Prácticas_Revisiones'!$S$2:$S$282,"T062",'Prácticas_Revisiones'!$T$2:$T$282,"SOFTWARE SECURITY &gt; Security Management and Organization")+COUNTIFS('Prácticas_Snowballing'!$AB$2:$AB$281,"T062",'Prácticas_Snowballing'!$AC$2:$AC$281,"SOFTWARE SECURITY &gt; Security Management and Organization")</f>
        <v>0</v>
      </c>
      <c r="CI74" s="17">
        <f>COUNTIFS('Prácticas_Revisiones'!$S$2:$S$282,"T062",'Prácticas_Revisiones'!$T$2:$T$282,"SOFTWARE SECURITY &gt; Software Security Engineering and Process")+COUNTIFS('Prácticas_Snowballing'!$AB$2:$AB$281,"T062",'Prácticas_Snowballing'!$AC$2:$AC$281,"SOFTWARE SECURITY &gt; Software Security Engineering and Process")</f>
        <v>0</v>
      </c>
      <c r="CJ74" s="17">
        <f>COUNTIFS('Prácticas_Revisiones'!$S$2:$S$282,"T062",'Prácticas_Revisiones'!$T$2:$T$282,"SOFTWARE SECURITY &gt; Security Engineering for Software Systems")+COUNTIFS('Prácticas_Snowballing'!$AB$2:$AB$281,"T062",'Prácticas_Snowballing'!$AC$2:$AC$281,"SOFTWARE SECURITY &gt; Security Engineering for Software Systems")</f>
        <v>0</v>
      </c>
      <c r="CK74" s="17">
        <f>COUNTIFS('Prácticas_Revisiones'!$S$2:$S$282,"T062",'Prácticas_Revisiones'!$T$2:$T$282,"SOFTWARE SECURITY &gt; Software Security Tools")+COUNTIFS('Prácticas_Snowballing'!$AB$2:$AB$281,"T062",'Prácticas_Snowballing'!$AC$2:$AC$281,"SOFTWARE SECURITY &gt; Software Security Tools")</f>
        <v>0</v>
      </c>
      <c r="CL74" s="17">
        <f>COUNTIFS('Prácticas_Revisiones'!$S$2:$S$282,"T062",'Prácticas_Revisiones'!$T$2:$T$282,"SOFTWARE SECURITY &gt; Domain Specific Software Security")+COUNTIFS('Prácticas_Snowballing'!$AB$2:$AB$281,"T062",'Prácticas_Snowballing'!$AC$2:$AC$281,"SOFTWARE SECURITY &gt; Domain Specific Software Security")</f>
        <v>0</v>
      </c>
      <c r="CM74" s="17">
        <f>COUNTIFS('Prácticas_Revisiones'!$S$2:$S$282,"T062",'Prácticas_Revisiones'!$T$2:$T$282,"SOFTWARE SECURITY &gt; Subárea no determinable")+COUNTIFS('Prácticas_Snowballing'!$AB$2:$AB$281,"T062",'Prácticas_Snowballing'!$AC$2:$AC$281,"SOFTWARE SECURITY &gt; Subárea no determinable")</f>
        <v>0</v>
      </c>
      <c r="CN74" s="29">
        <f t="shared" si="63"/>
        <v>0</v>
      </c>
      <c r="CO74" s="17">
        <f>COUNTIFS('Prácticas_Revisiones'!$S$2:$S$282,"T062",'Prácticas_Revisiones'!$T$2:$T$282,"PROFESSIONAL PRACTICE &gt; Professionalism")+COUNTIFS('Prácticas_Snowballing'!$AB$2:$AB$281,"T062",'Prácticas_Snowballing'!$AC$2:$AC$281,"PROFESSIONAL PRACTICE &gt; Professionalism")</f>
        <v>0</v>
      </c>
      <c r="CP74" s="17">
        <f>COUNTIFS('Prácticas_Revisiones'!$S$2:$S$282,"T062",'Prácticas_Revisiones'!$T$2:$T$282,"PROFESSIONAL PRACTICE &gt; Group Dynamics and Psychology")+COUNTIFS('Prácticas_Snowballing'!$AB$2:$AB$281,"T062",'Prácticas_Snowballing'!$AC$2:$AC$281,"PROFESSIONAL PRACTICE &gt; Group Dynamics and Psychology")</f>
        <v>0</v>
      </c>
      <c r="CQ74" s="17">
        <f>COUNTIFS('Prácticas_Revisiones'!$S$2:$S$282,"T062",'Prácticas_Revisiones'!$T$2:$T$282,"PROFESSIONAL PRACTICE &gt; Communication Skills")+COUNTIFS('Prácticas_Snowballing'!$AB$2:$AB$281,"T062",'Prácticas_Snowballing'!$AC$2:$AC$281,"PROFESSIONAL PRACTICE &gt; Communication Skills")</f>
        <v>0</v>
      </c>
      <c r="CR74" s="17">
        <f>COUNTIFS('Prácticas_Revisiones'!$S$2:$S$282,"T062",'Prácticas_Revisiones'!$T$2:$T$282,"PROFESSIONAL PRACTICE &gt; Subárea no determinable")+COUNTIFS('Prácticas_Snowballing'!$AB$2:$AB$281,"T062",'Prácticas_Snowballing'!$AC$2:$AC$281,"PROFESSIONAL PRACTICE &gt; Subárea no determinable")</f>
        <v>0</v>
      </c>
      <c r="CS74" s="29">
        <f t="shared" si="64"/>
        <v>0</v>
      </c>
      <c r="CT74" s="17">
        <f>COUNTIFS('Prácticas_Revisiones'!$S$2:$S$282,"T062",'Prácticas_Revisiones'!$T$2:$T$282,"SOFTWARE ENG. ECONOMICS &gt; Software Engineering Economics Fundamentals")+COUNTIFS('Prácticas_Snowballing'!$AB$2:$AB$281,"T062",'Prácticas_Snowballing'!$AC$2:$AC$281,"SOFTWARE ENG. ECONOMICS &gt; Software Engineering Economics Fundamentals")</f>
        <v>0</v>
      </c>
      <c r="CU74" s="17">
        <f>COUNTIFS('Prácticas_Revisiones'!$S$2:$S$282,"T062",'Prácticas_Revisiones'!$T$2:$T$282,"SOFTWARE ENG. ECONOMICS &gt; The Engineering Decision-Making Process")+COUNTIFS('Prácticas_Snowballing'!$AB$2:$AB$281,"T062",'Prácticas_Snowballing'!$AC$2:$AC$281,"SOFTWARE ENG. ECONOMICS &gt; The Engineering Decision-Making Process")</f>
        <v>0</v>
      </c>
      <c r="CV74" s="17">
        <f>COUNTIFS('Prácticas_Revisiones'!$S$2:$S$282,"T062",'Prácticas_Revisiones'!$T$2:$T$282,"SOFTWARE ENG. ECONOMICS &gt; For-Profit Decision-Making")+COUNTIFS('Prácticas_Snowballing'!$AB$2:$AB$281,"T062",'Prácticas_Snowballing'!$AC$2:$AC$281,"SOFTWARE ENG. ECONOMICS &gt; For-Profit Decision-Making")</f>
        <v>0</v>
      </c>
      <c r="CW74" s="17">
        <f>COUNTIFS('Prácticas_Revisiones'!$S$2:$S$282,"T062",'Prácticas_Revisiones'!$T$2:$T$282,"SOFTWARE ENG. ECONOMICS &gt; Nonprofit Decision-Making")+COUNTIFS('Prácticas_Snowballing'!$AB$2:$AB$281,"T062",'Prácticas_Snowballing'!$AC$2:$AC$281,"SOFTWARE ENG. ECONOMICS &gt; Nonprofit Decision-Making")</f>
        <v>0</v>
      </c>
      <c r="CX74" s="17">
        <f>COUNTIFS('Prácticas_Revisiones'!$S$2:$S$282,"T062",'Prácticas_Revisiones'!$T$2:$T$282,"SOFTWARE ENG. ECONOMICS &gt; Present Economy Decision-Making")+COUNTIFS('Prácticas_Snowballing'!$AB$2:$AB$281,"T062",'Prácticas_Snowballing'!$AC$2:$AC$281,"SOFTWARE ENG. ECONOMICS &gt; Present Economy Decision-Making")</f>
        <v>0</v>
      </c>
      <c r="CY74" s="17">
        <f>COUNTIFS('Prácticas_Revisiones'!$S$2:$S$282,"T062",'Prácticas_Revisiones'!$T$2:$T$282,"SOFTWARE ENG. ECONOMICS &gt; Multiple-Attribute Decision-Making")+COUNTIFS('Prácticas_Snowballing'!$AB$2:$AB$281,"T062",'Prácticas_Snowballing'!$AC$2:$AC$281,"SOFTWARE ENG. ECONOMICS &gt; Multiple-Attribute Decision-Making")</f>
        <v>0</v>
      </c>
      <c r="CZ74" s="17">
        <f>COUNTIFS('Prácticas_Revisiones'!$S$2:$S$282,"T062",'Prácticas_Revisiones'!$T$2:$T$282,"SOFTWARE ENG. ECONOMICS &gt; Identifying and Characterizing Intangible Assets")+COUNTIFS('Prácticas_Snowballing'!$AB$2:$AB$281,"T062",'Prácticas_Snowballing'!$AC$2:$AC$281,"SOFTWARE ENG. ECONOMICS &gt; Identifying and Characterizing Intangible Assets")</f>
        <v>0</v>
      </c>
      <c r="DA74" s="17">
        <f>COUNTIFS('Prácticas_Revisiones'!$S$2:$S$282,"T062",'Prácticas_Revisiones'!$T$2:$T$282,"SOFTWARE ENG. ECONOMICS &gt; Estimation")+COUNTIFS('Prácticas_Snowballing'!$AB$2:$AB$281,"T062",'Prácticas_Snowballing'!$AC$2:$AC$281,"SOFTWARE ENG. ECONOMICS &gt; Estimation")</f>
        <v>0</v>
      </c>
      <c r="DB74" s="17">
        <f>COUNTIFS('Prácticas_Revisiones'!$S$2:$S$282,"T062",'Prácticas_Revisiones'!$T$2:$T$282,"SOFTWARE ENG. ECONOMICS &gt; Practical Considerations")+COUNTIFS('Prácticas_Snowballing'!$AB$2:$AB$281,"T062",'Prácticas_Snowballing'!$AC$2:$AC$281,"SOFTWARE ENG. ECONOMICS &gt; Practical Considerations")</f>
        <v>0</v>
      </c>
      <c r="DC74" s="17">
        <f>COUNTIFS('Prácticas_Revisiones'!$S$2:$S$282,"T062",'Prácticas_Revisiones'!$T$2:$T$282,"SOFTWARE ENG. ECONOMICS &gt; Related Concepts")+COUNTIFS('Prácticas_Snowballing'!$AB$2:$AB$281,"T062",'Prácticas_Snowballing'!$AC$2:$AC$281,"SOFTWARE ENG. ECONOMICS &gt; Related Concepts")</f>
        <v>0</v>
      </c>
      <c r="DD74" s="17">
        <f>COUNTIFS('Prácticas_Revisiones'!$S$2:$S$282,"T062",'Prácticas_Revisiones'!$T$2:$T$282,"SOFTWARE ENG. ECONOMICS &gt; Subárea no determinable")+COUNTIFS('Prácticas_Snowballing'!$AB$2:$AB$281,"T062",'Prácticas_Snowballing'!$AC$2:$AC$281,"SOFTWARE ENG. ECONOMICS &gt; Subárea no determinable")</f>
        <v>0</v>
      </c>
      <c r="DE74" s="29">
        <f t="shared" si="65"/>
        <v>0</v>
      </c>
      <c r="DF74" s="17">
        <f>COUNTIFS('Prácticas_Revisiones'!$S$2:$S$282,"T062",'Prácticas_Revisiones'!$T$2:$T$282,"SOFTWARE ENG. MANAGEMENT &gt; Software Engineering Management Fundamentals")+COUNTIFS('Prácticas_Snowballing'!$AB$2:$AB$281,"T062",'Prácticas_Snowballing'!$AC$2:$AC$281,"SOFTWARE ENG. MANAGEMENT &gt; Software Engineering Management Fundamentals")</f>
        <v>0</v>
      </c>
      <c r="DG74" s="17">
        <f>COUNTIFS('Prácticas_Revisiones'!$S$2:$S$282,"T062",'Prácticas_Revisiones'!$T$2:$T$282,"SOFTWARE ENG. MANAGEMENT &gt; Initiation and Scope Definition")+COUNTIFS('Prácticas_Snowballing'!$AB$2:$AB$281,"T062",'Prácticas_Snowballing'!$AC$2:$AC$281,"SOFTWARE ENG. MANAGEMENT &gt; Initiation and Scope Definition")</f>
        <v>0</v>
      </c>
      <c r="DH74" s="17">
        <f>COUNTIFS('Prácticas_Revisiones'!$S$2:$S$282,"T062",'Prácticas_Revisiones'!$T$2:$T$282,"SOFTWARE ENG. MANAGEMENT &gt; Software Project Planning")+COUNTIFS('Prácticas_Snowballing'!$AB$2:$AB$281,"T062",'Prácticas_Snowballing'!$AC$2:$AC$281,"SOFTWARE ENG. MANAGEMENT &gt; Software Project Planning")</f>
        <v>0</v>
      </c>
      <c r="DI74" s="17">
        <f>COUNTIFS('Prácticas_Revisiones'!$S$2:$S$282,"T062",'Prácticas_Revisiones'!$T$2:$T$282,"SOFTWARE ENG. MANAGEMENT &gt; Software Project Enactment")+COUNTIFS('Prácticas_Snowballing'!$AB$2:$AB$281,"T062",'Prácticas_Snowballing'!$AC$2:$AC$281,"SOFTWARE ENG. MANAGEMENT &gt; Software Project Enactment")</f>
        <v>0</v>
      </c>
      <c r="DJ74" s="17">
        <f>COUNTIFS('Prácticas_Revisiones'!$S$2:$S$282,"T062",'Prácticas_Revisiones'!$T$2:$T$282,"SOFTWARE ENG. MANAGEMENT &gt; Review and Evaluation")+COUNTIFS('Prácticas_Snowballing'!$AB$2:$AB$281,"T062",'Prácticas_Snowballing'!$AC$2:$AC$281,"SOFTWARE ENG. MANAGEMENT &gt; Review and Evaluation")</f>
        <v>0</v>
      </c>
      <c r="DK74" s="17">
        <f>COUNTIFS('Prácticas_Revisiones'!$S$2:$S$282,"T062",'Prácticas_Revisiones'!$T$2:$T$282,"SOFTWARE ENG. MANAGEMENT &gt; Closure")+COUNTIFS('Prácticas_Snowballing'!$AB$2:$AB$281,"T062",'Prácticas_Snowballing'!$AC$2:$AC$281,"SOFTWARE ENG. MANAGEMENT &gt; Closure")</f>
        <v>0</v>
      </c>
      <c r="DL74" s="17">
        <f>COUNTIFS('Prácticas_Revisiones'!$S$2:$S$282,"T062",'Prácticas_Revisiones'!$T$2:$T$282,"SOFTWARE ENG. MANAGEMENT &gt; Software Engineering Management Tools")+COUNTIFS('Prácticas_Snowballing'!$AB$2:$AB$281,"T062",'Prácticas_Snowballing'!$AC$2:$AC$281,"SOFTWARE ENG. MANAGEMENT &gt; Software Engineering Management Tools")</f>
        <v>0</v>
      </c>
      <c r="DM74" s="17">
        <f>COUNTIFS('Prácticas_Revisiones'!$S$2:$S$282,"T062",'Prácticas_Revisiones'!$T$2:$T$282,"SOFTWARE ENG. MANAGEMENT &gt; Subárea no determinable")+COUNTIFS('Prácticas_Snowballing'!$AB$2:$AB$281,"T062",'Prácticas_Snowballing'!$AC$2:$AC$281,"SOFTWARE ENG. MANAGEMENT &gt; Subárea no determinable")</f>
        <v>0</v>
      </c>
      <c r="DN74" s="29">
        <f t="shared" si="66"/>
        <v>0</v>
      </c>
      <c r="DO74" s="17">
        <f>COUNTIFS('Prácticas_Revisiones'!$S$2:$S$282,"T062",'Prácticas_Revisiones'!$T$2:$T$282,"Sin área SWEBOK")+COUNTIFS('Prácticas_Snowballing'!$AB$2:$AB$281,"T062",'Prácticas_Snowballing'!$AC$2:$AC$281,"Sin área SWEBOK")</f>
        <v>0</v>
      </c>
      <c r="DP74" s="27">
        <f t="shared" si="67"/>
        <v>0</v>
      </c>
    </row>
    <row r="75" ht="15.75" customHeight="1">
      <c r="A75" s="28"/>
      <c r="B75" s="16" t="s">
        <v>2835</v>
      </c>
      <c r="C75" s="17">
        <f>COUNTIFS('Prácticas_Revisiones'!$S$2:$S$282,"T063",'Prácticas_Revisiones'!$T$2:$T$282,"REQUIREMENTS &gt; Software Requirements Fundamentals")+COUNTIFS('Prácticas_Snowballing'!$AB$2:$AB$281,"T063",'Prácticas_Snowballing'!$AC$2:$AC$281,"REQUIREMENTS &gt; Software Requirements Fundamentals")</f>
        <v>0</v>
      </c>
      <c r="D75" s="17">
        <f>COUNTIFS('Prácticas_Revisiones'!$S$2:$S$282,"T063",'Prácticas_Revisiones'!$T$2:$T$282,"REQUIREMENTS &gt; Requirements Elicitation")+COUNTIFS('Prácticas_Snowballing'!$AB$2:$AB$281,"T063",'Prácticas_Snowballing'!$AC$2:$AC$281,"REQUIREMENTS &gt; Requirements Elicitation")</f>
        <v>0</v>
      </c>
      <c r="E75" s="17">
        <f>COUNTIFS('Prácticas_Revisiones'!$S$2:$S$282,"T063",'Prácticas_Revisiones'!$T$2:$T$282,"REQUIREMENTS &gt; Requirements Analysis")+COUNTIFS('Prácticas_Snowballing'!$AB$2:$AB$281,"T063",'Prácticas_Snowballing'!$AC$2:$AC$281,"REQUIREMENTS &gt; Requirements Analysis")</f>
        <v>0</v>
      </c>
      <c r="F75" s="17">
        <f>COUNTIFS('Prácticas_Revisiones'!$S$2:$S$282,"T063",'Prácticas_Revisiones'!$T$2:$T$282,"REQUIREMENTS &gt; Requirements Specification")+COUNTIFS('Prácticas_Snowballing'!$AB$2:$AB$281,"T063",'Prácticas_Snowballing'!$AC$2:$AC$281,"REQUIREMENTS &gt; Requirements Specification")</f>
        <v>0</v>
      </c>
      <c r="G75" s="17">
        <f>COUNTIFS('Prácticas_Revisiones'!$S$2:$S$282,"T063",'Prácticas_Revisiones'!$T$2:$T$282,"REQUIREMENTS &gt; Requirements Validation")+COUNTIFS('Prácticas_Snowballing'!$AB$2:$AB$281,"T063",'Prácticas_Snowballing'!$AC$2:$AC$281,"REQUIREMENTS &gt; Requirements Validation")</f>
        <v>0</v>
      </c>
      <c r="H75" s="17">
        <f>COUNTIFS('Prácticas_Revisiones'!$S$2:$S$282,"T063",'Prácticas_Revisiones'!$T$2:$T$282,"REQUIREMENTS &gt; Requirements Management Activities")+COUNTIFS('Prácticas_Snowballing'!$AB$2:$AB$281,"T063",'Prácticas_Snowballing'!$AC$2:$AC$281,"REQUIREMENTS &gt; Requirements Management Activities")</f>
        <v>0</v>
      </c>
      <c r="I75" s="17">
        <f>COUNTIFS('Prácticas_Revisiones'!$S$2:$S$282,"T063",'Prácticas_Revisiones'!$T$2:$T$282,"REQUIREMENTS &gt; Practical Considerations")+COUNTIFS('Prácticas_Snowballing'!$AB$2:$AB$281,"T063",'Prácticas_Snowballing'!$AC$2:$AC$281,"REQUIREMENTS &gt; Practical Considerations")</f>
        <v>0</v>
      </c>
      <c r="J75" s="17">
        <f>COUNTIFS('Prácticas_Revisiones'!$S$2:$S$282,"T063",'Prácticas_Revisiones'!$T$2:$T$282,"REQUIREMENTS &gt; Software Requirements Tools")+COUNTIFS('Prácticas_Snowballing'!$AB$2:$AB$281,"T063",'Prácticas_Snowballing'!$AC$2:$AC$281,"REQUIREMENTS &gt; Software Requirements Tools")</f>
        <v>0</v>
      </c>
      <c r="K75" s="17">
        <f>COUNTIFS('Prácticas_Revisiones'!$S$2:$S$282,"T063",'Prácticas_Revisiones'!$T$2:$T$282,"REQUIREMENTS &gt; Subárea no determinable")+COUNTIFS('Prácticas_Snowballing'!$AB$2:$AB$281,"T063",'Prácticas_Snowballing'!$AC$2:$AC$281,"REQUIREMENTS &gt; Subárea no determinable")</f>
        <v>0</v>
      </c>
      <c r="L75" s="29">
        <f t="shared" si="52"/>
        <v>0</v>
      </c>
      <c r="M75" s="17">
        <f>COUNTIFS('Prácticas_Revisiones'!$S$2:$S$282,"T063",'Prácticas_Revisiones'!$T$2:$T$282,"ARCHITECTURE &gt; Software Architecture Fundamentals")+COUNTIFS('Prácticas_Snowballing'!$AB$2:$AB$281,"T063",'Prácticas_Snowballing'!$AC$2:$AC$281,"ARCHITECTURE &gt; Software Architecture Fundamentals")</f>
        <v>0</v>
      </c>
      <c r="N75" s="17">
        <f>COUNTIFS('Prácticas_Revisiones'!$S$2:$S$282,"T063",'Prácticas_Revisiones'!$T$2:$T$282,"ARCHITECTURE &gt; Software Architecture Description")+COUNTIFS('Prácticas_Snowballing'!$AB$2:$AB$281,"T063",'Prácticas_Snowballing'!$AC$2:$AC$281,"ARCHITECTURE &gt; Software Architecture Description")</f>
        <v>0</v>
      </c>
      <c r="O75" s="17">
        <f>COUNTIFS('Prácticas_Revisiones'!$S$2:$S$282,"T063",'Prácticas_Revisiones'!$T$2:$T$282,"ARCHITECTURE &gt; Software Architecture Process")+COUNTIFS('Prácticas_Snowballing'!$AB$2:$AB$281,"T063",'Prácticas_Snowballing'!$AC$2:$AC$281,"ARCHITECTURE &gt; Software Architecture Process")</f>
        <v>0</v>
      </c>
      <c r="P75" s="17">
        <f>COUNTIFS('Prácticas_Revisiones'!$S$2:$S$282,"T063",'Prácticas_Revisiones'!$T$2:$T$282,"ARCHITECTURE &gt; Software Architecture Evaluation")+COUNTIFS('Prácticas_Snowballing'!$AB$2:$AB$281,"T063",'Prácticas_Snowballing'!$AC$2:$AC$281,"ARCHITECTURE &gt; Software Architecture Evaluation")</f>
        <v>0</v>
      </c>
      <c r="Q75" s="17">
        <f>COUNTIFS('Prácticas_Revisiones'!$S$2:$S$282,"T063",'Prácticas_Revisiones'!$T$2:$T$282,"ARCHITECTURE &gt; Subárea no determinable")+COUNTIFS('Prácticas_Snowballing'!$AB$2:$AB$281,"T063",'Prácticas_Snowballing'!$AC$2:$AC$281,"ARCHITECTURE &gt; Subárea no determinable")</f>
        <v>0</v>
      </c>
      <c r="R75" s="29">
        <f t="shared" si="53"/>
        <v>0</v>
      </c>
      <c r="S75" s="17">
        <f>COUNTIFS('Prácticas_Revisiones'!$S$2:$S$282,"T063",'Prácticas_Revisiones'!$T$2:$T$282,"DESIGN &gt; Software Design Fundamentals")+COUNTIFS('Prácticas_Snowballing'!$AB$2:$AB$281,"T063",'Prácticas_Snowballing'!$AC$2:$AC$281,"DESIGN &gt; Software Design Fundamentals")</f>
        <v>0</v>
      </c>
      <c r="T75" s="17">
        <f>COUNTIFS('Prácticas_Revisiones'!$S$2:$S$282,"T063",'Prácticas_Revisiones'!$T$2:$T$282,"DESIGN &gt; Software Design Processes")+COUNTIFS('Prácticas_Snowballing'!$AB$2:$AB$281,"T063",'Prácticas_Snowballing'!$AC$2:$AC$281,"DESIGN &gt; Software Design Processes")</f>
        <v>0</v>
      </c>
      <c r="U75" s="17">
        <f>COUNTIFS('Prácticas_Revisiones'!$S$2:$S$282,"T063",'Prácticas_Revisiones'!$T$2:$T$282,"DESIGN &gt; Software Design Qualities")+COUNTIFS('Prácticas_Snowballing'!$AB$2:$AB$281,"T063",'Prácticas_Snowballing'!$AC$2:$AC$281,"DESIGN &gt; Software Design Qualities")</f>
        <v>0</v>
      </c>
      <c r="V75" s="17">
        <f>COUNTIFS('Prácticas_Revisiones'!$S$2:$S$282,"T063",'Prácticas_Revisiones'!$T$2:$T$282,"DESIGN &gt; Recording Software Design")+COUNTIFS('Prácticas_Snowballing'!$AB$2:$AB$281,"T063",'Prácticas_Snowballing'!$AC$2:$AC$281,"DESIGN &gt; Recording Software Design")</f>
        <v>0</v>
      </c>
      <c r="W75" s="17">
        <f>COUNTIFS('Prácticas_Revisiones'!$S$2:$S$282,"T063",'Prácticas_Revisiones'!$T$2:$T$282,"DESIGN &gt; Software Design Strategies and Methods")+COUNTIFS('Prácticas_Snowballing'!$AB$2:$AB$281,"T063",'Prácticas_Snowballing'!$AC$2:$AC$281,"DESIGN &gt; Software Design Strategies and Methods")</f>
        <v>0</v>
      </c>
      <c r="X75" s="17">
        <f>COUNTIFS('Prácticas_Revisiones'!$S$2:$S$282,"T063",'Prácticas_Revisiones'!$T$2:$T$282,"DESIGN &gt; Software Design Analysis and Evaluations")+COUNTIFS('Prácticas_Snowballing'!$AB$2:$AB$281,"T063",'Prácticas_Snowballing'!$AC$2:$AC$281,"DESIGN &gt; Software Design Analysis and Evaluations")</f>
        <v>0</v>
      </c>
      <c r="Y75" s="17">
        <f>COUNTIFS('Prácticas_Revisiones'!$S$2:$S$282,"T063",'Prácticas_Revisiones'!$T$2:$T$282,"DESIGN &gt; Subárea no determinable")+COUNTIFS('Prácticas_Snowballing'!$AB$2:$AB$281,"T063",'Prácticas_Snowballing'!$AC$2:$AC$281,"DESIGN &gt; Subárea no determinable")</f>
        <v>0</v>
      </c>
      <c r="Z75" s="29">
        <f t="shared" si="54"/>
        <v>0</v>
      </c>
      <c r="AA75" s="17">
        <f>COUNTIFS('Prácticas_Revisiones'!$S$2:$S$282,"T063",'Prácticas_Revisiones'!$T$2:$T$282,"CONSTRUCTION &gt; Software Construction Fundamentals")+COUNTIFS('Prácticas_Snowballing'!$AB$2:$AB$281,"T063",'Prácticas_Snowballing'!$AC$2:$AC$281,"CONSTRUCTION &gt; Software Construction Fundamentals")</f>
        <v>0</v>
      </c>
      <c r="AB75" s="17">
        <f>COUNTIFS('Prácticas_Revisiones'!$S$2:$S$282,"T063",'Prácticas_Revisiones'!$T$2:$T$282,"CONSTRUCTION &gt; Managing Construction")+COUNTIFS('Prácticas_Snowballing'!$AB$2:$AB$281,"T063",'Prácticas_Snowballing'!$AC$2:$AC$281,"CONSTRUCTION &gt; Managing Construction")</f>
        <v>0</v>
      </c>
      <c r="AC75" s="17">
        <f>COUNTIFS('Prácticas_Revisiones'!$S$2:$S$282,"T063",'Prácticas_Revisiones'!$T$2:$T$282,"CONSTRUCTION &gt; Practical Considerations")+COUNTIFS('Prácticas_Snowballing'!$AB$2:$AB$281,"T063",'Prácticas_Snowballing'!$AC$2:$AC$281,"CONSTRUCTION &gt; Practical Considerations")</f>
        <v>0</v>
      </c>
      <c r="AD75" s="17">
        <f>COUNTIFS('Prácticas_Revisiones'!$S$2:$S$282,"T063",'Prácticas_Revisiones'!$T$2:$T$282,"CONSTRUCTION &gt; Construction Technologies")+COUNTIFS('Prácticas_Snowballing'!$AB$2:$AB$281,"T063",'Prácticas_Snowballing'!$AC$2:$AC$281,"CONSTRUCTION &gt; Construction Technologies")</f>
        <v>0</v>
      </c>
      <c r="AE75" s="17">
        <f>COUNTIFS('Prácticas_Revisiones'!$S$2:$S$282,"T063",'Prácticas_Revisiones'!$T$2:$T$282,"CONSTRUCTION &gt; Software Construction Tools")+COUNTIFS('Prácticas_Snowballing'!$AB$2:$AB$281,"T063",'Prácticas_Snowballing'!$AC$2:$AC$281,"CONSTRUCTION &gt; Software Construction Tools")</f>
        <v>0</v>
      </c>
      <c r="AF75" s="17">
        <f>COUNTIFS('Prácticas_Revisiones'!$S$2:$S$282,"T063",'Prácticas_Revisiones'!$T$2:$T$282,"CONSTRUCTION &gt; Subárea no determinable")+COUNTIFS('Prácticas_Snowballing'!$AB$2:$AB$281,"T063",'Prácticas_Snowballing'!$AC$2:$AC$281,"CONSTRUCTION &gt; Subárea no determinable")</f>
        <v>0</v>
      </c>
      <c r="AG75" s="29">
        <f t="shared" si="55"/>
        <v>0</v>
      </c>
      <c r="AH75" s="17">
        <f>COUNTIFS('Prácticas_Revisiones'!$S$2:$S$282,"T063",'Prácticas_Revisiones'!$T$2:$T$282,"SOFTWARE TESTING &gt; Software Testing Fundamentals")+COUNTIFS('Prácticas_Snowballing'!$AB$2:$AB$281,"T063",'Prácticas_Snowballing'!$AC$2:$AC$281,"SOFTWARE TESTING &gt; Software Testing Fundamentals")</f>
        <v>0</v>
      </c>
      <c r="AI75" s="17">
        <f>COUNTIFS('Prácticas_Revisiones'!$S$2:$S$282,"T063",'Prácticas_Revisiones'!$T$2:$T$282,"SOFTWARE TESTING &gt; Test Levels")+COUNTIFS('Prácticas_Snowballing'!$AB$2:$AB$281,"T063",'Prácticas_Snowballing'!$AC$2:$AC$281,"SOFTWARE TESTING &gt; Test Levels")</f>
        <v>0</v>
      </c>
      <c r="AJ75" s="17">
        <f>COUNTIFS('Prácticas_Revisiones'!$S$2:$S$282,"T063",'Prácticas_Revisiones'!$T$2:$T$282,"SOFTWARE TESTING &gt; Test Techniques")+COUNTIFS('Prácticas_Snowballing'!$AB$2:$AB$281,"T063",'Prácticas_Snowballing'!$AC$2:$AC$281,"SOFTWARE TESTING &gt; Test Techniques")</f>
        <v>0</v>
      </c>
      <c r="AK75" s="17">
        <f>COUNTIFS('Prácticas_Revisiones'!$S$2:$S$282,"T063",'Prácticas_Revisiones'!$T$2:$T$282,"SOFTWARE TESTING &gt; Test-Related Measures")+COUNTIFS('Prácticas_Snowballing'!$AB$2:$AB$281,"T063",'Prácticas_Snowballing'!$AC$2:$AC$281,"SOFTWARE TESTING &gt; Test-Related Measures")</f>
        <v>0</v>
      </c>
      <c r="AL75" s="17">
        <f>COUNTIFS('Prácticas_Revisiones'!$S$2:$S$282,"T063",'Prácticas_Revisiones'!$T$2:$T$282,"SOFTWARE TESTING &gt; Test Process")+COUNTIFS('Prácticas_Snowballing'!$AB$2:$AB$281,"T063",'Prácticas_Snowballing'!$AC$2:$AC$281,"SOFTWARE TESTING &gt; Test Process")</f>
        <v>0</v>
      </c>
      <c r="AM75" s="17">
        <f>COUNTIFS('Prácticas_Revisiones'!$S$2:$S$282,"T063",'Prácticas_Revisiones'!$T$2:$T$282,"SOFTWARE TESTING &gt; Software Testing in the Development Processes...")+COUNTIFS('Prácticas_Snowballing'!$AB$2:$AB$281,"T063",'Prácticas_Snowballing'!$AC$2:$AC$281,"SOFTWARE TESTING &gt; Software Testing in the Development Processes...")</f>
        <v>0</v>
      </c>
      <c r="AN75" s="17">
        <f>COUNTIFS('Prácticas_Revisiones'!$S$2:$S$282,"T063",'Prácticas_Revisiones'!$T$2:$T$282,"SOFTWARE TESTING &gt; Testing of and Testing Through Emerging Tech...")+COUNTIFS('Prácticas_Snowballing'!$AB$2:$AB$281,"T063",'Prácticas_Snowballing'!$AC$2:$AC$281,"SOFTWARE TESTING &gt; Testing of and Testing Through Emerging Tech...")</f>
        <v>0</v>
      </c>
      <c r="AO75" s="17">
        <f>COUNTIFS('Prácticas_Revisiones'!$S$2:$S$282,"T063",'Prácticas_Revisiones'!$T$2:$T$282,"SOFTWARE TESTING &gt; Software Testing Tools")+COUNTIFS('Prácticas_Snowballing'!$AB$2:$AB$281,"T063",'Prácticas_Snowballing'!$AC$2:$AC$281,"SOFTWARE TESTING &gt; Software Testing Tools")</f>
        <v>0</v>
      </c>
      <c r="AP75" s="17">
        <f>COUNTIFS('Prácticas_Revisiones'!$S$2:$S$282,"T063",'Prácticas_Revisiones'!$T$2:$T$282,"SOFTWARE TESTING &gt; Subárea no determinable")+COUNTIFS('Prácticas_Snowballing'!$AB$2:$AB$281,"T063",'Prácticas_Snowballing'!$AC$2:$AC$281,"SOFTWARE TESTING &gt; Subárea no determinable")</f>
        <v>0</v>
      </c>
      <c r="AQ75" s="29">
        <f t="shared" si="56"/>
        <v>0</v>
      </c>
      <c r="AR75" s="17">
        <f>COUNTIFS('Prácticas_Revisiones'!$S$2:$S$282,"T063",'Prácticas_Revisiones'!$T$2:$T$282,"SOFTWARE ENG. OPERATIONS &gt; Software Engineering Operations Fundamentals")+COUNTIFS('Prácticas_Snowballing'!$AB$2:$AB$281,"T063",'Prácticas_Snowballing'!$AC$2:$AC$281,"SOFTWARE ENG. OPERATIONS &gt; Software Engineering Operations Fundamentals")</f>
        <v>0</v>
      </c>
      <c r="AS75" s="17">
        <f>COUNTIFS('Prácticas_Revisiones'!$S$2:$S$282,"T063",'Prácticas_Revisiones'!$T$2:$T$282,"SOFTWARE ENG. OPERATIONS &gt; Software Engineering Operations Planning")+COUNTIFS('Prácticas_Snowballing'!$AB$2:$AB$281,"T063",'Prácticas_Snowballing'!$AC$2:$AC$281,"SOFTWARE ENG. OPERATIONS &gt; Software Engineering Operations Planning")</f>
        <v>0</v>
      </c>
      <c r="AT75" s="17">
        <f>COUNTIFS('Prácticas_Revisiones'!$S$2:$S$282,"T063",'Prácticas_Revisiones'!$T$2:$T$282,"SOFTWARE ENG. OPERATIONS &gt; Software Engineering Operations Delivery")+COUNTIFS('Prácticas_Snowballing'!$AB$2:$AB$281,"T063",'Prácticas_Snowballing'!$AC$2:$AC$281,"SOFTWARE ENG. OPERATIONS &gt; Software Engineering Operations Delivery")</f>
        <v>0</v>
      </c>
      <c r="AU75" s="17">
        <f>COUNTIFS('Prácticas_Revisiones'!$S$2:$S$282,"T063",'Prácticas_Revisiones'!$T$2:$T$282,"SOFTWARE ENG. OPERATIONS &gt; Software Engineering Operations Control")+COUNTIFS('Prácticas_Snowballing'!$AB$2:$AB$281,"T063",'Prácticas_Snowballing'!$AC$2:$AC$281,"SOFTWARE ENG. OPERATIONS &gt; Software Engineering Operations Control")</f>
        <v>0</v>
      </c>
      <c r="AV75" s="17">
        <f>COUNTIFS('Prácticas_Revisiones'!$S$2:$S$282,"T063",'Prácticas_Revisiones'!$T$2:$T$282,"SOFTWARE ENG. OPERATIONS &gt; Practical Considerations")+COUNTIFS('Prácticas_Snowballing'!$AB$2:$AB$281,"T063",'Prácticas_Snowballing'!$AC$2:$AC$281,"SOFTWARE ENG. OPERATIONS &gt; Practical Considerations")</f>
        <v>0</v>
      </c>
      <c r="AW75" s="17">
        <f>COUNTIFS('Prácticas_Revisiones'!$S$2:$S$282,"T063",'Prácticas_Revisiones'!$T$2:$T$282,"SOFTWARE ENG. OPERATIONS &gt; Software Engineering Operations Tools")+COUNTIFS('Prácticas_Snowballing'!$AB$2:$AB$281,"T063",'Prácticas_Snowballing'!$AC$2:$AC$281,"SOFTWARE ENG. OPERATIONS &gt; Software Engineering Operations Tools")</f>
        <v>0</v>
      </c>
      <c r="AX75" s="17">
        <f>COUNTIFS('Prácticas_Revisiones'!$S$2:$S$282,"T063",'Prácticas_Revisiones'!$T$2:$T$282,"SOFTWARE ENG. OPERATIONS &gt; Subárea no determinable")+COUNTIFS('Prácticas_Snowballing'!$AB$2:$AB$281,"T063",'Prácticas_Snowballing'!$AC$2:$AC$281,"SOFTWARE ENG. OPERATIONS &gt; Subárea no determinable")</f>
        <v>0</v>
      </c>
      <c r="AY75" s="29">
        <f t="shared" si="57"/>
        <v>0</v>
      </c>
      <c r="AZ75" s="17">
        <f>COUNTIFS('Prácticas_Revisiones'!$S$2:$S$282,"T063",'Prácticas_Revisiones'!$T$2:$T$282,"MAINTENANCE &gt; Software Maintenance Fundamentals")+COUNTIFS('Prácticas_Snowballing'!$AB$2:$AB$281,"T063",'Prácticas_Snowballing'!$AC$2:$AC$281,"MAINTENANCE &gt; Software Maintenance Fundamentals")</f>
        <v>0</v>
      </c>
      <c r="BA75" s="17">
        <f>COUNTIFS('Prácticas_Revisiones'!$S$2:$S$282,"T063",'Prácticas_Revisiones'!$T$2:$T$282,"MAINTENANCE &gt; Key Issues in Software Maintenance")+COUNTIFS('Prácticas_Snowballing'!$AB$2:$AB$281,"T063",'Prácticas_Snowballing'!$AC$2:$AC$281,"MAINTENANCE &gt; Key Issues in Software Maintenance")</f>
        <v>0</v>
      </c>
      <c r="BB75" s="17">
        <f>COUNTIFS('Prácticas_Revisiones'!$S$2:$S$282,"T063",'Prácticas_Revisiones'!$T$2:$T$282,"MAINTENANCE &gt; Software Maintenance Processes")+COUNTIFS('Prácticas_Snowballing'!$AB$2:$AB$281,"T063",'Prácticas_Snowballing'!$AC$2:$AC$281,"MAINTENANCE &gt; Software Maintenance Processes")</f>
        <v>0</v>
      </c>
      <c r="BC75" s="17">
        <f>COUNTIFS('Prácticas_Revisiones'!$S$2:$S$282,"T063",'Prácticas_Revisiones'!$T$2:$T$282,"MAINTENANCE &gt; Software Maintenance Techniques")+COUNTIFS('Prácticas_Snowballing'!$AB$2:$AB$281,"T063",'Prácticas_Snowballing'!$AC$2:$AC$281,"MAINTENANCE &gt; Software Maintenance Techniques")</f>
        <v>0</v>
      </c>
      <c r="BD75" s="17">
        <f>COUNTIFS('Prácticas_Revisiones'!$S$2:$S$282,"T063",'Prácticas_Revisiones'!$T$2:$T$282,"MAINTENANCE &gt; Software Maintenance Tools")+COUNTIFS('Prácticas_Snowballing'!$AB$2:$AB$281,"T063",'Prácticas_Snowballing'!$AC$2:$AC$281,"MAINTENANCE &gt; Software Maintenance Tools")</f>
        <v>0</v>
      </c>
      <c r="BE75" s="17">
        <f>COUNTIFS('Prácticas_Revisiones'!$S$2:$S$282,"T063",'Prácticas_Revisiones'!$T$2:$T$282,"MAINTENANCE &gt; Subárea no determinable")+COUNTIFS('Prácticas_Snowballing'!$AB$2:$AB$281,"T063",'Prácticas_Snowballing'!$AC$2:$AC$281,"MAINTENANCE &gt; Subárea no determinable")</f>
        <v>0</v>
      </c>
      <c r="BF75" s="29">
        <f t="shared" si="58"/>
        <v>0</v>
      </c>
      <c r="BG75" s="17">
        <f>COUNTIFS('Prácticas_Revisiones'!$S$2:$S$282,"T063",'Prácticas_Revisiones'!$T$2:$T$282,"SOFTWARE CONFIG. MGMT. &gt; Management of the SCM Process")+COUNTIFS('Prácticas_Snowballing'!$AB$2:$AB$281,"T063",'Prácticas_Snowballing'!$AC$2:$AC$281,"SOFTWARE CONFIG. MGMT. &gt; Management of the SCM Process")</f>
        <v>0</v>
      </c>
      <c r="BH75" s="17">
        <f>COUNTIFS('Prácticas_Revisiones'!$S$2:$S$282,"T063",'Prácticas_Revisiones'!$T$2:$T$282,"SOFTWARE CONFIG. MGMT. &gt; Software Configuration Identification")+COUNTIFS('Prácticas_Snowballing'!$AB$2:$AB$281,"T063",'Prácticas_Snowballing'!$AC$2:$AC$281,"SOFTWARE CONFIG. MGMT. &gt; Software Configuration Identification")</f>
        <v>0</v>
      </c>
      <c r="BI75" s="17">
        <f>COUNTIFS('Prácticas_Revisiones'!$S$2:$S$282,"T063",'Prácticas_Revisiones'!$T$2:$T$282,"SOFTWARE CONFIG. MGMT. &gt; Software Configuration Change Control")+COUNTIFS('Prácticas_Snowballing'!$AB$2:$AB$281,"T063",'Prácticas_Snowballing'!$AC$2:$AC$281,"SOFTWARE CONFIG. MGMT. &gt; Software Configuration Change Control")</f>
        <v>0</v>
      </c>
      <c r="BJ75" s="17">
        <f>COUNTIFS('Prácticas_Revisiones'!$S$2:$S$282,"T063",'Prácticas_Revisiones'!$T$2:$T$282,"SOFTWARE CONFIG. MGMT. &gt; Software Configuration Status Accounting")+COUNTIFS('Prácticas_Snowballing'!$AB$2:$AB$281,"T063",'Prácticas_Snowballing'!$AC$2:$AC$281,"SOFTWARE CONFIG. MGMT. &gt; Software Configuration Status Accounting")</f>
        <v>0</v>
      </c>
      <c r="BK75" s="17">
        <f>COUNTIFS('Prácticas_Revisiones'!$S$2:$S$282,"T063",'Prácticas_Revisiones'!$T$2:$T$282,"SOFTWARE CONFIG. MGMT. &gt; Software Configuration Auditing")+COUNTIFS('Prácticas_Snowballing'!$AB$2:$AB$281,"T063",'Prácticas_Snowballing'!$AC$2:$AC$281,"SOFTWARE CONFIG. MGMT. &gt; Software Configuration Auditing")</f>
        <v>0</v>
      </c>
      <c r="BL75" s="17">
        <f>COUNTIFS('Prácticas_Revisiones'!$S$2:$S$282,"T063",'Prácticas_Revisiones'!$T$2:$T$282,"SOFTWARE CONFIG. MGMT. &gt; Software Release Management and Delivery")+COUNTIFS('Prácticas_Snowballing'!$AB$2:$AB$281,"T063",'Prácticas_Snowballing'!$AC$2:$AC$281,"SOFTWARE CONFIG. MGMT. &gt; Software Release Management and Delivery")</f>
        <v>0</v>
      </c>
      <c r="BM75" s="17">
        <f>COUNTIFS('Prácticas_Revisiones'!$S$2:$S$282,"T063",'Prácticas_Revisiones'!$T$2:$T$282,"SOFTWARE CONFIG. MGMT. &gt; Software Configuration Management Tools")+COUNTIFS('Prácticas_Snowballing'!$AB$2:$AB$281,"T063",'Prácticas_Snowballing'!$AC$2:$AC$281,"SOFTWARE CONFIG. MGMT. &gt; Software Configuration Management Tools")</f>
        <v>0</v>
      </c>
      <c r="BN75" s="17">
        <f>COUNTIFS('Prácticas_Revisiones'!$S$2:$S$282,"T063",'Prácticas_Revisiones'!$T$2:$T$282,"SOFTWARE CONFIG. MGMT. &gt; Subárea no determinable")+COUNTIFS('Prácticas_Snowballing'!$AB$2:$AB$281,"T063",'Prácticas_Snowballing'!$AC$2:$AC$281,"SOFTWARE CONFIG. MGMT. &gt; Subárea no determinable")</f>
        <v>0</v>
      </c>
      <c r="BO75" s="29">
        <f t="shared" si="59"/>
        <v>0</v>
      </c>
      <c r="BP75" s="17">
        <f>COUNTIFS('Prácticas_Revisiones'!$S$2:$S$282,"T063",'Prácticas_Revisiones'!$T$2:$T$282,"SOFTWARE ENG. PROCESS &gt; Software Engineering Process Fundamentals")+COUNTIFS('Prácticas_Snowballing'!$AB$2:$AB$281,"T063",'Prácticas_Snowballing'!$AC$2:$AC$281,"SOFTWARE ENG. PROCESS &gt; Software Engineering Process Fundamentals")</f>
        <v>0</v>
      </c>
      <c r="BQ75" s="17">
        <f>COUNTIFS('Prácticas_Revisiones'!$S$2:$S$282,"T063",'Prácticas_Revisiones'!$T$2:$T$282,"SOFTWARE ENG. PROCESS &gt; Life Cycles")+COUNTIFS('Prácticas_Snowballing'!$AB$2:$AB$281,"T063",'Prácticas_Snowballing'!$AC$2:$AC$281,"SOFTWARE ENG. PROCESS &gt; Life Cycles")</f>
        <v>0</v>
      </c>
      <c r="BR75" s="17">
        <f>COUNTIFS('Prácticas_Revisiones'!$S$2:$S$282,"T063",'Prácticas_Revisiones'!$T$2:$T$282,"SOFTWARE ENG. PROCESS &gt; Software Process Assessment and Improvement")+COUNTIFS('Prácticas_Snowballing'!$AB$2:$AB$281,"T063",'Prácticas_Snowballing'!$AC$2:$AC$281,"SOFTWARE ENG. PROCESS &gt; Software Process Assessment and Improvement")</f>
        <v>0</v>
      </c>
      <c r="BS75" s="17">
        <f>COUNTIFS('Prácticas_Revisiones'!$S$2:$S$282,"T063",'Prácticas_Revisiones'!$T$2:$T$282,"SOFTWARE ENG. PROCESS &gt; Subárea no determinable")+COUNTIFS('Prácticas_Snowballing'!$AB$2:$AB$281,"T063",'Prácticas_Snowballing'!$AC$2:$AC$281,"SOFTWARE ENG. PROCESS &gt; Subárea no determinable")</f>
        <v>0</v>
      </c>
      <c r="BT75" s="29">
        <f t="shared" si="60"/>
        <v>0</v>
      </c>
      <c r="BU75" s="17">
        <f>COUNTIFS('Prácticas_Revisiones'!$S$2:$S$282,"T063",'Prácticas_Revisiones'!$T$2:$T$282,"SOFTWARE ENG. MODELS/METH. &gt; Modeling")+COUNTIFS('Prácticas_Snowballing'!$AB$2:$AB$281,"T063",'Prácticas_Snowballing'!$AC$2:$AC$281,"SOFTWARE ENG. MODELS/METH. &gt; Modeling")</f>
        <v>0</v>
      </c>
      <c r="BV75" s="17">
        <f>COUNTIFS('Prácticas_Revisiones'!$S$2:$S$282,"T063",'Prácticas_Revisiones'!$T$2:$T$282,"SOFTWARE ENG. MODELS/METH. &gt; Types of Models")+COUNTIFS('Prácticas_Snowballing'!$AB$2:$AB$281,"T063",'Prácticas_Snowballing'!$AC$2:$AC$281,"SOFTWARE ENG. MODELS/METH. &gt; Types of Models")</f>
        <v>0</v>
      </c>
      <c r="BW75" s="17">
        <f>COUNTIFS('Prácticas_Revisiones'!$S$2:$S$282,"T063",'Prácticas_Revisiones'!$T$2:$T$282,"SOFTWARE ENG. MODELS/METH. &gt; Analysis of Models")+COUNTIFS('Prácticas_Snowballing'!$AB$2:$AB$281,"T063",'Prácticas_Snowballing'!$AC$2:$AC$281,"SOFTWARE ENG. MODELS/METH. &gt; Analysis of Models")</f>
        <v>0</v>
      </c>
      <c r="BX75" s="17">
        <f>COUNTIFS('Prácticas_Revisiones'!$S$2:$S$282,"T063",'Prácticas_Revisiones'!$T$2:$T$282,"SOFTWARE ENG. MODELS/METH. &gt; Software Engineering Methods")+COUNTIFS('Prácticas_Snowballing'!$AB$2:$AB$281,"T063",'Prácticas_Snowballing'!$AC$2:$AC$281,"SOFTWARE ENG. MODELS/METH. &gt; Software Engineering Methods")</f>
        <v>0</v>
      </c>
      <c r="BY75" s="17">
        <f>COUNTIFS('Prácticas_Revisiones'!$S$2:$S$282,"T063",'Prácticas_Revisiones'!$T$2:$T$282,"SOFTWARE ENG. MODELS/METH. &gt; Subárea no determinable")+COUNTIFS('Prácticas_Snowballing'!$AB$2:$AB$281,"T063",'Prácticas_Snowballing'!$AC$2:$AC$281,"SOFTWARE ENG. MODELS/METH. &gt; Subárea no determinable")</f>
        <v>0</v>
      </c>
      <c r="BZ75" s="29">
        <f t="shared" si="61"/>
        <v>0</v>
      </c>
      <c r="CA75" s="17">
        <f>COUNTIFS('Prácticas_Revisiones'!$S$2:$S$282,"T063",'Prácticas_Revisiones'!$T$2:$T$282,"SOFTWARE QUALITY &gt; Software Quality Fundamentals")+COUNTIFS('Prácticas_Snowballing'!$AB$2:$AB$281,"T063",'Prácticas_Snowballing'!$AC$2:$AC$281,"SOFTWARE QUALITY &gt; Software Quality Fundamentals")</f>
        <v>0</v>
      </c>
      <c r="CB75" s="17">
        <f>COUNTIFS('Prácticas_Revisiones'!$S$2:$S$282,"T063",'Prácticas_Revisiones'!$T$2:$T$282,"SOFTWARE QUALITY &gt; Software Quality Management Process")+COUNTIFS('Prácticas_Snowballing'!$AB$2:$AB$281,"T063",'Prácticas_Snowballing'!$AC$2:$AC$281,"SOFTWARE QUALITY &gt; Software Quality Management Process")</f>
        <v>0</v>
      </c>
      <c r="CC75" s="17">
        <f>COUNTIFS('Prácticas_Revisiones'!$S$2:$S$282,"T063",'Prácticas_Revisiones'!$T$2:$T$282,"SOFTWARE QUALITY &gt; Software Quality Assurance Process")+COUNTIFS('Prácticas_Snowballing'!$AB$2:$AB$281,"T063",'Prácticas_Snowballing'!$AC$2:$AC$281,"SOFTWARE QUALITY &gt; Software Quality Assurance Process")</f>
        <v>0</v>
      </c>
      <c r="CD75" s="17">
        <f>COUNTIFS('Prácticas_Revisiones'!$S$2:$S$282,"T063",'Prácticas_Revisiones'!$T$2:$T$282,"SOFTWARE QUALITY &gt; Software Quality Tools")+COUNTIFS('Prácticas_Snowballing'!$AB$2:$AB$281,"T063",'Prácticas_Snowballing'!$AC$2:$AC$281,"SOFTWARE QUALITY &gt; Software Quality Tools")</f>
        <v>0</v>
      </c>
      <c r="CE75" s="17">
        <f>COUNTIFS('Prácticas_Revisiones'!$S$2:$S$282,"T063",'Prácticas_Revisiones'!$T$2:$T$282,"SOFTWARE QUALITY &gt; Subárea no determinable")+COUNTIFS('Prácticas_Snowballing'!$AB$2:$AB$281,"T063",'Prácticas_Snowballing'!$AC$2:$AC$281,"SOFTWARE QUALITY &gt; Subárea no determinable")</f>
        <v>0</v>
      </c>
      <c r="CF75" s="29">
        <f t="shared" si="62"/>
        <v>0</v>
      </c>
      <c r="CG75" s="17">
        <f>COUNTIFS('Prácticas_Revisiones'!$S$2:$S$282,"T063",'Prácticas_Revisiones'!$T$2:$T$282,"SOFTWARE SECURITY &gt; Software Security Fundamentals")+COUNTIFS('Prácticas_Snowballing'!$AB$2:$AB$281,"T063",'Prácticas_Snowballing'!$AC$2:$AC$281,"SOFTWARE SECURITY &gt; Software Security Fundamentals")</f>
        <v>0</v>
      </c>
      <c r="CH75" s="17">
        <f>COUNTIFS('Prácticas_Revisiones'!$S$2:$S$282,"T063",'Prácticas_Revisiones'!$T$2:$T$282,"SOFTWARE SECURITY &gt; Security Management and Organization")+COUNTIFS('Prácticas_Snowballing'!$AB$2:$AB$281,"T063",'Prácticas_Snowballing'!$AC$2:$AC$281,"SOFTWARE SECURITY &gt; Security Management and Organization")</f>
        <v>0</v>
      </c>
      <c r="CI75" s="17">
        <f>COUNTIFS('Prácticas_Revisiones'!$S$2:$S$282,"T063",'Prácticas_Revisiones'!$T$2:$T$282,"SOFTWARE SECURITY &gt; Software Security Engineering and Process")+COUNTIFS('Prácticas_Snowballing'!$AB$2:$AB$281,"T063",'Prácticas_Snowballing'!$AC$2:$AC$281,"SOFTWARE SECURITY &gt; Software Security Engineering and Process")</f>
        <v>0</v>
      </c>
      <c r="CJ75" s="17">
        <f>COUNTIFS('Prácticas_Revisiones'!$S$2:$S$282,"T063",'Prácticas_Revisiones'!$T$2:$T$282,"SOFTWARE SECURITY &gt; Security Engineering for Software Systems")+COUNTIFS('Prácticas_Snowballing'!$AB$2:$AB$281,"T063",'Prácticas_Snowballing'!$AC$2:$AC$281,"SOFTWARE SECURITY &gt; Security Engineering for Software Systems")</f>
        <v>0</v>
      </c>
      <c r="CK75" s="17">
        <f>COUNTIFS('Prácticas_Revisiones'!$S$2:$S$282,"T063",'Prácticas_Revisiones'!$T$2:$T$282,"SOFTWARE SECURITY &gt; Software Security Tools")+COUNTIFS('Prácticas_Snowballing'!$AB$2:$AB$281,"T063",'Prácticas_Snowballing'!$AC$2:$AC$281,"SOFTWARE SECURITY &gt; Software Security Tools")</f>
        <v>0</v>
      </c>
      <c r="CL75" s="17">
        <f>COUNTIFS('Prácticas_Revisiones'!$S$2:$S$282,"T063",'Prácticas_Revisiones'!$T$2:$T$282,"SOFTWARE SECURITY &gt; Domain Specific Software Security")+COUNTIFS('Prácticas_Snowballing'!$AB$2:$AB$281,"T063",'Prácticas_Snowballing'!$AC$2:$AC$281,"SOFTWARE SECURITY &gt; Domain Specific Software Security")</f>
        <v>0</v>
      </c>
      <c r="CM75" s="17">
        <f>COUNTIFS('Prácticas_Revisiones'!$S$2:$S$282,"T063",'Prácticas_Revisiones'!$T$2:$T$282,"SOFTWARE SECURITY &gt; Subárea no determinable")+COUNTIFS('Prácticas_Snowballing'!$AB$2:$AB$281,"T063",'Prácticas_Snowballing'!$AC$2:$AC$281,"SOFTWARE SECURITY &gt; Subárea no determinable")</f>
        <v>0</v>
      </c>
      <c r="CN75" s="29">
        <f t="shared" si="63"/>
        <v>0</v>
      </c>
      <c r="CO75" s="17">
        <f>COUNTIFS('Prácticas_Revisiones'!$S$2:$S$282,"T063",'Prácticas_Revisiones'!$T$2:$T$282,"PROFESSIONAL PRACTICE &gt; Professionalism")+COUNTIFS('Prácticas_Snowballing'!$AB$2:$AB$281,"T063",'Prácticas_Snowballing'!$AC$2:$AC$281,"PROFESSIONAL PRACTICE &gt; Professionalism")</f>
        <v>0</v>
      </c>
      <c r="CP75" s="17">
        <f>COUNTIFS('Prácticas_Revisiones'!$S$2:$S$282,"T063",'Prácticas_Revisiones'!$T$2:$T$282,"PROFESSIONAL PRACTICE &gt; Group Dynamics and Psychology")+COUNTIFS('Prácticas_Snowballing'!$AB$2:$AB$281,"T063",'Prácticas_Snowballing'!$AC$2:$AC$281,"PROFESSIONAL PRACTICE &gt; Group Dynamics and Psychology")</f>
        <v>0</v>
      </c>
      <c r="CQ75" s="17">
        <f>COUNTIFS('Prácticas_Revisiones'!$S$2:$S$282,"T063",'Prácticas_Revisiones'!$T$2:$T$282,"PROFESSIONAL PRACTICE &gt; Communication Skills")+COUNTIFS('Prácticas_Snowballing'!$AB$2:$AB$281,"T063",'Prácticas_Snowballing'!$AC$2:$AC$281,"PROFESSIONAL PRACTICE &gt; Communication Skills")</f>
        <v>0</v>
      </c>
      <c r="CR75" s="17">
        <f>COUNTIFS('Prácticas_Revisiones'!$S$2:$S$282,"T063",'Prácticas_Revisiones'!$T$2:$T$282,"PROFESSIONAL PRACTICE &gt; Subárea no determinable")+COUNTIFS('Prácticas_Snowballing'!$AB$2:$AB$281,"T063",'Prácticas_Snowballing'!$AC$2:$AC$281,"PROFESSIONAL PRACTICE &gt; Subárea no determinable")</f>
        <v>0</v>
      </c>
      <c r="CS75" s="29">
        <f t="shared" si="64"/>
        <v>0</v>
      </c>
      <c r="CT75" s="17">
        <f>COUNTIFS('Prácticas_Revisiones'!$S$2:$S$282,"T063",'Prácticas_Revisiones'!$T$2:$T$282,"SOFTWARE ENG. ECONOMICS &gt; Software Engineering Economics Fundamentals")+COUNTIFS('Prácticas_Snowballing'!$AB$2:$AB$281,"T063",'Prácticas_Snowballing'!$AC$2:$AC$281,"SOFTWARE ENG. ECONOMICS &gt; Software Engineering Economics Fundamentals")</f>
        <v>0</v>
      </c>
      <c r="CU75" s="17">
        <f>COUNTIFS('Prácticas_Revisiones'!$S$2:$S$282,"T063",'Prácticas_Revisiones'!$T$2:$T$282,"SOFTWARE ENG. ECONOMICS &gt; The Engineering Decision-Making Process")+COUNTIFS('Prácticas_Snowballing'!$AB$2:$AB$281,"T063",'Prácticas_Snowballing'!$AC$2:$AC$281,"SOFTWARE ENG. ECONOMICS &gt; The Engineering Decision-Making Process")</f>
        <v>0</v>
      </c>
      <c r="CV75" s="17">
        <f>COUNTIFS('Prácticas_Revisiones'!$S$2:$S$282,"T063",'Prácticas_Revisiones'!$T$2:$T$282,"SOFTWARE ENG. ECONOMICS &gt; For-Profit Decision-Making")+COUNTIFS('Prácticas_Snowballing'!$AB$2:$AB$281,"T063",'Prácticas_Snowballing'!$AC$2:$AC$281,"SOFTWARE ENG. ECONOMICS &gt; For-Profit Decision-Making")</f>
        <v>0</v>
      </c>
      <c r="CW75" s="17">
        <f>COUNTIFS('Prácticas_Revisiones'!$S$2:$S$282,"T063",'Prácticas_Revisiones'!$T$2:$T$282,"SOFTWARE ENG. ECONOMICS &gt; Nonprofit Decision-Making")+COUNTIFS('Prácticas_Snowballing'!$AB$2:$AB$281,"T063",'Prácticas_Snowballing'!$AC$2:$AC$281,"SOFTWARE ENG. ECONOMICS &gt; Nonprofit Decision-Making")</f>
        <v>0</v>
      </c>
      <c r="CX75" s="17">
        <f>COUNTIFS('Prácticas_Revisiones'!$S$2:$S$282,"T063",'Prácticas_Revisiones'!$T$2:$T$282,"SOFTWARE ENG. ECONOMICS &gt; Present Economy Decision-Making")+COUNTIFS('Prácticas_Snowballing'!$AB$2:$AB$281,"T063",'Prácticas_Snowballing'!$AC$2:$AC$281,"SOFTWARE ENG. ECONOMICS &gt; Present Economy Decision-Making")</f>
        <v>0</v>
      </c>
      <c r="CY75" s="17">
        <f>COUNTIFS('Prácticas_Revisiones'!$S$2:$S$282,"T063",'Prácticas_Revisiones'!$T$2:$T$282,"SOFTWARE ENG. ECONOMICS &gt; Multiple-Attribute Decision-Making")+COUNTIFS('Prácticas_Snowballing'!$AB$2:$AB$281,"T063",'Prácticas_Snowballing'!$AC$2:$AC$281,"SOFTWARE ENG. ECONOMICS &gt; Multiple-Attribute Decision-Making")</f>
        <v>0</v>
      </c>
      <c r="CZ75" s="17">
        <f>COUNTIFS('Prácticas_Revisiones'!$S$2:$S$282,"T063",'Prácticas_Revisiones'!$T$2:$T$282,"SOFTWARE ENG. ECONOMICS &gt; Identifying and Characterizing Intangible Assets")+COUNTIFS('Prácticas_Snowballing'!$AB$2:$AB$281,"T063",'Prácticas_Snowballing'!$AC$2:$AC$281,"SOFTWARE ENG. ECONOMICS &gt; Identifying and Characterizing Intangible Assets")</f>
        <v>0</v>
      </c>
      <c r="DA75" s="17">
        <f>COUNTIFS('Prácticas_Revisiones'!$S$2:$S$282,"T063",'Prácticas_Revisiones'!$T$2:$T$282,"SOFTWARE ENG. ECONOMICS &gt; Estimation")+COUNTIFS('Prácticas_Snowballing'!$AB$2:$AB$281,"T063",'Prácticas_Snowballing'!$AC$2:$AC$281,"SOFTWARE ENG. ECONOMICS &gt; Estimation")</f>
        <v>0</v>
      </c>
      <c r="DB75" s="17">
        <f>COUNTIFS('Prácticas_Revisiones'!$S$2:$S$282,"T063",'Prácticas_Revisiones'!$T$2:$T$282,"SOFTWARE ENG. ECONOMICS &gt; Practical Considerations")+COUNTIFS('Prácticas_Snowballing'!$AB$2:$AB$281,"T063",'Prácticas_Snowballing'!$AC$2:$AC$281,"SOFTWARE ENG. ECONOMICS &gt; Practical Considerations")</f>
        <v>0</v>
      </c>
      <c r="DC75" s="17">
        <f>COUNTIFS('Prácticas_Revisiones'!$S$2:$S$282,"T063",'Prácticas_Revisiones'!$T$2:$T$282,"SOFTWARE ENG. ECONOMICS &gt; Related Concepts")+COUNTIFS('Prácticas_Snowballing'!$AB$2:$AB$281,"T063",'Prácticas_Snowballing'!$AC$2:$AC$281,"SOFTWARE ENG. ECONOMICS &gt; Related Concepts")</f>
        <v>0</v>
      </c>
      <c r="DD75" s="17">
        <f>COUNTIFS('Prácticas_Revisiones'!$S$2:$S$282,"T063",'Prácticas_Revisiones'!$T$2:$T$282,"SOFTWARE ENG. ECONOMICS &gt; Subárea no determinable")+COUNTIFS('Prácticas_Snowballing'!$AB$2:$AB$281,"T063",'Prácticas_Snowballing'!$AC$2:$AC$281,"SOFTWARE ENG. ECONOMICS &gt; Subárea no determinable")</f>
        <v>0</v>
      </c>
      <c r="DE75" s="29">
        <f t="shared" si="65"/>
        <v>0</v>
      </c>
      <c r="DF75" s="17">
        <f>COUNTIFS('Prácticas_Revisiones'!$S$2:$S$282,"T063",'Prácticas_Revisiones'!$T$2:$T$282,"SOFTWARE ENG. MANAGEMENT &gt; Software Engineering Management Fundamentals")+COUNTIFS('Prácticas_Snowballing'!$AB$2:$AB$281,"T063",'Prácticas_Snowballing'!$AC$2:$AC$281,"SOFTWARE ENG. MANAGEMENT &gt; Software Engineering Management Fundamentals")</f>
        <v>0</v>
      </c>
      <c r="DG75" s="17">
        <f>COUNTIFS('Prácticas_Revisiones'!$S$2:$S$282,"T063",'Prácticas_Revisiones'!$T$2:$T$282,"SOFTWARE ENG. MANAGEMENT &gt; Initiation and Scope Definition")+COUNTIFS('Prácticas_Snowballing'!$AB$2:$AB$281,"T063",'Prácticas_Snowballing'!$AC$2:$AC$281,"SOFTWARE ENG. MANAGEMENT &gt; Initiation and Scope Definition")</f>
        <v>0</v>
      </c>
      <c r="DH75" s="17">
        <f>COUNTIFS('Prácticas_Revisiones'!$S$2:$S$282,"T063",'Prácticas_Revisiones'!$T$2:$T$282,"SOFTWARE ENG. MANAGEMENT &gt; Software Project Planning")+COUNTIFS('Prácticas_Snowballing'!$AB$2:$AB$281,"T063",'Prácticas_Snowballing'!$AC$2:$AC$281,"SOFTWARE ENG. MANAGEMENT &gt; Software Project Planning")</f>
        <v>0</v>
      </c>
      <c r="DI75" s="17">
        <f>COUNTIFS('Prácticas_Revisiones'!$S$2:$S$282,"T063",'Prácticas_Revisiones'!$T$2:$T$282,"SOFTWARE ENG. MANAGEMENT &gt; Software Project Enactment")+COUNTIFS('Prácticas_Snowballing'!$AB$2:$AB$281,"T063",'Prácticas_Snowballing'!$AC$2:$AC$281,"SOFTWARE ENG. MANAGEMENT &gt; Software Project Enactment")</f>
        <v>0</v>
      </c>
      <c r="DJ75" s="17">
        <f>COUNTIFS('Prácticas_Revisiones'!$S$2:$S$282,"T063",'Prácticas_Revisiones'!$T$2:$T$282,"SOFTWARE ENG. MANAGEMENT &gt; Review and Evaluation")+COUNTIFS('Prácticas_Snowballing'!$AB$2:$AB$281,"T063",'Prácticas_Snowballing'!$AC$2:$AC$281,"SOFTWARE ENG. MANAGEMENT &gt; Review and Evaluation")</f>
        <v>0</v>
      </c>
      <c r="DK75" s="17">
        <f>COUNTIFS('Prácticas_Revisiones'!$S$2:$S$282,"T063",'Prácticas_Revisiones'!$T$2:$T$282,"SOFTWARE ENG. MANAGEMENT &gt; Closure")+COUNTIFS('Prácticas_Snowballing'!$AB$2:$AB$281,"T063",'Prácticas_Snowballing'!$AC$2:$AC$281,"SOFTWARE ENG. MANAGEMENT &gt; Closure")</f>
        <v>0</v>
      </c>
      <c r="DL75" s="17">
        <f>COUNTIFS('Prácticas_Revisiones'!$S$2:$S$282,"T063",'Prácticas_Revisiones'!$T$2:$T$282,"SOFTWARE ENG. MANAGEMENT &gt; Software Engineering Management Tools")+COUNTIFS('Prácticas_Snowballing'!$AB$2:$AB$281,"T063",'Prácticas_Snowballing'!$AC$2:$AC$281,"SOFTWARE ENG. MANAGEMENT &gt; Software Engineering Management Tools")</f>
        <v>0</v>
      </c>
      <c r="DM75" s="17">
        <f>COUNTIFS('Prácticas_Revisiones'!$S$2:$S$282,"T063",'Prácticas_Revisiones'!$T$2:$T$282,"SOFTWARE ENG. MANAGEMENT &gt; Subárea no determinable")+COUNTIFS('Prácticas_Snowballing'!$AB$2:$AB$281,"T063",'Prácticas_Snowballing'!$AC$2:$AC$281,"SOFTWARE ENG. MANAGEMENT &gt; Subárea no determinable")</f>
        <v>0</v>
      </c>
      <c r="DN75" s="29">
        <f t="shared" si="66"/>
        <v>0</v>
      </c>
      <c r="DO75" s="17">
        <f>COUNTIFS('Prácticas_Revisiones'!$S$2:$S$282,"T063",'Prácticas_Revisiones'!$T$2:$T$282,"Sin área SWEBOK")+COUNTIFS('Prácticas_Snowballing'!$AB$2:$AB$281,"T063",'Prácticas_Snowballing'!$AC$2:$AC$281,"Sin área SWEBOK")</f>
        <v>0</v>
      </c>
      <c r="DP75" s="27">
        <f t="shared" si="67"/>
        <v>0</v>
      </c>
    </row>
    <row r="76" ht="15.75" customHeight="1">
      <c r="A76" s="28"/>
      <c r="B76" s="16" t="s">
        <v>2838</v>
      </c>
      <c r="C76" s="17">
        <f>COUNTIFS('Prácticas_Revisiones'!$S$2:$S$282,"T064",'Prácticas_Revisiones'!$T$2:$T$282,"REQUIREMENTS &gt; Software Requirements Fundamentals")+COUNTIFS('Prácticas_Snowballing'!$AB$2:$AB$281,"T064",'Prácticas_Snowballing'!$AC$2:$AC$281,"REQUIREMENTS &gt; Software Requirements Fundamentals")</f>
        <v>0</v>
      </c>
      <c r="D76" s="17">
        <f>COUNTIFS('Prácticas_Revisiones'!$S$2:$S$282,"T064",'Prácticas_Revisiones'!$T$2:$T$282,"REQUIREMENTS &gt; Requirements Elicitation")+COUNTIFS('Prácticas_Snowballing'!$AB$2:$AB$281,"T064",'Prácticas_Snowballing'!$AC$2:$AC$281,"REQUIREMENTS &gt; Requirements Elicitation")</f>
        <v>0</v>
      </c>
      <c r="E76" s="17">
        <f>COUNTIFS('Prácticas_Revisiones'!$S$2:$S$282,"T064",'Prácticas_Revisiones'!$T$2:$T$282,"REQUIREMENTS &gt; Requirements Analysis")+COUNTIFS('Prácticas_Snowballing'!$AB$2:$AB$281,"T064",'Prácticas_Snowballing'!$AC$2:$AC$281,"REQUIREMENTS &gt; Requirements Analysis")</f>
        <v>0</v>
      </c>
      <c r="F76" s="17">
        <f>COUNTIFS('Prácticas_Revisiones'!$S$2:$S$282,"T064",'Prácticas_Revisiones'!$T$2:$T$282,"REQUIREMENTS &gt; Requirements Specification")+COUNTIFS('Prácticas_Snowballing'!$AB$2:$AB$281,"T064",'Prácticas_Snowballing'!$AC$2:$AC$281,"REQUIREMENTS &gt; Requirements Specification")</f>
        <v>0</v>
      </c>
      <c r="G76" s="17">
        <f>COUNTIFS('Prácticas_Revisiones'!$S$2:$S$282,"T064",'Prácticas_Revisiones'!$T$2:$T$282,"REQUIREMENTS &gt; Requirements Validation")+COUNTIFS('Prácticas_Snowballing'!$AB$2:$AB$281,"T064",'Prácticas_Snowballing'!$AC$2:$AC$281,"REQUIREMENTS &gt; Requirements Validation")</f>
        <v>0</v>
      </c>
      <c r="H76" s="17">
        <f>COUNTIFS('Prácticas_Revisiones'!$S$2:$S$282,"T064",'Prácticas_Revisiones'!$T$2:$T$282,"REQUIREMENTS &gt; Requirements Management Activities")+COUNTIFS('Prácticas_Snowballing'!$AB$2:$AB$281,"T064",'Prácticas_Snowballing'!$AC$2:$AC$281,"REQUIREMENTS &gt; Requirements Management Activities")</f>
        <v>0</v>
      </c>
      <c r="I76" s="17">
        <f>COUNTIFS('Prácticas_Revisiones'!$S$2:$S$282,"T064",'Prácticas_Revisiones'!$T$2:$T$282,"REQUIREMENTS &gt; Practical Considerations")+COUNTIFS('Prácticas_Snowballing'!$AB$2:$AB$281,"T064",'Prácticas_Snowballing'!$AC$2:$AC$281,"REQUIREMENTS &gt; Practical Considerations")</f>
        <v>0</v>
      </c>
      <c r="J76" s="17">
        <f>COUNTIFS('Prácticas_Revisiones'!$S$2:$S$282,"T064",'Prácticas_Revisiones'!$T$2:$T$282,"REQUIREMENTS &gt; Software Requirements Tools")+COUNTIFS('Prácticas_Snowballing'!$AB$2:$AB$281,"T064",'Prácticas_Snowballing'!$AC$2:$AC$281,"REQUIREMENTS &gt; Software Requirements Tools")</f>
        <v>0</v>
      </c>
      <c r="K76" s="17">
        <f>COUNTIFS('Prácticas_Revisiones'!$S$2:$S$282,"T064",'Prácticas_Revisiones'!$T$2:$T$282,"REQUIREMENTS &gt; Subárea no determinable")+COUNTIFS('Prácticas_Snowballing'!$AB$2:$AB$281,"T064",'Prácticas_Snowballing'!$AC$2:$AC$281,"REQUIREMENTS &gt; Subárea no determinable")</f>
        <v>0</v>
      </c>
      <c r="L76" s="29">
        <f t="shared" si="52"/>
        <v>0</v>
      </c>
      <c r="M76" s="17">
        <f>COUNTIFS('Prácticas_Revisiones'!$S$2:$S$282,"T064",'Prácticas_Revisiones'!$T$2:$T$282,"ARCHITECTURE &gt; Software Architecture Fundamentals")+COUNTIFS('Prácticas_Snowballing'!$AB$2:$AB$281,"T064",'Prácticas_Snowballing'!$AC$2:$AC$281,"ARCHITECTURE &gt; Software Architecture Fundamentals")</f>
        <v>0</v>
      </c>
      <c r="N76" s="17">
        <f>COUNTIFS('Prácticas_Revisiones'!$S$2:$S$282,"T064",'Prácticas_Revisiones'!$T$2:$T$282,"ARCHITECTURE &gt; Software Architecture Description")+COUNTIFS('Prácticas_Snowballing'!$AB$2:$AB$281,"T064",'Prácticas_Snowballing'!$AC$2:$AC$281,"ARCHITECTURE &gt; Software Architecture Description")</f>
        <v>0</v>
      </c>
      <c r="O76" s="17">
        <f>COUNTIFS('Prácticas_Revisiones'!$S$2:$S$282,"T064",'Prácticas_Revisiones'!$T$2:$T$282,"ARCHITECTURE &gt; Software Architecture Process")+COUNTIFS('Prácticas_Snowballing'!$AB$2:$AB$281,"T064",'Prácticas_Snowballing'!$AC$2:$AC$281,"ARCHITECTURE &gt; Software Architecture Process")</f>
        <v>0</v>
      </c>
      <c r="P76" s="17">
        <f>COUNTIFS('Prácticas_Revisiones'!$S$2:$S$282,"T064",'Prácticas_Revisiones'!$T$2:$T$282,"ARCHITECTURE &gt; Software Architecture Evaluation")+COUNTIFS('Prácticas_Snowballing'!$AB$2:$AB$281,"T064",'Prácticas_Snowballing'!$AC$2:$AC$281,"ARCHITECTURE &gt; Software Architecture Evaluation")</f>
        <v>0</v>
      </c>
      <c r="Q76" s="17">
        <f>COUNTIFS('Prácticas_Revisiones'!$S$2:$S$282,"T064",'Prácticas_Revisiones'!$T$2:$T$282,"ARCHITECTURE &gt; Subárea no determinable")+COUNTIFS('Prácticas_Snowballing'!$AB$2:$AB$281,"T064",'Prácticas_Snowballing'!$AC$2:$AC$281,"ARCHITECTURE &gt; Subárea no determinable")</f>
        <v>0</v>
      </c>
      <c r="R76" s="29">
        <f t="shared" si="53"/>
        <v>0</v>
      </c>
      <c r="S76" s="17">
        <f>COUNTIFS('Prácticas_Revisiones'!$S$2:$S$282,"T064",'Prácticas_Revisiones'!$T$2:$T$282,"DESIGN &gt; Software Design Fundamentals")+COUNTIFS('Prácticas_Snowballing'!$AB$2:$AB$281,"T064",'Prácticas_Snowballing'!$AC$2:$AC$281,"DESIGN &gt; Software Design Fundamentals")</f>
        <v>0</v>
      </c>
      <c r="T76" s="17">
        <f>COUNTIFS('Prácticas_Revisiones'!$S$2:$S$282,"T064",'Prácticas_Revisiones'!$T$2:$T$282,"DESIGN &gt; Software Design Processes")+COUNTIFS('Prácticas_Snowballing'!$AB$2:$AB$281,"T064",'Prácticas_Snowballing'!$AC$2:$AC$281,"DESIGN &gt; Software Design Processes")</f>
        <v>0</v>
      </c>
      <c r="U76" s="17">
        <f>COUNTIFS('Prácticas_Revisiones'!$S$2:$S$282,"T064",'Prácticas_Revisiones'!$T$2:$T$282,"DESIGN &gt; Software Design Qualities")+COUNTIFS('Prácticas_Snowballing'!$AB$2:$AB$281,"T064",'Prácticas_Snowballing'!$AC$2:$AC$281,"DESIGN &gt; Software Design Qualities")</f>
        <v>0</v>
      </c>
      <c r="V76" s="17">
        <f>COUNTIFS('Prácticas_Revisiones'!$S$2:$S$282,"T064",'Prácticas_Revisiones'!$T$2:$T$282,"DESIGN &gt; Recording Software Design")+COUNTIFS('Prácticas_Snowballing'!$AB$2:$AB$281,"T064",'Prácticas_Snowballing'!$AC$2:$AC$281,"DESIGN &gt; Recording Software Design")</f>
        <v>0</v>
      </c>
      <c r="W76" s="17">
        <f>COUNTIFS('Prácticas_Revisiones'!$S$2:$S$282,"T064",'Prácticas_Revisiones'!$T$2:$T$282,"DESIGN &gt; Software Design Strategies and Methods")+COUNTIFS('Prácticas_Snowballing'!$AB$2:$AB$281,"T064",'Prácticas_Snowballing'!$AC$2:$AC$281,"DESIGN &gt; Software Design Strategies and Methods")</f>
        <v>0</v>
      </c>
      <c r="X76" s="17">
        <f>COUNTIFS('Prácticas_Revisiones'!$S$2:$S$282,"T064",'Prácticas_Revisiones'!$T$2:$T$282,"DESIGN &gt; Software Design Analysis and Evaluations")+COUNTIFS('Prácticas_Snowballing'!$AB$2:$AB$281,"T064",'Prácticas_Snowballing'!$AC$2:$AC$281,"DESIGN &gt; Software Design Analysis and Evaluations")</f>
        <v>0</v>
      </c>
      <c r="Y76" s="17">
        <f>COUNTIFS('Prácticas_Revisiones'!$S$2:$S$282,"T064",'Prácticas_Revisiones'!$T$2:$T$282,"DESIGN &gt; Subárea no determinable")+COUNTIFS('Prácticas_Snowballing'!$AB$2:$AB$281,"T064",'Prácticas_Snowballing'!$AC$2:$AC$281,"DESIGN &gt; Subárea no determinable")</f>
        <v>0</v>
      </c>
      <c r="Z76" s="29">
        <f t="shared" si="54"/>
        <v>0</v>
      </c>
      <c r="AA76" s="17">
        <f>COUNTIFS('Prácticas_Revisiones'!$S$2:$S$282,"T064",'Prácticas_Revisiones'!$T$2:$T$282,"CONSTRUCTION &gt; Software Construction Fundamentals")+COUNTIFS('Prácticas_Snowballing'!$AB$2:$AB$281,"T064",'Prácticas_Snowballing'!$AC$2:$AC$281,"CONSTRUCTION &gt; Software Construction Fundamentals")</f>
        <v>0</v>
      </c>
      <c r="AB76" s="17">
        <f>COUNTIFS('Prácticas_Revisiones'!$S$2:$S$282,"T064",'Prácticas_Revisiones'!$T$2:$T$282,"CONSTRUCTION &gt; Managing Construction")+COUNTIFS('Prácticas_Snowballing'!$AB$2:$AB$281,"T064",'Prácticas_Snowballing'!$AC$2:$AC$281,"CONSTRUCTION &gt; Managing Construction")</f>
        <v>0</v>
      </c>
      <c r="AC76" s="17">
        <f>COUNTIFS('Prácticas_Revisiones'!$S$2:$S$282,"T064",'Prácticas_Revisiones'!$T$2:$T$282,"CONSTRUCTION &gt; Practical Considerations")+COUNTIFS('Prácticas_Snowballing'!$AB$2:$AB$281,"T064",'Prácticas_Snowballing'!$AC$2:$AC$281,"CONSTRUCTION &gt; Practical Considerations")</f>
        <v>0</v>
      </c>
      <c r="AD76" s="17">
        <f>COUNTIFS('Prácticas_Revisiones'!$S$2:$S$282,"T064",'Prácticas_Revisiones'!$T$2:$T$282,"CONSTRUCTION &gt; Construction Technologies")+COUNTIFS('Prácticas_Snowballing'!$AB$2:$AB$281,"T064",'Prácticas_Snowballing'!$AC$2:$AC$281,"CONSTRUCTION &gt; Construction Technologies")</f>
        <v>0</v>
      </c>
      <c r="AE76" s="17">
        <f>COUNTIFS('Prácticas_Revisiones'!$S$2:$S$282,"T064",'Prácticas_Revisiones'!$T$2:$T$282,"CONSTRUCTION &gt; Software Construction Tools")+COUNTIFS('Prácticas_Snowballing'!$AB$2:$AB$281,"T064",'Prácticas_Snowballing'!$AC$2:$AC$281,"CONSTRUCTION &gt; Software Construction Tools")</f>
        <v>0</v>
      </c>
      <c r="AF76" s="17">
        <f>COUNTIFS('Prácticas_Revisiones'!$S$2:$S$282,"T064",'Prácticas_Revisiones'!$T$2:$T$282,"CONSTRUCTION &gt; Subárea no determinable")+COUNTIFS('Prácticas_Snowballing'!$AB$2:$AB$281,"T064",'Prácticas_Snowballing'!$AC$2:$AC$281,"CONSTRUCTION &gt; Subárea no determinable")</f>
        <v>0</v>
      </c>
      <c r="AG76" s="29">
        <f t="shared" si="55"/>
        <v>0</v>
      </c>
      <c r="AH76" s="17">
        <f>COUNTIFS('Prácticas_Revisiones'!$S$2:$S$282,"T064",'Prácticas_Revisiones'!$T$2:$T$282,"SOFTWARE TESTING &gt; Software Testing Fundamentals")+COUNTIFS('Prácticas_Snowballing'!$AB$2:$AB$281,"T064",'Prácticas_Snowballing'!$AC$2:$AC$281,"SOFTWARE TESTING &gt; Software Testing Fundamentals")</f>
        <v>0</v>
      </c>
      <c r="AI76" s="17">
        <f>COUNTIFS('Prácticas_Revisiones'!$S$2:$S$282,"T064",'Prácticas_Revisiones'!$T$2:$T$282,"SOFTWARE TESTING &gt; Test Levels")+COUNTIFS('Prácticas_Snowballing'!$AB$2:$AB$281,"T064",'Prácticas_Snowballing'!$AC$2:$AC$281,"SOFTWARE TESTING &gt; Test Levels")</f>
        <v>0</v>
      </c>
      <c r="AJ76" s="17">
        <f>COUNTIFS('Prácticas_Revisiones'!$S$2:$S$282,"T064",'Prácticas_Revisiones'!$T$2:$T$282,"SOFTWARE TESTING &gt; Test Techniques")+COUNTIFS('Prácticas_Snowballing'!$AB$2:$AB$281,"T064",'Prácticas_Snowballing'!$AC$2:$AC$281,"SOFTWARE TESTING &gt; Test Techniques")</f>
        <v>0</v>
      </c>
      <c r="AK76" s="17">
        <f>COUNTIFS('Prácticas_Revisiones'!$S$2:$S$282,"T064",'Prácticas_Revisiones'!$T$2:$T$282,"SOFTWARE TESTING &gt; Test-Related Measures")+COUNTIFS('Prácticas_Snowballing'!$AB$2:$AB$281,"T064",'Prácticas_Snowballing'!$AC$2:$AC$281,"SOFTWARE TESTING &gt; Test-Related Measures")</f>
        <v>0</v>
      </c>
      <c r="AL76" s="17">
        <f>COUNTIFS('Prácticas_Revisiones'!$S$2:$S$282,"T064",'Prácticas_Revisiones'!$T$2:$T$282,"SOFTWARE TESTING &gt; Test Process")+COUNTIFS('Prácticas_Snowballing'!$AB$2:$AB$281,"T064",'Prácticas_Snowballing'!$AC$2:$AC$281,"SOFTWARE TESTING &gt; Test Process")</f>
        <v>0</v>
      </c>
      <c r="AM76" s="17">
        <f>COUNTIFS('Prácticas_Revisiones'!$S$2:$S$282,"T064",'Prácticas_Revisiones'!$T$2:$T$282,"SOFTWARE TESTING &gt; Software Testing in the Development Processes...")+COUNTIFS('Prácticas_Snowballing'!$AB$2:$AB$281,"T064",'Prácticas_Snowballing'!$AC$2:$AC$281,"SOFTWARE TESTING &gt; Software Testing in the Development Processes...")</f>
        <v>0</v>
      </c>
      <c r="AN76" s="17">
        <f>COUNTIFS('Prácticas_Revisiones'!$S$2:$S$282,"T064",'Prácticas_Revisiones'!$T$2:$T$282,"SOFTWARE TESTING &gt; Testing of and Testing Through Emerging Tech...")+COUNTIFS('Prácticas_Snowballing'!$AB$2:$AB$281,"T064",'Prácticas_Snowballing'!$AC$2:$AC$281,"SOFTWARE TESTING &gt; Testing of and Testing Through Emerging Tech...")</f>
        <v>0</v>
      </c>
      <c r="AO76" s="17">
        <f>COUNTIFS('Prácticas_Revisiones'!$S$2:$S$282,"T064",'Prácticas_Revisiones'!$T$2:$T$282,"SOFTWARE TESTING &gt; Software Testing Tools")+COUNTIFS('Prácticas_Snowballing'!$AB$2:$AB$281,"T064",'Prácticas_Snowballing'!$AC$2:$AC$281,"SOFTWARE TESTING &gt; Software Testing Tools")</f>
        <v>0</v>
      </c>
      <c r="AP76" s="17">
        <f>COUNTIFS('Prácticas_Revisiones'!$S$2:$S$282,"T064",'Prácticas_Revisiones'!$T$2:$T$282,"SOFTWARE TESTING &gt; Subárea no determinable")+COUNTIFS('Prácticas_Snowballing'!$AB$2:$AB$281,"T064",'Prácticas_Snowballing'!$AC$2:$AC$281,"SOFTWARE TESTING &gt; Subárea no determinable")</f>
        <v>0</v>
      </c>
      <c r="AQ76" s="29">
        <f t="shared" si="56"/>
        <v>0</v>
      </c>
      <c r="AR76" s="17">
        <f>COUNTIFS('Prácticas_Revisiones'!$S$2:$S$282,"T064",'Prácticas_Revisiones'!$T$2:$T$282,"SOFTWARE ENG. OPERATIONS &gt; Software Engineering Operations Fundamentals")+COUNTIFS('Prácticas_Snowballing'!$AB$2:$AB$281,"T064",'Prácticas_Snowballing'!$AC$2:$AC$281,"SOFTWARE ENG. OPERATIONS &gt; Software Engineering Operations Fundamentals")</f>
        <v>0</v>
      </c>
      <c r="AS76" s="17">
        <f>COUNTIFS('Prácticas_Revisiones'!$S$2:$S$282,"T064",'Prácticas_Revisiones'!$T$2:$T$282,"SOFTWARE ENG. OPERATIONS &gt; Software Engineering Operations Planning")+COUNTIFS('Prácticas_Snowballing'!$AB$2:$AB$281,"T064",'Prácticas_Snowballing'!$AC$2:$AC$281,"SOFTWARE ENG. OPERATIONS &gt; Software Engineering Operations Planning")</f>
        <v>0</v>
      </c>
      <c r="AT76" s="17">
        <f>COUNTIFS('Prácticas_Revisiones'!$S$2:$S$282,"T064",'Prácticas_Revisiones'!$T$2:$T$282,"SOFTWARE ENG. OPERATIONS &gt; Software Engineering Operations Delivery")+COUNTIFS('Prácticas_Snowballing'!$AB$2:$AB$281,"T064",'Prácticas_Snowballing'!$AC$2:$AC$281,"SOFTWARE ENG. OPERATIONS &gt; Software Engineering Operations Delivery")</f>
        <v>0</v>
      </c>
      <c r="AU76" s="17">
        <f>COUNTIFS('Prácticas_Revisiones'!$S$2:$S$282,"T064",'Prácticas_Revisiones'!$T$2:$T$282,"SOFTWARE ENG. OPERATIONS &gt; Software Engineering Operations Control")+COUNTIFS('Prácticas_Snowballing'!$AB$2:$AB$281,"T064",'Prácticas_Snowballing'!$AC$2:$AC$281,"SOFTWARE ENG. OPERATIONS &gt; Software Engineering Operations Control")</f>
        <v>0</v>
      </c>
      <c r="AV76" s="17">
        <f>COUNTIFS('Prácticas_Revisiones'!$S$2:$S$282,"T064",'Prácticas_Revisiones'!$T$2:$T$282,"SOFTWARE ENG. OPERATIONS &gt; Practical Considerations")+COUNTIFS('Prácticas_Snowballing'!$AB$2:$AB$281,"T064",'Prácticas_Snowballing'!$AC$2:$AC$281,"SOFTWARE ENG. OPERATIONS &gt; Practical Considerations")</f>
        <v>0</v>
      </c>
      <c r="AW76" s="17">
        <f>COUNTIFS('Prácticas_Revisiones'!$S$2:$S$282,"T064",'Prácticas_Revisiones'!$T$2:$T$282,"SOFTWARE ENG. OPERATIONS &gt; Software Engineering Operations Tools")+COUNTIFS('Prácticas_Snowballing'!$AB$2:$AB$281,"T064",'Prácticas_Snowballing'!$AC$2:$AC$281,"SOFTWARE ENG. OPERATIONS &gt; Software Engineering Operations Tools")</f>
        <v>0</v>
      </c>
      <c r="AX76" s="17">
        <f>COUNTIFS('Prácticas_Revisiones'!$S$2:$S$282,"T064",'Prácticas_Revisiones'!$T$2:$T$282,"SOFTWARE ENG. OPERATIONS &gt; Subárea no determinable")+COUNTIFS('Prácticas_Snowballing'!$AB$2:$AB$281,"T064",'Prácticas_Snowballing'!$AC$2:$AC$281,"SOFTWARE ENG. OPERATIONS &gt; Subárea no determinable")</f>
        <v>0</v>
      </c>
      <c r="AY76" s="29">
        <f t="shared" si="57"/>
        <v>0</v>
      </c>
      <c r="AZ76" s="17">
        <f>COUNTIFS('Prácticas_Revisiones'!$S$2:$S$282,"T064",'Prácticas_Revisiones'!$T$2:$T$282,"MAINTENANCE &gt; Software Maintenance Fundamentals")+COUNTIFS('Prácticas_Snowballing'!$AB$2:$AB$281,"T064",'Prácticas_Snowballing'!$AC$2:$AC$281,"MAINTENANCE &gt; Software Maintenance Fundamentals")</f>
        <v>0</v>
      </c>
      <c r="BA76" s="17">
        <f>COUNTIFS('Prácticas_Revisiones'!$S$2:$S$282,"T064",'Prácticas_Revisiones'!$T$2:$T$282,"MAINTENANCE &gt; Key Issues in Software Maintenance")+COUNTIFS('Prácticas_Snowballing'!$AB$2:$AB$281,"T064",'Prácticas_Snowballing'!$AC$2:$AC$281,"MAINTENANCE &gt; Key Issues in Software Maintenance")</f>
        <v>0</v>
      </c>
      <c r="BB76" s="17">
        <f>COUNTIFS('Prácticas_Revisiones'!$S$2:$S$282,"T064",'Prácticas_Revisiones'!$T$2:$T$282,"MAINTENANCE &gt; Software Maintenance Processes")+COUNTIFS('Prácticas_Snowballing'!$AB$2:$AB$281,"T064",'Prácticas_Snowballing'!$AC$2:$AC$281,"MAINTENANCE &gt; Software Maintenance Processes")</f>
        <v>0</v>
      </c>
      <c r="BC76" s="17">
        <f>COUNTIFS('Prácticas_Revisiones'!$S$2:$S$282,"T064",'Prácticas_Revisiones'!$T$2:$T$282,"MAINTENANCE &gt; Software Maintenance Techniques")+COUNTIFS('Prácticas_Snowballing'!$AB$2:$AB$281,"T064",'Prácticas_Snowballing'!$AC$2:$AC$281,"MAINTENANCE &gt; Software Maintenance Techniques")</f>
        <v>0</v>
      </c>
      <c r="BD76" s="17">
        <f>COUNTIFS('Prácticas_Revisiones'!$S$2:$S$282,"T064",'Prácticas_Revisiones'!$T$2:$T$282,"MAINTENANCE &gt; Software Maintenance Tools")+COUNTIFS('Prácticas_Snowballing'!$AB$2:$AB$281,"T064",'Prácticas_Snowballing'!$AC$2:$AC$281,"MAINTENANCE &gt; Software Maintenance Tools")</f>
        <v>0</v>
      </c>
      <c r="BE76" s="17">
        <f>COUNTIFS('Prácticas_Revisiones'!$S$2:$S$282,"T064",'Prácticas_Revisiones'!$T$2:$T$282,"MAINTENANCE &gt; Subárea no determinable")+COUNTIFS('Prácticas_Snowballing'!$AB$2:$AB$281,"T064",'Prácticas_Snowballing'!$AC$2:$AC$281,"MAINTENANCE &gt; Subárea no determinable")</f>
        <v>0</v>
      </c>
      <c r="BF76" s="29">
        <f t="shared" si="58"/>
        <v>0</v>
      </c>
      <c r="BG76" s="17">
        <f>COUNTIFS('Prácticas_Revisiones'!$S$2:$S$282,"T064",'Prácticas_Revisiones'!$T$2:$T$282,"SOFTWARE CONFIG. MGMT. &gt; Management of the SCM Process")+COUNTIFS('Prácticas_Snowballing'!$AB$2:$AB$281,"T064",'Prácticas_Snowballing'!$AC$2:$AC$281,"SOFTWARE CONFIG. MGMT. &gt; Management of the SCM Process")</f>
        <v>0</v>
      </c>
      <c r="BH76" s="17">
        <f>COUNTIFS('Prácticas_Revisiones'!$S$2:$S$282,"T064",'Prácticas_Revisiones'!$T$2:$T$282,"SOFTWARE CONFIG. MGMT. &gt; Software Configuration Identification")+COUNTIFS('Prácticas_Snowballing'!$AB$2:$AB$281,"T064",'Prácticas_Snowballing'!$AC$2:$AC$281,"SOFTWARE CONFIG. MGMT. &gt; Software Configuration Identification")</f>
        <v>0</v>
      </c>
      <c r="BI76" s="17">
        <f>COUNTIFS('Prácticas_Revisiones'!$S$2:$S$282,"T064",'Prácticas_Revisiones'!$T$2:$T$282,"SOFTWARE CONFIG. MGMT. &gt; Software Configuration Change Control")+COUNTIFS('Prácticas_Snowballing'!$AB$2:$AB$281,"T064",'Prácticas_Snowballing'!$AC$2:$AC$281,"SOFTWARE CONFIG. MGMT. &gt; Software Configuration Change Control")</f>
        <v>0</v>
      </c>
      <c r="BJ76" s="17">
        <f>COUNTIFS('Prácticas_Revisiones'!$S$2:$S$282,"T064",'Prácticas_Revisiones'!$T$2:$T$282,"SOFTWARE CONFIG. MGMT. &gt; Software Configuration Status Accounting")+COUNTIFS('Prácticas_Snowballing'!$AB$2:$AB$281,"T064",'Prácticas_Snowballing'!$AC$2:$AC$281,"SOFTWARE CONFIG. MGMT. &gt; Software Configuration Status Accounting")</f>
        <v>0</v>
      </c>
      <c r="BK76" s="17">
        <f>COUNTIFS('Prácticas_Revisiones'!$S$2:$S$282,"T064",'Prácticas_Revisiones'!$T$2:$T$282,"SOFTWARE CONFIG. MGMT. &gt; Software Configuration Auditing")+COUNTIFS('Prácticas_Snowballing'!$AB$2:$AB$281,"T064",'Prácticas_Snowballing'!$AC$2:$AC$281,"SOFTWARE CONFIG. MGMT. &gt; Software Configuration Auditing")</f>
        <v>0</v>
      </c>
      <c r="BL76" s="17">
        <f>COUNTIFS('Prácticas_Revisiones'!$S$2:$S$282,"T064",'Prácticas_Revisiones'!$T$2:$T$282,"SOFTWARE CONFIG. MGMT. &gt; Software Release Management and Delivery")+COUNTIFS('Prácticas_Snowballing'!$AB$2:$AB$281,"T064",'Prácticas_Snowballing'!$AC$2:$AC$281,"SOFTWARE CONFIG. MGMT. &gt; Software Release Management and Delivery")</f>
        <v>0</v>
      </c>
      <c r="BM76" s="17">
        <f>COUNTIFS('Prácticas_Revisiones'!$S$2:$S$282,"T064",'Prácticas_Revisiones'!$T$2:$T$282,"SOFTWARE CONFIG. MGMT. &gt; Software Configuration Management Tools")+COUNTIFS('Prácticas_Snowballing'!$AB$2:$AB$281,"T064",'Prácticas_Snowballing'!$AC$2:$AC$281,"SOFTWARE CONFIG. MGMT. &gt; Software Configuration Management Tools")</f>
        <v>0</v>
      </c>
      <c r="BN76" s="17">
        <f>COUNTIFS('Prácticas_Revisiones'!$S$2:$S$282,"T064",'Prácticas_Revisiones'!$T$2:$T$282,"SOFTWARE CONFIG. MGMT. &gt; Subárea no determinable")+COUNTIFS('Prácticas_Snowballing'!$AB$2:$AB$281,"T064",'Prácticas_Snowballing'!$AC$2:$AC$281,"SOFTWARE CONFIG. MGMT. &gt; Subárea no determinable")</f>
        <v>0</v>
      </c>
      <c r="BO76" s="29">
        <f t="shared" si="59"/>
        <v>0</v>
      </c>
      <c r="BP76" s="17">
        <f>COUNTIFS('Prácticas_Revisiones'!$S$2:$S$282,"T064",'Prácticas_Revisiones'!$T$2:$T$282,"SOFTWARE ENG. PROCESS &gt; Software Engineering Process Fundamentals")+COUNTIFS('Prácticas_Snowballing'!$AB$2:$AB$281,"T064",'Prácticas_Snowballing'!$AC$2:$AC$281,"SOFTWARE ENG. PROCESS &gt; Software Engineering Process Fundamentals")</f>
        <v>0</v>
      </c>
      <c r="BQ76" s="17">
        <f>COUNTIFS('Prácticas_Revisiones'!$S$2:$S$282,"T064",'Prácticas_Revisiones'!$T$2:$T$282,"SOFTWARE ENG. PROCESS &gt; Life Cycles")+COUNTIFS('Prácticas_Snowballing'!$AB$2:$AB$281,"T064",'Prácticas_Snowballing'!$AC$2:$AC$281,"SOFTWARE ENG. PROCESS &gt; Life Cycles")</f>
        <v>0</v>
      </c>
      <c r="BR76" s="17">
        <f>COUNTIFS('Prácticas_Revisiones'!$S$2:$S$282,"T064",'Prácticas_Revisiones'!$T$2:$T$282,"SOFTWARE ENG. PROCESS &gt; Software Process Assessment and Improvement")+COUNTIFS('Prácticas_Snowballing'!$AB$2:$AB$281,"T064",'Prácticas_Snowballing'!$AC$2:$AC$281,"SOFTWARE ENG. PROCESS &gt; Software Process Assessment and Improvement")</f>
        <v>0</v>
      </c>
      <c r="BS76" s="17">
        <f>COUNTIFS('Prácticas_Revisiones'!$S$2:$S$282,"T064",'Prácticas_Revisiones'!$T$2:$T$282,"SOFTWARE ENG. PROCESS &gt; Subárea no determinable")+COUNTIFS('Prácticas_Snowballing'!$AB$2:$AB$281,"T064",'Prácticas_Snowballing'!$AC$2:$AC$281,"SOFTWARE ENG. PROCESS &gt; Subárea no determinable")</f>
        <v>0</v>
      </c>
      <c r="BT76" s="29">
        <f t="shared" si="60"/>
        <v>0</v>
      </c>
      <c r="BU76" s="17">
        <f>COUNTIFS('Prácticas_Revisiones'!$S$2:$S$282,"T064",'Prácticas_Revisiones'!$T$2:$T$282,"SOFTWARE ENG. MODELS/METH. &gt; Modeling")+COUNTIFS('Prácticas_Snowballing'!$AB$2:$AB$281,"T064",'Prácticas_Snowballing'!$AC$2:$AC$281,"SOFTWARE ENG. MODELS/METH. &gt; Modeling")</f>
        <v>0</v>
      </c>
      <c r="BV76" s="17">
        <f>COUNTIFS('Prácticas_Revisiones'!$S$2:$S$282,"T064",'Prácticas_Revisiones'!$T$2:$T$282,"SOFTWARE ENG. MODELS/METH. &gt; Types of Models")+COUNTIFS('Prácticas_Snowballing'!$AB$2:$AB$281,"T064",'Prácticas_Snowballing'!$AC$2:$AC$281,"SOFTWARE ENG. MODELS/METH. &gt; Types of Models")</f>
        <v>0</v>
      </c>
      <c r="BW76" s="17">
        <f>COUNTIFS('Prácticas_Revisiones'!$S$2:$S$282,"T064",'Prácticas_Revisiones'!$T$2:$T$282,"SOFTWARE ENG. MODELS/METH. &gt; Analysis of Models")+COUNTIFS('Prácticas_Snowballing'!$AB$2:$AB$281,"T064",'Prácticas_Snowballing'!$AC$2:$AC$281,"SOFTWARE ENG. MODELS/METH. &gt; Analysis of Models")</f>
        <v>0</v>
      </c>
      <c r="BX76" s="17">
        <f>COUNTIFS('Prácticas_Revisiones'!$S$2:$S$282,"T064",'Prácticas_Revisiones'!$T$2:$T$282,"SOFTWARE ENG. MODELS/METH. &gt; Software Engineering Methods")+COUNTIFS('Prácticas_Snowballing'!$AB$2:$AB$281,"T064",'Prácticas_Snowballing'!$AC$2:$AC$281,"SOFTWARE ENG. MODELS/METH. &gt; Software Engineering Methods")</f>
        <v>0</v>
      </c>
      <c r="BY76" s="17">
        <f>COUNTIFS('Prácticas_Revisiones'!$S$2:$S$282,"T064",'Prácticas_Revisiones'!$T$2:$T$282,"SOFTWARE ENG. MODELS/METH. &gt; Subárea no determinable")+COUNTIFS('Prácticas_Snowballing'!$AB$2:$AB$281,"T064",'Prácticas_Snowballing'!$AC$2:$AC$281,"SOFTWARE ENG. MODELS/METH. &gt; Subárea no determinable")</f>
        <v>0</v>
      </c>
      <c r="BZ76" s="29">
        <f t="shared" si="61"/>
        <v>0</v>
      </c>
      <c r="CA76" s="17">
        <f>COUNTIFS('Prácticas_Revisiones'!$S$2:$S$282,"T064",'Prácticas_Revisiones'!$T$2:$T$282,"SOFTWARE QUALITY &gt; Software Quality Fundamentals")+COUNTIFS('Prácticas_Snowballing'!$AB$2:$AB$281,"T064",'Prácticas_Snowballing'!$AC$2:$AC$281,"SOFTWARE QUALITY &gt; Software Quality Fundamentals")</f>
        <v>0</v>
      </c>
      <c r="CB76" s="17">
        <f>COUNTIFS('Prácticas_Revisiones'!$S$2:$S$282,"T064",'Prácticas_Revisiones'!$T$2:$T$282,"SOFTWARE QUALITY &gt; Software Quality Management Process")+COUNTIFS('Prácticas_Snowballing'!$AB$2:$AB$281,"T064",'Prácticas_Snowballing'!$AC$2:$AC$281,"SOFTWARE QUALITY &gt; Software Quality Management Process")</f>
        <v>0</v>
      </c>
      <c r="CC76" s="17">
        <f>COUNTIFS('Prácticas_Revisiones'!$S$2:$S$282,"T064",'Prácticas_Revisiones'!$T$2:$T$282,"SOFTWARE QUALITY &gt; Software Quality Assurance Process")+COUNTIFS('Prácticas_Snowballing'!$AB$2:$AB$281,"T064",'Prácticas_Snowballing'!$AC$2:$AC$281,"SOFTWARE QUALITY &gt; Software Quality Assurance Process")</f>
        <v>0</v>
      </c>
      <c r="CD76" s="17">
        <f>COUNTIFS('Prácticas_Revisiones'!$S$2:$S$282,"T064",'Prácticas_Revisiones'!$T$2:$T$282,"SOFTWARE QUALITY &gt; Software Quality Tools")+COUNTIFS('Prácticas_Snowballing'!$AB$2:$AB$281,"T064",'Prácticas_Snowballing'!$AC$2:$AC$281,"SOFTWARE QUALITY &gt; Software Quality Tools")</f>
        <v>0</v>
      </c>
      <c r="CE76" s="17">
        <f>COUNTIFS('Prácticas_Revisiones'!$S$2:$S$282,"T064",'Prácticas_Revisiones'!$T$2:$T$282,"SOFTWARE QUALITY &gt; Subárea no determinable")+COUNTIFS('Prácticas_Snowballing'!$AB$2:$AB$281,"T064",'Prácticas_Snowballing'!$AC$2:$AC$281,"SOFTWARE QUALITY &gt; Subárea no determinable")</f>
        <v>0</v>
      </c>
      <c r="CF76" s="29">
        <f t="shared" si="62"/>
        <v>0</v>
      </c>
      <c r="CG76" s="17">
        <f>COUNTIFS('Prácticas_Revisiones'!$S$2:$S$282,"T064",'Prácticas_Revisiones'!$T$2:$T$282,"SOFTWARE SECURITY &gt; Software Security Fundamentals")+COUNTIFS('Prácticas_Snowballing'!$AB$2:$AB$281,"T064",'Prácticas_Snowballing'!$AC$2:$AC$281,"SOFTWARE SECURITY &gt; Software Security Fundamentals")</f>
        <v>0</v>
      </c>
      <c r="CH76" s="17">
        <f>COUNTIFS('Prácticas_Revisiones'!$S$2:$S$282,"T064",'Prácticas_Revisiones'!$T$2:$T$282,"SOFTWARE SECURITY &gt; Security Management and Organization")+COUNTIFS('Prácticas_Snowballing'!$AB$2:$AB$281,"T064",'Prácticas_Snowballing'!$AC$2:$AC$281,"SOFTWARE SECURITY &gt; Security Management and Organization")</f>
        <v>0</v>
      </c>
      <c r="CI76" s="17">
        <f>COUNTIFS('Prácticas_Revisiones'!$S$2:$S$282,"T064",'Prácticas_Revisiones'!$T$2:$T$282,"SOFTWARE SECURITY &gt; Software Security Engineering and Process")+COUNTIFS('Prácticas_Snowballing'!$AB$2:$AB$281,"T064",'Prácticas_Snowballing'!$AC$2:$AC$281,"SOFTWARE SECURITY &gt; Software Security Engineering and Process")</f>
        <v>0</v>
      </c>
      <c r="CJ76" s="17">
        <f>COUNTIFS('Prácticas_Revisiones'!$S$2:$S$282,"T064",'Prácticas_Revisiones'!$T$2:$T$282,"SOFTWARE SECURITY &gt; Security Engineering for Software Systems")+COUNTIFS('Prácticas_Snowballing'!$AB$2:$AB$281,"T064",'Prácticas_Snowballing'!$AC$2:$AC$281,"SOFTWARE SECURITY &gt; Security Engineering for Software Systems")</f>
        <v>0</v>
      </c>
      <c r="CK76" s="17">
        <f>COUNTIFS('Prácticas_Revisiones'!$S$2:$S$282,"T064",'Prácticas_Revisiones'!$T$2:$T$282,"SOFTWARE SECURITY &gt; Software Security Tools")+COUNTIFS('Prácticas_Snowballing'!$AB$2:$AB$281,"T064",'Prácticas_Snowballing'!$AC$2:$AC$281,"SOFTWARE SECURITY &gt; Software Security Tools")</f>
        <v>0</v>
      </c>
      <c r="CL76" s="17">
        <f>COUNTIFS('Prácticas_Revisiones'!$S$2:$S$282,"T064",'Prácticas_Revisiones'!$T$2:$T$282,"SOFTWARE SECURITY &gt; Domain Specific Software Security")+COUNTIFS('Prácticas_Snowballing'!$AB$2:$AB$281,"T064",'Prácticas_Snowballing'!$AC$2:$AC$281,"SOFTWARE SECURITY &gt; Domain Specific Software Security")</f>
        <v>0</v>
      </c>
      <c r="CM76" s="17">
        <f>COUNTIFS('Prácticas_Revisiones'!$S$2:$S$282,"T064",'Prácticas_Revisiones'!$T$2:$T$282,"SOFTWARE SECURITY &gt; Subárea no determinable")+COUNTIFS('Prácticas_Snowballing'!$AB$2:$AB$281,"T064",'Prácticas_Snowballing'!$AC$2:$AC$281,"SOFTWARE SECURITY &gt; Subárea no determinable")</f>
        <v>0</v>
      </c>
      <c r="CN76" s="29">
        <f t="shared" si="63"/>
        <v>0</v>
      </c>
      <c r="CO76" s="17">
        <f>COUNTIFS('Prácticas_Revisiones'!$S$2:$S$282,"T064",'Prácticas_Revisiones'!$T$2:$T$282,"PROFESSIONAL PRACTICE &gt; Professionalism")+COUNTIFS('Prácticas_Snowballing'!$AB$2:$AB$281,"T064",'Prácticas_Snowballing'!$AC$2:$AC$281,"PROFESSIONAL PRACTICE &gt; Professionalism")</f>
        <v>0</v>
      </c>
      <c r="CP76" s="17">
        <f>COUNTIFS('Prácticas_Revisiones'!$S$2:$S$282,"T064",'Prácticas_Revisiones'!$T$2:$T$282,"PROFESSIONAL PRACTICE &gt; Group Dynamics and Psychology")+COUNTIFS('Prácticas_Snowballing'!$AB$2:$AB$281,"T064",'Prácticas_Snowballing'!$AC$2:$AC$281,"PROFESSIONAL PRACTICE &gt; Group Dynamics and Psychology")</f>
        <v>0</v>
      </c>
      <c r="CQ76" s="17">
        <f>COUNTIFS('Prácticas_Revisiones'!$S$2:$S$282,"T064",'Prácticas_Revisiones'!$T$2:$T$282,"PROFESSIONAL PRACTICE &gt; Communication Skills")+COUNTIFS('Prácticas_Snowballing'!$AB$2:$AB$281,"T064",'Prácticas_Snowballing'!$AC$2:$AC$281,"PROFESSIONAL PRACTICE &gt; Communication Skills")</f>
        <v>0</v>
      </c>
      <c r="CR76" s="17">
        <f>COUNTIFS('Prácticas_Revisiones'!$S$2:$S$282,"T064",'Prácticas_Revisiones'!$T$2:$T$282,"PROFESSIONAL PRACTICE &gt; Subárea no determinable")+COUNTIFS('Prácticas_Snowballing'!$AB$2:$AB$281,"T064",'Prácticas_Snowballing'!$AC$2:$AC$281,"PROFESSIONAL PRACTICE &gt; Subárea no determinable")</f>
        <v>0</v>
      </c>
      <c r="CS76" s="29">
        <f t="shared" si="64"/>
        <v>0</v>
      </c>
      <c r="CT76" s="17">
        <f>COUNTIFS('Prácticas_Revisiones'!$S$2:$S$282,"T064",'Prácticas_Revisiones'!$T$2:$T$282,"SOFTWARE ENG. ECONOMICS &gt; Software Engineering Economics Fundamentals")+COUNTIFS('Prácticas_Snowballing'!$AB$2:$AB$281,"T064",'Prácticas_Snowballing'!$AC$2:$AC$281,"SOFTWARE ENG. ECONOMICS &gt; Software Engineering Economics Fundamentals")</f>
        <v>0</v>
      </c>
      <c r="CU76" s="17">
        <f>COUNTIFS('Prácticas_Revisiones'!$S$2:$S$282,"T064",'Prácticas_Revisiones'!$T$2:$T$282,"SOFTWARE ENG. ECONOMICS &gt; The Engineering Decision-Making Process")+COUNTIFS('Prácticas_Snowballing'!$AB$2:$AB$281,"T064",'Prácticas_Snowballing'!$AC$2:$AC$281,"SOFTWARE ENG. ECONOMICS &gt; The Engineering Decision-Making Process")</f>
        <v>0</v>
      </c>
      <c r="CV76" s="17">
        <f>COUNTIFS('Prácticas_Revisiones'!$S$2:$S$282,"T064",'Prácticas_Revisiones'!$T$2:$T$282,"SOFTWARE ENG. ECONOMICS &gt; For-Profit Decision-Making")+COUNTIFS('Prácticas_Snowballing'!$AB$2:$AB$281,"T064",'Prácticas_Snowballing'!$AC$2:$AC$281,"SOFTWARE ENG. ECONOMICS &gt; For-Profit Decision-Making")</f>
        <v>0</v>
      </c>
      <c r="CW76" s="17">
        <f>COUNTIFS('Prácticas_Revisiones'!$S$2:$S$282,"T064",'Prácticas_Revisiones'!$T$2:$T$282,"SOFTWARE ENG. ECONOMICS &gt; Nonprofit Decision-Making")+COUNTIFS('Prácticas_Snowballing'!$AB$2:$AB$281,"T064",'Prácticas_Snowballing'!$AC$2:$AC$281,"SOFTWARE ENG. ECONOMICS &gt; Nonprofit Decision-Making")</f>
        <v>0</v>
      </c>
      <c r="CX76" s="17">
        <f>COUNTIFS('Prácticas_Revisiones'!$S$2:$S$282,"T064",'Prácticas_Revisiones'!$T$2:$T$282,"SOFTWARE ENG. ECONOMICS &gt; Present Economy Decision-Making")+COUNTIFS('Prácticas_Snowballing'!$AB$2:$AB$281,"T064",'Prácticas_Snowballing'!$AC$2:$AC$281,"SOFTWARE ENG. ECONOMICS &gt; Present Economy Decision-Making")</f>
        <v>0</v>
      </c>
      <c r="CY76" s="17">
        <f>COUNTIFS('Prácticas_Revisiones'!$S$2:$S$282,"T064",'Prácticas_Revisiones'!$T$2:$T$282,"SOFTWARE ENG. ECONOMICS &gt; Multiple-Attribute Decision-Making")+COUNTIFS('Prácticas_Snowballing'!$AB$2:$AB$281,"T064",'Prácticas_Snowballing'!$AC$2:$AC$281,"SOFTWARE ENG. ECONOMICS &gt; Multiple-Attribute Decision-Making")</f>
        <v>0</v>
      </c>
      <c r="CZ76" s="17">
        <f>COUNTIFS('Prácticas_Revisiones'!$S$2:$S$282,"T064",'Prácticas_Revisiones'!$T$2:$T$282,"SOFTWARE ENG. ECONOMICS &gt; Identifying and Characterizing Intangible Assets")+COUNTIFS('Prácticas_Snowballing'!$AB$2:$AB$281,"T064",'Prácticas_Snowballing'!$AC$2:$AC$281,"SOFTWARE ENG. ECONOMICS &gt; Identifying and Characterizing Intangible Assets")</f>
        <v>0</v>
      </c>
      <c r="DA76" s="17">
        <f>COUNTIFS('Prácticas_Revisiones'!$S$2:$S$282,"T064",'Prácticas_Revisiones'!$T$2:$T$282,"SOFTWARE ENG. ECONOMICS &gt; Estimation")+COUNTIFS('Prácticas_Snowballing'!$AB$2:$AB$281,"T064",'Prácticas_Snowballing'!$AC$2:$AC$281,"SOFTWARE ENG. ECONOMICS &gt; Estimation")</f>
        <v>0</v>
      </c>
      <c r="DB76" s="17">
        <f>COUNTIFS('Prácticas_Revisiones'!$S$2:$S$282,"T064",'Prácticas_Revisiones'!$T$2:$T$282,"SOFTWARE ENG. ECONOMICS &gt; Practical Considerations")+COUNTIFS('Prácticas_Snowballing'!$AB$2:$AB$281,"T064",'Prácticas_Snowballing'!$AC$2:$AC$281,"SOFTWARE ENG. ECONOMICS &gt; Practical Considerations")</f>
        <v>0</v>
      </c>
      <c r="DC76" s="17">
        <f>COUNTIFS('Prácticas_Revisiones'!$S$2:$S$282,"T064",'Prácticas_Revisiones'!$T$2:$T$282,"SOFTWARE ENG. ECONOMICS &gt; Related Concepts")+COUNTIFS('Prácticas_Snowballing'!$AB$2:$AB$281,"T064",'Prácticas_Snowballing'!$AC$2:$AC$281,"SOFTWARE ENG. ECONOMICS &gt; Related Concepts")</f>
        <v>0</v>
      </c>
      <c r="DD76" s="17">
        <f>COUNTIFS('Prácticas_Revisiones'!$S$2:$S$282,"T064",'Prácticas_Revisiones'!$T$2:$T$282,"SOFTWARE ENG. ECONOMICS &gt; Subárea no determinable")+COUNTIFS('Prácticas_Snowballing'!$AB$2:$AB$281,"T064",'Prácticas_Snowballing'!$AC$2:$AC$281,"SOFTWARE ENG. ECONOMICS &gt; Subárea no determinable")</f>
        <v>0</v>
      </c>
      <c r="DE76" s="29">
        <f t="shared" si="65"/>
        <v>0</v>
      </c>
      <c r="DF76" s="17">
        <f>COUNTIFS('Prácticas_Revisiones'!$S$2:$S$282,"T064",'Prácticas_Revisiones'!$T$2:$T$282,"SOFTWARE ENG. MANAGEMENT &gt; Software Engineering Management Fundamentals")+COUNTIFS('Prácticas_Snowballing'!$AB$2:$AB$281,"T064",'Prácticas_Snowballing'!$AC$2:$AC$281,"SOFTWARE ENG. MANAGEMENT &gt; Software Engineering Management Fundamentals")</f>
        <v>0</v>
      </c>
      <c r="DG76" s="17">
        <f>COUNTIFS('Prácticas_Revisiones'!$S$2:$S$282,"T064",'Prácticas_Revisiones'!$T$2:$T$282,"SOFTWARE ENG. MANAGEMENT &gt; Initiation and Scope Definition")+COUNTIFS('Prácticas_Snowballing'!$AB$2:$AB$281,"T064",'Prácticas_Snowballing'!$AC$2:$AC$281,"SOFTWARE ENG. MANAGEMENT &gt; Initiation and Scope Definition")</f>
        <v>0</v>
      </c>
      <c r="DH76" s="17">
        <f>COUNTIFS('Prácticas_Revisiones'!$S$2:$S$282,"T064",'Prácticas_Revisiones'!$T$2:$T$282,"SOFTWARE ENG. MANAGEMENT &gt; Software Project Planning")+COUNTIFS('Prácticas_Snowballing'!$AB$2:$AB$281,"T064",'Prácticas_Snowballing'!$AC$2:$AC$281,"SOFTWARE ENG. MANAGEMENT &gt; Software Project Planning")</f>
        <v>0</v>
      </c>
      <c r="DI76" s="17">
        <f>COUNTIFS('Prácticas_Revisiones'!$S$2:$S$282,"T064",'Prácticas_Revisiones'!$T$2:$T$282,"SOFTWARE ENG. MANAGEMENT &gt; Software Project Enactment")+COUNTIFS('Prácticas_Snowballing'!$AB$2:$AB$281,"T064",'Prácticas_Snowballing'!$AC$2:$AC$281,"SOFTWARE ENG. MANAGEMENT &gt; Software Project Enactment")</f>
        <v>0</v>
      </c>
      <c r="DJ76" s="17">
        <f>COUNTIFS('Prácticas_Revisiones'!$S$2:$S$282,"T064",'Prácticas_Revisiones'!$T$2:$T$282,"SOFTWARE ENG. MANAGEMENT &gt; Review and Evaluation")+COUNTIFS('Prácticas_Snowballing'!$AB$2:$AB$281,"T064",'Prácticas_Snowballing'!$AC$2:$AC$281,"SOFTWARE ENG. MANAGEMENT &gt; Review and Evaluation")</f>
        <v>0</v>
      </c>
      <c r="DK76" s="17">
        <f>COUNTIFS('Prácticas_Revisiones'!$S$2:$S$282,"T064",'Prácticas_Revisiones'!$T$2:$T$282,"SOFTWARE ENG. MANAGEMENT &gt; Closure")+COUNTIFS('Prácticas_Snowballing'!$AB$2:$AB$281,"T064",'Prácticas_Snowballing'!$AC$2:$AC$281,"SOFTWARE ENG. MANAGEMENT &gt; Closure")</f>
        <v>0</v>
      </c>
      <c r="DL76" s="17">
        <f>COUNTIFS('Prácticas_Revisiones'!$S$2:$S$282,"T064",'Prácticas_Revisiones'!$T$2:$T$282,"SOFTWARE ENG. MANAGEMENT &gt; Software Engineering Management Tools")+COUNTIFS('Prácticas_Snowballing'!$AB$2:$AB$281,"T064",'Prácticas_Snowballing'!$AC$2:$AC$281,"SOFTWARE ENG. MANAGEMENT &gt; Software Engineering Management Tools")</f>
        <v>0</v>
      </c>
      <c r="DM76" s="17">
        <f>COUNTIFS('Prácticas_Revisiones'!$S$2:$S$282,"T064",'Prácticas_Revisiones'!$T$2:$T$282,"SOFTWARE ENG. MANAGEMENT &gt; Subárea no determinable")+COUNTIFS('Prácticas_Snowballing'!$AB$2:$AB$281,"T064",'Prácticas_Snowballing'!$AC$2:$AC$281,"SOFTWARE ENG. MANAGEMENT &gt; Subárea no determinable")</f>
        <v>0</v>
      </c>
      <c r="DN76" s="29">
        <f t="shared" si="66"/>
        <v>0</v>
      </c>
      <c r="DO76" s="17">
        <f>COUNTIFS('Prácticas_Revisiones'!$S$2:$S$282,"T064",'Prácticas_Revisiones'!$T$2:$T$282,"Sin área SWEBOK")+COUNTIFS('Prácticas_Snowballing'!$AB$2:$AB$281,"T064",'Prácticas_Snowballing'!$AC$2:$AC$281,"Sin área SWEBOK")</f>
        <v>0</v>
      </c>
      <c r="DP76" s="27">
        <f t="shared" si="67"/>
        <v>0</v>
      </c>
    </row>
    <row r="77" ht="15.75" customHeight="1">
      <c r="A77" s="28"/>
      <c r="B77" s="16" t="s">
        <v>2840</v>
      </c>
      <c r="C77" s="17">
        <f>COUNTIFS('Prácticas_Revisiones'!$S$2:$S$282,"T065",'Prácticas_Revisiones'!$T$2:$T$282,"REQUIREMENTS &gt; Software Requirements Fundamentals")+COUNTIFS('Prácticas_Snowballing'!$AB$2:$AB$281,"T065",'Prácticas_Snowballing'!$AC$2:$AC$281,"REQUIREMENTS &gt; Software Requirements Fundamentals")</f>
        <v>0</v>
      </c>
      <c r="D77" s="17">
        <f>COUNTIFS('Prácticas_Revisiones'!$S$2:$S$282,"T065",'Prácticas_Revisiones'!$T$2:$T$282,"REQUIREMENTS &gt; Requirements Elicitation")+COUNTIFS('Prácticas_Snowballing'!$AB$2:$AB$281,"T065",'Prácticas_Snowballing'!$AC$2:$AC$281,"REQUIREMENTS &gt; Requirements Elicitation")</f>
        <v>0</v>
      </c>
      <c r="E77" s="17">
        <f>COUNTIFS('Prácticas_Revisiones'!$S$2:$S$282,"T065",'Prácticas_Revisiones'!$T$2:$T$282,"REQUIREMENTS &gt; Requirements Analysis")+COUNTIFS('Prácticas_Snowballing'!$AB$2:$AB$281,"T065",'Prácticas_Snowballing'!$AC$2:$AC$281,"REQUIREMENTS &gt; Requirements Analysis")</f>
        <v>0</v>
      </c>
      <c r="F77" s="17">
        <f>COUNTIFS('Prácticas_Revisiones'!$S$2:$S$282,"T065",'Prácticas_Revisiones'!$T$2:$T$282,"REQUIREMENTS &gt; Requirements Specification")+COUNTIFS('Prácticas_Snowballing'!$AB$2:$AB$281,"T065",'Prácticas_Snowballing'!$AC$2:$AC$281,"REQUIREMENTS &gt; Requirements Specification")</f>
        <v>0</v>
      </c>
      <c r="G77" s="17">
        <f>COUNTIFS('Prácticas_Revisiones'!$S$2:$S$282,"T065",'Prácticas_Revisiones'!$T$2:$T$282,"REQUIREMENTS &gt; Requirements Validation")+COUNTIFS('Prácticas_Snowballing'!$AB$2:$AB$281,"T065",'Prácticas_Snowballing'!$AC$2:$AC$281,"REQUIREMENTS &gt; Requirements Validation")</f>
        <v>0</v>
      </c>
      <c r="H77" s="17">
        <f>COUNTIFS('Prácticas_Revisiones'!$S$2:$S$282,"T065",'Prácticas_Revisiones'!$T$2:$T$282,"REQUIREMENTS &gt; Requirements Management Activities")+COUNTIFS('Prácticas_Snowballing'!$AB$2:$AB$281,"T065",'Prácticas_Snowballing'!$AC$2:$AC$281,"REQUIREMENTS &gt; Requirements Management Activities")</f>
        <v>0</v>
      </c>
      <c r="I77" s="17">
        <f>COUNTIFS('Prácticas_Revisiones'!$S$2:$S$282,"T065",'Prácticas_Revisiones'!$T$2:$T$282,"REQUIREMENTS &gt; Practical Considerations")+COUNTIFS('Prácticas_Snowballing'!$AB$2:$AB$281,"T065",'Prácticas_Snowballing'!$AC$2:$AC$281,"REQUIREMENTS &gt; Practical Considerations")</f>
        <v>0</v>
      </c>
      <c r="J77" s="17">
        <f>COUNTIFS('Prácticas_Revisiones'!$S$2:$S$282,"T065",'Prácticas_Revisiones'!$T$2:$T$282,"REQUIREMENTS &gt; Software Requirements Tools")+COUNTIFS('Prácticas_Snowballing'!$AB$2:$AB$281,"T065",'Prácticas_Snowballing'!$AC$2:$AC$281,"REQUIREMENTS &gt; Software Requirements Tools")</f>
        <v>0</v>
      </c>
      <c r="K77" s="17">
        <f>COUNTIFS('Prácticas_Revisiones'!$S$2:$S$282,"T065",'Prácticas_Revisiones'!$T$2:$T$282,"REQUIREMENTS &gt; Subárea no determinable")+COUNTIFS('Prácticas_Snowballing'!$AB$2:$AB$281,"T065",'Prácticas_Snowballing'!$AC$2:$AC$281,"REQUIREMENTS &gt; Subárea no determinable")</f>
        <v>0</v>
      </c>
      <c r="L77" s="29">
        <f t="shared" si="52"/>
        <v>0</v>
      </c>
      <c r="M77" s="17">
        <f>COUNTIFS('Prácticas_Revisiones'!$S$2:$S$282,"T065",'Prácticas_Revisiones'!$T$2:$T$282,"ARCHITECTURE &gt; Software Architecture Fundamentals")+COUNTIFS('Prácticas_Snowballing'!$AB$2:$AB$281,"T065",'Prácticas_Snowballing'!$AC$2:$AC$281,"ARCHITECTURE &gt; Software Architecture Fundamentals")</f>
        <v>0</v>
      </c>
      <c r="N77" s="17">
        <f>COUNTIFS('Prácticas_Revisiones'!$S$2:$S$282,"T065",'Prácticas_Revisiones'!$T$2:$T$282,"ARCHITECTURE &gt; Software Architecture Description")+COUNTIFS('Prácticas_Snowballing'!$AB$2:$AB$281,"T065",'Prácticas_Snowballing'!$AC$2:$AC$281,"ARCHITECTURE &gt; Software Architecture Description")</f>
        <v>0</v>
      </c>
      <c r="O77" s="17">
        <f>COUNTIFS('Prácticas_Revisiones'!$S$2:$S$282,"T065",'Prácticas_Revisiones'!$T$2:$T$282,"ARCHITECTURE &gt; Software Architecture Process")+COUNTIFS('Prácticas_Snowballing'!$AB$2:$AB$281,"T065",'Prácticas_Snowballing'!$AC$2:$AC$281,"ARCHITECTURE &gt; Software Architecture Process")</f>
        <v>0</v>
      </c>
      <c r="P77" s="17">
        <f>COUNTIFS('Prácticas_Revisiones'!$S$2:$S$282,"T065",'Prácticas_Revisiones'!$T$2:$T$282,"ARCHITECTURE &gt; Software Architecture Evaluation")+COUNTIFS('Prácticas_Snowballing'!$AB$2:$AB$281,"T065",'Prácticas_Snowballing'!$AC$2:$AC$281,"ARCHITECTURE &gt; Software Architecture Evaluation")</f>
        <v>0</v>
      </c>
      <c r="Q77" s="17">
        <f>COUNTIFS('Prácticas_Revisiones'!$S$2:$S$282,"T065",'Prácticas_Revisiones'!$T$2:$T$282,"ARCHITECTURE &gt; Subárea no determinable")+COUNTIFS('Prácticas_Snowballing'!$AB$2:$AB$281,"T065",'Prácticas_Snowballing'!$AC$2:$AC$281,"ARCHITECTURE &gt; Subárea no determinable")</f>
        <v>0</v>
      </c>
      <c r="R77" s="29">
        <f t="shared" si="53"/>
        <v>0</v>
      </c>
      <c r="S77" s="17">
        <f>COUNTIFS('Prácticas_Revisiones'!$S$2:$S$282,"T065",'Prácticas_Revisiones'!$T$2:$T$282,"DESIGN &gt; Software Design Fundamentals")+COUNTIFS('Prácticas_Snowballing'!$AB$2:$AB$281,"T065",'Prácticas_Snowballing'!$AC$2:$AC$281,"DESIGN &gt; Software Design Fundamentals")</f>
        <v>0</v>
      </c>
      <c r="T77" s="17">
        <f>COUNTIFS('Prácticas_Revisiones'!$S$2:$S$282,"T065",'Prácticas_Revisiones'!$T$2:$T$282,"DESIGN &gt; Software Design Processes")+COUNTIFS('Prácticas_Snowballing'!$AB$2:$AB$281,"T065",'Prácticas_Snowballing'!$AC$2:$AC$281,"DESIGN &gt; Software Design Processes")</f>
        <v>0</v>
      </c>
      <c r="U77" s="17">
        <f>COUNTIFS('Prácticas_Revisiones'!$S$2:$S$282,"T065",'Prácticas_Revisiones'!$T$2:$T$282,"DESIGN &gt; Software Design Qualities")+COUNTIFS('Prácticas_Snowballing'!$AB$2:$AB$281,"T065",'Prácticas_Snowballing'!$AC$2:$AC$281,"DESIGN &gt; Software Design Qualities")</f>
        <v>0</v>
      </c>
      <c r="V77" s="17">
        <f>COUNTIFS('Prácticas_Revisiones'!$S$2:$S$282,"T065",'Prácticas_Revisiones'!$T$2:$T$282,"DESIGN &gt; Recording Software Design")+COUNTIFS('Prácticas_Snowballing'!$AB$2:$AB$281,"T065",'Prácticas_Snowballing'!$AC$2:$AC$281,"DESIGN &gt; Recording Software Design")</f>
        <v>0</v>
      </c>
      <c r="W77" s="17">
        <f>COUNTIFS('Prácticas_Revisiones'!$S$2:$S$282,"T065",'Prácticas_Revisiones'!$T$2:$T$282,"DESIGN &gt; Software Design Strategies and Methods")+COUNTIFS('Prácticas_Snowballing'!$AB$2:$AB$281,"T065",'Prácticas_Snowballing'!$AC$2:$AC$281,"DESIGN &gt; Software Design Strategies and Methods")</f>
        <v>0</v>
      </c>
      <c r="X77" s="17">
        <f>COUNTIFS('Prácticas_Revisiones'!$S$2:$S$282,"T065",'Prácticas_Revisiones'!$T$2:$T$282,"DESIGN &gt; Software Design Analysis and Evaluations")+COUNTIFS('Prácticas_Snowballing'!$AB$2:$AB$281,"T065",'Prácticas_Snowballing'!$AC$2:$AC$281,"DESIGN &gt; Software Design Analysis and Evaluations")</f>
        <v>0</v>
      </c>
      <c r="Y77" s="17">
        <f>COUNTIFS('Prácticas_Revisiones'!$S$2:$S$282,"T065",'Prácticas_Revisiones'!$T$2:$T$282,"DESIGN &gt; Subárea no determinable")+COUNTIFS('Prácticas_Snowballing'!$AB$2:$AB$281,"T065",'Prácticas_Snowballing'!$AC$2:$AC$281,"DESIGN &gt; Subárea no determinable")</f>
        <v>0</v>
      </c>
      <c r="Z77" s="29">
        <f t="shared" si="54"/>
        <v>0</v>
      </c>
      <c r="AA77" s="17">
        <f>COUNTIFS('Prácticas_Revisiones'!$S$2:$S$282,"T065",'Prácticas_Revisiones'!$T$2:$T$282,"CONSTRUCTION &gt; Software Construction Fundamentals")+COUNTIFS('Prácticas_Snowballing'!$AB$2:$AB$281,"T065",'Prácticas_Snowballing'!$AC$2:$AC$281,"CONSTRUCTION &gt; Software Construction Fundamentals")</f>
        <v>0</v>
      </c>
      <c r="AB77" s="17">
        <f>COUNTIFS('Prácticas_Revisiones'!$S$2:$S$282,"T065",'Prácticas_Revisiones'!$T$2:$T$282,"CONSTRUCTION &gt; Managing Construction")+COUNTIFS('Prácticas_Snowballing'!$AB$2:$AB$281,"T065",'Prácticas_Snowballing'!$AC$2:$AC$281,"CONSTRUCTION &gt; Managing Construction")</f>
        <v>0</v>
      </c>
      <c r="AC77" s="17">
        <f>COUNTIFS('Prácticas_Revisiones'!$S$2:$S$282,"T065",'Prácticas_Revisiones'!$T$2:$T$282,"CONSTRUCTION &gt; Practical Considerations")+COUNTIFS('Prácticas_Snowballing'!$AB$2:$AB$281,"T065",'Prácticas_Snowballing'!$AC$2:$AC$281,"CONSTRUCTION &gt; Practical Considerations")</f>
        <v>0</v>
      </c>
      <c r="AD77" s="17">
        <f>COUNTIFS('Prácticas_Revisiones'!$S$2:$S$282,"T065",'Prácticas_Revisiones'!$T$2:$T$282,"CONSTRUCTION &gt; Construction Technologies")+COUNTIFS('Prácticas_Snowballing'!$AB$2:$AB$281,"T065",'Prácticas_Snowballing'!$AC$2:$AC$281,"CONSTRUCTION &gt; Construction Technologies")</f>
        <v>0</v>
      </c>
      <c r="AE77" s="17">
        <f>COUNTIFS('Prácticas_Revisiones'!$S$2:$S$282,"T065",'Prácticas_Revisiones'!$T$2:$T$282,"CONSTRUCTION &gt; Software Construction Tools")+COUNTIFS('Prácticas_Snowballing'!$AB$2:$AB$281,"T065",'Prácticas_Snowballing'!$AC$2:$AC$281,"CONSTRUCTION &gt; Software Construction Tools")</f>
        <v>0</v>
      </c>
      <c r="AF77" s="17">
        <f>COUNTIFS('Prácticas_Revisiones'!$S$2:$S$282,"T065",'Prácticas_Revisiones'!$T$2:$T$282,"CONSTRUCTION &gt; Subárea no determinable")+COUNTIFS('Prácticas_Snowballing'!$AB$2:$AB$281,"T065",'Prácticas_Snowballing'!$AC$2:$AC$281,"CONSTRUCTION &gt; Subárea no determinable")</f>
        <v>0</v>
      </c>
      <c r="AG77" s="29">
        <f t="shared" si="55"/>
        <v>0</v>
      </c>
      <c r="AH77" s="17">
        <f>COUNTIFS('Prácticas_Revisiones'!$S$2:$S$282,"T065",'Prácticas_Revisiones'!$T$2:$T$282,"SOFTWARE TESTING &gt; Software Testing Fundamentals")+COUNTIFS('Prácticas_Snowballing'!$AB$2:$AB$281,"T065",'Prácticas_Snowballing'!$AC$2:$AC$281,"SOFTWARE TESTING &gt; Software Testing Fundamentals")</f>
        <v>0</v>
      </c>
      <c r="AI77" s="17">
        <f>COUNTIFS('Prácticas_Revisiones'!$S$2:$S$282,"T065",'Prácticas_Revisiones'!$T$2:$T$282,"SOFTWARE TESTING &gt; Test Levels")+COUNTIFS('Prácticas_Snowballing'!$AB$2:$AB$281,"T065",'Prácticas_Snowballing'!$AC$2:$AC$281,"SOFTWARE TESTING &gt; Test Levels")</f>
        <v>0</v>
      </c>
      <c r="AJ77" s="17">
        <f>COUNTIFS('Prácticas_Revisiones'!$S$2:$S$282,"T065",'Prácticas_Revisiones'!$T$2:$T$282,"SOFTWARE TESTING &gt; Test Techniques")+COUNTIFS('Prácticas_Snowballing'!$AB$2:$AB$281,"T065",'Prácticas_Snowballing'!$AC$2:$AC$281,"SOFTWARE TESTING &gt; Test Techniques")</f>
        <v>0</v>
      </c>
      <c r="AK77" s="17">
        <f>COUNTIFS('Prácticas_Revisiones'!$S$2:$S$282,"T065",'Prácticas_Revisiones'!$T$2:$T$282,"SOFTWARE TESTING &gt; Test-Related Measures")+COUNTIFS('Prácticas_Snowballing'!$AB$2:$AB$281,"T065",'Prácticas_Snowballing'!$AC$2:$AC$281,"SOFTWARE TESTING &gt; Test-Related Measures")</f>
        <v>0</v>
      </c>
      <c r="AL77" s="17">
        <f>COUNTIFS('Prácticas_Revisiones'!$S$2:$S$282,"T065",'Prácticas_Revisiones'!$T$2:$T$282,"SOFTWARE TESTING &gt; Test Process")+COUNTIFS('Prácticas_Snowballing'!$AB$2:$AB$281,"T065",'Prácticas_Snowballing'!$AC$2:$AC$281,"SOFTWARE TESTING &gt; Test Process")</f>
        <v>0</v>
      </c>
      <c r="AM77" s="17">
        <f>COUNTIFS('Prácticas_Revisiones'!$S$2:$S$282,"T065",'Prácticas_Revisiones'!$T$2:$T$282,"SOFTWARE TESTING &gt; Software Testing in the Development Processes...")+COUNTIFS('Prácticas_Snowballing'!$AB$2:$AB$281,"T065",'Prácticas_Snowballing'!$AC$2:$AC$281,"SOFTWARE TESTING &gt; Software Testing in the Development Processes...")</f>
        <v>0</v>
      </c>
      <c r="AN77" s="17">
        <f>COUNTIFS('Prácticas_Revisiones'!$S$2:$S$282,"T065",'Prácticas_Revisiones'!$T$2:$T$282,"SOFTWARE TESTING &gt; Testing of and Testing Through Emerging Tech...")+COUNTIFS('Prácticas_Snowballing'!$AB$2:$AB$281,"T065",'Prácticas_Snowballing'!$AC$2:$AC$281,"SOFTWARE TESTING &gt; Testing of and Testing Through Emerging Tech...")</f>
        <v>0</v>
      </c>
      <c r="AO77" s="17">
        <f>COUNTIFS('Prácticas_Revisiones'!$S$2:$S$282,"T065",'Prácticas_Revisiones'!$T$2:$T$282,"SOFTWARE TESTING &gt; Software Testing Tools")+COUNTIFS('Prácticas_Snowballing'!$AB$2:$AB$281,"T065",'Prácticas_Snowballing'!$AC$2:$AC$281,"SOFTWARE TESTING &gt; Software Testing Tools")</f>
        <v>0</v>
      </c>
      <c r="AP77" s="17">
        <f>COUNTIFS('Prácticas_Revisiones'!$S$2:$S$282,"T065",'Prácticas_Revisiones'!$T$2:$T$282,"SOFTWARE TESTING &gt; Subárea no determinable")+COUNTIFS('Prácticas_Snowballing'!$AB$2:$AB$281,"T065",'Prácticas_Snowballing'!$AC$2:$AC$281,"SOFTWARE TESTING &gt; Subárea no determinable")</f>
        <v>0</v>
      </c>
      <c r="AQ77" s="29">
        <f t="shared" si="56"/>
        <v>0</v>
      </c>
      <c r="AR77" s="17">
        <f>COUNTIFS('Prácticas_Revisiones'!$S$2:$S$282,"T065",'Prácticas_Revisiones'!$T$2:$T$282,"SOFTWARE ENG. OPERATIONS &gt; Software Engineering Operations Fundamentals")+COUNTIFS('Prácticas_Snowballing'!$AB$2:$AB$281,"T065",'Prácticas_Snowballing'!$AC$2:$AC$281,"SOFTWARE ENG. OPERATIONS &gt; Software Engineering Operations Fundamentals")</f>
        <v>0</v>
      </c>
      <c r="AS77" s="17">
        <f>COUNTIFS('Prácticas_Revisiones'!$S$2:$S$282,"T065",'Prácticas_Revisiones'!$T$2:$T$282,"SOFTWARE ENG. OPERATIONS &gt; Software Engineering Operations Planning")+COUNTIFS('Prácticas_Snowballing'!$AB$2:$AB$281,"T065",'Prácticas_Snowballing'!$AC$2:$AC$281,"SOFTWARE ENG. OPERATIONS &gt; Software Engineering Operations Planning")</f>
        <v>0</v>
      </c>
      <c r="AT77" s="17">
        <f>COUNTIFS('Prácticas_Revisiones'!$S$2:$S$282,"T065",'Prácticas_Revisiones'!$T$2:$T$282,"SOFTWARE ENG. OPERATIONS &gt; Software Engineering Operations Delivery")+COUNTIFS('Prácticas_Snowballing'!$AB$2:$AB$281,"T065",'Prácticas_Snowballing'!$AC$2:$AC$281,"SOFTWARE ENG. OPERATIONS &gt; Software Engineering Operations Delivery")</f>
        <v>0</v>
      </c>
      <c r="AU77" s="17">
        <f>COUNTIFS('Prácticas_Revisiones'!$S$2:$S$282,"T065",'Prácticas_Revisiones'!$T$2:$T$282,"SOFTWARE ENG. OPERATIONS &gt; Software Engineering Operations Control")+COUNTIFS('Prácticas_Snowballing'!$AB$2:$AB$281,"T065",'Prácticas_Snowballing'!$AC$2:$AC$281,"SOFTWARE ENG. OPERATIONS &gt; Software Engineering Operations Control")</f>
        <v>0</v>
      </c>
      <c r="AV77" s="17">
        <f>COUNTIFS('Prácticas_Revisiones'!$S$2:$S$282,"T065",'Prácticas_Revisiones'!$T$2:$T$282,"SOFTWARE ENG. OPERATIONS &gt; Practical Considerations")+COUNTIFS('Prácticas_Snowballing'!$AB$2:$AB$281,"T065",'Prácticas_Snowballing'!$AC$2:$AC$281,"SOFTWARE ENG. OPERATIONS &gt; Practical Considerations")</f>
        <v>0</v>
      </c>
      <c r="AW77" s="17">
        <f>COUNTIFS('Prácticas_Revisiones'!$S$2:$S$282,"T065",'Prácticas_Revisiones'!$T$2:$T$282,"SOFTWARE ENG. OPERATIONS &gt; Software Engineering Operations Tools")+COUNTIFS('Prácticas_Snowballing'!$AB$2:$AB$281,"T065",'Prácticas_Snowballing'!$AC$2:$AC$281,"SOFTWARE ENG. OPERATIONS &gt; Software Engineering Operations Tools")</f>
        <v>0</v>
      </c>
      <c r="AX77" s="17">
        <f>COUNTIFS('Prácticas_Revisiones'!$S$2:$S$282,"T065",'Prácticas_Revisiones'!$T$2:$T$282,"SOFTWARE ENG. OPERATIONS &gt; Subárea no determinable")+COUNTIFS('Prácticas_Snowballing'!$AB$2:$AB$281,"T065",'Prácticas_Snowballing'!$AC$2:$AC$281,"SOFTWARE ENG. OPERATIONS &gt; Subárea no determinable")</f>
        <v>0</v>
      </c>
      <c r="AY77" s="29">
        <f t="shared" si="57"/>
        <v>0</v>
      </c>
      <c r="AZ77" s="17">
        <f>COUNTIFS('Prácticas_Revisiones'!$S$2:$S$282,"T065",'Prácticas_Revisiones'!$T$2:$T$282,"MAINTENANCE &gt; Software Maintenance Fundamentals")+COUNTIFS('Prácticas_Snowballing'!$AB$2:$AB$281,"T065",'Prácticas_Snowballing'!$AC$2:$AC$281,"MAINTENANCE &gt; Software Maintenance Fundamentals")</f>
        <v>0</v>
      </c>
      <c r="BA77" s="17">
        <f>COUNTIFS('Prácticas_Revisiones'!$S$2:$S$282,"T065",'Prácticas_Revisiones'!$T$2:$T$282,"MAINTENANCE &gt; Key Issues in Software Maintenance")+COUNTIFS('Prácticas_Snowballing'!$AB$2:$AB$281,"T065",'Prácticas_Snowballing'!$AC$2:$AC$281,"MAINTENANCE &gt; Key Issues in Software Maintenance")</f>
        <v>0</v>
      </c>
      <c r="BB77" s="17">
        <f>COUNTIFS('Prácticas_Revisiones'!$S$2:$S$282,"T065",'Prácticas_Revisiones'!$T$2:$T$282,"MAINTENANCE &gt; Software Maintenance Processes")+COUNTIFS('Prácticas_Snowballing'!$AB$2:$AB$281,"T065",'Prácticas_Snowballing'!$AC$2:$AC$281,"MAINTENANCE &gt; Software Maintenance Processes")</f>
        <v>0</v>
      </c>
      <c r="BC77" s="17">
        <f>COUNTIFS('Prácticas_Revisiones'!$S$2:$S$282,"T065",'Prácticas_Revisiones'!$T$2:$T$282,"MAINTENANCE &gt; Software Maintenance Techniques")+COUNTIFS('Prácticas_Snowballing'!$AB$2:$AB$281,"T065",'Prácticas_Snowballing'!$AC$2:$AC$281,"MAINTENANCE &gt; Software Maintenance Techniques")</f>
        <v>0</v>
      </c>
      <c r="BD77" s="17">
        <f>COUNTIFS('Prácticas_Revisiones'!$S$2:$S$282,"T065",'Prácticas_Revisiones'!$T$2:$T$282,"MAINTENANCE &gt; Software Maintenance Tools")+COUNTIFS('Prácticas_Snowballing'!$AB$2:$AB$281,"T065",'Prácticas_Snowballing'!$AC$2:$AC$281,"MAINTENANCE &gt; Software Maintenance Tools")</f>
        <v>0</v>
      </c>
      <c r="BE77" s="17">
        <f>COUNTIFS('Prácticas_Revisiones'!$S$2:$S$282,"T065",'Prácticas_Revisiones'!$T$2:$T$282,"MAINTENANCE &gt; Subárea no determinable")+COUNTIFS('Prácticas_Snowballing'!$AB$2:$AB$281,"T065",'Prácticas_Snowballing'!$AC$2:$AC$281,"MAINTENANCE &gt; Subárea no determinable")</f>
        <v>0</v>
      </c>
      <c r="BF77" s="29">
        <f t="shared" si="58"/>
        <v>0</v>
      </c>
      <c r="BG77" s="17">
        <f>COUNTIFS('Prácticas_Revisiones'!$S$2:$S$282,"T065",'Prácticas_Revisiones'!$T$2:$T$282,"SOFTWARE CONFIG. MGMT. &gt; Management of the SCM Process")+COUNTIFS('Prácticas_Snowballing'!$AB$2:$AB$281,"T065",'Prácticas_Snowballing'!$AC$2:$AC$281,"SOFTWARE CONFIG. MGMT. &gt; Management of the SCM Process")</f>
        <v>0</v>
      </c>
      <c r="BH77" s="17">
        <f>COUNTIFS('Prácticas_Revisiones'!$S$2:$S$282,"T065",'Prácticas_Revisiones'!$T$2:$T$282,"SOFTWARE CONFIG. MGMT. &gt; Software Configuration Identification")+COUNTIFS('Prácticas_Snowballing'!$AB$2:$AB$281,"T065",'Prácticas_Snowballing'!$AC$2:$AC$281,"SOFTWARE CONFIG. MGMT. &gt; Software Configuration Identification")</f>
        <v>0</v>
      </c>
      <c r="BI77" s="17">
        <f>COUNTIFS('Prácticas_Revisiones'!$S$2:$S$282,"T065",'Prácticas_Revisiones'!$T$2:$T$282,"SOFTWARE CONFIG. MGMT. &gt; Software Configuration Change Control")+COUNTIFS('Prácticas_Snowballing'!$AB$2:$AB$281,"T065",'Prácticas_Snowballing'!$AC$2:$AC$281,"SOFTWARE CONFIG. MGMT. &gt; Software Configuration Change Control")</f>
        <v>0</v>
      </c>
      <c r="BJ77" s="17">
        <f>COUNTIFS('Prácticas_Revisiones'!$S$2:$S$282,"T065",'Prácticas_Revisiones'!$T$2:$T$282,"SOFTWARE CONFIG. MGMT. &gt; Software Configuration Status Accounting")+COUNTIFS('Prácticas_Snowballing'!$AB$2:$AB$281,"T065",'Prácticas_Snowballing'!$AC$2:$AC$281,"SOFTWARE CONFIG. MGMT. &gt; Software Configuration Status Accounting")</f>
        <v>0</v>
      </c>
      <c r="BK77" s="17">
        <f>COUNTIFS('Prácticas_Revisiones'!$S$2:$S$282,"T065",'Prácticas_Revisiones'!$T$2:$T$282,"SOFTWARE CONFIG. MGMT. &gt; Software Configuration Auditing")+COUNTIFS('Prácticas_Snowballing'!$AB$2:$AB$281,"T065",'Prácticas_Snowballing'!$AC$2:$AC$281,"SOFTWARE CONFIG. MGMT. &gt; Software Configuration Auditing")</f>
        <v>0</v>
      </c>
      <c r="BL77" s="17">
        <f>COUNTIFS('Prácticas_Revisiones'!$S$2:$S$282,"T065",'Prácticas_Revisiones'!$T$2:$T$282,"SOFTWARE CONFIG. MGMT. &gt; Software Release Management and Delivery")+COUNTIFS('Prácticas_Snowballing'!$AB$2:$AB$281,"T065",'Prácticas_Snowballing'!$AC$2:$AC$281,"SOFTWARE CONFIG. MGMT. &gt; Software Release Management and Delivery")</f>
        <v>0</v>
      </c>
      <c r="BM77" s="17">
        <f>COUNTIFS('Prácticas_Revisiones'!$S$2:$S$282,"T065",'Prácticas_Revisiones'!$T$2:$T$282,"SOFTWARE CONFIG. MGMT. &gt; Software Configuration Management Tools")+COUNTIFS('Prácticas_Snowballing'!$AB$2:$AB$281,"T065",'Prácticas_Snowballing'!$AC$2:$AC$281,"SOFTWARE CONFIG. MGMT. &gt; Software Configuration Management Tools")</f>
        <v>0</v>
      </c>
      <c r="BN77" s="17">
        <f>COUNTIFS('Prácticas_Revisiones'!$S$2:$S$282,"T065",'Prácticas_Revisiones'!$T$2:$T$282,"SOFTWARE CONFIG. MGMT. &gt; Subárea no determinable")+COUNTIFS('Prácticas_Snowballing'!$AB$2:$AB$281,"T065",'Prácticas_Snowballing'!$AC$2:$AC$281,"SOFTWARE CONFIG. MGMT. &gt; Subárea no determinable")</f>
        <v>0</v>
      </c>
      <c r="BO77" s="29">
        <f t="shared" si="59"/>
        <v>0</v>
      </c>
      <c r="BP77" s="17">
        <f>COUNTIFS('Prácticas_Revisiones'!$S$2:$S$282,"T065",'Prácticas_Revisiones'!$T$2:$T$282,"SOFTWARE ENG. PROCESS &gt; Software Engineering Process Fundamentals")+COUNTIFS('Prácticas_Snowballing'!$AB$2:$AB$281,"T065",'Prácticas_Snowballing'!$AC$2:$AC$281,"SOFTWARE ENG. PROCESS &gt; Software Engineering Process Fundamentals")</f>
        <v>0</v>
      </c>
      <c r="BQ77" s="17">
        <f>COUNTIFS('Prácticas_Revisiones'!$S$2:$S$282,"T065",'Prácticas_Revisiones'!$T$2:$T$282,"SOFTWARE ENG. PROCESS &gt; Life Cycles")+COUNTIFS('Prácticas_Snowballing'!$AB$2:$AB$281,"T065",'Prácticas_Snowballing'!$AC$2:$AC$281,"SOFTWARE ENG. PROCESS &gt; Life Cycles")</f>
        <v>0</v>
      </c>
      <c r="BR77" s="17">
        <f>COUNTIFS('Prácticas_Revisiones'!$S$2:$S$282,"T065",'Prácticas_Revisiones'!$T$2:$T$282,"SOFTWARE ENG. PROCESS &gt; Software Process Assessment and Improvement")+COUNTIFS('Prácticas_Snowballing'!$AB$2:$AB$281,"T065",'Prácticas_Snowballing'!$AC$2:$AC$281,"SOFTWARE ENG. PROCESS &gt; Software Process Assessment and Improvement")</f>
        <v>0</v>
      </c>
      <c r="BS77" s="17">
        <f>COUNTIFS('Prácticas_Revisiones'!$S$2:$S$282,"T065",'Prácticas_Revisiones'!$T$2:$T$282,"SOFTWARE ENG. PROCESS &gt; Subárea no determinable")+COUNTIFS('Prácticas_Snowballing'!$AB$2:$AB$281,"T065",'Prácticas_Snowballing'!$AC$2:$AC$281,"SOFTWARE ENG. PROCESS &gt; Subárea no determinable")</f>
        <v>0</v>
      </c>
      <c r="BT77" s="29">
        <f t="shared" si="60"/>
        <v>0</v>
      </c>
      <c r="BU77" s="17">
        <f>COUNTIFS('Prácticas_Revisiones'!$S$2:$S$282,"T065",'Prácticas_Revisiones'!$T$2:$T$282,"SOFTWARE ENG. MODELS/METH. &gt; Modeling")+COUNTIFS('Prácticas_Snowballing'!$AB$2:$AB$281,"T065",'Prácticas_Snowballing'!$AC$2:$AC$281,"SOFTWARE ENG. MODELS/METH. &gt; Modeling")</f>
        <v>0</v>
      </c>
      <c r="BV77" s="17">
        <f>COUNTIFS('Prácticas_Revisiones'!$S$2:$S$282,"T065",'Prácticas_Revisiones'!$T$2:$T$282,"SOFTWARE ENG. MODELS/METH. &gt; Types of Models")+COUNTIFS('Prácticas_Snowballing'!$AB$2:$AB$281,"T065",'Prácticas_Snowballing'!$AC$2:$AC$281,"SOFTWARE ENG. MODELS/METH. &gt; Types of Models")</f>
        <v>0</v>
      </c>
      <c r="BW77" s="17">
        <f>COUNTIFS('Prácticas_Revisiones'!$S$2:$S$282,"T065",'Prácticas_Revisiones'!$T$2:$T$282,"SOFTWARE ENG. MODELS/METH. &gt; Analysis of Models")+COUNTIFS('Prácticas_Snowballing'!$AB$2:$AB$281,"T065",'Prácticas_Snowballing'!$AC$2:$AC$281,"SOFTWARE ENG. MODELS/METH. &gt; Analysis of Models")</f>
        <v>0</v>
      </c>
      <c r="BX77" s="17">
        <f>COUNTIFS('Prácticas_Revisiones'!$S$2:$S$282,"T065",'Prácticas_Revisiones'!$T$2:$T$282,"SOFTWARE ENG. MODELS/METH. &gt; Software Engineering Methods")+COUNTIFS('Prácticas_Snowballing'!$AB$2:$AB$281,"T065",'Prácticas_Snowballing'!$AC$2:$AC$281,"SOFTWARE ENG. MODELS/METH. &gt; Software Engineering Methods")</f>
        <v>0</v>
      </c>
      <c r="BY77" s="17">
        <f>COUNTIFS('Prácticas_Revisiones'!$S$2:$S$282,"T065",'Prácticas_Revisiones'!$T$2:$T$282,"SOFTWARE ENG. MODELS/METH. &gt; Subárea no determinable")+COUNTIFS('Prácticas_Snowballing'!$AB$2:$AB$281,"T065",'Prácticas_Snowballing'!$AC$2:$AC$281,"SOFTWARE ENG. MODELS/METH. &gt; Subárea no determinable")</f>
        <v>0</v>
      </c>
      <c r="BZ77" s="29">
        <f t="shared" si="61"/>
        <v>0</v>
      </c>
      <c r="CA77" s="17">
        <f>COUNTIFS('Prácticas_Revisiones'!$S$2:$S$282,"T065",'Prácticas_Revisiones'!$T$2:$T$282,"SOFTWARE QUALITY &gt; Software Quality Fundamentals")+COUNTIFS('Prácticas_Snowballing'!$AB$2:$AB$281,"T065",'Prácticas_Snowballing'!$AC$2:$AC$281,"SOFTWARE QUALITY &gt; Software Quality Fundamentals")</f>
        <v>0</v>
      </c>
      <c r="CB77" s="17">
        <f>COUNTIFS('Prácticas_Revisiones'!$S$2:$S$282,"T065",'Prácticas_Revisiones'!$T$2:$T$282,"SOFTWARE QUALITY &gt; Software Quality Management Process")+COUNTIFS('Prácticas_Snowballing'!$AB$2:$AB$281,"T065",'Prácticas_Snowballing'!$AC$2:$AC$281,"SOFTWARE QUALITY &gt; Software Quality Management Process")</f>
        <v>0</v>
      </c>
      <c r="CC77" s="17">
        <f>COUNTIFS('Prácticas_Revisiones'!$S$2:$S$282,"T065",'Prácticas_Revisiones'!$T$2:$T$282,"SOFTWARE QUALITY &gt; Software Quality Assurance Process")+COUNTIFS('Prácticas_Snowballing'!$AB$2:$AB$281,"T065",'Prácticas_Snowballing'!$AC$2:$AC$281,"SOFTWARE QUALITY &gt; Software Quality Assurance Process")</f>
        <v>0</v>
      </c>
      <c r="CD77" s="17">
        <f>COUNTIFS('Prácticas_Revisiones'!$S$2:$S$282,"T065",'Prácticas_Revisiones'!$T$2:$T$282,"SOFTWARE QUALITY &gt; Software Quality Tools")+COUNTIFS('Prácticas_Snowballing'!$AB$2:$AB$281,"T065",'Prácticas_Snowballing'!$AC$2:$AC$281,"SOFTWARE QUALITY &gt; Software Quality Tools")</f>
        <v>0</v>
      </c>
      <c r="CE77" s="17">
        <f>COUNTIFS('Prácticas_Revisiones'!$S$2:$S$282,"T065",'Prácticas_Revisiones'!$T$2:$T$282,"SOFTWARE QUALITY &gt; Subárea no determinable")+COUNTIFS('Prácticas_Snowballing'!$AB$2:$AB$281,"T065",'Prácticas_Snowballing'!$AC$2:$AC$281,"SOFTWARE QUALITY &gt; Subárea no determinable")</f>
        <v>0</v>
      </c>
      <c r="CF77" s="29">
        <f t="shared" si="62"/>
        <v>0</v>
      </c>
      <c r="CG77" s="17">
        <f>COUNTIFS('Prácticas_Revisiones'!$S$2:$S$282,"T065",'Prácticas_Revisiones'!$T$2:$T$282,"SOFTWARE SECURITY &gt; Software Security Fundamentals")+COUNTIFS('Prácticas_Snowballing'!$AB$2:$AB$281,"T065",'Prácticas_Snowballing'!$AC$2:$AC$281,"SOFTWARE SECURITY &gt; Software Security Fundamentals")</f>
        <v>0</v>
      </c>
      <c r="CH77" s="17">
        <f>COUNTIFS('Prácticas_Revisiones'!$S$2:$S$282,"T065",'Prácticas_Revisiones'!$T$2:$T$282,"SOFTWARE SECURITY &gt; Security Management and Organization")+COUNTIFS('Prácticas_Snowballing'!$AB$2:$AB$281,"T065",'Prácticas_Snowballing'!$AC$2:$AC$281,"SOFTWARE SECURITY &gt; Security Management and Organization")</f>
        <v>0</v>
      </c>
      <c r="CI77" s="17">
        <f>COUNTIFS('Prácticas_Revisiones'!$S$2:$S$282,"T065",'Prácticas_Revisiones'!$T$2:$T$282,"SOFTWARE SECURITY &gt; Software Security Engineering and Process")+COUNTIFS('Prácticas_Snowballing'!$AB$2:$AB$281,"T065",'Prácticas_Snowballing'!$AC$2:$AC$281,"SOFTWARE SECURITY &gt; Software Security Engineering and Process")</f>
        <v>0</v>
      </c>
      <c r="CJ77" s="17">
        <f>COUNTIFS('Prácticas_Revisiones'!$S$2:$S$282,"T065",'Prácticas_Revisiones'!$T$2:$T$282,"SOFTWARE SECURITY &gt; Security Engineering for Software Systems")+COUNTIFS('Prácticas_Snowballing'!$AB$2:$AB$281,"T065",'Prácticas_Snowballing'!$AC$2:$AC$281,"SOFTWARE SECURITY &gt; Security Engineering for Software Systems")</f>
        <v>0</v>
      </c>
      <c r="CK77" s="17">
        <f>COUNTIFS('Prácticas_Revisiones'!$S$2:$S$282,"T065",'Prácticas_Revisiones'!$T$2:$T$282,"SOFTWARE SECURITY &gt; Software Security Tools")+COUNTIFS('Prácticas_Snowballing'!$AB$2:$AB$281,"T065",'Prácticas_Snowballing'!$AC$2:$AC$281,"SOFTWARE SECURITY &gt; Software Security Tools")</f>
        <v>0</v>
      </c>
      <c r="CL77" s="17">
        <f>COUNTIFS('Prácticas_Revisiones'!$S$2:$S$282,"T065",'Prácticas_Revisiones'!$T$2:$T$282,"SOFTWARE SECURITY &gt; Domain Specific Software Security")+COUNTIFS('Prácticas_Snowballing'!$AB$2:$AB$281,"T065",'Prácticas_Snowballing'!$AC$2:$AC$281,"SOFTWARE SECURITY &gt; Domain Specific Software Security")</f>
        <v>0</v>
      </c>
      <c r="CM77" s="17">
        <f>COUNTIFS('Prácticas_Revisiones'!$S$2:$S$282,"T065",'Prácticas_Revisiones'!$T$2:$T$282,"SOFTWARE SECURITY &gt; Subárea no determinable")+COUNTIFS('Prácticas_Snowballing'!$AB$2:$AB$281,"T065",'Prácticas_Snowballing'!$AC$2:$AC$281,"SOFTWARE SECURITY &gt; Subárea no determinable")</f>
        <v>0</v>
      </c>
      <c r="CN77" s="29">
        <f t="shared" si="63"/>
        <v>0</v>
      </c>
      <c r="CO77" s="17">
        <f>COUNTIFS('Prácticas_Revisiones'!$S$2:$S$282,"T065",'Prácticas_Revisiones'!$T$2:$T$282,"PROFESSIONAL PRACTICE &gt; Professionalism")+COUNTIFS('Prácticas_Snowballing'!$AB$2:$AB$281,"T065",'Prácticas_Snowballing'!$AC$2:$AC$281,"PROFESSIONAL PRACTICE &gt; Professionalism")</f>
        <v>0</v>
      </c>
      <c r="CP77" s="17">
        <f>COUNTIFS('Prácticas_Revisiones'!$S$2:$S$282,"T065",'Prácticas_Revisiones'!$T$2:$T$282,"PROFESSIONAL PRACTICE &gt; Group Dynamics and Psychology")+COUNTIFS('Prácticas_Snowballing'!$AB$2:$AB$281,"T065",'Prácticas_Snowballing'!$AC$2:$AC$281,"PROFESSIONAL PRACTICE &gt; Group Dynamics and Psychology")</f>
        <v>0</v>
      </c>
      <c r="CQ77" s="17">
        <f>COUNTIFS('Prácticas_Revisiones'!$S$2:$S$282,"T065",'Prácticas_Revisiones'!$T$2:$T$282,"PROFESSIONAL PRACTICE &gt; Communication Skills")+COUNTIFS('Prácticas_Snowballing'!$AB$2:$AB$281,"T065",'Prácticas_Snowballing'!$AC$2:$AC$281,"PROFESSIONAL PRACTICE &gt; Communication Skills")</f>
        <v>0</v>
      </c>
      <c r="CR77" s="17">
        <f>COUNTIFS('Prácticas_Revisiones'!$S$2:$S$282,"T065",'Prácticas_Revisiones'!$T$2:$T$282,"PROFESSIONAL PRACTICE &gt; Subárea no determinable")+COUNTIFS('Prácticas_Snowballing'!$AB$2:$AB$281,"T065",'Prácticas_Snowballing'!$AC$2:$AC$281,"PROFESSIONAL PRACTICE &gt; Subárea no determinable")</f>
        <v>0</v>
      </c>
      <c r="CS77" s="29">
        <f t="shared" si="64"/>
        <v>0</v>
      </c>
      <c r="CT77" s="17">
        <f>COUNTIFS('Prácticas_Revisiones'!$S$2:$S$282,"T065",'Prácticas_Revisiones'!$T$2:$T$282,"SOFTWARE ENG. ECONOMICS &gt; Software Engineering Economics Fundamentals")+COUNTIFS('Prácticas_Snowballing'!$AB$2:$AB$281,"T065",'Prácticas_Snowballing'!$AC$2:$AC$281,"SOFTWARE ENG. ECONOMICS &gt; Software Engineering Economics Fundamentals")</f>
        <v>0</v>
      </c>
      <c r="CU77" s="17">
        <f>COUNTIFS('Prácticas_Revisiones'!$S$2:$S$282,"T065",'Prácticas_Revisiones'!$T$2:$T$282,"SOFTWARE ENG. ECONOMICS &gt; The Engineering Decision-Making Process")+COUNTIFS('Prácticas_Snowballing'!$AB$2:$AB$281,"T065",'Prácticas_Snowballing'!$AC$2:$AC$281,"SOFTWARE ENG. ECONOMICS &gt; The Engineering Decision-Making Process")</f>
        <v>0</v>
      </c>
      <c r="CV77" s="17">
        <f>COUNTIFS('Prácticas_Revisiones'!$S$2:$S$282,"T065",'Prácticas_Revisiones'!$T$2:$T$282,"SOFTWARE ENG. ECONOMICS &gt; For-Profit Decision-Making")+COUNTIFS('Prácticas_Snowballing'!$AB$2:$AB$281,"T065",'Prácticas_Snowballing'!$AC$2:$AC$281,"SOFTWARE ENG. ECONOMICS &gt; For-Profit Decision-Making")</f>
        <v>0</v>
      </c>
      <c r="CW77" s="17">
        <f>COUNTIFS('Prácticas_Revisiones'!$S$2:$S$282,"T065",'Prácticas_Revisiones'!$T$2:$T$282,"SOFTWARE ENG. ECONOMICS &gt; Nonprofit Decision-Making")+COUNTIFS('Prácticas_Snowballing'!$AB$2:$AB$281,"T065",'Prácticas_Snowballing'!$AC$2:$AC$281,"SOFTWARE ENG. ECONOMICS &gt; Nonprofit Decision-Making")</f>
        <v>0</v>
      </c>
      <c r="CX77" s="17">
        <f>COUNTIFS('Prácticas_Revisiones'!$S$2:$S$282,"T065",'Prácticas_Revisiones'!$T$2:$T$282,"SOFTWARE ENG. ECONOMICS &gt; Present Economy Decision-Making")+COUNTIFS('Prácticas_Snowballing'!$AB$2:$AB$281,"T065",'Prácticas_Snowballing'!$AC$2:$AC$281,"SOFTWARE ENG. ECONOMICS &gt; Present Economy Decision-Making")</f>
        <v>0</v>
      </c>
      <c r="CY77" s="17">
        <f>COUNTIFS('Prácticas_Revisiones'!$S$2:$S$282,"T065",'Prácticas_Revisiones'!$T$2:$T$282,"SOFTWARE ENG. ECONOMICS &gt; Multiple-Attribute Decision-Making")+COUNTIFS('Prácticas_Snowballing'!$AB$2:$AB$281,"T065",'Prácticas_Snowballing'!$AC$2:$AC$281,"SOFTWARE ENG. ECONOMICS &gt; Multiple-Attribute Decision-Making")</f>
        <v>0</v>
      </c>
      <c r="CZ77" s="17">
        <f>COUNTIFS('Prácticas_Revisiones'!$S$2:$S$282,"T065",'Prácticas_Revisiones'!$T$2:$T$282,"SOFTWARE ENG. ECONOMICS &gt; Identifying and Characterizing Intangible Assets")+COUNTIFS('Prácticas_Snowballing'!$AB$2:$AB$281,"T065",'Prácticas_Snowballing'!$AC$2:$AC$281,"SOFTWARE ENG. ECONOMICS &gt; Identifying and Characterizing Intangible Assets")</f>
        <v>0</v>
      </c>
      <c r="DA77" s="17">
        <f>COUNTIFS('Prácticas_Revisiones'!$S$2:$S$282,"T065",'Prácticas_Revisiones'!$T$2:$T$282,"SOFTWARE ENG. ECONOMICS &gt; Estimation")+COUNTIFS('Prácticas_Snowballing'!$AB$2:$AB$281,"T065",'Prácticas_Snowballing'!$AC$2:$AC$281,"SOFTWARE ENG. ECONOMICS &gt; Estimation")</f>
        <v>0</v>
      </c>
      <c r="DB77" s="17">
        <f>COUNTIFS('Prácticas_Revisiones'!$S$2:$S$282,"T065",'Prácticas_Revisiones'!$T$2:$T$282,"SOFTWARE ENG. ECONOMICS &gt; Practical Considerations")+COUNTIFS('Prácticas_Snowballing'!$AB$2:$AB$281,"T065",'Prácticas_Snowballing'!$AC$2:$AC$281,"SOFTWARE ENG. ECONOMICS &gt; Practical Considerations")</f>
        <v>0</v>
      </c>
      <c r="DC77" s="17">
        <f>COUNTIFS('Prácticas_Revisiones'!$S$2:$S$282,"T065",'Prácticas_Revisiones'!$T$2:$T$282,"SOFTWARE ENG. ECONOMICS &gt; Related Concepts")+COUNTIFS('Prácticas_Snowballing'!$AB$2:$AB$281,"T065",'Prácticas_Snowballing'!$AC$2:$AC$281,"SOFTWARE ENG. ECONOMICS &gt; Related Concepts")</f>
        <v>0</v>
      </c>
      <c r="DD77" s="17">
        <f>COUNTIFS('Prácticas_Revisiones'!$S$2:$S$282,"T065",'Prácticas_Revisiones'!$T$2:$T$282,"SOFTWARE ENG. ECONOMICS &gt; Subárea no determinable")+COUNTIFS('Prácticas_Snowballing'!$AB$2:$AB$281,"T065",'Prácticas_Snowballing'!$AC$2:$AC$281,"SOFTWARE ENG. ECONOMICS &gt; Subárea no determinable")</f>
        <v>0</v>
      </c>
      <c r="DE77" s="29">
        <f t="shared" si="65"/>
        <v>0</v>
      </c>
      <c r="DF77" s="17">
        <f>COUNTIFS('Prácticas_Revisiones'!$S$2:$S$282,"T065",'Prácticas_Revisiones'!$T$2:$T$282,"SOFTWARE ENG. MANAGEMENT &gt; Software Engineering Management Fundamentals")+COUNTIFS('Prácticas_Snowballing'!$AB$2:$AB$281,"T065",'Prácticas_Snowballing'!$AC$2:$AC$281,"SOFTWARE ENG. MANAGEMENT &gt; Software Engineering Management Fundamentals")</f>
        <v>0</v>
      </c>
      <c r="DG77" s="17">
        <f>COUNTIFS('Prácticas_Revisiones'!$S$2:$S$282,"T065",'Prácticas_Revisiones'!$T$2:$T$282,"SOFTWARE ENG. MANAGEMENT &gt; Initiation and Scope Definition")+COUNTIFS('Prácticas_Snowballing'!$AB$2:$AB$281,"T065",'Prácticas_Snowballing'!$AC$2:$AC$281,"SOFTWARE ENG. MANAGEMENT &gt; Initiation and Scope Definition")</f>
        <v>0</v>
      </c>
      <c r="DH77" s="17">
        <f>COUNTIFS('Prácticas_Revisiones'!$S$2:$S$282,"T065",'Prácticas_Revisiones'!$T$2:$T$282,"SOFTWARE ENG. MANAGEMENT &gt; Software Project Planning")+COUNTIFS('Prácticas_Snowballing'!$AB$2:$AB$281,"T065",'Prácticas_Snowballing'!$AC$2:$AC$281,"SOFTWARE ENG. MANAGEMENT &gt; Software Project Planning")</f>
        <v>0</v>
      </c>
      <c r="DI77" s="17">
        <f>COUNTIFS('Prácticas_Revisiones'!$S$2:$S$282,"T065",'Prácticas_Revisiones'!$T$2:$T$282,"SOFTWARE ENG. MANAGEMENT &gt; Software Project Enactment")+COUNTIFS('Prácticas_Snowballing'!$AB$2:$AB$281,"T065",'Prácticas_Snowballing'!$AC$2:$AC$281,"SOFTWARE ENG. MANAGEMENT &gt; Software Project Enactment")</f>
        <v>0</v>
      </c>
      <c r="DJ77" s="17">
        <f>COUNTIFS('Prácticas_Revisiones'!$S$2:$S$282,"T065",'Prácticas_Revisiones'!$T$2:$T$282,"SOFTWARE ENG. MANAGEMENT &gt; Review and Evaluation")+COUNTIFS('Prácticas_Snowballing'!$AB$2:$AB$281,"T065",'Prácticas_Snowballing'!$AC$2:$AC$281,"SOFTWARE ENG. MANAGEMENT &gt; Review and Evaluation")</f>
        <v>0</v>
      </c>
      <c r="DK77" s="17">
        <f>COUNTIFS('Prácticas_Revisiones'!$S$2:$S$282,"T065",'Prácticas_Revisiones'!$T$2:$T$282,"SOFTWARE ENG. MANAGEMENT &gt; Closure")+COUNTIFS('Prácticas_Snowballing'!$AB$2:$AB$281,"T065",'Prácticas_Snowballing'!$AC$2:$AC$281,"SOFTWARE ENG. MANAGEMENT &gt; Closure")</f>
        <v>0</v>
      </c>
      <c r="DL77" s="17">
        <f>COUNTIFS('Prácticas_Revisiones'!$S$2:$S$282,"T065",'Prácticas_Revisiones'!$T$2:$T$282,"SOFTWARE ENG. MANAGEMENT &gt; Software Engineering Management Tools")+COUNTIFS('Prácticas_Snowballing'!$AB$2:$AB$281,"T065",'Prácticas_Snowballing'!$AC$2:$AC$281,"SOFTWARE ENG. MANAGEMENT &gt; Software Engineering Management Tools")</f>
        <v>0</v>
      </c>
      <c r="DM77" s="17">
        <f>COUNTIFS('Prácticas_Revisiones'!$S$2:$S$282,"T065",'Prácticas_Revisiones'!$T$2:$T$282,"SOFTWARE ENG. MANAGEMENT &gt; Subárea no determinable")+COUNTIFS('Prácticas_Snowballing'!$AB$2:$AB$281,"T065",'Prácticas_Snowballing'!$AC$2:$AC$281,"SOFTWARE ENG. MANAGEMENT &gt; Subárea no determinable")</f>
        <v>0</v>
      </c>
      <c r="DN77" s="29">
        <f t="shared" si="66"/>
        <v>0</v>
      </c>
      <c r="DO77" s="17">
        <f>COUNTIFS('Prácticas_Revisiones'!$S$2:$S$282,"T065",'Prácticas_Revisiones'!$T$2:$T$282,"Sin área SWEBOK")+COUNTIFS('Prácticas_Snowballing'!$AB$2:$AB$281,"T065",'Prácticas_Snowballing'!$AC$2:$AC$281,"Sin área SWEBOK")</f>
        <v>0</v>
      </c>
      <c r="DP77" s="27">
        <f t="shared" si="67"/>
        <v>0</v>
      </c>
    </row>
    <row r="78" ht="15.75" customHeight="1">
      <c r="A78" s="28"/>
      <c r="B78" s="16" t="s">
        <v>2842</v>
      </c>
      <c r="C78" s="17">
        <f>COUNTIFS('Prácticas_Revisiones'!$S$2:$S$282,"T066",'Prácticas_Revisiones'!$T$2:$T$282,"REQUIREMENTS &gt; Software Requirements Fundamentals")+COUNTIFS('Prácticas_Snowballing'!$AB$2:$AB$281,"T066",'Prácticas_Snowballing'!$AC$2:$AC$281,"REQUIREMENTS &gt; Software Requirements Fundamentals")</f>
        <v>0</v>
      </c>
      <c r="D78" s="17">
        <f>COUNTIFS('Prácticas_Revisiones'!$S$2:$S$282,"T066",'Prácticas_Revisiones'!$T$2:$T$282,"REQUIREMENTS &gt; Requirements Elicitation")+COUNTIFS('Prácticas_Snowballing'!$AB$2:$AB$281,"T066",'Prácticas_Snowballing'!$AC$2:$AC$281,"REQUIREMENTS &gt; Requirements Elicitation")</f>
        <v>0</v>
      </c>
      <c r="E78" s="17">
        <f>COUNTIFS('Prácticas_Revisiones'!$S$2:$S$282,"T066",'Prácticas_Revisiones'!$T$2:$T$282,"REQUIREMENTS &gt; Requirements Analysis")+COUNTIFS('Prácticas_Snowballing'!$AB$2:$AB$281,"T066",'Prácticas_Snowballing'!$AC$2:$AC$281,"REQUIREMENTS &gt; Requirements Analysis")</f>
        <v>1</v>
      </c>
      <c r="F78" s="17">
        <f>COUNTIFS('Prácticas_Revisiones'!$S$2:$S$282,"T066",'Prácticas_Revisiones'!$T$2:$T$282,"REQUIREMENTS &gt; Requirements Specification")+COUNTIFS('Prácticas_Snowballing'!$AB$2:$AB$281,"T066",'Prácticas_Snowballing'!$AC$2:$AC$281,"REQUIREMENTS &gt; Requirements Specification")</f>
        <v>0</v>
      </c>
      <c r="G78" s="17">
        <f>COUNTIFS('Prácticas_Revisiones'!$S$2:$S$282,"T066",'Prácticas_Revisiones'!$T$2:$T$282,"REQUIREMENTS &gt; Requirements Validation")+COUNTIFS('Prácticas_Snowballing'!$AB$2:$AB$281,"T066",'Prácticas_Snowballing'!$AC$2:$AC$281,"REQUIREMENTS &gt; Requirements Validation")</f>
        <v>0</v>
      </c>
      <c r="H78" s="17">
        <f>COUNTIFS('Prácticas_Revisiones'!$S$2:$S$282,"T066",'Prácticas_Revisiones'!$T$2:$T$282,"REQUIREMENTS &gt; Requirements Management Activities")+COUNTIFS('Prácticas_Snowballing'!$AB$2:$AB$281,"T066",'Prácticas_Snowballing'!$AC$2:$AC$281,"REQUIREMENTS &gt; Requirements Management Activities")</f>
        <v>0</v>
      </c>
      <c r="I78" s="17">
        <f>COUNTIFS('Prácticas_Revisiones'!$S$2:$S$282,"T066",'Prácticas_Revisiones'!$T$2:$T$282,"REQUIREMENTS &gt; Practical Considerations")+COUNTIFS('Prácticas_Snowballing'!$AB$2:$AB$281,"T066",'Prácticas_Snowballing'!$AC$2:$AC$281,"REQUIREMENTS &gt; Practical Considerations")</f>
        <v>0</v>
      </c>
      <c r="J78" s="17">
        <f>COUNTIFS('Prácticas_Revisiones'!$S$2:$S$282,"T066",'Prácticas_Revisiones'!$T$2:$T$282,"REQUIREMENTS &gt; Software Requirements Tools")+COUNTIFS('Prácticas_Snowballing'!$AB$2:$AB$281,"T066",'Prácticas_Snowballing'!$AC$2:$AC$281,"REQUIREMENTS &gt; Software Requirements Tools")</f>
        <v>0</v>
      </c>
      <c r="K78" s="17">
        <f>COUNTIFS('Prácticas_Revisiones'!$S$2:$S$282,"T066",'Prácticas_Revisiones'!$T$2:$T$282,"REQUIREMENTS &gt; Subárea no determinable")+COUNTIFS('Prácticas_Snowballing'!$AB$2:$AB$281,"T066",'Prácticas_Snowballing'!$AC$2:$AC$281,"REQUIREMENTS &gt; Subárea no determinable")</f>
        <v>0</v>
      </c>
      <c r="L78" s="29">
        <f t="shared" si="52"/>
        <v>1</v>
      </c>
      <c r="M78" s="17">
        <f>COUNTIFS('Prácticas_Revisiones'!$S$2:$S$282,"T066",'Prácticas_Revisiones'!$T$2:$T$282,"ARCHITECTURE &gt; Software Architecture Fundamentals")+COUNTIFS('Prácticas_Snowballing'!$AB$2:$AB$281,"T066",'Prácticas_Snowballing'!$AC$2:$AC$281,"ARCHITECTURE &gt; Software Architecture Fundamentals")</f>
        <v>0</v>
      </c>
      <c r="N78" s="17">
        <f>COUNTIFS('Prácticas_Revisiones'!$S$2:$S$282,"T066",'Prácticas_Revisiones'!$T$2:$T$282,"ARCHITECTURE &gt; Software Architecture Description")+COUNTIFS('Prácticas_Snowballing'!$AB$2:$AB$281,"T066",'Prácticas_Snowballing'!$AC$2:$AC$281,"ARCHITECTURE &gt; Software Architecture Description")</f>
        <v>0</v>
      </c>
      <c r="O78" s="17">
        <f>COUNTIFS('Prácticas_Revisiones'!$S$2:$S$282,"T066",'Prácticas_Revisiones'!$T$2:$T$282,"ARCHITECTURE &gt; Software Architecture Process")+COUNTIFS('Prácticas_Snowballing'!$AB$2:$AB$281,"T066",'Prácticas_Snowballing'!$AC$2:$AC$281,"ARCHITECTURE &gt; Software Architecture Process")</f>
        <v>0</v>
      </c>
      <c r="P78" s="17">
        <f>COUNTIFS('Prácticas_Revisiones'!$S$2:$S$282,"T066",'Prácticas_Revisiones'!$T$2:$T$282,"ARCHITECTURE &gt; Software Architecture Evaluation")+COUNTIFS('Prácticas_Snowballing'!$AB$2:$AB$281,"T066",'Prácticas_Snowballing'!$AC$2:$AC$281,"ARCHITECTURE &gt; Software Architecture Evaluation")</f>
        <v>0</v>
      </c>
      <c r="Q78" s="17">
        <f>COUNTIFS('Prácticas_Revisiones'!$S$2:$S$282,"T066",'Prácticas_Revisiones'!$T$2:$T$282,"ARCHITECTURE &gt; Subárea no determinable")+COUNTIFS('Prácticas_Snowballing'!$AB$2:$AB$281,"T066",'Prácticas_Snowballing'!$AC$2:$AC$281,"ARCHITECTURE &gt; Subárea no determinable")</f>
        <v>0</v>
      </c>
      <c r="R78" s="29">
        <f t="shared" si="53"/>
        <v>0</v>
      </c>
      <c r="S78" s="17">
        <f>COUNTIFS('Prácticas_Revisiones'!$S$2:$S$282,"T066",'Prácticas_Revisiones'!$T$2:$T$282,"DESIGN &gt; Software Design Fundamentals")+COUNTIFS('Prácticas_Snowballing'!$AB$2:$AB$281,"T066",'Prácticas_Snowballing'!$AC$2:$AC$281,"DESIGN &gt; Software Design Fundamentals")</f>
        <v>0</v>
      </c>
      <c r="T78" s="17">
        <f>COUNTIFS('Prácticas_Revisiones'!$S$2:$S$282,"T066",'Prácticas_Revisiones'!$T$2:$T$282,"DESIGN &gt; Software Design Processes")+COUNTIFS('Prácticas_Snowballing'!$AB$2:$AB$281,"T066",'Prácticas_Snowballing'!$AC$2:$AC$281,"DESIGN &gt; Software Design Processes")</f>
        <v>0</v>
      </c>
      <c r="U78" s="17">
        <f>COUNTIFS('Prácticas_Revisiones'!$S$2:$S$282,"T066",'Prácticas_Revisiones'!$T$2:$T$282,"DESIGN &gt; Software Design Qualities")+COUNTIFS('Prácticas_Snowballing'!$AB$2:$AB$281,"T066",'Prácticas_Snowballing'!$AC$2:$AC$281,"DESIGN &gt; Software Design Qualities")</f>
        <v>0</v>
      </c>
      <c r="V78" s="17">
        <f>COUNTIFS('Prácticas_Revisiones'!$S$2:$S$282,"T066",'Prácticas_Revisiones'!$T$2:$T$282,"DESIGN &gt; Recording Software Design")+COUNTIFS('Prácticas_Snowballing'!$AB$2:$AB$281,"T066",'Prácticas_Snowballing'!$AC$2:$AC$281,"DESIGN &gt; Recording Software Design")</f>
        <v>0</v>
      </c>
      <c r="W78" s="17">
        <f>COUNTIFS('Prácticas_Revisiones'!$S$2:$S$282,"T066",'Prácticas_Revisiones'!$T$2:$T$282,"DESIGN &gt; Software Design Strategies and Methods")+COUNTIFS('Prácticas_Snowballing'!$AB$2:$AB$281,"T066",'Prácticas_Snowballing'!$AC$2:$AC$281,"DESIGN &gt; Software Design Strategies and Methods")</f>
        <v>0</v>
      </c>
      <c r="X78" s="17">
        <f>COUNTIFS('Prácticas_Revisiones'!$S$2:$S$282,"T066",'Prácticas_Revisiones'!$T$2:$T$282,"DESIGN &gt; Software Design Analysis and Evaluations")+COUNTIFS('Prácticas_Snowballing'!$AB$2:$AB$281,"T066",'Prácticas_Snowballing'!$AC$2:$AC$281,"DESIGN &gt; Software Design Analysis and Evaluations")</f>
        <v>1</v>
      </c>
      <c r="Y78" s="17">
        <f>COUNTIFS('Prácticas_Revisiones'!$S$2:$S$282,"T066",'Prácticas_Revisiones'!$T$2:$T$282,"DESIGN &gt; Subárea no determinable")+COUNTIFS('Prácticas_Snowballing'!$AB$2:$AB$281,"T066",'Prácticas_Snowballing'!$AC$2:$AC$281,"DESIGN &gt; Subárea no determinable")</f>
        <v>0</v>
      </c>
      <c r="Z78" s="29">
        <f t="shared" si="54"/>
        <v>1</v>
      </c>
      <c r="AA78" s="17">
        <f>COUNTIFS('Prácticas_Revisiones'!$S$2:$S$282,"T066",'Prácticas_Revisiones'!$T$2:$T$282,"CONSTRUCTION &gt; Software Construction Fundamentals")+COUNTIFS('Prácticas_Snowballing'!$AB$2:$AB$281,"T066",'Prácticas_Snowballing'!$AC$2:$AC$281,"CONSTRUCTION &gt; Software Construction Fundamentals")</f>
        <v>2</v>
      </c>
      <c r="AB78" s="17">
        <f>COUNTIFS('Prácticas_Revisiones'!$S$2:$S$282,"T066",'Prácticas_Revisiones'!$T$2:$T$282,"CONSTRUCTION &gt; Managing Construction")+COUNTIFS('Prácticas_Snowballing'!$AB$2:$AB$281,"T066",'Prácticas_Snowballing'!$AC$2:$AC$281,"CONSTRUCTION &gt; Managing Construction")</f>
        <v>0</v>
      </c>
      <c r="AC78" s="17">
        <f>COUNTIFS('Prácticas_Revisiones'!$S$2:$S$282,"T066",'Prácticas_Revisiones'!$T$2:$T$282,"CONSTRUCTION &gt; Practical Considerations")+COUNTIFS('Prácticas_Snowballing'!$AB$2:$AB$281,"T066",'Prácticas_Snowballing'!$AC$2:$AC$281,"CONSTRUCTION &gt; Practical Considerations")</f>
        <v>0</v>
      </c>
      <c r="AD78" s="17">
        <f>COUNTIFS('Prácticas_Revisiones'!$S$2:$S$282,"T066",'Prácticas_Revisiones'!$T$2:$T$282,"CONSTRUCTION &gt; Construction Technologies")+COUNTIFS('Prácticas_Snowballing'!$AB$2:$AB$281,"T066",'Prácticas_Snowballing'!$AC$2:$AC$281,"CONSTRUCTION &gt; Construction Technologies")</f>
        <v>1</v>
      </c>
      <c r="AE78" s="17">
        <f>COUNTIFS('Prácticas_Revisiones'!$S$2:$S$282,"T066",'Prácticas_Revisiones'!$T$2:$T$282,"CONSTRUCTION &gt; Software Construction Tools")+COUNTIFS('Prácticas_Snowballing'!$AB$2:$AB$281,"T066",'Prácticas_Snowballing'!$AC$2:$AC$281,"CONSTRUCTION &gt; Software Construction Tools")</f>
        <v>0</v>
      </c>
      <c r="AF78" s="17">
        <f>COUNTIFS('Prácticas_Revisiones'!$S$2:$S$282,"T066",'Prácticas_Revisiones'!$T$2:$T$282,"CONSTRUCTION &gt; Subárea no determinable")+COUNTIFS('Prácticas_Snowballing'!$AB$2:$AB$281,"T066",'Prácticas_Snowballing'!$AC$2:$AC$281,"CONSTRUCTION &gt; Subárea no determinable")</f>
        <v>0</v>
      </c>
      <c r="AG78" s="29">
        <f t="shared" si="55"/>
        <v>3</v>
      </c>
      <c r="AH78" s="17">
        <f>COUNTIFS('Prácticas_Revisiones'!$S$2:$S$282,"T066",'Prácticas_Revisiones'!$T$2:$T$282,"SOFTWARE TESTING &gt; Software Testing Fundamentals")+COUNTIFS('Prácticas_Snowballing'!$AB$2:$AB$281,"T066",'Prácticas_Snowballing'!$AC$2:$AC$281,"SOFTWARE TESTING &gt; Software Testing Fundamentals")</f>
        <v>0</v>
      </c>
      <c r="AI78" s="17">
        <f>COUNTIFS('Prácticas_Revisiones'!$S$2:$S$282,"T066",'Prácticas_Revisiones'!$T$2:$T$282,"SOFTWARE TESTING &gt; Test Levels")+COUNTIFS('Prácticas_Snowballing'!$AB$2:$AB$281,"T066",'Prácticas_Snowballing'!$AC$2:$AC$281,"SOFTWARE TESTING &gt; Test Levels")</f>
        <v>0</v>
      </c>
      <c r="AJ78" s="17">
        <f>COUNTIFS('Prácticas_Revisiones'!$S$2:$S$282,"T066",'Prácticas_Revisiones'!$T$2:$T$282,"SOFTWARE TESTING &gt; Test Techniques")+COUNTIFS('Prácticas_Snowballing'!$AB$2:$AB$281,"T066",'Prácticas_Snowballing'!$AC$2:$AC$281,"SOFTWARE TESTING &gt; Test Techniques")</f>
        <v>0</v>
      </c>
      <c r="AK78" s="17">
        <f>COUNTIFS('Prácticas_Revisiones'!$S$2:$S$282,"T066",'Prácticas_Revisiones'!$T$2:$T$282,"SOFTWARE TESTING &gt; Test-Related Measures")+COUNTIFS('Prácticas_Snowballing'!$AB$2:$AB$281,"T066",'Prácticas_Snowballing'!$AC$2:$AC$281,"SOFTWARE TESTING &gt; Test-Related Measures")</f>
        <v>0</v>
      </c>
      <c r="AL78" s="17">
        <f>COUNTIFS('Prácticas_Revisiones'!$S$2:$S$282,"T066",'Prácticas_Revisiones'!$T$2:$T$282,"SOFTWARE TESTING &gt; Test Process")+COUNTIFS('Prácticas_Snowballing'!$AB$2:$AB$281,"T066",'Prácticas_Snowballing'!$AC$2:$AC$281,"SOFTWARE TESTING &gt; Test Process")</f>
        <v>0</v>
      </c>
      <c r="AM78" s="17">
        <f>COUNTIFS('Prácticas_Revisiones'!$S$2:$S$282,"T066",'Prácticas_Revisiones'!$T$2:$T$282,"SOFTWARE TESTING &gt; Software Testing in the Development Processes...")+COUNTIFS('Prácticas_Snowballing'!$AB$2:$AB$281,"T066",'Prácticas_Snowballing'!$AC$2:$AC$281,"SOFTWARE TESTING &gt; Software Testing in the Development Processes...")</f>
        <v>0</v>
      </c>
      <c r="AN78" s="17">
        <f>COUNTIFS('Prácticas_Revisiones'!$S$2:$S$282,"T066",'Prácticas_Revisiones'!$T$2:$T$282,"SOFTWARE TESTING &gt; Testing of and Testing Through Emerging Tech...")+COUNTIFS('Prácticas_Snowballing'!$AB$2:$AB$281,"T066",'Prácticas_Snowballing'!$AC$2:$AC$281,"SOFTWARE TESTING &gt; Testing of and Testing Through Emerging Tech...")</f>
        <v>0</v>
      </c>
      <c r="AO78" s="17">
        <f>COUNTIFS('Prácticas_Revisiones'!$S$2:$S$282,"T066",'Prácticas_Revisiones'!$T$2:$T$282,"SOFTWARE TESTING &gt; Software Testing Tools")+COUNTIFS('Prácticas_Snowballing'!$AB$2:$AB$281,"T066",'Prácticas_Snowballing'!$AC$2:$AC$281,"SOFTWARE TESTING &gt; Software Testing Tools")</f>
        <v>0</v>
      </c>
      <c r="AP78" s="17">
        <f>COUNTIFS('Prácticas_Revisiones'!$S$2:$S$282,"T066",'Prácticas_Revisiones'!$T$2:$T$282,"SOFTWARE TESTING &gt; Subárea no determinable")+COUNTIFS('Prácticas_Snowballing'!$AB$2:$AB$281,"T066",'Prácticas_Snowballing'!$AC$2:$AC$281,"SOFTWARE TESTING &gt; Subárea no determinable")</f>
        <v>0</v>
      </c>
      <c r="AQ78" s="29">
        <f t="shared" si="56"/>
        <v>0</v>
      </c>
      <c r="AR78" s="17">
        <f>COUNTIFS('Prácticas_Revisiones'!$S$2:$S$282,"T066",'Prácticas_Revisiones'!$T$2:$T$282,"SOFTWARE ENG. OPERATIONS &gt; Software Engineering Operations Fundamentals")+COUNTIFS('Prácticas_Snowballing'!$AB$2:$AB$281,"T066",'Prácticas_Snowballing'!$AC$2:$AC$281,"SOFTWARE ENG. OPERATIONS &gt; Software Engineering Operations Fundamentals")</f>
        <v>0</v>
      </c>
      <c r="AS78" s="17">
        <f>COUNTIFS('Prácticas_Revisiones'!$S$2:$S$282,"T066",'Prácticas_Revisiones'!$T$2:$T$282,"SOFTWARE ENG. OPERATIONS &gt; Software Engineering Operations Planning")+COUNTIFS('Prácticas_Snowballing'!$AB$2:$AB$281,"T066",'Prácticas_Snowballing'!$AC$2:$AC$281,"SOFTWARE ENG. OPERATIONS &gt; Software Engineering Operations Planning")</f>
        <v>0</v>
      </c>
      <c r="AT78" s="17">
        <f>COUNTIFS('Prácticas_Revisiones'!$S$2:$S$282,"T066",'Prácticas_Revisiones'!$T$2:$T$282,"SOFTWARE ENG. OPERATIONS &gt; Software Engineering Operations Delivery")+COUNTIFS('Prácticas_Snowballing'!$AB$2:$AB$281,"T066",'Prácticas_Snowballing'!$AC$2:$AC$281,"SOFTWARE ENG. OPERATIONS &gt; Software Engineering Operations Delivery")</f>
        <v>0</v>
      </c>
      <c r="AU78" s="17">
        <f>COUNTIFS('Prácticas_Revisiones'!$S$2:$S$282,"T066",'Prácticas_Revisiones'!$T$2:$T$282,"SOFTWARE ENG. OPERATIONS &gt; Software Engineering Operations Control")+COUNTIFS('Prácticas_Snowballing'!$AB$2:$AB$281,"T066",'Prácticas_Snowballing'!$AC$2:$AC$281,"SOFTWARE ENG. OPERATIONS &gt; Software Engineering Operations Control")</f>
        <v>0</v>
      </c>
      <c r="AV78" s="17">
        <f>COUNTIFS('Prácticas_Revisiones'!$S$2:$S$282,"T066",'Prácticas_Revisiones'!$T$2:$T$282,"SOFTWARE ENG. OPERATIONS &gt; Practical Considerations")+COUNTIFS('Prácticas_Snowballing'!$AB$2:$AB$281,"T066",'Prácticas_Snowballing'!$AC$2:$AC$281,"SOFTWARE ENG. OPERATIONS &gt; Practical Considerations")</f>
        <v>0</v>
      </c>
      <c r="AW78" s="17">
        <f>COUNTIFS('Prácticas_Revisiones'!$S$2:$S$282,"T066",'Prácticas_Revisiones'!$T$2:$T$282,"SOFTWARE ENG. OPERATIONS &gt; Software Engineering Operations Tools")+COUNTIFS('Prácticas_Snowballing'!$AB$2:$AB$281,"T066",'Prácticas_Snowballing'!$AC$2:$AC$281,"SOFTWARE ENG. OPERATIONS &gt; Software Engineering Operations Tools")</f>
        <v>0</v>
      </c>
      <c r="AX78" s="17">
        <f>COUNTIFS('Prácticas_Revisiones'!$S$2:$S$282,"T066",'Prácticas_Revisiones'!$T$2:$T$282,"SOFTWARE ENG. OPERATIONS &gt; Subárea no determinable")+COUNTIFS('Prácticas_Snowballing'!$AB$2:$AB$281,"T066",'Prácticas_Snowballing'!$AC$2:$AC$281,"SOFTWARE ENG. OPERATIONS &gt; Subárea no determinable")</f>
        <v>0</v>
      </c>
      <c r="AY78" s="29">
        <f t="shared" si="57"/>
        <v>0</v>
      </c>
      <c r="AZ78" s="17">
        <f>COUNTIFS('Prácticas_Revisiones'!$S$2:$S$282,"T066",'Prácticas_Revisiones'!$T$2:$T$282,"MAINTENANCE &gt; Software Maintenance Fundamentals")+COUNTIFS('Prácticas_Snowballing'!$AB$2:$AB$281,"T066",'Prácticas_Snowballing'!$AC$2:$AC$281,"MAINTENANCE &gt; Software Maintenance Fundamentals")</f>
        <v>0</v>
      </c>
      <c r="BA78" s="17">
        <f>COUNTIFS('Prácticas_Revisiones'!$S$2:$S$282,"T066",'Prácticas_Revisiones'!$T$2:$T$282,"MAINTENANCE &gt; Key Issues in Software Maintenance")+COUNTIFS('Prácticas_Snowballing'!$AB$2:$AB$281,"T066",'Prácticas_Snowballing'!$AC$2:$AC$281,"MAINTENANCE &gt; Key Issues in Software Maintenance")</f>
        <v>0</v>
      </c>
      <c r="BB78" s="17">
        <f>COUNTIFS('Prácticas_Revisiones'!$S$2:$S$282,"T066",'Prácticas_Revisiones'!$T$2:$T$282,"MAINTENANCE &gt; Software Maintenance Processes")+COUNTIFS('Prácticas_Snowballing'!$AB$2:$AB$281,"T066",'Prácticas_Snowballing'!$AC$2:$AC$281,"MAINTENANCE &gt; Software Maintenance Processes")</f>
        <v>0</v>
      </c>
      <c r="BC78" s="17">
        <f>COUNTIFS('Prácticas_Revisiones'!$S$2:$S$282,"T066",'Prácticas_Revisiones'!$T$2:$T$282,"MAINTENANCE &gt; Software Maintenance Techniques")+COUNTIFS('Prácticas_Snowballing'!$AB$2:$AB$281,"T066",'Prácticas_Snowballing'!$AC$2:$AC$281,"MAINTENANCE &gt; Software Maintenance Techniques")</f>
        <v>0</v>
      </c>
      <c r="BD78" s="17">
        <f>COUNTIFS('Prácticas_Revisiones'!$S$2:$S$282,"T066",'Prácticas_Revisiones'!$T$2:$T$282,"MAINTENANCE &gt; Software Maintenance Tools")+COUNTIFS('Prácticas_Snowballing'!$AB$2:$AB$281,"T066",'Prácticas_Snowballing'!$AC$2:$AC$281,"MAINTENANCE &gt; Software Maintenance Tools")</f>
        <v>0</v>
      </c>
      <c r="BE78" s="17">
        <f>COUNTIFS('Prácticas_Revisiones'!$S$2:$S$282,"T066",'Prácticas_Revisiones'!$T$2:$T$282,"MAINTENANCE &gt; Subárea no determinable")+COUNTIFS('Prácticas_Snowballing'!$AB$2:$AB$281,"T066",'Prácticas_Snowballing'!$AC$2:$AC$281,"MAINTENANCE &gt; Subárea no determinable")</f>
        <v>0</v>
      </c>
      <c r="BF78" s="29">
        <f t="shared" si="58"/>
        <v>0</v>
      </c>
      <c r="BG78" s="17">
        <f>COUNTIFS('Prácticas_Revisiones'!$S$2:$S$282,"T066",'Prácticas_Revisiones'!$T$2:$T$282,"SOFTWARE CONFIG. MGMT. &gt; Management of the SCM Process")+COUNTIFS('Prácticas_Snowballing'!$AB$2:$AB$281,"T066",'Prácticas_Snowballing'!$AC$2:$AC$281,"SOFTWARE CONFIG. MGMT. &gt; Management of the SCM Process")</f>
        <v>0</v>
      </c>
      <c r="BH78" s="17">
        <f>COUNTIFS('Prácticas_Revisiones'!$S$2:$S$282,"T066",'Prácticas_Revisiones'!$T$2:$T$282,"SOFTWARE CONFIG. MGMT. &gt; Software Configuration Identification")+COUNTIFS('Prácticas_Snowballing'!$AB$2:$AB$281,"T066",'Prácticas_Snowballing'!$AC$2:$AC$281,"SOFTWARE CONFIG. MGMT. &gt; Software Configuration Identification")</f>
        <v>0</v>
      </c>
      <c r="BI78" s="17">
        <f>COUNTIFS('Prácticas_Revisiones'!$S$2:$S$282,"T066",'Prácticas_Revisiones'!$T$2:$T$282,"SOFTWARE CONFIG. MGMT. &gt; Software Configuration Change Control")+COUNTIFS('Prácticas_Snowballing'!$AB$2:$AB$281,"T066",'Prácticas_Snowballing'!$AC$2:$AC$281,"SOFTWARE CONFIG. MGMT. &gt; Software Configuration Change Control")</f>
        <v>0</v>
      </c>
      <c r="BJ78" s="17">
        <f>COUNTIFS('Prácticas_Revisiones'!$S$2:$S$282,"T066",'Prácticas_Revisiones'!$T$2:$T$282,"SOFTWARE CONFIG. MGMT. &gt; Software Configuration Status Accounting")+COUNTIFS('Prácticas_Snowballing'!$AB$2:$AB$281,"T066",'Prácticas_Snowballing'!$AC$2:$AC$281,"SOFTWARE CONFIG. MGMT. &gt; Software Configuration Status Accounting")</f>
        <v>0</v>
      </c>
      <c r="BK78" s="17">
        <f>COUNTIFS('Prácticas_Revisiones'!$S$2:$S$282,"T066",'Prácticas_Revisiones'!$T$2:$T$282,"SOFTWARE CONFIG. MGMT. &gt; Software Configuration Auditing")+COUNTIFS('Prácticas_Snowballing'!$AB$2:$AB$281,"T066",'Prácticas_Snowballing'!$AC$2:$AC$281,"SOFTWARE CONFIG. MGMT. &gt; Software Configuration Auditing")</f>
        <v>0</v>
      </c>
      <c r="BL78" s="17">
        <f>COUNTIFS('Prácticas_Revisiones'!$S$2:$S$282,"T066",'Prácticas_Revisiones'!$T$2:$T$282,"SOFTWARE CONFIG. MGMT. &gt; Software Release Management and Delivery")+COUNTIFS('Prácticas_Snowballing'!$AB$2:$AB$281,"T066",'Prácticas_Snowballing'!$AC$2:$AC$281,"SOFTWARE CONFIG. MGMT. &gt; Software Release Management and Delivery")</f>
        <v>0</v>
      </c>
      <c r="BM78" s="17">
        <f>COUNTIFS('Prácticas_Revisiones'!$S$2:$S$282,"T066",'Prácticas_Revisiones'!$T$2:$T$282,"SOFTWARE CONFIG. MGMT. &gt; Software Configuration Management Tools")+COUNTIFS('Prácticas_Snowballing'!$AB$2:$AB$281,"T066",'Prácticas_Snowballing'!$AC$2:$AC$281,"SOFTWARE CONFIG. MGMT. &gt; Software Configuration Management Tools")</f>
        <v>0</v>
      </c>
      <c r="BN78" s="17">
        <f>COUNTIFS('Prácticas_Revisiones'!$S$2:$S$282,"T066",'Prácticas_Revisiones'!$T$2:$T$282,"SOFTWARE CONFIG. MGMT. &gt; Subárea no determinable")+COUNTIFS('Prácticas_Snowballing'!$AB$2:$AB$281,"T066",'Prácticas_Snowballing'!$AC$2:$AC$281,"SOFTWARE CONFIG. MGMT. &gt; Subárea no determinable")</f>
        <v>0</v>
      </c>
      <c r="BO78" s="29">
        <f t="shared" si="59"/>
        <v>0</v>
      </c>
      <c r="BP78" s="17">
        <f>COUNTIFS('Prácticas_Revisiones'!$S$2:$S$282,"T066",'Prácticas_Revisiones'!$T$2:$T$282,"SOFTWARE ENG. PROCESS &gt; Software Engineering Process Fundamentals")+COUNTIFS('Prácticas_Snowballing'!$AB$2:$AB$281,"T066",'Prácticas_Snowballing'!$AC$2:$AC$281,"SOFTWARE ENG. PROCESS &gt; Software Engineering Process Fundamentals")</f>
        <v>0</v>
      </c>
      <c r="BQ78" s="17">
        <f>COUNTIFS('Prácticas_Revisiones'!$S$2:$S$282,"T066",'Prácticas_Revisiones'!$T$2:$T$282,"SOFTWARE ENG. PROCESS &gt; Life Cycles")+COUNTIFS('Prácticas_Snowballing'!$AB$2:$AB$281,"T066",'Prácticas_Snowballing'!$AC$2:$AC$281,"SOFTWARE ENG. PROCESS &gt; Life Cycles")</f>
        <v>0</v>
      </c>
      <c r="BR78" s="17">
        <f>COUNTIFS('Prácticas_Revisiones'!$S$2:$S$282,"T066",'Prácticas_Revisiones'!$T$2:$T$282,"SOFTWARE ENG. PROCESS &gt; Software Process Assessment and Improvement")+COUNTIFS('Prácticas_Snowballing'!$AB$2:$AB$281,"T066",'Prácticas_Snowballing'!$AC$2:$AC$281,"SOFTWARE ENG. PROCESS &gt; Software Process Assessment and Improvement")</f>
        <v>0</v>
      </c>
      <c r="BS78" s="17">
        <f>COUNTIFS('Prácticas_Revisiones'!$S$2:$S$282,"T066",'Prácticas_Revisiones'!$T$2:$T$282,"SOFTWARE ENG. PROCESS &gt; Subárea no determinable")+COUNTIFS('Prácticas_Snowballing'!$AB$2:$AB$281,"T066",'Prácticas_Snowballing'!$AC$2:$AC$281,"SOFTWARE ENG. PROCESS &gt; Subárea no determinable")</f>
        <v>0</v>
      </c>
      <c r="BT78" s="29">
        <f t="shared" si="60"/>
        <v>0</v>
      </c>
      <c r="BU78" s="17">
        <f>COUNTIFS('Prácticas_Revisiones'!$S$2:$S$282,"T066",'Prácticas_Revisiones'!$T$2:$T$282,"SOFTWARE ENG. MODELS/METH. &gt; Modeling")+COUNTIFS('Prácticas_Snowballing'!$AB$2:$AB$281,"T066",'Prácticas_Snowballing'!$AC$2:$AC$281,"SOFTWARE ENG. MODELS/METH. &gt; Modeling")</f>
        <v>0</v>
      </c>
      <c r="BV78" s="17">
        <f>COUNTIFS('Prácticas_Revisiones'!$S$2:$S$282,"T066",'Prácticas_Revisiones'!$T$2:$T$282,"SOFTWARE ENG. MODELS/METH. &gt; Types of Models")+COUNTIFS('Prácticas_Snowballing'!$AB$2:$AB$281,"T066",'Prácticas_Snowballing'!$AC$2:$AC$281,"SOFTWARE ENG. MODELS/METH. &gt; Types of Models")</f>
        <v>0</v>
      </c>
      <c r="BW78" s="17">
        <f>COUNTIFS('Prácticas_Revisiones'!$S$2:$S$282,"T066",'Prácticas_Revisiones'!$T$2:$T$282,"SOFTWARE ENG. MODELS/METH. &gt; Analysis of Models")+COUNTIFS('Prácticas_Snowballing'!$AB$2:$AB$281,"T066",'Prácticas_Snowballing'!$AC$2:$AC$281,"SOFTWARE ENG. MODELS/METH. &gt; Analysis of Models")</f>
        <v>0</v>
      </c>
      <c r="BX78" s="17">
        <f>COUNTIFS('Prácticas_Revisiones'!$S$2:$S$282,"T066",'Prácticas_Revisiones'!$T$2:$T$282,"SOFTWARE ENG. MODELS/METH. &gt; Software Engineering Methods")+COUNTIFS('Prácticas_Snowballing'!$AB$2:$AB$281,"T066",'Prácticas_Snowballing'!$AC$2:$AC$281,"SOFTWARE ENG. MODELS/METH. &gt; Software Engineering Methods")</f>
        <v>0</v>
      </c>
      <c r="BY78" s="17">
        <f>COUNTIFS('Prácticas_Revisiones'!$S$2:$S$282,"T066",'Prácticas_Revisiones'!$T$2:$T$282,"SOFTWARE ENG. MODELS/METH. &gt; Subárea no determinable")+COUNTIFS('Prácticas_Snowballing'!$AB$2:$AB$281,"T066",'Prácticas_Snowballing'!$AC$2:$AC$281,"SOFTWARE ENG. MODELS/METH. &gt; Subárea no determinable")</f>
        <v>0</v>
      </c>
      <c r="BZ78" s="29">
        <f t="shared" si="61"/>
        <v>0</v>
      </c>
      <c r="CA78" s="17">
        <f>COUNTIFS('Prácticas_Revisiones'!$S$2:$S$282,"T066",'Prácticas_Revisiones'!$T$2:$T$282,"SOFTWARE QUALITY &gt; Software Quality Fundamentals")+COUNTIFS('Prácticas_Snowballing'!$AB$2:$AB$281,"T066",'Prácticas_Snowballing'!$AC$2:$AC$281,"SOFTWARE QUALITY &gt; Software Quality Fundamentals")</f>
        <v>0</v>
      </c>
      <c r="CB78" s="17">
        <f>COUNTIFS('Prácticas_Revisiones'!$S$2:$S$282,"T066",'Prácticas_Revisiones'!$T$2:$T$282,"SOFTWARE QUALITY &gt; Software Quality Management Process")+COUNTIFS('Prácticas_Snowballing'!$AB$2:$AB$281,"T066",'Prácticas_Snowballing'!$AC$2:$AC$281,"SOFTWARE QUALITY &gt; Software Quality Management Process")</f>
        <v>0</v>
      </c>
      <c r="CC78" s="17">
        <f>COUNTIFS('Prácticas_Revisiones'!$S$2:$S$282,"T066",'Prácticas_Revisiones'!$T$2:$T$282,"SOFTWARE QUALITY &gt; Software Quality Assurance Process")+COUNTIFS('Prácticas_Snowballing'!$AB$2:$AB$281,"T066",'Prácticas_Snowballing'!$AC$2:$AC$281,"SOFTWARE QUALITY &gt; Software Quality Assurance Process")</f>
        <v>0</v>
      </c>
      <c r="CD78" s="17">
        <f>COUNTIFS('Prácticas_Revisiones'!$S$2:$S$282,"T066",'Prácticas_Revisiones'!$T$2:$T$282,"SOFTWARE QUALITY &gt; Software Quality Tools")+COUNTIFS('Prácticas_Snowballing'!$AB$2:$AB$281,"T066",'Prácticas_Snowballing'!$AC$2:$AC$281,"SOFTWARE QUALITY &gt; Software Quality Tools")</f>
        <v>0</v>
      </c>
      <c r="CE78" s="17">
        <f>COUNTIFS('Prácticas_Revisiones'!$S$2:$S$282,"T066",'Prácticas_Revisiones'!$T$2:$T$282,"SOFTWARE QUALITY &gt; Subárea no determinable")+COUNTIFS('Prácticas_Snowballing'!$AB$2:$AB$281,"T066",'Prácticas_Snowballing'!$AC$2:$AC$281,"SOFTWARE QUALITY &gt; Subárea no determinable")</f>
        <v>0</v>
      </c>
      <c r="CF78" s="29">
        <f t="shared" si="62"/>
        <v>0</v>
      </c>
      <c r="CG78" s="17">
        <f>COUNTIFS('Prácticas_Revisiones'!$S$2:$S$282,"T066",'Prácticas_Revisiones'!$T$2:$T$282,"SOFTWARE SECURITY &gt; Software Security Fundamentals")+COUNTIFS('Prácticas_Snowballing'!$AB$2:$AB$281,"T066",'Prácticas_Snowballing'!$AC$2:$AC$281,"SOFTWARE SECURITY &gt; Software Security Fundamentals")</f>
        <v>0</v>
      </c>
      <c r="CH78" s="17">
        <f>COUNTIFS('Prácticas_Revisiones'!$S$2:$S$282,"T066",'Prácticas_Revisiones'!$T$2:$T$282,"SOFTWARE SECURITY &gt; Security Management and Organization")+COUNTIFS('Prácticas_Snowballing'!$AB$2:$AB$281,"T066",'Prácticas_Snowballing'!$AC$2:$AC$281,"SOFTWARE SECURITY &gt; Security Management and Organization")</f>
        <v>0</v>
      </c>
      <c r="CI78" s="17">
        <f>COUNTIFS('Prácticas_Revisiones'!$S$2:$S$282,"T066",'Prácticas_Revisiones'!$T$2:$T$282,"SOFTWARE SECURITY &gt; Software Security Engineering and Process")+COUNTIFS('Prácticas_Snowballing'!$AB$2:$AB$281,"T066",'Prácticas_Snowballing'!$AC$2:$AC$281,"SOFTWARE SECURITY &gt; Software Security Engineering and Process")</f>
        <v>0</v>
      </c>
      <c r="CJ78" s="17">
        <f>COUNTIFS('Prácticas_Revisiones'!$S$2:$S$282,"T066",'Prácticas_Revisiones'!$T$2:$T$282,"SOFTWARE SECURITY &gt; Security Engineering for Software Systems")+COUNTIFS('Prácticas_Snowballing'!$AB$2:$AB$281,"T066",'Prácticas_Snowballing'!$AC$2:$AC$281,"SOFTWARE SECURITY &gt; Security Engineering for Software Systems")</f>
        <v>0</v>
      </c>
      <c r="CK78" s="17">
        <f>COUNTIFS('Prácticas_Revisiones'!$S$2:$S$282,"T066",'Prácticas_Revisiones'!$T$2:$T$282,"SOFTWARE SECURITY &gt; Software Security Tools")+COUNTIFS('Prácticas_Snowballing'!$AB$2:$AB$281,"T066",'Prácticas_Snowballing'!$AC$2:$AC$281,"SOFTWARE SECURITY &gt; Software Security Tools")</f>
        <v>0</v>
      </c>
      <c r="CL78" s="17">
        <f>COUNTIFS('Prácticas_Revisiones'!$S$2:$S$282,"T066",'Prácticas_Revisiones'!$T$2:$T$282,"SOFTWARE SECURITY &gt; Domain Specific Software Security")+COUNTIFS('Prácticas_Snowballing'!$AB$2:$AB$281,"T066",'Prácticas_Snowballing'!$AC$2:$AC$281,"SOFTWARE SECURITY &gt; Domain Specific Software Security")</f>
        <v>0</v>
      </c>
      <c r="CM78" s="17">
        <f>COUNTIFS('Prácticas_Revisiones'!$S$2:$S$282,"T066",'Prácticas_Revisiones'!$T$2:$T$282,"SOFTWARE SECURITY &gt; Subárea no determinable")+COUNTIFS('Prácticas_Snowballing'!$AB$2:$AB$281,"T066",'Prácticas_Snowballing'!$AC$2:$AC$281,"SOFTWARE SECURITY &gt; Subárea no determinable")</f>
        <v>0</v>
      </c>
      <c r="CN78" s="29">
        <f t="shared" si="63"/>
        <v>0</v>
      </c>
      <c r="CO78" s="17">
        <f>COUNTIFS('Prácticas_Revisiones'!$S$2:$S$282,"T066",'Prácticas_Revisiones'!$T$2:$T$282,"PROFESSIONAL PRACTICE &gt; Professionalism")+COUNTIFS('Prácticas_Snowballing'!$AB$2:$AB$281,"T066",'Prácticas_Snowballing'!$AC$2:$AC$281,"PROFESSIONAL PRACTICE &gt; Professionalism")</f>
        <v>0</v>
      </c>
      <c r="CP78" s="17">
        <f>COUNTIFS('Prácticas_Revisiones'!$S$2:$S$282,"T066",'Prácticas_Revisiones'!$T$2:$T$282,"PROFESSIONAL PRACTICE &gt; Group Dynamics and Psychology")+COUNTIFS('Prácticas_Snowballing'!$AB$2:$AB$281,"T066",'Prácticas_Snowballing'!$AC$2:$AC$281,"PROFESSIONAL PRACTICE &gt; Group Dynamics and Psychology")</f>
        <v>0</v>
      </c>
      <c r="CQ78" s="17">
        <f>COUNTIFS('Prácticas_Revisiones'!$S$2:$S$282,"T066",'Prácticas_Revisiones'!$T$2:$T$282,"PROFESSIONAL PRACTICE &gt; Communication Skills")+COUNTIFS('Prácticas_Snowballing'!$AB$2:$AB$281,"T066",'Prácticas_Snowballing'!$AC$2:$AC$281,"PROFESSIONAL PRACTICE &gt; Communication Skills")</f>
        <v>0</v>
      </c>
      <c r="CR78" s="17">
        <f>COUNTIFS('Prácticas_Revisiones'!$S$2:$S$282,"T066",'Prácticas_Revisiones'!$T$2:$T$282,"PROFESSIONAL PRACTICE &gt; Subárea no determinable")+COUNTIFS('Prácticas_Snowballing'!$AB$2:$AB$281,"T066",'Prácticas_Snowballing'!$AC$2:$AC$281,"PROFESSIONAL PRACTICE &gt; Subárea no determinable")</f>
        <v>0</v>
      </c>
      <c r="CS78" s="29">
        <f t="shared" si="64"/>
        <v>0</v>
      </c>
      <c r="CT78" s="17">
        <f>COUNTIFS('Prácticas_Revisiones'!$S$2:$S$282,"T066",'Prácticas_Revisiones'!$T$2:$T$282,"SOFTWARE ENG. ECONOMICS &gt; Software Engineering Economics Fundamentals")+COUNTIFS('Prácticas_Snowballing'!$AB$2:$AB$281,"T066",'Prácticas_Snowballing'!$AC$2:$AC$281,"SOFTWARE ENG. ECONOMICS &gt; Software Engineering Economics Fundamentals")</f>
        <v>0</v>
      </c>
      <c r="CU78" s="17">
        <f>COUNTIFS('Prácticas_Revisiones'!$S$2:$S$282,"T066",'Prácticas_Revisiones'!$T$2:$T$282,"SOFTWARE ENG. ECONOMICS &gt; The Engineering Decision-Making Process")+COUNTIFS('Prácticas_Snowballing'!$AB$2:$AB$281,"T066",'Prácticas_Snowballing'!$AC$2:$AC$281,"SOFTWARE ENG. ECONOMICS &gt; The Engineering Decision-Making Process")</f>
        <v>0</v>
      </c>
      <c r="CV78" s="17">
        <f>COUNTIFS('Prácticas_Revisiones'!$S$2:$S$282,"T066",'Prácticas_Revisiones'!$T$2:$T$282,"SOFTWARE ENG. ECONOMICS &gt; For-Profit Decision-Making")+COUNTIFS('Prácticas_Snowballing'!$AB$2:$AB$281,"T066",'Prácticas_Snowballing'!$AC$2:$AC$281,"SOFTWARE ENG. ECONOMICS &gt; For-Profit Decision-Making")</f>
        <v>0</v>
      </c>
      <c r="CW78" s="17">
        <f>COUNTIFS('Prácticas_Revisiones'!$S$2:$S$282,"T066",'Prácticas_Revisiones'!$T$2:$T$282,"SOFTWARE ENG. ECONOMICS &gt; Nonprofit Decision-Making")+COUNTIFS('Prácticas_Snowballing'!$AB$2:$AB$281,"T066",'Prácticas_Snowballing'!$AC$2:$AC$281,"SOFTWARE ENG. ECONOMICS &gt; Nonprofit Decision-Making")</f>
        <v>0</v>
      </c>
      <c r="CX78" s="17">
        <f>COUNTIFS('Prácticas_Revisiones'!$S$2:$S$282,"T066",'Prácticas_Revisiones'!$T$2:$T$282,"SOFTWARE ENG. ECONOMICS &gt; Present Economy Decision-Making")+COUNTIFS('Prácticas_Snowballing'!$AB$2:$AB$281,"T066",'Prácticas_Snowballing'!$AC$2:$AC$281,"SOFTWARE ENG. ECONOMICS &gt; Present Economy Decision-Making")</f>
        <v>0</v>
      </c>
      <c r="CY78" s="17">
        <f>COUNTIFS('Prácticas_Revisiones'!$S$2:$S$282,"T066",'Prácticas_Revisiones'!$T$2:$T$282,"SOFTWARE ENG. ECONOMICS &gt; Multiple-Attribute Decision-Making")+COUNTIFS('Prácticas_Snowballing'!$AB$2:$AB$281,"T066",'Prácticas_Snowballing'!$AC$2:$AC$281,"SOFTWARE ENG. ECONOMICS &gt; Multiple-Attribute Decision-Making")</f>
        <v>0</v>
      </c>
      <c r="CZ78" s="17">
        <f>COUNTIFS('Prácticas_Revisiones'!$S$2:$S$282,"T066",'Prácticas_Revisiones'!$T$2:$T$282,"SOFTWARE ENG. ECONOMICS &gt; Identifying and Characterizing Intangible Assets")+COUNTIFS('Prácticas_Snowballing'!$AB$2:$AB$281,"T066",'Prácticas_Snowballing'!$AC$2:$AC$281,"SOFTWARE ENG. ECONOMICS &gt; Identifying and Characterizing Intangible Assets")</f>
        <v>0</v>
      </c>
      <c r="DA78" s="17">
        <f>COUNTIFS('Prácticas_Revisiones'!$S$2:$S$282,"T066",'Prácticas_Revisiones'!$T$2:$T$282,"SOFTWARE ENG. ECONOMICS &gt; Estimation")+COUNTIFS('Prácticas_Snowballing'!$AB$2:$AB$281,"T066",'Prácticas_Snowballing'!$AC$2:$AC$281,"SOFTWARE ENG. ECONOMICS &gt; Estimation")</f>
        <v>0</v>
      </c>
      <c r="DB78" s="17">
        <f>COUNTIFS('Prácticas_Revisiones'!$S$2:$S$282,"T066",'Prácticas_Revisiones'!$T$2:$T$282,"SOFTWARE ENG. ECONOMICS &gt; Practical Considerations")+COUNTIFS('Prácticas_Snowballing'!$AB$2:$AB$281,"T066",'Prácticas_Snowballing'!$AC$2:$AC$281,"SOFTWARE ENG. ECONOMICS &gt; Practical Considerations")</f>
        <v>0</v>
      </c>
      <c r="DC78" s="17">
        <f>COUNTIFS('Prácticas_Revisiones'!$S$2:$S$282,"T066",'Prácticas_Revisiones'!$T$2:$T$282,"SOFTWARE ENG. ECONOMICS &gt; Related Concepts")+COUNTIFS('Prácticas_Snowballing'!$AB$2:$AB$281,"T066",'Prácticas_Snowballing'!$AC$2:$AC$281,"SOFTWARE ENG. ECONOMICS &gt; Related Concepts")</f>
        <v>0</v>
      </c>
      <c r="DD78" s="17">
        <f>COUNTIFS('Prácticas_Revisiones'!$S$2:$S$282,"T066",'Prácticas_Revisiones'!$T$2:$T$282,"SOFTWARE ENG. ECONOMICS &gt; Subárea no determinable")+COUNTIFS('Prácticas_Snowballing'!$AB$2:$AB$281,"T066",'Prácticas_Snowballing'!$AC$2:$AC$281,"SOFTWARE ENG. ECONOMICS &gt; Subárea no determinable")</f>
        <v>0</v>
      </c>
      <c r="DE78" s="29">
        <f t="shared" si="65"/>
        <v>0</v>
      </c>
      <c r="DF78" s="17">
        <f>COUNTIFS('Prácticas_Revisiones'!$S$2:$S$282,"T066",'Prácticas_Revisiones'!$T$2:$T$282,"SOFTWARE ENG. MANAGEMENT &gt; Software Engineering Management Fundamentals")+COUNTIFS('Prácticas_Snowballing'!$AB$2:$AB$281,"T066",'Prácticas_Snowballing'!$AC$2:$AC$281,"SOFTWARE ENG. MANAGEMENT &gt; Software Engineering Management Fundamentals")</f>
        <v>0</v>
      </c>
      <c r="DG78" s="17">
        <f>COUNTIFS('Prácticas_Revisiones'!$S$2:$S$282,"T066",'Prácticas_Revisiones'!$T$2:$T$282,"SOFTWARE ENG. MANAGEMENT &gt; Initiation and Scope Definition")+COUNTIFS('Prácticas_Snowballing'!$AB$2:$AB$281,"T066",'Prácticas_Snowballing'!$AC$2:$AC$281,"SOFTWARE ENG. MANAGEMENT &gt; Initiation and Scope Definition")</f>
        <v>0</v>
      </c>
      <c r="DH78" s="17">
        <f>COUNTIFS('Prácticas_Revisiones'!$S$2:$S$282,"T066",'Prácticas_Revisiones'!$T$2:$T$282,"SOFTWARE ENG. MANAGEMENT &gt; Software Project Planning")+COUNTIFS('Prácticas_Snowballing'!$AB$2:$AB$281,"T066",'Prácticas_Snowballing'!$AC$2:$AC$281,"SOFTWARE ENG. MANAGEMENT &gt; Software Project Planning")</f>
        <v>0</v>
      </c>
      <c r="DI78" s="17">
        <f>COUNTIFS('Prácticas_Revisiones'!$S$2:$S$282,"T066",'Prácticas_Revisiones'!$T$2:$T$282,"SOFTWARE ENG. MANAGEMENT &gt; Software Project Enactment")+COUNTIFS('Prácticas_Snowballing'!$AB$2:$AB$281,"T066",'Prácticas_Snowballing'!$AC$2:$AC$281,"SOFTWARE ENG. MANAGEMENT &gt; Software Project Enactment")</f>
        <v>0</v>
      </c>
      <c r="DJ78" s="17">
        <f>COUNTIFS('Prácticas_Revisiones'!$S$2:$S$282,"T066",'Prácticas_Revisiones'!$T$2:$T$282,"SOFTWARE ENG. MANAGEMENT &gt; Review and Evaluation")+COUNTIFS('Prácticas_Snowballing'!$AB$2:$AB$281,"T066",'Prácticas_Snowballing'!$AC$2:$AC$281,"SOFTWARE ENG. MANAGEMENT &gt; Review and Evaluation")</f>
        <v>0</v>
      </c>
      <c r="DK78" s="17">
        <f>COUNTIFS('Prácticas_Revisiones'!$S$2:$S$282,"T066",'Prácticas_Revisiones'!$T$2:$T$282,"SOFTWARE ENG. MANAGEMENT &gt; Closure")+COUNTIFS('Prácticas_Snowballing'!$AB$2:$AB$281,"T066",'Prácticas_Snowballing'!$AC$2:$AC$281,"SOFTWARE ENG. MANAGEMENT &gt; Closure")</f>
        <v>0</v>
      </c>
      <c r="DL78" s="17">
        <f>COUNTIFS('Prácticas_Revisiones'!$S$2:$S$282,"T066",'Prácticas_Revisiones'!$T$2:$T$282,"SOFTWARE ENG. MANAGEMENT &gt; Software Engineering Management Tools")+COUNTIFS('Prácticas_Snowballing'!$AB$2:$AB$281,"T066",'Prácticas_Snowballing'!$AC$2:$AC$281,"SOFTWARE ENG. MANAGEMENT &gt; Software Engineering Management Tools")</f>
        <v>0</v>
      </c>
      <c r="DM78" s="17">
        <f>COUNTIFS('Prácticas_Revisiones'!$S$2:$S$282,"T066",'Prácticas_Revisiones'!$T$2:$T$282,"SOFTWARE ENG. MANAGEMENT &gt; Subárea no determinable")+COUNTIFS('Prácticas_Snowballing'!$AB$2:$AB$281,"T066",'Prácticas_Snowballing'!$AC$2:$AC$281,"SOFTWARE ENG. MANAGEMENT &gt; Subárea no determinable")</f>
        <v>0</v>
      </c>
      <c r="DN78" s="29">
        <f t="shared" si="66"/>
        <v>0</v>
      </c>
      <c r="DO78" s="17">
        <f>COUNTIFS('Prácticas_Revisiones'!$S$2:$S$282,"T066",'Prácticas_Revisiones'!$T$2:$T$282,"Sin área SWEBOK")+COUNTIFS('Prácticas_Snowballing'!$AB$2:$AB$281,"T066",'Prácticas_Snowballing'!$AC$2:$AC$281,"Sin área SWEBOK")</f>
        <v>0</v>
      </c>
      <c r="DP78" s="27">
        <f t="shared" si="67"/>
        <v>5</v>
      </c>
    </row>
    <row r="79" ht="15.75" customHeight="1">
      <c r="A79" s="28"/>
      <c r="B79" s="16" t="s">
        <v>2839</v>
      </c>
      <c r="C79" s="17">
        <f>COUNTIFS('Prácticas_Revisiones'!$S$2:$S$282,"T067",'Prácticas_Revisiones'!$T$2:$T$282,"REQUIREMENTS &gt; Software Requirements Fundamentals")+COUNTIFS('Prácticas_Snowballing'!$AB$2:$AB$281,"T067",'Prácticas_Snowballing'!$AC$2:$AC$281,"REQUIREMENTS &gt; Software Requirements Fundamentals")</f>
        <v>0</v>
      </c>
      <c r="D79" s="17">
        <f>COUNTIFS('Prácticas_Revisiones'!$S$2:$S$282,"T067",'Prácticas_Revisiones'!$T$2:$T$282,"REQUIREMENTS &gt; Requirements Elicitation")+COUNTIFS('Prácticas_Snowballing'!$AB$2:$AB$281,"T067",'Prácticas_Snowballing'!$AC$2:$AC$281,"REQUIREMENTS &gt; Requirements Elicitation")</f>
        <v>0</v>
      </c>
      <c r="E79" s="17">
        <f>COUNTIFS('Prácticas_Revisiones'!$S$2:$S$282,"T067",'Prácticas_Revisiones'!$T$2:$T$282,"REQUIREMENTS &gt; Requirements Analysis")+COUNTIFS('Prácticas_Snowballing'!$AB$2:$AB$281,"T067",'Prácticas_Snowballing'!$AC$2:$AC$281,"REQUIREMENTS &gt; Requirements Analysis")</f>
        <v>0</v>
      </c>
      <c r="F79" s="17">
        <f>COUNTIFS('Prácticas_Revisiones'!$S$2:$S$282,"T067",'Prácticas_Revisiones'!$T$2:$T$282,"REQUIREMENTS &gt; Requirements Specification")+COUNTIFS('Prácticas_Snowballing'!$AB$2:$AB$281,"T067",'Prácticas_Snowballing'!$AC$2:$AC$281,"REQUIREMENTS &gt; Requirements Specification")</f>
        <v>0</v>
      </c>
      <c r="G79" s="17">
        <f>COUNTIFS('Prácticas_Revisiones'!$S$2:$S$282,"T067",'Prácticas_Revisiones'!$T$2:$T$282,"REQUIREMENTS &gt; Requirements Validation")+COUNTIFS('Prácticas_Snowballing'!$AB$2:$AB$281,"T067",'Prácticas_Snowballing'!$AC$2:$AC$281,"REQUIREMENTS &gt; Requirements Validation")</f>
        <v>0</v>
      </c>
      <c r="H79" s="17">
        <f>COUNTIFS('Prácticas_Revisiones'!$S$2:$S$282,"T067",'Prácticas_Revisiones'!$T$2:$T$282,"REQUIREMENTS &gt; Requirements Management Activities")+COUNTIFS('Prácticas_Snowballing'!$AB$2:$AB$281,"T067",'Prácticas_Snowballing'!$AC$2:$AC$281,"REQUIREMENTS &gt; Requirements Management Activities")</f>
        <v>0</v>
      </c>
      <c r="I79" s="17">
        <f>COUNTIFS('Prácticas_Revisiones'!$S$2:$S$282,"T067",'Prácticas_Revisiones'!$T$2:$T$282,"REQUIREMENTS &gt; Practical Considerations")+COUNTIFS('Prácticas_Snowballing'!$AB$2:$AB$281,"T067",'Prácticas_Snowballing'!$AC$2:$AC$281,"REQUIREMENTS &gt; Practical Considerations")</f>
        <v>0</v>
      </c>
      <c r="J79" s="17">
        <f>COUNTIFS('Prácticas_Revisiones'!$S$2:$S$282,"T067",'Prácticas_Revisiones'!$T$2:$T$282,"REQUIREMENTS &gt; Software Requirements Tools")+COUNTIFS('Prácticas_Snowballing'!$AB$2:$AB$281,"T067",'Prácticas_Snowballing'!$AC$2:$AC$281,"REQUIREMENTS &gt; Software Requirements Tools")</f>
        <v>0</v>
      </c>
      <c r="K79" s="17">
        <f>COUNTIFS('Prácticas_Revisiones'!$S$2:$S$282,"T067",'Prácticas_Revisiones'!$T$2:$T$282,"REQUIREMENTS &gt; Subárea no determinable")+COUNTIFS('Prácticas_Snowballing'!$AB$2:$AB$281,"T067",'Prácticas_Snowballing'!$AC$2:$AC$281,"REQUIREMENTS &gt; Subárea no determinable")</f>
        <v>0</v>
      </c>
      <c r="L79" s="29">
        <f t="shared" si="52"/>
        <v>0</v>
      </c>
      <c r="M79" s="17">
        <f>COUNTIFS('Prácticas_Revisiones'!$S$2:$S$282,"T067",'Prácticas_Revisiones'!$T$2:$T$282,"ARCHITECTURE &gt; Software Architecture Fundamentals")+COUNTIFS('Prácticas_Snowballing'!$AB$2:$AB$281,"T067",'Prácticas_Snowballing'!$AC$2:$AC$281,"ARCHITECTURE &gt; Software Architecture Fundamentals")</f>
        <v>0</v>
      </c>
      <c r="N79" s="17">
        <f>COUNTIFS('Prácticas_Revisiones'!$S$2:$S$282,"T067",'Prácticas_Revisiones'!$T$2:$T$282,"ARCHITECTURE &gt; Software Architecture Description")+COUNTIFS('Prácticas_Snowballing'!$AB$2:$AB$281,"T067",'Prácticas_Snowballing'!$AC$2:$AC$281,"ARCHITECTURE &gt; Software Architecture Description")</f>
        <v>0</v>
      </c>
      <c r="O79" s="17">
        <f>COUNTIFS('Prácticas_Revisiones'!$S$2:$S$282,"T067",'Prácticas_Revisiones'!$T$2:$T$282,"ARCHITECTURE &gt; Software Architecture Process")+COUNTIFS('Prácticas_Snowballing'!$AB$2:$AB$281,"T067",'Prácticas_Snowballing'!$AC$2:$AC$281,"ARCHITECTURE &gt; Software Architecture Process")</f>
        <v>0</v>
      </c>
      <c r="P79" s="17">
        <f>COUNTIFS('Prácticas_Revisiones'!$S$2:$S$282,"T067",'Prácticas_Revisiones'!$T$2:$T$282,"ARCHITECTURE &gt; Software Architecture Evaluation")+COUNTIFS('Prácticas_Snowballing'!$AB$2:$AB$281,"T067",'Prácticas_Snowballing'!$AC$2:$AC$281,"ARCHITECTURE &gt; Software Architecture Evaluation")</f>
        <v>0</v>
      </c>
      <c r="Q79" s="17">
        <f>COUNTIFS('Prácticas_Revisiones'!$S$2:$S$282,"T067",'Prácticas_Revisiones'!$T$2:$T$282,"ARCHITECTURE &gt; Subárea no determinable")+COUNTIFS('Prácticas_Snowballing'!$AB$2:$AB$281,"T067",'Prácticas_Snowballing'!$AC$2:$AC$281,"ARCHITECTURE &gt; Subárea no determinable")</f>
        <v>0</v>
      </c>
      <c r="R79" s="29">
        <f t="shared" si="53"/>
        <v>0</v>
      </c>
      <c r="S79" s="17">
        <f>COUNTIFS('Prácticas_Revisiones'!$S$2:$S$282,"T067",'Prácticas_Revisiones'!$T$2:$T$282,"DESIGN &gt; Software Design Fundamentals")+COUNTIFS('Prácticas_Snowballing'!$AB$2:$AB$281,"T067",'Prácticas_Snowballing'!$AC$2:$AC$281,"DESIGN &gt; Software Design Fundamentals")</f>
        <v>0</v>
      </c>
      <c r="T79" s="17">
        <f>COUNTIFS('Prácticas_Revisiones'!$S$2:$S$282,"T067",'Prácticas_Revisiones'!$T$2:$T$282,"DESIGN &gt; Software Design Processes")+COUNTIFS('Prácticas_Snowballing'!$AB$2:$AB$281,"T067",'Prácticas_Snowballing'!$AC$2:$AC$281,"DESIGN &gt; Software Design Processes")</f>
        <v>0</v>
      </c>
      <c r="U79" s="17">
        <f>COUNTIFS('Prácticas_Revisiones'!$S$2:$S$282,"T067",'Prácticas_Revisiones'!$T$2:$T$282,"DESIGN &gt; Software Design Qualities")+COUNTIFS('Prácticas_Snowballing'!$AB$2:$AB$281,"T067",'Prácticas_Snowballing'!$AC$2:$AC$281,"DESIGN &gt; Software Design Qualities")</f>
        <v>0</v>
      </c>
      <c r="V79" s="17">
        <f>COUNTIFS('Prácticas_Revisiones'!$S$2:$S$282,"T067",'Prácticas_Revisiones'!$T$2:$T$282,"DESIGN &gt; Recording Software Design")+COUNTIFS('Prácticas_Snowballing'!$AB$2:$AB$281,"T067",'Prácticas_Snowballing'!$AC$2:$AC$281,"DESIGN &gt; Recording Software Design")</f>
        <v>0</v>
      </c>
      <c r="W79" s="17">
        <f>COUNTIFS('Prácticas_Revisiones'!$S$2:$S$282,"T067",'Prácticas_Revisiones'!$T$2:$T$282,"DESIGN &gt; Software Design Strategies and Methods")+COUNTIFS('Prácticas_Snowballing'!$AB$2:$AB$281,"T067",'Prácticas_Snowballing'!$AC$2:$AC$281,"DESIGN &gt; Software Design Strategies and Methods")</f>
        <v>0</v>
      </c>
      <c r="X79" s="17">
        <f>COUNTIFS('Prácticas_Revisiones'!$S$2:$S$282,"T067",'Prácticas_Revisiones'!$T$2:$T$282,"DESIGN &gt; Software Design Analysis and Evaluations")+COUNTIFS('Prácticas_Snowballing'!$AB$2:$AB$281,"T067",'Prácticas_Snowballing'!$AC$2:$AC$281,"DESIGN &gt; Software Design Analysis and Evaluations")</f>
        <v>0</v>
      </c>
      <c r="Y79" s="17">
        <f>COUNTIFS('Prácticas_Revisiones'!$S$2:$S$282,"T067",'Prácticas_Revisiones'!$T$2:$T$282,"DESIGN &gt; Subárea no determinable")+COUNTIFS('Prácticas_Snowballing'!$AB$2:$AB$281,"T067",'Prácticas_Snowballing'!$AC$2:$AC$281,"DESIGN &gt; Subárea no determinable")</f>
        <v>0</v>
      </c>
      <c r="Z79" s="29">
        <f t="shared" si="54"/>
        <v>0</v>
      </c>
      <c r="AA79" s="17">
        <f>COUNTIFS('Prácticas_Revisiones'!$S$2:$S$282,"T067",'Prácticas_Revisiones'!$T$2:$T$282,"CONSTRUCTION &gt; Software Construction Fundamentals")+COUNTIFS('Prácticas_Snowballing'!$AB$2:$AB$281,"T067",'Prácticas_Snowballing'!$AC$2:$AC$281,"CONSTRUCTION &gt; Software Construction Fundamentals")</f>
        <v>0</v>
      </c>
      <c r="AB79" s="17">
        <f>COUNTIFS('Prácticas_Revisiones'!$S$2:$S$282,"T067",'Prácticas_Revisiones'!$T$2:$T$282,"CONSTRUCTION &gt; Managing Construction")+COUNTIFS('Prácticas_Snowballing'!$AB$2:$AB$281,"T067",'Prácticas_Snowballing'!$AC$2:$AC$281,"CONSTRUCTION &gt; Managing Construction")</f>
        <v>0</v>
      </c>
      <c r="AC79" s="17">
        <f>COUNTIFS('Prácticas_Revisiones'!$S$2:$S$282,"T067",'Prácticas_Revisiones'!$T$2:$T$282,"CONSTRUCTION &gt; Practical Considerations")+COUNTIFS('Prácticas_Snowballing'!$AB$2:$AB$281,"T067",'Prácticas_Snowballing'!$AC$2:$AC$281,"CONSTRUCTION &gt; Practical Considerations")</f>
        <v>0</v>
      </c>
      <c r="AD79" s="17">
        <f>COUNTIFS('Prácticas_Revisiones'!$S$2:$S$282,"T067",'Prácticas_Revisiones'!$T$2:$T$282,"CONSTRUCTION &gt; Construction Technologies")+COUNTIFS('Prácticas_Snowballing'!$AB$2:$AB$281,"T067",'Prácticas_Snowballing'!$AC$2:$AC$281,"CONSTRUCTION &gt; Construction Technologies")</f>
        <v>0</v>
      </c>
      <c r="AE79" s="17">
        <f>COUNTIFS('Prácticas_Revisiones'!$S$2:$S$282,"T067",'Prácticas_Revisiones'!$T$2:$T$282,"CONSTRUCTION &gt; Software Construction Tools")+COUNTIFS('Prácticas_Snowballing'!$AB$2:$AB$281,"T067",'Prácticas_Snowballing'!$AC$2:$AC$281,"CONSTRUCTION &gt; Software Construction Tools")</f>
        <v>0</v>
      </c>
      <c r="AF79" s="17">
        <f>COUNTIFS('Prácticas_Revisiones'!$S$2:$S$282,"T067",'Prácticas_Revisiones'!$T$2:$T$282,"CONSTRUCTION &gt; Subárea no determinable")+COUNTIFS('Prácticas_Snowballing'!$AB$2:$AB$281,"T067",'Prácticas_Snowballing'!$AC$2:$AC$281,"CONSTRUCTION &gt; Subárea no determinable")</f>
        <v>0</v>
      </c>
      <c r="AG79" s="29">
        <f t="shared" si="55"/>
        <v>0</v>
      </c>
      <c r="AH79" s="17">
        <f>COUNTIFS('Prácticas_Revisiones'!$S$2:$S$282,"T067",'Prácticas_Revisiones'!$T$2:$T$282,"SOFTWARE TESTING &gt; Software Testing Fundamentals")+COUNTIFS('Prácticas_Snowballing'!$AB$2:$AB$281,"T067",'Prácticas_Snowballing'!$AC$2:$AC$281,"SOFTWARE TESTING &gt; Software Testing Fundamentals")</f>
        <v>0</v>
      </c>
      <c r="AI79" s="17">
        <f>COUNTIFS('Prácticas_Revisiones'!$S$2:$S$282,"T067",'Prácticas_Revisiones'!$T$2:$T$282,"SOFTWARE TESTING &gt; Test Levels")+COUNTIFS('Prácticas_Snowballing'!$AB$2:$AB$281,"T067",'Prácticas_Snowballing'!$AC$2:$AC$281,"SOFTWARE TESTING &gt; Test Levels")</f>
        <v>0</v>
      </c>
      <c r="AJ79" s="17">
        <f>COUNTIFS('Prácticas_Revisiones'!$S$2:$S$282,"T067",'Prácticas_Revisiones'!$T$2:$T$282,"SOFTWARE TESTING &gt; Test Techniques")+COUNTIFS('Prácticas_Snowballing'!$AB$2:$AB$281,"T067",'Prácticas_Snowballing'!$AC$2:$AC$281,"SOFTWARE TESTING &gt; Test Techniques")</f>
        <v>0</v>
      </c>
      <c r="AK79" s="17">
        <f>COUNTIFS('Prácticas_Revisiones'!$S$2:$S$282,"T067",'Prácticas_Revisiones'!$T$2:$T$282,"SOFTWARE TESTING &gt; Test-Related Measures")+COUNTIFS('Prácticas_Snowballing'!$AB$2:$AB$281,"T067",'Prácticas_Snowballing'!$AC$2:$AC$281,"SOFTWARE TESTING &gt; Test-Related Measures")</f>
        <v>0</v>
      </c>
      <c r="AL79" s="17">
        <f>COUNTIFS('Prácticas_Revisiones'!$S$2:$S$282,"T067",'Prácticas_Revisiones'!$T$2:$T$282,"SOFTWARE TESTING &gt; Test Process")+COUNTIFS('Prácticas_Snowballing'!$AB$2:$AB$281,"T067",'Prácticas_Snowballing'!$AC$2:$AC$281,"SOFTWARE TESTING &gt; Test Process")</f>
        <v>0</v>
      </c>
      <c r="AM79" s="17">
        <f>COUNTIFS('Prácticas_Revisiones'!$S$2:$S$282,"T067",'Prácticas_Revisiones'!$T$2:$T$282,"SOFTWARE TESTING &gt; Software Testing in the Development Processes...")+COUNTIFS('Prácticas_Snowballing'!$AB$2:$AB$281,"T067",'Prácticas_Snowballing'!$AC$2:$AC$281,"SOFTWARE TESTING &gt; Software Testing in the Development Processes...")</f>
        <v>0</v>
      </c>
      <c r="AN79" s="17">
        <f>COUNTIFS('Prácticas_Revisiones'!$S$2:$S$282,"T067",'Prácticas_Revisiones'!$T$2:$T$282,"SOFTWARE TESTING &gt; Testing of and Testing Through Emerging Tech...")+COUNTIFS('Prácticas_Snowballing'!$AB$2:$AB$281,"T067",'Prácticas_Snowballing'!$AC$2:$AC$281,"SOFTWARE TESTING &gt; Testing of and Testing Through Emerging Tech...")</f>
        <v>0</v>
      </c>
      <c r="AO79" s="17">
        <f>COUNTIFS('Prácticas_Revisiones'!$S$2:$S$282,"T067",'Prácticas_Revisiones'!$T$2:$T$282,"SOFTWARE TESTING &gt; Software Testing Tools")+COUNTIFS('Prácticas_Snowballing'!$AB$2:$AB$281,"T067",'Prácticas_Snowballing'!$AC$2:$AC$281,"SOFTWARE TESTING &gt; Software Testing Tools")</f>
        <v>0</v>
      </c>
      <c r="AP79" s="17">
        <f>COUNTIFS('Prácticas_Revisiones'!$S$2:$S$282,"T067",'Prácticas_Revisiones'!$T$2:$T$282,"SOFTWARE TESTING &gt; Subárea no determinable")+COUNTIFS('Prácticas_Snowballing'!$AB$2:$AB$281,"T067",'Prácticas_Snowballing'!$AC$2:$AC$281,"SOFTWARE TESTING &gt; Subárea no determinable")</f>
        <v>0</v>
      </c>
      <c r="AQ79" s="29">
        <f t="shared" si="56"/>
        <v>0</v>
      </c>
      <c r="AR79" s="17">
        <f>COUNTIFS('Prácticas_Revisiones'!$S$2:$S$282,"T067",'Prácticas_Revisiones'!$T$2:$T$282,"SOFTWARE ENG. OPERATIONS &gt; Software Engineering Operations Fundamentals")+COUNTIFS('Prácticas_Snowballing'!$AB$2:$AB$281,"T067",'Prácticas_Snowballing'!$AC$2:$AC$281,"SOFTWARE ENG. OPERATIONS &gt; Software Engineering Operations Fundamentals")</f>
        <v>0</v>
      </c>
      <c r="AS79" s="17">
        <f>COUNTIFS('Prácticas_Revisiones'!$S$2:$S$282,"T067",'Prácticas_Revisiones'!$T$2:$T$282,"SOFTWARE ENG. OPERATIONS &gt; Software Engineering Operations Planning")+COUNTIFS('Prácticas_Snowballing'!$AB$2:$AB$281,"T067",'Prácticas_Snowballing'!$AC$2:$AC$281,"SOFTWARE ENG. OPERATIONS &gt; Software Engineering Operations Planning")</f>
        <v>0</v>
      </c>
      <c r="AT79" s="17">
        <f>COUNTIFS('Prácticas_Revisiones'!$S$2:$S$282,"T067",'Prácticas_Revisiones'!$T$2:$T$282,"SOFTWARE ENG. OPERATIONS &gt; Software Engineering Operations Delivery")+COUNTIFS('Prácticas_Snowballing'!$AB$2:$AB$281,"T067",'Prácticas_Snowballing'!$AC$2:$AC$281,"SOFTWARE ENG. OPERATIONS &gt; Software Engineering Operations Delivery")</f>
        <v>0</v>
      </c>
      <c r="AU79" s="17">
        <f>COUNTIFS('Prácticas_Revisiones'!$S$2:$S$282,"T067",'Prácticas_Revisiones'!$T$2:$T$282,"SOFTWARE ENG. OPERATIONS &gt; Software Engineering Operations Control")+COUNTIFS('Prácticas_Snowballing'!$AB$2:$AB$281,"T067",'Prácticas_Snowballing'!$AC$2:$AC$281,"SOFTWARE ENG. OPERATIONS &gt; Software Engineering Operations Control")</f>
        <v>0</v>
      </c>
      <c r="AV79" s="17">
        <f>COUNTIFS('Prácticas_Revisiones'!$S$2:$S$282,"T067",'Prácticas_Revisiones'!$T$2:$T$282,"SOFTWARE ENG. OPERATIONS &gt; Practical Considerations")+COUNTIFS('Prácticas_Snowballing'!$AB$2:$AB$281,"T067",'Prácticas_Snowballing'!$AC$2:$AC$281,"SOFTWARE ENG. OPERATIONS &gt; Practical Considerations")</f>
        <v>0</v>
      </c>
      <c r="AW79" s="17">
        <f>COUNTIFS('Prácticas_Revisiones'!$S$2:$S$282,"T067",'Prácticas_Revisiones'!$T$2:$T$282,"SOFTWARE ENG. OPERATIONS &gt; Software Engineering Operations Tools")+COUNTIFS('Prácticas_Snowballing'!$AB$2:$AB$281,"T067",'Prácticas_Snowballing'!$AC$2:$AC$281,"SOFTWARE ENG. OPERATIONS &gt; Software Engineering Operations Tools")</f>
        <v>0</v>
      </c>
      <c r="AX79" s="17">
        <f>COUNTIFS('Prácticas_Revisiones'!$S$2:$S$282,"T067",'Prácticas_Revisiones'!$T$2:$T$282,"SOFTWARE ENG. OPERATIONS &gt; Subárea no determinable")+COUNTIFS('Prácticas_Snowballing'!$AB$2:$AB$281,"T067",'Prácticas_Snowballing'!$AC$2:$AC$281,"SOFTWARE ENG. OPERATIONS &gt; Subárea no determinable")</f>
        <v>0</v>
      </c>
      <c r="AY79" s="29">
        <f t="shared" si="57"/>
        <v>0</v>
      </c>
      <c r="AZ79" s="17">
        <f>COUNTIFS('Prácticas_Revisiones'!$S$2:$S$282,"T067",'Prácticas_Revisiones'!$T$2:$T$282,"MAINTENANCE &gt; Software Maintenance Fundamentals")+COUNTIFS('Prácticas_Snowballing'!$AB$2:$AB$281,"T067",'Prácticas_Snowballing'!$AC$2:$AC$281,"MAINTENANCE &gt; Software Maintenance Fundamentals")</f>
        <v>0</v>
      </c>
      <c r="BA79" s="17">
        <f>COUNTIFS('Prácticas_Revisiones'!$S$2:$S$282,"T067",'Prácticas_Revisiones'!$T$2:$T$282,"MAINTENANCE &gt; Key Issues in Software Maintenance")+COUNTIFS('Prácticas_Snowballing'!$AB$2:$AB$281,"T067",'Prácticas_Snowballing'!$AC$2:$AC$281,"MAINTENANCE &gt; Key Issues in Software Maintenance")</f>
        <v>0</v>
      </c>
      <c r="BB79" s="17">
        <f>COUNTIFS('Prácticas_Revisiones'!$S$2:$S$282,"T067",'Prácticas_Revisiones'!$T$2:$T$282,"MAINTENANCE &gt; Software Maintenance Processes")+COUNTIFS('Prácticas_Snowballing'!$AB$2:$AB$281,"T067",'Prácticas_Snowballing'!$AC$2:$AC$281,"MAINTENANCE &gt; Software Maintenance Processes")</f>
        <v>0</v>
      </c>
      <c r="BC79" s="17">
        <f>COUNTIFS('Prácticas_Revisiones'!$S$2:$S$282,"T067",'Prácticas_Revisiones'!$T$2:$T$282,"MAINTENANCE &gt; Software Maintenance Techniques")+COUNTIFS('Prácticas_Snowballing'!$AB$2:$AB$281,"T067",'Prácticas_Snowballing'!$AC$2:$AC$281,"MAINTENANCE &gt; Software Maintenance Techniques")</f>
        <v>0</v>
      </c>
      <c r="BD79" s="17">
        <f>COUNTIFS('Prácticas_Revisiones'!$S$2:$S$282,"T067",'Prácticas_Revisiones'!$T$2:$T$282,"MAINTENANCE &gt; Software Maintenance Tools")+COUNTIFS('Prácticas_Snowballing'!$AB$2:$AB$281,"T067",'Prácticas_Snowballing'!$AC$2:$AC$281,"MAINTENANCE &gt; Software Maintenance Tools")</f>
        <v>0</v>
      </c>
      <c r="BE79" s="17">
        <f>COUNTIFS('Prácticas_Revisiones'!$S$2:$S$282,"T067",'Prácticas_Revisiones'!$T$2:$T$282,"MAINTENANCE &gt; Subárea no determinable")+COUNTIFS('Prácticas_Snowballing'!$AB$2:$AB$281,"T067",'Prácticas_Snowballing'!$AC$2:$AC$281,"MAINTENANCE &gt; Subárea no determinable")</f>
        <v>0</v>
      </c>
      <c r="BF79" s="29">
        <f t="shared" si="58"/>
        <v>0</v>
      </c>
      <c r="BG79" s="17">
        <f>COUNTIFS('Prácticas_Revisiones'!$S$2:$S$282,"T067",'Prácticas_Revisiones'!$T$2:$T$282,"SOFTWARE CONFIG. MGMT. &gt; Management of the SCM Process")+COUNTIFS('Prácticas_Snowballing'!$AB$2:$AB$281,"T067",'Prácticas_Snowballing'!$AC$2:$AC$281,"SOFTWARE CONFIG. MGMT. &gt; Management of the SCM Process")</f>
        <v>0</v>
      </c>
      <c r="BH79" s="17">
        <f>COUNTIFS('Prácticas_Revisiones'!$S$2:$S$282,"T067",'Prácticas_Revisiones'!$T$2:$T$282,"SOFTWARE CONFIG. MGMT. &gt; Software Configuration Identification")+COUNTIFS('Prácticas_Snowballing'!$AB$2:$AB$281,"T067",'Prácticas_Snowballing'!$AC$2:$AC$281,"SOFTWARE CONFIG. MGMT. &gt; Software Configuration Identification")</f>
        <v>0</v>
      </c>
      <c r="BI79" s="17">
        <f>COUNTIFS('Prácticas_Revisiones'!$S$2:$S$282,"T067",'Prácticas_Revisiones'!$T$2:$T$282,"SOFTWARE CONFIG. MGMT. &gt; Software Configuration Change Control")+COUNTIFS('Prácticas_Snowballing'!$AB$2:$AB$281,"T067",'Prácticas_Snowballing'!$AC$2:$AC$281,"SOFTWARE CONFIG. MGMT. &gt; Software Configuration Change Control")</f>
        <v>0</v>
      </c>
      <c r="BJ79" s="17">
        <f>COUNTIFS('Prácticas_Revisiones'!$S$2:$S$282,"T067",'Prácticas_Revisiones'!$T$2:$T$282,"SOFTWARE CONFIG. MGMT. &gt; Software Configuration Status Accounting")+COUNTIFS('Prácticas_Snowballing'!$AB$2:$AB$281,"T067",'Prácticas_Snowballing'!$AC$2:$AC$281,"SOFTWARE CONFIG. MGMT. &gt; Software Configuration Status Accounting")</f>
        <v>0</v>
      </c>
      <c r="BK79" s="17">
        <f>COUNTIFS('Prácticas_Revisiones'!$S$2:$S$282,"T067",'Prácticas_Revisiones'!$T$2:$T$282,"SOFTWARE CONFIG. MGMT. &gt; Software Configuration Auditing")+COUNTIFS('Prácticas_Snowballing'!$AB$2:$AB$281,"T067",'Prácticas_Snowballing'!$AC$2:$AC$281,"SOFTWARE CONFIG. MGMT. &gt; Software Configuration Auditing")</f>
        <v>0</v>
      </c>
      <c r="BL79" s="17">
        <f>COUNTIFS('Prácticas_Revisiones'!$S$2:$S$282,"T067",'Prácticas_Revisiones'!$T$2:$T$282,"SOFTWARE CONFIG. MGMT. &gt; Software Release Management and Delivery")+COUNTIFS('Prácticas_Snowballing'!$AB$2:$AB$281,"T067",'Prácticas_Snowballing'!$AC$2:$AC$281,"SOFTWARE CONFIG. MGMT. &gt; Software Release Management and Delivery")</f>
        <v>0</v>
      </c>
      <c r="BM79" s="17">
        <f>COUNTIFS('Prácticas_Revisiones'!$S$2:$S$282,"T067",'Prácticas_Revisiones'!$T$2:$T$282,"SOFTWARE CONFIG. MGMT. &gt; Software Configuration Management Tools")+COUNTIFS('Prácticas_Snowballing'!$AB$2:$AB$281,"T067",'Prácticas_Snowballing'!$AC$2:$AC$281,"SOFTWARE CONFIG. MGMT. &gt; Software Configuration Management Tools")</f>
        <v>0</v>
      </c>
      <c r="BN79" s="17">
        <f>COUNTIFS('Prácticas_Revisiones'!$S$2:$S$282,"T067",'Prácticas_Revisiones'!$T$2:$T$282,"SOFTWARE CONFIG. MGMT. &gt; Subárea no determinable")+COUNTIFS('Prácticas_Snowballing'!$AB$2:$AB$281,"T067",'Prácticas_Snowballing'!$AC$2:$AC$281,"SOFTWARE CONFIG. MGMT. &gt; Subárea no determinable")</f>
        <v>0</v>
      </c>
      <c r="BO79" s="29">
        <f t="shared" si="59"/>
        <v>0</v>
      </c>
      <c r="BP79" s="17">
        <f>COUNTIFS('Prácticas_Revisiones'!$S$2:$S$282,"T067",'Prácticas_Revisiones'!$T$2:$T$282,"SOFTWARE ENG. PROCESS &gt; Software Engineering Process Fundamentals")+COUNTIFS('Prácticas_Snowballing'!$AB$2:$AB$281,"T067",'Prácticas_Snowballing'!$AC$2:$AC$281,"SOFTWARE ENG. PROCESS &gt; Software Engineering Process Fundamentals")</f>
        <v>0</v>
      </c>
      <c r="BQ79" s="17">
        <f>COUNTIFS('Prácticas_Revisiones'!$S$2:$S$282,"T067",'Prácticas_Revisiones'!$T$2:$T$282,"SOFTWARE ENG. PROCESS &gt; Life Cycles")+COUNTIFS('Prácticas_Snowballing'!$AB$2:$AB$281,"T067",'Prácticas_Snowballing'!$AC$2:$AC$281,"SOFTWARE ENG. PROCESS &gt; Life Cycles")</f>
        <v>0</v>
      </c>
      <c r="BR79" s="17">
        <f>COUNTIFS('Prácticas_Revisiones'!$S$2:$S$282,"T067",'Prácticas_Revisiones'!$T$2:$T$282,"SOFTWARE ENG. PROCESS &gt; Software Process Assessment and Improvement")+COUNTIFS('Prácticas_Snowballing'!$AB$2:$AB$281,"T067",'Prácticas_Snowballing'!$AC$2:$AC$281,"SOFTWARE ENG. PROCESS &gt; Software Process Assessment and Improvement")</f>
        <v>0</v>
      </c>
      <c r="BS79" s="17">
        <f>COUNTIFS('Prácticas_Revisiones'!$S$2:$S$282,"T067",'Prácticas_Revisiones'!$T$2:$T$282,"SOFTWARE ENG. PROCESS &gt; Subárea no determinable")+COUNTIFS('Prácticas_Snowballing'!$AB$2:$AB$281,"T067",'Prácticas_Snowballing'!$AC$2:$AC$281,"SOFTWARE ENG. PROCESS &gt; Subárea no determinable")</f>
        <v>0</v>
      </c>
      <c r="BT79" s="29">
        <f t="shared" si="60"/>
        <v>0</v>
      </c>
      <c r="BU79" s="17">
        <f>COUNTIFS('Prácticas_Revisiones'!$S$2:$S$282,"T067",'Prácticas_Revisiones'!$T$2:$T$282,"SOFTWARE ENG. MODELS/METH. &gt; Modeling")+COUNTIFS('Prácticas_Snowballing'!$AB$2:$AB$281,"T067",'Prácticas_Snowballing'!$AC$2:$AC$281,"SOFTWARE ENG. MODELS/METH. &gt; Modeling")</f>
        <v>0</v>
      </c>
      <c r="BV79" s="17">
        <f>COUNTIFS('Prácticas_Revisiones'!$S$2:$S$282,"T067",'Prácticas_Revisiones'!$T$2:$T$282,"SOFTWARE ENG. MODELS/METH. &gt; Types of Models")+COUNTIFS('Prácticas_Snowballing'!$AB$2:$AB$281,"T067",'Prácticas_Snowballing'!$AC$2:$AC$281,"SOFTWARE ENG. MODELS/METH. &gt; Types of Models")</f>
        <v>0</v>
      </c>
      <c r="BW79" s="17">
        <f>COUNTIFS('Prácticas_Revisiones'!$S$2:$S$282,"T067",'Prácticas_Revisiones'!$T$2:$T$282,"SOFTWARE ENG. MODELS/METH. &gt; Analysis of Models")+COUNTIFS('Prácticas_Snowballing'!$AB$2:$AB$281,"T067",'Prácticas_Snowballing'!$AC$2:$AC$281,"SOFTWARE ENG. MODELS/METH. &gt; Analysis of Models")</f>
        <v>0</v>
      </c>
      <c r="BX79" s="17">
        <f>COUNTIFS('Prácticas_Revisiones'!$S$2:$S$282,"T067",'Prácticas_Revisiones'!$T$2:$T$282,"SOFTWARE ENG. MODELS/METH. &gt; Software Engineering Methods")+COUNTIFS('Prácticas_Snowballing'!$AB$2:$AB$281,"T067",'Prácticas_Snowballing'!$AC$2:$AC$281,"SOFTWARE ENG. MODELS/METH. &gt; Software Engineering Methods")</f>
        <v>0</v>
      </c>
      <c r="BY79" s="17">
        <f>COUNTIFS('Prácticas_Revisiones'!$S$2:$S$282,"T067",'Prácticas_Revisiones'!$T$2:$T$282,"SOFTWARE ENG. MODELS/METH. &gt; Subárea no determinable")+COUNTIFS('Prácticas_Snowballing'!$AB$2:$AB$281,"T067",'Prácticas_Snowballing'!$AC$2:$AC$281,"SOFTWARE ENG. MODELS/METH. &gt; Subárea no determinable")</f>
        <v>0</v>
      </c>
      <c r="BZ79" s="29">
        <f t="shared" si="61"/>
        <v>0</v>
      </c>
      <c r="CA79" s="17">
        <f>COUNTIFS('Prácticas_Revisiones'!$S$2:$S$282,"T067",'Prácticas_Revisiones'!$T$2:$T$282,"SOFTWARE QUALITY &gt; Software Quality Fundamentals")+COUNTIFS('Prácticas_Snowballing'!$AB$2:$AB$281,"T067",'Prácticas_Snowballing'!$AC$2:$AC$281,"SOFTWARE QUALITY &gt; Software Quality Fundamentals")</f>
        <v>0</v>
      </c>
      <c r="CB79" s="17">
        <f>COUNTIFS('Prácticas_Revisiones'!$S$2:$S$282,"T067",'Prácticas_Revisiones'!$T$2:$T$282,"SOFTWARE QUALITY &gt; Software Quality Management Process")+COUNTIFS('Prácticas_Snowballing'!$AB$2:$AB$281,"T067",'Prácticas_Snowballing'!$AC$2:$AC$281,"SOFTWARE QUALITY &gt; Software Quality Management Process")</f>
        <v>0</v>
      </c>
      <c r="CC79" s="17">
        <f>COUNTIFS('Prácticas_Revisiones'!$S$2:$S$282,"T067",'Prácticas_Revisiones'!$T$2:$T$282,"SOFTWARE QUALITY &gt; Software Quality Assurance Process")+COUNTIFS('Prácticas_Snowballing'!$AB$2:$AB$281,"T067",'Prácticas_Snowballing'!$AC$2:$AC$281,"SOFTWARE QUALITY &gt; Software Quality Assurance Process")</f>
        <v>0</v>
      </c>
      <c r="CD79" s="17">
        <f>COUNTIFS('Prácticas_Revisiones'!$S$2:$S$282,"T067",'Prácticas_Revisiones'!$T$2:$T$282,"SOFTWARE QUALITY &gt; Software Quality Tools")+COUNTIFS('Prácticas_Snowballing'!$AB$2:$AB$281,"T067",'Prácticas_Snowballing'!$AC$2:$AC$281,"SOFTWARE QUALITY &gt; Software Quality Tools")</f>
        <v>0</v>
      </c>
      <c r="CE79" s="17">
        <f>COUNTIFS('Prácticas_Revisiones'!$S$2:$S$282,"T067",'Prácticas_Revisiones'!$T$2:$T$282,"SOFTWARE QUALITY &gt; Subárea no determinable")+COUNTIFS('Prácticas_Snowballing'!$AB$2:$AB$281,"T067",'Prácticas_Snowballing'!$AC$2:$AC$281,"SOFTWARE QUALITY &gt; Subárea no determinable")</f>
        <v>0</v>
      </c>
      <c r="CF79" s="29">
        <f t="shared" si="62"/>
        <v>0</v>
      </c>
      <c r="CG79" s="17">
        <f>COUNTIFS('Prácticas_Revisiones'!$S$2:$S$282,"T067",'Prácticas_Revisiones'!$T$2:$T$282,"SOFTWARE SECURITY &gt; Software Security Fundamentals")+COUNTIFS('Prácticas_Snowballing'!$AB$2:$AB$281,"T067",'Prácticas_Snowballing'!$AC$2:$AC$281,"SOFTWARE SECURITY &gt; Software Security Fundamentals")</f>
        <v>0</v>
      </c>
      <c r="CH79" s="17">
        <f>COUNTIFS('Prácticas_Revisiones'!$S$2:$S$282,"T067",'Prácticas_Revisiones'!$T$2:$T$282,"SOFTWARE SECURITY &gt; Security Management and Organization")+COUNTIFS('Prácticas_Snowballing'!$AB$2:$AB$281,"T067",'Prácticas_Snowballing'!$AC$2:$AC$281,"SOFTWARE SECURITY &gt; Security Management and Organization")</f>
        <v>0</v>
      </c>
      <c r="CI79" s="17">
        <f>COUNTIFS('Prácticas_Revisiones'!$S$2:$S$282,"T067",'Prácticas_Revisiones'!$T$2:$T$282,"SOFTWARE SECURITY &gt; Software Security Engineering and Process")+COUNTIFS('Prácticas_Snowballing'!$AB$2:$AB$281,"T067",'Prácticas_Snowballing'!$AC$2:$AC$281,"SOFTWARE SECURITY &gt; Software Security Engineering and Process")</f>
        <v>0</v>
      </c>
      <c r="CJ79" s="17">
        <f>COUNTIFS('Prácticas_Revisiones'!$S$2:$S$282,"T067",'Prácticas_Revisiones'!$T$2:$T$282,"SOFTWARE SECURITY &gt; Security Engineering for Software Systems")+COUNTIFS('Prácticas_Snowballing'!$AB$2:$AB$281,"T067",'Prácticas_Snowballing'!$AC$2:$AC$281,"SOFTWARE SECURITY &gt; Security Engineering for Software Systems")</f>
        <v>0</v>
      </c>
      <c r="CK79" s="17">
        <f>COUNTIFS('Prácticas_Revisiones'!$S$2:$S$282,"T067",'Prácticas_Revisiones'!$T$2:$T$282,"SOFTWARE SECURITY &gt; Software Security Tools")+COUNTIFS('Prácticas_Snowballing'!$AB$2:$AB$281,"T067",'Prácticas_Snowballing'!$AC$2:$AC$281,"SOFTWARE SECURITY &gt; Software Security Tools")</f>
        <v>0</v>
      </c>
      <c r="CL79" s="17">
        <f>COUNTIFS('Prácticas_Revisiones'!$S$2:$S$282,"T067",'Prácticas_Revisiones'!$T$2:$T$282,"SOFTWARE SECURITY &gt; Domain Specific Software Security")+COUNTIFS('Prácticas_Snowballing'!$AB$2:$AB$281,"T067",'Prácticas_Snowballing'!$AC$2:$AC$281,"SOFTWARE SECURITY &gt; Domain Specific Software Security")</f>
        <v>0</v>
      </c>
      <c r="CM79" s="17">
        <f>COUNTIFS('Prácticas_Revisiones'!$S$2:$S$282,"T067",'Prácticas_Revisiones'!$T$2:$T$282,"SOFTWARE SECURITY &gt; Subárea no determinable")+COUNTIFS('Prácticas_Snowballing'!$AB$2:$AB$281,"T067",'Prácticas_Snowballing'!$AC$2:$AC$281,"SOFTWARE SECURITY &gt; Subárea no determinable")</f>
        <v>0</v>
      </c>
      <c r="CN79" s="29">
        <f t="shared" si="63"/>
        <v>0</v>
      </c>
      <c r="CO79" s="17">
        <f>COUNTIFS('Prácticas_Revisiones'!$S$2:$S$282,"T067",'Prácticas_Revisiones'!$T$2:$T$282,"PROFESSIONAL PRACTICE &gt; Professionalism")+COUNTIFS('Prácticas_Snowballing'!$AB$2:$AB$281,"T067",'Prácticas_Snowballing'!$AC$2:$AC$281,"PROFESSIONAL PRACTICE &gt; Professionalism")</f>
        <v>0</v>
      </c>
      <c r="CP79" s="17">
        <f>COUNTIFS('Prácticas_Revisiones'!$S$2:$S$282,"T067",'Prácticas_Revisiones'!$T$2:$T$282,"PROFESSIONAL PRACTICE &gt; Group Dynamics and Psychology")+COUNTIFS('Prácticas_Snowballing'!$AB$2:$AB$281,"T067",'Prácticas_Snowballing'!$AC$2:$AC$281,"PROFESSIONAL PRACTICE &gt; Group Dynamics and Psychology")</f>
        <v>0</v>
      </c>
      <c r="CQ79" s="17">
        <f>COUNTIFS('Prácticas_Revisiones'!$S$2:$S$282,"T067",'Prácticas_Revisiones'!$T$2:$T$282,"PROFESSIONAL PRACTICE &gt; Communication Skills")+COUNTIFS('Prácticas_Snowballing'!$AB$2:$AB$281,"T067",'Prácticas_Snowballing'!$AC$2:$AC$281,"PROFESSIONAL PRACTICE &gt; Communication Skills")</f>
        <v>0</v>
      </c>
      <c r="CR79" s="17">
        <f>COUNTIFS('Prácticas_Revisiones'!$S$2:$S$282,"T067",'Prácticas_Revisiones'!$T$2:$T$282,"PROFESSIONAL PRACTICE &gt; Subárea no determinable")+COUNTIFS('Prácticas_Snowballing'!$AB$2:$AB$281,"T067",'Prácticas_Snowballing'!$AC$2:$AC$281,"PROFESSIONAL PRACTICE &gt; Subárea no determinable")</f>
        <v>0</v>
      </c>
      <c r="CS79" s="29">
        <f t="shared" si="64"/>
        <v>0</v>
      </c>
      <c r="CT79" s="17">
        <f>COUNTIFS('Prácticas_Revisiones'!$S$2:$S$282,"T067",'Prácticas_Revisiones'!$T$2:$T$282,"SOFTWARE ENG. ECONOMICS &gt; Software Engineering Economics Fundamentals")+COUNTIFS('Prácticas_Snowballing'!$AB$2:$AB$281,"T067",'Prácticas_Snowballing'!$AC$2:$AC$281,"SOFTWARE ENG. ECONOMICS &gt; Software Engineering Economics Fundamentals")</f>
        <v>0</v>
      </c>
      <c r="CU79" s="17">
        <f>COUNTIFS('Prácticas_Revisiones'!$S$2:$S$282,"T067",'Prácticas_Revisiones'!$T$2:$T$282,"SOFTWARE ENG. ECONOMICS &gt; The Engineering Decision-Making Process")+COUNTIFS('Prácticas_Snowballing'!$AB$2:$AB$281,"T067",'Prácticas_Snowballing'!$AC$2:$AC$281,"SOFTWARE ENG. ECONOMICS &gt; The Engineering Decision-Making Process")</f>
        <v>0</v>
      </c>
      <c r="CV79" s="17">
        <f>COUNTIFS('Prácticas_Revisiones'!$S$2:$S$282,"T067",'Prácticas_Revisiones'!$T$2:$T$282,"SOFTWARE ENG. ECONOMICS &gt; For-Profit Decision-Making")+COUNTIFS('Prácticas_Snowballing'!$AB$2:$AB$281,"T067",'Prácticas_Snowballing'!$AC$2:$AC$281,"SOFTWARE ENG. ECONOMICS &gt; For-Profit Decision-Making")</f>
        <v>0</v>
      </c>
      <c r="CW79" s="17">
        <f>COUNTIFS('Prácticas_Revisiones'!$S$2:$S$282,"T067",'Prácticas_Revisiones'!$T$2:$T$282,"SOFTWARE ENG. ECONOMICS &gt; Nonprofit Decision-Making")+COUNTIFS('Prácticas_Snowballing'!$AB$2:$AB$281,"T067",'Prácticas_Snowballing'!$AC$2:$AC$281,"SOFTWARE ENG. ECONOMICS &gt; Nonprofit Decision-Making")</f>
        <v>0</v>
      </c>
      <c r="CX79" s="17">
        <f>COUNTIFS('Prácticas_Revisiones'!$S$2:$S$282,"T067",'Prácticas_Revisiones'!$T$2:$T$282,"SOFTWARE ENG. ECONOMICS &gt; Present Economy Decision-Making")+COUNTIFS('Prácticas_Snowballing'!$AB$2:$AB$281,"T067",'Prácticas_Snowballing'!$AC$2:$AC$281,"SOFTWARE ENG. ECONOMICS &gt; Present Economy Decision-Making")</f>
        <v>0</v>
      </c>
      <c r="CY79" s="17">
        <f>COUNTIFS('Prácticas_Revisiones'!$S$2:$S$282,"T067",'Prácticas_Revisiones'!$T$2:$T$282,"SOFTWARE ENG. ECONOMICS &gt; Multiple-Attribute Decision-Making")+COUNTIFS('Prácticas_Snowballing'!$AB$2:$AB$281,"T067",'Prácticas_Snowballing'!$AC$2:$AC$281,"SOFTWARE ENG. ECONOMICS &gt; Multiple-Attribute Decision-Making")</f>
        <v>0</v>
      </c>
      <c r="CZ79" s="17">
        <f>COUNTIFS('Prácticas_Revisiones'!$S$2:$S$282,"T067",'Prácticas_Revisiones'!$T$2:$T$282,"SOFTWARE ENG. ECONOMICS &gt; Identifying and Characterizing Intangible Assets")+COUNTIFS('Prácticas_Snowballing'!$AB$2:$AB$281,"T067",'Prácticas_Snowballing'!$AC$2:$AC$281,"SOFTWARE ENG. ECONOMICS &gt; Identifying and Characterizing Intangible Assets")</f>
        <v>0</v>
      </c>
      <c r="DA79" s="17">
        <f>COUNTIFS('Prácticas_Revisiones'!$S$2:$S$282,"T067",'Prácticas_Revisiones'!$T$2:$T$282,"SOFTWARE ENG. ECONOMICS &gt; Estimation")+COUNTIFS('Prácticas_Snowballing'!$AB$2:$AB$281,"T067",'Prácticas_Snowballing'!$AC$2:$AC$281,"SOFTWARE ENG. ECONOMICS &gt; Estimation")</f>
        <v>0</v>
      </c>
      <c r="DB79" s="17">
        <f>COUNTIFS('Prácticas_Revisiones'!$S$2:$S$282,"T067",'Prácticas_Revisiones'!$T$2:$T$282,"SOFTWARE ENG. ECONOMICS &gt; Practical Considerations")+COUNTIFS('Prácticas_Snowballing'!$AB$2:$AB$281,"T067",'Prácticas_Snowballing'!$AC$2:$AC$281,"SOFTWARE ENG. ECONOMICS &gt; Practical Considerations")</f>
        <v>0</v>
      </c>
      <c r="DC79" s="17">
        <f>COUNTIFS('Prácticas_Revisiones'!$S$2:$S$282,"T067",'Prácticas_Revisiones'!$T$2:$T$282,"SOFTWARE ENG. ECONOMICS &gt; Related Concepts")+COUNTIFS('Prácticas_Snowballing'!$AB$2:$AB$281,"T067",'Prácticas_Snowballing'!$AC$2:$AC$281,"SOFTWARE ENG. ECONOMICS &gt; Related Concepts")</f>
        <v>0</v>
      </c>
      <c r="DD79" s="17">
        <f>COUNTIFS('Prácticas_Revisiones'!$S$2:$S$282,"T067",'Prácticas_Revisiones'!$T$2:$T$282,"SOFTWARE ENG. ECONOMICS &gt; Subárea no determinable")+COUNTIFS('Prácticas_Snowballing'!$AB$2:$AB$281,"T067",'Prácticas_Snowballing'!$AC$2:$AC$281,"SOFTWARE ENG. ECONOMICS &gt; Subárea no determinable")</f>
        <v>0</v>
      </c>
      <c r="DE79" s="29">
        <f t="shared" si="65"/>
        <v>0</v>
      </c>
      <c r="DF79" s="17">
        <f>COUNTIFS('Prácticas_Revisiones'!$S$2:$S$282,"T067",'Prácticas_Revisiones'!$T$2:$T$282,"SOFTWARE ENG. MANAGEMENT &gt; Software Engineering Management Fundamentals")+COUNTIFS('Prácticas_Snowballing'!$AB$2:$AB$281,"T067",'Prácticas_Snowballing'!$AC$2:$AC$281,"SOFTWARE ENG. MANAGEMENT &gt; Software Engineering Management Fundamentals")</f>
        <v>0</v>
      </c>
      <c r="DG79" s="17">
        <f>COUNTIFS('Prácticas_Revisiones'!$S$2:$S$282,"T067",'Prácticas_Revisiones'!$T$2:$T$282,"SOFTWARE ENG. MANAGEMENT &gt; Initiation and Scope Definition")+COUNTIFS('Prácticas_Snowballing'!$AB$2:$AB$281,"T067",'Prácticas_Snowballing'!$AC$2:$AC$281,"SOFTWARE ENG. MANAGEMENT &gt; Initiation and Scope Definition")</f>
        <v>0</v>
      </c>
      <c r="DH79" s="17">
        <f>COUNTIFS('Prácticas_Revisiones'!$S$2:$S$282,"T067",'Prácticas_Revisiones'!$T$2:$T$282,"SOFTWARE ENG. MANAGEMENT &gt; Software Project Planning")+COUNTIFS('Prácticas_Snowballing'!$AB$2:$AB$281,"T067",'Prácticas_Snowballing'!$AC$2:$AC$281,"SOFTWARE ENG. MANAGEMENT &gt; Software Project Planning")</f>
        <v>0</v>
      </c>
      <c r="DI79" s="17">
        <f>COUNTIFS('Prácticas_Revisiones'!$S$2:$S$282,"T067",'Prácticas_Revisiones'!$T$2:$T$282,"SOFTWARE ENG. MANAGEMENT &gt; Software Project Enactment")+COUNTIFS('Prácticas_Snowballing'!$AB$2:$AB$281,"T067",'Prácticas_Snowballing'!$AC$2:$AC$281,"SOFTWARE ENG. MANAGEMENT &gt; Software Project Enactment")</f>
        <v>0</v>
      </c>
      <c r="DJ79" s="17">
        <f>COUNTIFS('Prácticas_Revisiones'!$S$2:$S$282,"T067",'Prácticas_Revisiones'!$T$2:$T$282,"SOFTWARE ENG. MANAGEMENT &gt; Review and Evaluation")+COUNTIFS('Prácticas_Snowballing'!$AB$2:$AB$281,"T067",'Prácticas_Snowballing'!$AC$2:$AC$281,"SOFTWARE ENG. MANAGEMENT &gt; Review and Evaluation")</f>
        <v>0</v>
      </c>
      <c r="DK79" s="17">
        <f>COUNTIFS('Prácticas_Revisiones'!$S$2:$S$282,"T067",'Prácticas_Revisiones'!$T$2:$T$282,"SOFTWARE ENG. MANAGEMENT &gt; Closure")+COUNTIFS('Prácticas_Snowballing'!$AB$2:$AB$281,"T067",'Prácticas_Snowballing'!$AC$2:$AC$281,"SOFTWARE ENG. MANAGEMENT &gt; Closure")</f>
        <v>0</v>
      </c>
      <c r="DL79" s="17">
        <f>COUNTIFS('Prácticas_Revisiones'!$S$2:$S$282,"T067",'Prácticas_Revisiones'!$T$2:$T$282,"SOFTWARE ENG. MANAGEMENT &gt; Software Engineering Management Tools")+COUNTIFS('Prácticas_Snowballing'!$AB$2:$AB$281,"T067",'Prácticas_Snowballing'!$AC$2:$AC$281,"SOFTWARE ENG. MANAGEMENT &gt; Software Engineering Management Tools")</f>
        <v>0</v>
      </c>
      <c r="DM79" s="17">
        <f>COUNTIFS('Prácticas_Revisiones'!$S$2:$S$282,"T067",'Prácticas_Revisiones'!$T$2:$T$282,"SOFTWARE ENG. MANAGEMENT &gt; Subárea no determinable")+COUNTIFS('Prácticas_Snowballing'!$AB$2:$AB$281,"T067",'Prácticas_Snowballing'!$AC$2:$AC$281,"SOFTWARE ENG. MANAGEMENT &gt; Subárea no determinable")</f>
        <v>0</v>
      </c>
      <c r="DN79" s="29">
        <f t="shared" si="66"/>
        <v>0</v>
      </c>
      <c r="DO79" s="17">
        <f>COUNTIFS('Prácticas_Revisiones'!$S$2:$S$282,"T067",'Prácticas_Revisiones'!$T$2:$T$282,"Sin área SWEBOK")+COUNTIFS('Prácticas_Snowballing'!$AB$2:$AB$281,"T067",'Prácticas_Snowballing'!$AC$2:$AC$281,"Sin área SWEBOK")</f>
        <v>0</v>
      </c>
      <c r="DP79" s="27">
        <f t="shared" si="67"/>
        <v>0</v>
      </c>
    </row>
    <row r="80" ht="15.75" customHeight="1">
      <c r="A80" s="28"/>
      <c r="B80" s="16" t="s">
        <v>2837</v>
      </c>
      <c r="C80" s="17">
        <f>COUNTIFS('Prácticas_Revisiones'!$S$2:$S$282,"T068",'Prácticas_Revisiones'!$T$2:$T$282,"REQUIREMENTS &gt; Software Requirements Fundamentals")+COUNTIFS('Prácticas_Snowballing'!$AB$2:$AB$281,"T068",'Prácticas_Snowballing'!$AC$2:$AC$281,"REQUIREMENTS &gt; Software Requirements Fundamentals")</f>
        <v>0</v>
      </c>
      <c r="D80" s="17">
        <f>COUNTIFS('Prácticas_Revisiones'!$S$2:$S$282,"T068",'Prácticas_Revisiones'!$T$2:$T$282,"REQUIREMENTS &gt; Requirements Elicitation")+COUNTIFS('Prácticas_Snowballing'!$AB$2:$AB$281,"T068",'Prácticas_Snowballing'!$AC$2:$AC$281,"REQUIREMENTS &gt; Requirements Elicitation")</f>
        <v>0</v>
      </c>
      <c r="E80" s="17">
        <f>COUNTIFS('Prácticas_Revisiones'!$S$2:$S$282,"T068",'Prácticas_Revisiones'!$T$2:$T$282,"REQUIREMENTS &gt; Requirements Analysis")+COUNTIFS('Prácticas_Snowballing'!$AB$2:$AB$281,"T068",'Prácticas_Snowballing'!$AC$2:$AC$281,"REQUIREMENTS &gt; Requirements Analysis")</f>
        <v>0</v>
      </c>
      <c r="F80" s="17">
        <f>COUNTIFS('Prácticas_Revisiones'!$S$2:$S$282,"T068",'Prácticas_Revisiones'!$T$2:$T$282,"REQUIREMENTS &gt; Requirements Specification")+COUNTIFS('Prácticas_Snowballing'!$AB$2:$AB$281,"T068",'Prácticas_Snowballing'!$AC$2:$AC$281,"REQUIREMENTS &gt; Requirements Specification")</f>
        <v>0</v>
      </c>
      <c r="G80" s="17">
        <f>COUNTIFS('Prácticas_Revisiones'!$S$2:$S$282,"T068",'Prácticas_Revisiones'!$T$2:$T$282,"REQUIREMENTS &gt; Requirements Validation")+COUNTIFS('Prácticas_Snowballing'!$AB$2:$AB$281,"T068",'Prácticas_Snowballing'!$AC$2:$AC$281,"REQUIREMENTS &gt; Requirements Validation")</f>
        <v>0</v>
      </c>
      <c r="H80" s="17">
        <f>COUNTIFS('Prácticas_Revisiones'!$S$2:$S$282,"T068",'Prácticas_Revisiones'!$T$2:$T$282,"REQUIREMENTS &gt; Requirements Management Activities")+COUNTIFS('Prácticas_Snowballing'!$AB$2:$AB$281,"T068",'Prácticas_Snowballing'!$AC$2:$AC$281,"REQUIREMENTS &gt; Requirements Management Activities")</f>
        <v>0</v>
      </c>
      <c r="I80" s="17">
        <f>COUNTIFS('Prácticas_Revisiones'!$S$2:$S$282,"T068",'Prácticas_Revisiones'!$T$2:$T$282,"REQUIREMENTS &gt; Practical Considerations")+COUNTIFS('Prácticas_Snowballing'!$AB$2:$AB$281,"T068",'Prácticas_Snowballing'!$AC$2:$AC$281,"REQUIREMENTS &gt; Practical Considerations")</f>
        <v>0</v>
      </c>
      <c r="J80" s="17">
        <f>COUNTIFS('Prácticas_Revisiones'!$S$2:$S$282,"T068",'Prácticas_Revisiones'!$T$2:$T$282,"REQUIREMENTS &gt; Software Requirements Tools")+COUNTIFS('Prácticas_Snowballing'!$AB$2:$AB$281,"T068",'Prácticas_Snowballing'!$AC$2:$AC$281,"REQUIREMENTS &gt; Software Requirements Tools")</f>
        <v>0</v>
      </c>
      <c r="K80" s="17">
        <f>COUNTIFS('Prácticas_Revisiones'!$S$2:$S$282,"T068",'Prácticas_Revisiones'!$T$2:$T$282,"REQUIREMENTS &gt; Subárea no determinable")+COUNTIFS('Prácticas_Snowballing'!$AB$2:$AB$281,"T068",'Prácticas_Snowballing'!$AC$2:$AC$281,"REQUIREMENTS &gt; Subárea no determinable")</f>
        <v>0</v>
      </c>
      <c r="L80" s="29">
        <f t="shared" si="52"/>
        <v>0</v>
      </c>
      <c r="M80" s="17">
        <f>COUNTIFS('Prácticas_Revisiones'!$S$2:$S$282,"T068",'Prácticas_Revisiones'!$T$2:$T$282,"ARCHITECTURE &gt; Software Architecture Fundamentals")+COUNTIFS('Prácticas_Snowballing'!$AB$2:$AB$281,"T068",'Prácticas_Snowballing'!$AC$2:$AC$281,"ARCHITECTURE &gt; Software Architecture Fundamentals")</f>
        <v>0</v>
      </c>
      <c r="N80" s="17">
        <f>COUNTIFS('Prácticas_Revisiones'!$S$2:$S$282,"T068",'Prácticas_Revisiones'!$T$2:$T$282,"ARCHITECTURE &gt; Software Architecture Description")+COUNTIFS('Prácticas_Snowballing'!$AB$2:$AB$281,"T068",'Prácticas_Snowballing'!$AC$2:$AC$281,"ARCHITECTURE &gt; Software Architecture Description")</f>
        <v>0</v>
      </c>
      <c r="O80" s="17">
        <f>COUNTIFS('Prácticas_Revisiones'!$S$2:$S$282,"T068",'Prácticas_Revisiones'!$T$2:$T$282,"ARCHITECTURE &gt; Software Architecture Process")+COUNTIFS('Prácticas_Snowballing'!$AB$2:$AB$281,"T068",'Prácticas_Snowballing'!$AC$2:$AC$281,"ARCHITECTURE &gt; Software Architecture Process")</f>
        <v>0</v>
      </c>
      <c r="P80" s="17">
        <f>COUNTIFS('Prácticas_Revisiones'!$S$2:$S$282,"T068",'Prácticas_Revisiones'!$T$2:$T$282,"ARCHITECTURE &gt; Software Architecture Evaluation")+COUNTIFS('Prácticas_Snowballing'!$AB$2:$AB$281,"T068",'Prácticas_Snowballing'!$AC$2:$AC$281,"ARCHITECTURE &gt; Software Architecture Evaluation")</f>
        <v>0</v>
      </c>
      <c r="Q80" s="17">
        <f>COUNTIFS('Prácticas_Revisiones'!$S$2:$S$282,"T068",'Prácticas_Revisiones'!$T$2:$T$282,"ARCHITECTURE &gt; Subárea no determinable")+COUNTIFS('Prácticas_Snowballing'!$AB$2:$AB$281,"T068",'Prácticas_Snowballing'!$AC$2:$AC$281,"ARCHITECTURE &gt; Subárea no determinable")</f>
        <v>0</v>
      </c>
      <c r="R80" s="29">
        <f t="shared" si="53"/>
        <v>0</v>
      </c>
      <c r="S80" s="17">
        <f>COUNTIFS('Prácticas_Revisiones'!$S$2:$S$282,"T068",'Prácticas_Revisiones'!$T$2:$T$282,"DESIGN &gt; Software Design Fundamentals")+COUNTIFS('Prácticas_Snowballing'!$AB$2:$AB$281,"T068",'Prácticas_Snowballing'!$AC$2:$AC$281,"DESIGN &gt; Software Design Fundamentals")</f>
        <v>0</v>
      </c>
      <c r="T80" s="17">
        <f>COUNTIFS('Prácticas_Revisiones'!$S$2:$S$282,"T068",'Prácticas_Revisiones'!$T$2:$T$282,"DESIGN &gt; Software Design Processes")+COUNTIFS('Prácticas_Snowballing'!$AB$2:$AB$281,"T068",'Prácticas_Snowballing'!$AC$2:$AC$281,"DESIGN &gt; Software Design Processes")</f>
        <v>0</v>
      </c>
      <c r="U80" s="17">
        <f>COUNTIFS('Prácticas_Revisiones'!$S$2:$S$282,"T068",'Prácticas_Revisiones'!$T$2:$T$282,"DESIGN &gt; Software Design Qualities")+COUNTIFS('Prácticas_Snowballing'!$AB$2:$AB$281,"T068",'Prácticas_Snowballing'!$AC$2:$AC$281,"DESIGN &gt; Software Design Qualities")</f>
        <v>0</v>
      </c>
      <c r="V80" s="17">
        <f>COUNTIFS('Prácticas_Revisiones'!$S$2:$S$282,"T068",'Prácticas_Revisiones'!$T$2:$T$282,"DESIGN &gt; Recording Software Design")+COUNTIFS('Prácticas_Snowballing'!$AB$2:$AB$281,"T068",'Prácticas_Snowballing'!$AC$2:$AC$281,"DESIGN &gt; Recording Software Design")</f>
        <v>0</v>
      </c>
      <c r="W80" s="17">
        <f>COUNTIFS('Prácticas_Revisiones'!$S$2:$S$282,"T068",'Prácticas_Revisiones'!$T$2:$T$282,"DESIGN &gt; Software Design Strategies and Methods")+COUNTIFS('Prácticas_Snowballing'!$AB$2:$AB$281,"T068",'Prácticas_Snowballing'!$AC$2:$AC$281,"DESIGN &gt; Software Design Strategies and Methods")</f>
        <v>0</v>
      </c>
      <c r="X80" s="17">
        <f>COUNTIFS('Prácticas_Revisiones'!$S$2:$S$282,"T068",'Prácticas_Revisiones'!$T$2:$T$282,"DESIGN &gt; Software Design Analysis and Evaluations")+COUNTIFS('Prácticas_Snowballing'!$AB$2:$AB$281,"T068",'Prácticas_Snowballing'!$AC$2:$AC$281,"DESIGN &gt; Software Design Analysis and Evaluations")</f>
        <v>0</v>
      </c>
      <c r="Y80" s="17">
        <f>COUNTIFS('Prácticas_Revisiones'!$S$2:$S$282,"T068",'Prácticas_Revisiones'!$T$2:$T$282,"DESIGN &gt; Subárea no determinable")+COUNTIFS('Prácticas_Snowballing'!$AB$2:$AB$281,"T068",'Prácticas_Snowballing'!$AC$2:$AC$281,"DESIGN &gt; Subárea no determinable")</f>
        <v>0</v>
      </c>
      <c r="Z80" s="29">
        <f t="shared" si="54"/>
        <v>0</v>
      </c>
      <c r="AA80" s="17">
        <f>COUNTIFS('Prácticas_Revisiones'!$S$2:$S$282,"T068",'Prácticas_Revisiones'!$T$2:$T$282,"CONSTRUCTION &gt; Software Construction Fundamentals")+COUNTIFS('Prácticas_Snowballing'!$AB$2:$AB$281,"T068",'Prácticas_Snowballing'!$AC$2:$AC$281,"CONSTRUCTION &gt; Software Construction Fundamentals")</f>
        <v>0</v>
      </c>
      <c r="AB80" s="17">
        <f>COUNTIFS('Prácticas_Revisiones'!$S$2:$S$282,"T068",'Prácticas_Revisiones'!$T$2:$T$282,"CONSTRUCTION &gt; Managing Construction")+COUNTIFS('Prácticas_Snowballing'!$AB$2:$AB$281,"T068",'Prácticas_Snowballing'!$AC$2:$AC$281,"CONSTRUCTION &gt; Managing Construction")</f>
        <v>0</v>
      </c>
      <c r="AC80" s="17">
        <f>COUNTIFS('Prácticas_Revisiones'!$S$2:$S$282,"T068",'Prácticas_Revisiones'!$T$2:$T$282,"CONSTRUCTION &gt; Practical Considerations")+COUNTIFS('Prácticas_Snowballing'!$AB$2:$AB$281,"T068",'Prácticas_Snowballing'!$AC$2:$AC$281,"CONSTRUCTION &gt; Practical Considerations")</f>
        <v>0</v>
      </c>
      <c r="AD80" s="17">
        <f>COUNTIFS('Prácticas_Revisiones'!$S$2:$S$282,"T068",'Prácticas_Revisiones'!$T$2:$T$282,"CONSTRUCTION &gt; Construction Technologies")+COUNTIFS('Prácticas_Snowballing'!$AB$2:$AB$281,"T068",'Prácticas_Snowballing'!$AC$2:$AC$281,"CONSTRUCTION &gt; Construction Technologies")</f>
        <v>0</v>
      </c>
      <c r="AE80" s="17">
        <f>COUNTIFS('Prácticas_Revisiones'!$S$2:$S$282,"T068",'Prácticas_Revisiones'!$T$2:$T$282,"CONSTRUCTION &gt; Software Construction Tools")+COUNTIFS('Prácticas_Snowballing'!$AB$2:$AB$281,"T068",'Prácticas_Snowballing'!$AC$2:$AC$281,"CONSTRUCTION &gt; Software Construction Tools")</f>
        <v>0</v>
      </c>
      <c r="AF80" s="17">
        <f>COUNTIFS('Prácticas_Revisiones'!$S$2:$S$282,"T068",'Prácticas_Revisiones'!$T$2:$T$282,"CONSTRUCTION &gt; Subárea no determinable")+COUNTIFS('Prácticas_Snowballing'!$AB$2:$AB$281,"T068",'Prácticas_Snowballing'!$AC$2:$AC$281,"CONSTRUCTION &gt; Subárea no determinable")</f>
        <v>0</v>
      </c>
      <c r="AG80" s="29">
        <f t="shared" si="55"/>
        <v>0</v>
      </c>
      <c r="AH80" s="17">
        <f>COUNTIFS('Prácticas_Revisiones'!$S$2:$S$282,"T068",'Prácticas_Revisiones'!$T$2:$T$282,"SOFTWARE TESTING &gt; Software Testing Fundamentals")+COUNTIFS('Prácticas_Snowballing'!$AB$2:$AB$281,"T068",'Prácticas_Snowballing'!$AC$2:$AC$281,"SOFTWARE TESTING &gt; Software Testing Fundamentals")</f>
        <v>0</v>
      </c>
      <c r="AI80" s="17">
        <f>COUNTIFS('Prácticas_Revisiones'!$S$2:$S$282,"T068",'Prácticas_Revisiones'!$T$2:$T$282,"SOFTWARE TESTING &gt; Test Levels")+COUNTIFS('Prácticas_Snowballing'!$AB$2:$AB$281,"T068",'Prácticas_Snowballing'!$AC$2:$AC$281,"SOFTWARE TESTING &gt; Test Levels")</f>
        <v>0</v>
      </c>
      <c r="AJ80" s="17">
        <f>COUNTIFS('Prácticas_Revisiones'!$S$2:$S$282,"T068",'Prácticas_Revisiones'!$T$2:$T$282,"SOFTWARE TESTING &gt; Test Techniques")+COUNTIFS('Prácticas_Snowballing'!$AB$2:$AB$281,"T068",'Prácticas_Snowballing'!$AC$2:$AC$281,"SOFTWARE TESTING &gt; Test Techniques")</f>
        <v>0</v>
      </c>
      <c r="AK80" s="17">
        <f>COUNTIFS('Prácticas_Revisiones'!$S$2:$S$282,"T068",'Prácticas_Revisiones'!$T$2:$T$282,"SOFTWARE TESTING &gt; Test-Related Measures")+COUNTIFS('Prácticas_Snowballing'!$AB$2:$AB$281,"T068",'Prácticas_Snowballing'!$AC$2:$AC$281,"SOFTWARE TESTING &gt; Test-Related Measures")</f>
        <v>0</v>
      </c>
      <c r="AL80" s="17">
        <f>COUNTIFS('Prácticas_Revisiones'!$S$2:$S$282,"T068",'Prácticas_Revisiones'!$T$2:$T$282,"SOFTWARE TESTING &gt; Test Process")+COUNTIFS('Prácticas_Snowballing'!$AB$2:$AB$281,"T068",'Prácticas_Snowballing'!$AC$2:$AC$281,"SOFTWARE TESTING &gt; Test Process")</f>
        <v>0</v>
      </c>
      <c r="AM80" s="17">
        <f>COUNTIFS('Prácticas_Revisiones'!$S$2:$S$282,"T068",'Prácticas_Revisiones'!$T$2:$T$282,"SOFTWARE TESTING &gt; Software Testing in the Development Processes...")+COUNTIFS('Prácticas_Snowballing'!$AB$2:$AB$281,"T068",'Prácticas_Snowballing'!$AC$2:$AC$281,"SOFTWARE TESTING &gt; Software Testing in the Development Processes...")</f>
        <v>0</v>
      </c>
      <c r="AN80" s="17">
        <f>COUNTIFS('Prácticas_Revisiones'!$S$2:$S$282,"T068",'Prácticas_Revisiones'!$T$2:$T$282,"SOFTWARE TESTING &gt; Testing of and Testing Through Emerging Tech...")+COUNTIFS('Prácticas_Snowballing'!$AB$2:$AB$281,"T068",'Prácticas_Snowballing'!$AC$2:$AC$281,"SOFTWARE TESTING &gt; Testing of and Testing Through Emerging Tech...")</f>
        <v>0</v>
      </c>
      <c r="AO80" s="17">
        <f>COUNTIFS('Prácticas_Revisiones'!$S$2:$S$282,"T068",'Prácticas_Revisiones'!$T$2:$T$282,"SOFTWARE TESTING &gt; Software Testing Tools")+COUNTIFS('Prácticas_Snowballing'!$AB$2:$AB$281,"T068",'Prácticas_Snowballing'!$AC$2:$AC$281,"SOFTWARE TESTING &gt; Software Testing Tools")</f>
        <v>0</v>
      </c>
      <c r="AP80" s="17">
        <f>COUNTIFS('Prácticas_Revisiones'!$S$2:$S$282,"T068",'Prácticas_Revisiones'!$T$2:$T$282,"SOFTWARE TESTING &gt; Subárea no determinable")+COUNTIFS('Prácticas_Snowballing'!$AB$2:$AB$281,"T068",'Prácticas_Snowballing'!$AC$2:$AC$281,"SOFTWARE TESTING &gt; Subárea no determinable")</f>
        <v>0</v>
      </c>
      <c r="AQ80" s="29">
        <f t="shared" si="56"/>
        <v>0</v>
      </c>
      <c r="AR80" s="17">
        <f>COUNTIFS('Prácticas_Revisiones'!$S$2:$S$282,"T068",'Prácticas_Revisiones'!$T$2:$T$282,"SOFTWARE ENG. OPERATIONS &gt; Software Engineering Operations Fundamentals")+COUNTIFS('Prácticas_Snowballing'!$AB$2:$AB$281,"T068",'Prácticas_Snowballing'!$AC$2:$AC$281,"SOFTWARE ENG. OPERATIONS &gt; Software Engineering Operations Fundamentals")</f>
        <v>0</v>
      </c>
      <c r="AS80" s="17">
        <f>COUNTIFS('Prácticas_Revisiones'!$S$2:$S$282,"T068",'Prácticas_Revisiones'!$T$2:$T$282,"SOFTWARE ENG. OPERATIONS &gt; Software Engineering Operations Planning")+COUNTIFS('Prácticas_Snowballing'!$AB$2:$AB$281,"T068",'Prácticas_Snowballing'!$AC$2:$AC$281,"SOFTWARE ENG. OPERATIONS &gt; Software Engineering Operations Planning")</f>
        <v>0</v>
      </c>
      <c r="AT80" s="17">
        <f>COUNTIFS('Prácticas_Revisiones'!$S$2:$S$282,"T068",'Prácticas_Revisiones'!$T$2:$T$282,"SOFTWARE ENG. OPERATIONS &gt; Software Engineering Operations Delivery")+COUNTIFS('Prácticas_Snowballing'!$AB$2:$AB$281,"T068",'Prácticas_Snowballing'!$AC$2:$AC$281,"SOFTWARE ENG. OPERATIONS &gt; Software Engineering Operations Delivery")</f>
        <v>0</v>
      </c>
      <c r="AU80" s="17">
        <f>COUNTIFS('Prácticas_Revisiones'!$S$2:$S$282,"T068",'Prácticas_Revisiones'!$T$2:$T$282,"SOFTWARE ENG. OPERATIONS &gt; Software Engineering Operations Control")+COUNTIFS('Prácticas_Snowballing'!$AB$2:$AB$281,"T068",'Prácticas_Snowballing'!$AC$2:$AC$281,"SOFTWARE ENG. OPERATIONS &gt; Software Engineering Operations Control")</f>
        <v>0</v>
      </c>
      <c r="AV80" s="17">
        <f>COUNTIFS('Prácticas_Revisiones'!$S$2:$S$282,"T068",'Prácticas_Revisiones'!$T$2:$T$282,"SOFTWARE ENG. OPERATIONS &gt; Practical Considerations")+COUNTIFS('Prácticas_Snowballing'!$AB$2:$AB$281,"T068",'Prácticas_Snowballing'!$AC$2:$AC$281,"SOFTWARE ENG. OPERATIONS &gt; Practical Considerations")</f>
        <v>0</v>
      </c>
      <c r="AW80" s="17">
        <f>COUNTIFS('Prácticas_Revisiones'!$S$2:$S$282,"T068",'Prácticas_Revisiones'!$T$2:$T$282,"SOFTWARE ENG. OPERATIONS &gt; Software Engineering Operations Tools")+COUNTIFS('Prácticas_Snowballing'!$AB$2:$AB$281,"T068",'Prácticas_Snowballing'!$AC$2:$AC$281,"SOFTWARE ENG. OPERATIONS &gt; Software Engineering Operations Tools")</f>
        <v>0</v>
      </c>
      <c r="AX80" s="17">
        <f>COUNTIFS('Prácticas_Revisiones'!$S$2:$S$282,"T068",'Prácticas_Revisiones'!$T$2:$T$282,"SOFTWARE ENG. OPERATIONS &gt; Subárea no determinable")+COUNTIFS('Prácticas_Snowballing'!$AB$2:$AB$281,"T068",'Prácticas_Snowballing'!$AC$2:$AC$281,"SOFTWARE ENG. OPERATIONS &gt; Subárea no determinable")</f>
        <v>0</v>
      </c>
      <c r="AY80" s="29">
        <f t="shared" si="57"/>
        <v>0</v>
      </c>
      <c r="AZ80" s="17">
        <f>COUNTIFS('Prácticas_Revisiones'!$S$2:$S$282,"T068",'Prácticas_Revisiones'!$T$2:$T$282,"MAINTENANCE &gt; Software Maintenance Fundamentals")+COUNTIFS('Prácticas_Snowballing'!$AB$2:$AB$281,"T068",'Prácticas_Snowballing'!$AC$2:$AC$281,"MAINTENANCE &gt; Software Maintenance Fundamentals")</f>
        <v>0</v>
      </c>
      <c r="BA80" s="17">
        <f>COUNTIFS('Prácticas_Revisiones'!$S$2:$S$282,"T068",'Prácticas_Revisiones'!$T$2:$T$282,"MAINTENANCE &gt; Key Issues in Software Maintenance")+COUNTIFS('Prácticas_Snowballing'!$AB$2:$AB$281,"T068",'Prácticas_Snowballing'!$AC$2:$AC$281,"MAINTENANCE &gt; Key Issues in Software Maintenance")</f>
        <v>0</v>
      </c>
      <c r="BB80" s="17">
        <f>COUNTIFS('Prácticas_Revisiones'!$S$2:$S$282,"T068",'Prácticas_Revisiones'!$T$2:$T$282,"MAINTENANCE &gt; Software Maintenance Processes")+COUNTIFS('Prácticas_Snowballing'!$AB$2:$AB$281,"T068",'Prácticas_Snowballing'!$AC$2:$AC$281,"MAINTENANCE &gt; Software Maintenance Processes")</f>
        <v>0</v>
      </c>
      <c r="BC80" s="17">
        <f>COUNTIFS('Prácticas_Revisiones'!$S$2:$S$282,"T068",'Prácticas_Revisiones'!$T$2:$T$282,"MAINTENANCE &gt; Software Maintenance Techniques")+COUNTIFS('Prácticas_Snowballing'!$AB$2:$AB$281,"T068",'Prácticas_Snowballing'!$AC$2:$AC$281,"MAINTENANCE &gt; Software Maintenance Techniques")</f>
        <v>0</v>
      </c>
      <c r="BD80" s="17">
        <f>COUNTIFS('Prácticas_Revisiones'!$S$2:$S$282,"T068",'Prácticas_Revisiones'!$T$2:$T$282,"MAINTENANCE &gt; Software Maintenance Tools")+COUNTIFS('Prácticas_Snowballing'!$AB$2:$AB$281,"T068",'Prácticas_Snowballing'!$AC$2:$AC$281,"MAINTENANCE &gt; Software Maintenance Tools")</f>
        <v>0</v>
      </c>
      <c r="BE80" s="17">
        <f>COUNTIFS('Prácticas_Revisiones'!$S$2:$S$282,"T068",'Prácticas_Revisiones'!$T$2:$T$282,"MAINTENANCE &gt; Subárea no determinable")+COUNTIFS('Prácticas_Snowballing'!$AB$2:$AB$281,"T068",'Prácticas_Snowballing'!$AC$2:$AC$281,"MAINTENANCE &gt; Subárea no determinable")</f>
        <v>0</v>
      </c>
      <c r="BF80" s="29">
        <f t="shared" si="58"/>
        <v>0</v>
      </c>
      <c r="BG80" s="17">
        <f>COUNTIFS('Prácticas_Revisiones'!$S$2:$S$282,"T068",'Prácticas_Revisiones'!$T$2:$T$282,"SOFTWARE CONFIG. MGMT. &gt; Management of the SCM Process")+COUNTIFS('Prácticas_Snowballing'!$AB$2:$AB$281,"T068",'Prácticas_Snowballing'!$AC$2:$AC$281,"SOFTWARE CONFIG. MGMT. &gt; Management of the SCM Process")</f>
        <v>0</v>
      </c>
      <c r="BH80" s="17">
        <f>COUNTIFS('Prácticas_Revisiones'!$S$2:$S$282,"T068",'Prácticas_Revisiones'!$T$2:$T$282,"SOFTWARE CONFIG. MGMT. &gt; Software Configuration Identification")+COUNTIFS('Prácticas_Snowballing'!$AB$2:$AB$281,"T068",'Prácticas_Snowballing'!$AC$2:$AC$281,"SOFTWARE CONFIG. MGMT. &gt; Software Configuration Identification")</f>
        <v>0</v>
      </c>
      <c r="BI80" s="17">
        <f>COUNTIFS('Prácticas_Revisiones'!$S$2:$S$282,"T068",'Prácticas_Revisiones'!$T$2:$T$282,"SOFTWARE CONFIG. MGMT. &gt; Software Configuration Change Control")+COUNTIFS('Prácticas_Snowballing'!$AB$2:$AB$281,"T068",'Prácticas_Snowballing'!$AC$2:$AC$281,"SOFTWARE CONFIG. MGMT. &gt; Software Configuration Change Control")</f>
        <v>0</v>
      </c>
      <c r="BJ80" s="17">
        <f>COUNTIFS('Prácticas_Revisiones'!$S$2:$S$282,"T068",'Prácticas_Revisiones'!$T$2:$T$282,"SOFTWARE CONFIG. MGMT. &gt; Software Configuration Status Accounting")+COUNTIFS('Prácticas_Snowballing'!$AB$2:$AB$281,"T068",'Prácticas_Snowballing'!$AC$2:$AC$281,"SOFTWARE CONFIG. MGMT. &gt; Software Configuration Status Accounting")</f>
        <v>0</v>
      </c>
      <c r="BK80" s="17">
        <f>COUNTIFS('Prácticas_Revisiones'!$S$2:$S$282,"T068",'Prácticas_Revisiones'!$T$2:$T$282,"SOFTWARE CONFIG. MGMT. &gt; Software Configuration Auditing")+COUNTIFS('Prácticas_Snowballing'!$AB$2:$AB$281,"T068",'Prácticas_Snowballing'!$AC$2:$AC$281,"SOFTWARE CONFIG. MGMT. &gt; Software Configuration Auditing")</f>
        <v>0</v>
      </c>
      <c r="BL80" s="17">
        <f>COUNTIFS('Prácticas_Revisiones'!$S$2:$S$282,"T068",'Prácticas_Revisiones'!$T$2:$T$282,"SOFTWARE CONFIG. MGMT. &gt; Software Release Management and Delivery")+COUNTIFS('Prácticas_Snowballing'!$AB$2:$AB$281,"T068",'Prácticas_Snowballing'!$AC$2:$AC$281,"SOFTWARE CONFIG. MGMT. &gt; Software Release Management and Delivery")</f>
        <v>0</v>
      </c>
      <c r="BM80" s="17">
        <f>COUNTIFS('Prácticas_Revisiones'!$S$2:$S$282,"T068",'Prácticas_Revisiones'!$T$2:$T$282,"SOFTWARE CONFIG. MGMT. &gt; Software Configuration Management Tools")+COUNTIFS('Prácticas_Snowballing'!$AB$2:$AB$281,"T068",'Prácticas_Snowballing'!$AC$2:$AC$281,"SOFTWARE CONFIG. MGMT. &gt; Software Configuration Management Tools")</f>
        <v>0</v>
      </c>
      <c r="BN80" s="17">
        <f>COUNTIFS('Prácticas_Revisiones'!$S$2:$S$282,"T068",'Prácticas_Revisiones'!$T$2:$T$282,"SOFTWARE CONFIG. MGMT. &gt; Subárea no determinable")+COUNTIFS('Prácticas_Snowballing'!$AB$2:$AB$281,"T068",'Prácticas_Snowballing'!$AC$2:$AC$281,"SOFTWARE CONFIG. MGMT. &gt; Subárea no determinable")</f>
        <v>0</v>
      </c>
      <c r="BO80" s="29">
        <f t="shared" si="59"/>
        <v>0</v>
      </c>
      <c r="BP80" s="17">
        <f>COUNTIFS('Prácticas_Revisiones'!$S$2:$S$282,"T068",'Prácticas_Revisiones'!$T$2:$T$282,"SOFTWARE ENG. PROCESS &gt; Software Engineering Process Fundamentals")+COUNTIFS('Prácticas_Snowballing'!$AB$2:$AB$281,"T068",'Prácticas_Snowballing'!$AC$2:$AC$281,"SOFTWARE ENG. PROCESS &gt; Software Engineering Process Fundamentals")</f>
        <v>0</v>
      </c>
      <c r="BQ80" s="17">
        <f>COUNTIFS('Prácticas_Revisiones'!$S$2:$S$282,"T068",'Prácticas_Revisiones'!$T$2:$T$282,"SOFTWARE ENG. PROCESS &gt; Life Cycles")+COUNTIFS('Prácticas_Snowballing'!$AB$2:$AB$281,"T068",'Prácticas_Snowballing'!$AC$2:$AC$281,"SOFTWARE ENG. PROCESS &gt; Life Cycles")</f>
        <v>0</v>
      </c>
      <c r="BR80" s="17">
        <f>COUNTIFS('Prácticas_Revisiones'!$S$2:$S$282,"T068",'Prácticas_Revisiones'!$T$2:$T$282,"SOFTWARE ENG. PROCESS &gt; Software Process Assessment and Improvement")+COUNTIFS('Prácticas_Snowballing'!$AB$2:$AB$281,"T068",'Prácticas_Snowballing'!$AC$2:$AC$281,"SOFTWARE ENG. PROCESS &gt; Software Process Assessment and Improvement")</f>
        <v>0</v>
      </c>
      <c r="BS80" s="17">
        <f>COUNTIFS('Prácticas_Revisiones'!$S$2:$S$282,"T068",'Prácticas_Revisiones'!$T$2:$T$282,"SOFTWARE ENG. PROCESS &gt; Subárea no determinable")+COUNTIFS('Prácticas_Snowballing'!$AB$2:$AB$281,"T068",'Prácticas_Snowballing'!$AC$2:$AC$281,"SOFTWARE ENG. PROCESS &gt; Subárea no determinable")</f>
        <v>0</v>
      </c>
      <c r="BT80" s="29">
        <f t="shared" si="60"/>
        <v>0</v>
      </c>
      <c r="BU80" s="17">
        <f>COUNTIFS('Prácticas_Revisiones'!$S$2:$S$282,"T068",'Prácticas_Revisiones'!$T$2:$T$282,"SOFTWARE ENG. MODELS/METH. &gt; Modeling")+COUNTIFS('Prácticas_Snowballing'!$AB$2:$AB$281,"T068",'Prácticas_Snowballing'!$AC$2:$AC$281,"SOFTWARE ENG. MODELS/METH. &gt; Modeling")</f>
        <v>0</v>
      </c>
      <c r="BV80" s="17">
        <f>COUNTIFS('Prácticas_Revisiones'!$S$2:$S$282,"T068",'Prácticas_Revisiones'!$T$2:$T$282,"SOFTWARE ENG. MODELS/METH. &gt; Types of Models")+COUNTIFS('Prácticas_Snowballing'!$AB$2:$AB$281,"T068",'Prácticas_Snowballing'!$AC$2:$AC$281,"SOFTWARE ENG. MODELS/METH. &gt; Types of Models")</f>
        <v>0</v>
      </c>
      <c r="BW80" s="17">
        <f>COUNTIFS('Prácticas_Revisiones'!$S$2:$S$282,"T068",'Prácticas_Revisiones'!$T$2:$T$282,"SOFTWARE ENG. MODELS/METH. &gt; Analysis of Models")+COUNTIFS('Prácticas_Snowballing'!$AB$2:$AB$281,"T068",'Prácticas_Snowballing'!$AC$2:$AC$281,"SOFTWARE ENG. MODELS/METH. &gt; Analysis of Models")</f>
        <v>0</v>
      </c>
      <c r="BX80" s="17">
        <f>COUNTIFS('Prácticas_Revisiones'!$S$2:$S$282,"T068",'Prácticas_Revisiones'!$T$2:$T$282,"SOFTWARE ENG. MODELS/METH. &gt; Software Engineering Methods")+COUNTIFS('Prácticas_Snowballing'!$AB$2:$AB$281,"T068",'Prácticas_Snowballing'!$AC$2:$AC$281,"SOFTWARE ENG. MODELS/METH. &gt; Software Engineering Methods")</f>
        <v>0</v>
      </c>
      <c r="BY80" s="17">
        <f>COUNTIFS('Prácticas_Revisiones'!$S$2:$S$282,"T068",'Prácticas_Revisiones'!$T$2:$T$282,"SOFTWARE ENG. MODELS/METH. &gt; Subárea no determinable")+COUNTIFS('Prácticas_Snowballing'!$AB$2:$AB$281,"T068",'Prácticas_Snowballing'!$AC$2:$AC$281,"SOFTWARE ENG. MODELS/METH. &gt; Subárea no determinable")</f>
        <v>0</v>
      </c>
      <c r="BZ80" s="29">
        <f t="shared" si="61"/>
        <v>0</v>
      </c>
      <c r="CA80" s="17">
        <f>COUNTIFS('Prácticas_Revisiones'!$S$2:$S$282,"T068",'Prácticas_Revisiones'!$T$2:$T$282,"SOFTWARE QUALITY &gt; Software Quality Fundamentals")+COUNTIFS('Prácticas_Snowballing'!$AB$2:$AB$281,"T068",'Prácticas_Snowballing'!$AC$2:$AC$281,"SOFTWARE QUALITY &gt; Software Quality Fundamentals")</f>
        <v>0</v>
      </c>
      <c r="CB80" s="17">
        <f>COUNTIFS('Prácticas_Revisiones'!$S$2:$S$282,"T068",'Prácticas_Revisiones'!$T$2:$T$282,"SOFTWARE QUALITY &gt; Software Quality Management Process")+COUNTIFS('Prácticas_Snowballing'!$AB$2:$AB$281,"T068",'Prácticas_Snowballing'!$AC$2:$AC$281,"SOFTWARE QUALITY &gt; Software Quality Management Process")</f>
        <v>0</v>
      </c>
      <c r="CC80" s="17">
        <f>COUNTIFS('Prácticas_Revisiones'!$S$2:$S$282,"T068",'Prácticas_Revisiones'!$T$2:$T$282,"SOFTWARE QUALITY &gt; Software Quality Assurance Process")+COUNTIFS('Prácticas_Snowballing'!$AB$2:$AB$281,"T068",'Prácticas_Snowballing'!$AC$2:$AC$281,"SOFTWARE QUALITY &gt; Software Quality Assurance Process")</f>
        <v>0</v>
      </c>
      <c r="CD80" s="17">
        <f>COUNTIFS('Prácticas_Revisiones'!$S$2:$S$282,"T068",'Prácticas_Revisiones'!$T$2:$T$282,"SOFTWARE QUALITY &gt; Software Quality Tools")+COUNTIFS('Prácticas_Snowballing'!$AB$2:$AB$281,"T068",'Prácticas_Snowballing'!$AC$2:$AC$281,"SOFTWARE QUALITY &gt; Software Quality Tools")</f>
        <v>0</v>
      </c>
      <c r="CE80" s="17">
        <f>COUNTIFS('Prácticas_Revisiones'!$S$2:$S$282,"T068",'Prácticas_Revisiones'!$T$2:$T$282,"SOFTWARE QUALITY &gt; Subárea no determinable")+COUNTIFS('Prácticas_Snowballing'!$AB$2:$AB$281,"T068",'Prácticas_Snowballing'!$AC$2:$AC$281,"SOFTWARE QUALITY &gt; Subárea no determinable")</f>
        <v>0</v>
      </c>
      <c r="CF80" s="29">
        <f t="shared" si="62"/>
        <v>0</v>
      </c>
      <c r="CG80" s="17">
        <f>COUNTIFS('Prácticas_Revisiones'!$S$2:$S$282,"T068",'Prácticas_Revisiones'!$T$2:$T$282,"SOFTWARE SECURITY &gt; Software Security Fundamentals")+COUNTIFS('Prácticas_Snowballing'!$AB$2:$AB$281,"T068",'Prácticas_Snowballing'!$AC$2:$AC$281,"SOFTWARE SECURITY &gt; Software Security Fundamentals")</f>
        <v>0</v>
      </c>
      <c r="CH80" s="17">
        <f>COUNTIFS('Prácticas_Revisiones'!$S$2:$S$282,"T068",'Prácticas_Revisiones'!$T$2:$T$282,"SOFTWARE SECURITY &gt; Security Management and Organization")+COUNTIFS('Prácticas_Snowballing'!$AB$2:$AB$281,"T068",'Prácticas_Snowballing'!$AC$2:$AC$281,"SOFTWARE SECURITY &gt; Security Management and Organization")</f>
        <v>0</v>
      </c>
      <c r="CI80" s="17">
        <f>COUNTIFS('Prácticas_Revisiones'!$S$2:$S$282,"T068",'Prácticas_Revisiones'!$T$2:$T$282,"SOFTWARE SECURITY &gt; Software Security Engineering and Process")+COUNTIFS('Prácticas_Snowballing'!$AB$2:$AB$281,"T068",'Prácticas_Snowballing'!$AC$2:$AC$281,"SOFTWARE SECURITY &gt; Software Security Engineering and Process")</f>
        <v>0</v>
      </c>
      <c r="CJ80" s="17">
        <f>COUNTIFS('Prácticas_Revisiones'!$S$2:$S$282,"T068",'Prácticas_Revisiones'!$T$2:$T$282,"SOFTWARE SECURITY &gt; Security Engineering for Software Systems")+COUNTIFS('Prácticas_Snowballing'!$AB$2:$AB$281,"T068",'Prácticas_Snowballing'!$AC$2:$AC$281,"SOFTWARE SECURITY &gt; Security Engineering for Software Systems")</f>
        <v>0</v>
      </c>
      <c r="CK80" s="17">
        <f>COUNTIFS('Prácticas_Revisiones'!$S$2:$S$282,"T068",'Prácticas_Revisiones'!$T$2:$T$282,"SOFTWARE SECURITY &gt; Software Security Tools")+COUNTIFS('Prácticas_Snowballing'!$AB$2:$AB$281,"T068",'Prácticas_Snowballing'!$AC$2:$AC$281,"SOFTWARE SECURITY &gt; Software Security Tools")</f>
        <v>0</v>
      </c>
      <c r="CL80" s="17">
        <f>COUNTIFS('Prácticas_Revisiones'!$S$2:$S$282,"T068",'Prácticas_Revisiones'!$T$2:$T$282,"SOFTWARE SECURITY &gt; Domain Specific Software Security")+COUNTIFS('Prácticas_Snowballing'!$AB$2:$AB$281,"T068",'Prácticas_Snowballing'!$AC$2:$AC$281,"SOFTWARE SECURITY &gt; Domain Specific Software Security")</f>
        <v>0</v>
      </c>
      <c r="CM80" s="17">
        <f>COUNTIFS('Prácticas_Revisiones'!$S$2:$S$282,"T068",'Prácticas_Revisiones'!$T$2:$T$282,"SOFTWARE SECURITY &gt; Subárea no determinable")+COUNTIFS('Prácticas_Snowballing'!$AB$2:$AB$281,"T068",'Prácticas_Snowballing'!$AC$2:$AC$281,"SOFTWARE SECURITY &gt; Subárea no determinable")</f>
        <v>0</v>
      </c>
      <c r="CN80" s="29">
        <f t="shared" si="63"/>
        <v>0</v>
      </c>
      <c r="CO80" s="17">
        <f>COUNTIFS('Prácticas_Revisiones'!$S$2:$S$282,"T068",'Prácticas_Revisiones'!$T$2:$T$282,"PROFESSIONAL PRACTICE &gt; Professionalism")+COUNTIFS('Prácticas_Snowballing'!$AB$2:$AB$281,"T068",'Prácticas_Snowballing'!$AC$2:$AC$281,"PROFESSIONAL PRACTICE &gt; Professionalism")</f>
        <v>0</v>
      </c>
      <c r="CP80" s="17">
        <f>COUNTIFS('Prácticas_Revisiones'!$S$2:$S$282,"T068",'Prácticas_Revisiones'!$T$2:$T$282,"PROFESSIONAL PRACTICE &gt; Group Dynamics and Psychology")+COUNTIFS('Prácticas_Snowballing'!$AB$2:$AB$281,"T068",'Prácticas_Snowballing'!$AC$2:$AC$281,"PROFESSIONAL PRACTICE &gt; Group Dynamics and Psychology")</f>
        <v>0</v>
      </c>
      <c r="CQ80" s="17">
        <f>COUNTIFS('Prácticas_Revisiones'!$S$2:$S$282,"T068",'Prácticas_Revisiones'!$T$2:$T$282,"PROFESSIONAL PRACTICE &gt; Communication Skills")+COUNTIFS('Prácticas_Snowballing'!$AB$2:$AB$281,"T068",'Prácticas_Snowballing'!$AC$2:$AC$281,"PROFESSIONAL PRACTICE &gt; Communication Skills")</f>
        <v>0</v>
      </c>
      <c r="CR80" s="17">
        <f>COUNTIFS('Prácticas_Revisiones'!$S$2:$S$282,"T068",'Prácticas_Revisiones'!$T$2:$T$282,"PROFESSIONAL PRACTICE &gt; Subárea no determinable")+COUNTIFS('Prácticas_Snowballing'!$AB$2:$AB$281,"T068",'Prácticas_Snowballing'!$AC$2:$AC$281,"PROFESSIONAL PRACTICE &gt; Subárea no determinable")</f>
        <v>0</v>
      </c>
      <c r="CS80" s="29">
        <f t="shared" si="64"/>
        <v>0</v>
      </c>
      <c r="CT80" s="17">
        <f>COUNTIFS('Prácticas_Revisiones'!$S$2:$S$282,"T068",'Prácticas_Revisiones'!$T$2:$T$282,"SOFTWARE ENG. ECONOMICS &gt; Software Engineering Economics Fundamentals")+COUNTIFS('Prácticas_Snowballing'!$AB$2:$AB$281,"T068",'Prácticas_Snowballing'!$AC$2:$AC$281,"SOFTWARE ENG. ECONOMICS &gt; Software Engineering Economics Fundamentals")</f>
        <v>0</v>
      </c>
      <c r="CU80" s="17">
        <f>COUNTIFS('Prácticas_Revisiones'!$S$2:$S$282,"T068",'Prácticas_Revisiones'!$T$2:$T$282,"SOFTWARE ENG. ECONOMICS &gt; The Engineering Decision-Making Process")+COUNTIFS('Prácticas_Snowballing'!$AB$2:$AB$281,"T068",'Prácticas_Snowballing'!$AC$2:$AC$281,"SOFTWARE ENG. ECONOMICS &gt; The Engineering Decision-Making Process")</f>
        <v>0</v>
      </c>
      <c r="CV80" s="17">
        <f>COUNTIFS('Prácticas_Revisiones'!$S$2:$S$282,"T068",'Prácticas_Revisiones'!$T$2:$T$282,"SOFTWARE ENG. ECONOMICS &gt; For-Profit Decision-Making")+COUNTIFS('Prácticas_Snowballing'!$AB$2:$AB$281,"T068",'Prácticas_Snowballing'!$AC$2:$AC$281,"SOFTWARE ENG. ECONOMICS &gt; For-Profit Decision-Making")</f>
        <v>0</v>
      </c>
      <c r="CW80" s="17">
        <f>COUNTIFS('Prácticas_Revisiones'!$S$2:$S$282,"T068",'Prácticas_Revisiones'!$T$2:$T$282,"SOFTWARE ENG. ECONOMICS &gt; Nonprofit Decision-Making")+COUNTIFS('Prácticas_Snowballing'!$AB$2:$AB$281,"T068",'Prácticas_Snowballing'!$AC$2:$AC$281,"SOFTWARE ENG. ECONOMICS &gt; Nonprofit Decision-Making")</f>
        <v>0</v>
      </c>
      <c r="CX80" s="17">
        <f>COUNTIFS('Prácticas_Revisiones'!$S$2:$S$282,"T068",'Prácticas_Revisiones'!$T$2:$T$282,"SOFTWARE ENG. ECONOMICS &gt; Present Economy Decision-Making")+COUNTIFS('Prácticas_Snowballing'!$AB$2:$AB$281,"T068",'Prácticas_Snowballing'!$AC$2:$AC$281,"SOFTWARE ENG. ECONOMICS &gt; Present Economy Decision-Making")</f>
        <v>0</v>
      </c>
      <c r="CY80" s="17">
        <f>COUNTIFS('Prácticas_Revisiones'!$S$2:$S$282,"T068",'Prácticas_Revisiones'!$T$2:$T$282,"SOFTWARE ENG. ECONOMICS &gt; Multiple-Attribute Decision-Making")+COUNTIFS('Prácticas_Snowballing'!$AB$2:$AB$281,"T068",'Prácticas_Snowballing'!$AC$2:$AC$281,"SOFTWARE ENG. ECONOMICS &gt; Multiple-Attribute Decision-Making")</f>
        <v>0</v>
      </c>
      <c r="CZ80" s="17">
        <f>COUNTIFS('Prácticas_Revisiones'!$S$2:$S$282,"T068",'Prácticas_Revisiones'!$T$2:$T$282,"SOFTWARE ENG. ECONOMICS &gt; Identifying and Characterizing Intangible Assets")+COUNTIFS('Prácticas_Snowballing'!$AB$2:$AB$281,"T068",'Prácticas_Snowballing'!$AC$2:$AC$281,"SOFTWARE ENG. ECONOMICS &gt; Identifying and Characterizing Intangible Assets")</f>
        <v>0</v>
      </c>
      <c r="DA80" s="17">
        <f>COUNTIFS('Prácticas_Revisiones'!$S$2:$S$282,"T068",'Prácticas_Revisiones'!$T$2:$T$282,"SOFTWARE ENG. ECONOMICS &gt; Estimation")+COUNTIFS('Prácticas_Snowballing'!$AB$2:$AB$281,"T068",'Prácticas_Snowballing'!$AC$2:$AC$281,"SOFTWARE ENG. ECONOMICS &gt; Estimation")</f>
        <v>0</v>
      </c>
      <c r="DB80" s="17">
        <f>COUNTIFS('Prácticas_Revisiones'!$S$2:$S$282,"T068",'Prácticas_Revisiones'!$T$2:$T$282,"SOFTWARE ENG. ECONOMICS &gt; Practical Considerations")+COUNTIFS('Prácticas_Snowballing'!$AB$2:$AB$281,"T068",'Prácticas_Snowballing'!$AC$2:$AC$281,"SOFTWARE ENG. ECONOMICS &gt; Practical Considerations")</f>
        <v>0</v>
      </c>
      <c r="DC80" s="17">
        <f>COUNTIFS('Prácticas_Revisiones'!$S$2:$S$282,"T068",'Prácticas_Revisiones'!$T$2:$T$282,"SOFTWARE ENG. ECONOMICS &gt; Related Concepts")+COUNTIFS('Prácticas_Snowballing'!$AB$2:$AB$281,"T068",'Prácticas_Snowballing'!$AC$2:$AC$281,"SOFTWARE ENG. ECONOMICS &gt; Related Concepts")</f>
        <v>0</v>
      </c>
      <c r="DD80" s="17">
        <f>COUNTIFS('Prácticas_Revisiones'!$S$2:$S$282,"T068",'Prácticas_Revisiones'!$T$2:$T$282,"SOFTWARE ENG. ECONOMICS &gt; Subárea no determinable")+COUNTIFS('Prácticas_Snowballing'!$AB$2:$AB$281,"T068",'Prácticas_Snowballing'!$AC$2:$AC$281,"SOFTWARE ENG. ECONOMICS &gt; Subárea no determinable")</f>
        <v>0</v>
      </c>
      <c r="DE80" s="29">
        <f t="shared" si="65"/>
        <v>0</v>
      </c>
      <c r="DF80" s="17">
        <f>COUNTIFS('Prácticas_Revisiones'!$S$2:$S$282,"T068",'Prácticas_Revisiones'!$T$2:$T$282,"SOFTWARE ENG. MANAGEMENT &gt; Software Engineering Management Fundamentals")+COUNTIFS('Prácticas_Snowballing'!$AB$2:$AB$281,"T068",'Prácticas_Snowballing'!$AC$2:$AC$281,"SOFTWARE ENG. MANAGEMENT &gt; Software Engineering Management Fundamentals")</f>
        <v>0</v>
      </c>
      <c r="DG80" s="17">
        <f>COUNTIFS('Prácticas_Revisiones'!$S$2:$S$282,"T068",'Prácticas_Revisiones'!$T$2:$T$282,"SOFTWARE ENG. MANAGEMENT &gt; Initiation and Scope Definition")+COUNTIFS('Prácticas_Snowballing'!$AB$2:$AB$281,"T068",'Prácticas_Snowballing'!$AC$2:$AC$281,"SOFTWARE ENG. MANAGEMENT &gt; Initiation and Scope Definition")</f>
        <v>0</v>
      </c>
      <c r="DH80" s="17">
        <f>COUNTIFS('Prácticas_Revisiones'!$S$2:$S$282,"T068",'Prácticas_Revisiones'!$T$2:$T$282,"SOFTWARE ENG. MANAGEMENT &gt; Software Project Planning")+COUNTIFS('Prácticas_Snowballing'!$AB$2:$AB$281,"T068",'Prácticas_Snowballing'!$AC$2:$AC$281,"SOFTWARE ENG. MANAGEMENT &gt; Software Project Planning")</f>
        <v>0</v>
      </c>
      <c r="DI80" s="17">
        <f>COUNTIFS('Prácticas_Revisiones'!$S$2:$S$282,"T068",'Prácticas_Revisiones'!$T$2:$T$282,"SOFTWARE ENG. MANAGEMENT &gt; Software Project Enactment")+COUNTIFS('Prácticas_Snowballing'!$AB$2:$AB$281,"T068",'Prácticas_Snowballing'!$AC$2:$AC$281,"SOFTWARE ENG. MANAGEMENT &gt; Software Project Enactment")</f>
        <v>0</v>
      </c>
      <c r="DJ80" s="17">
        <f>COUNTIFS('Prácticas_Revisiones'!$S$2:$S$282,"T068",'Prácticas_Revisiones'!$T$2:$T$282,"SOFTWARE ENG. MANAGEMENT &gt; Review and Evaluation")+COUNTIFS('Prácticas_Snowballing'!$AB$2:$AB$281,"T068",'Prácticas_Snowballing'!$AC$2:$AC$281,"SOFTWARE ENG. MANAGEMENT &gt; Review and Evaluation")</f>
        <v>0</v>
      </c>
      <c r="DK80" s="17">
        <f>COUNTIFS('Prácticas_Revisiones'!$S$2:$S$282,"T068",'Prácticas_Revisiones'!$T$2:$T$282,"SOFTWARE ENG. MANAGEMENT &gt; Closure")+COUNTIFS('Prácticas_Snowballing'!$AB$2:$AB$281,"T068",'Prácticas_Snowballing'!$AC$2:$AC$281,"SOFTWARE ENG. MANAGEMENT &gt; Closure")</f>
        <v>0</v>
      </c>
      <c r="DL80" s="17">
        <f>COUNTIFS('Prácticas_Revisiones'!$S$2:$S$282,"T068",'Prácticas_Revisiones'!$T$2:$T$282,"SOFTWARE ENG. MANAGEMENT &gt; Software Engineering Management Tools")+COUNTIFS('Prácticas_Snowballing'!$AB$2:$AB$281,"T068",'Prácticas_Snowballing'!$AC$2:$AC$281,"SOFTWARE ENG. MANAGEMENT &gt; Software Engineering Management Tools")</f>
        <v>0</v>
      </c>
      <c r="DM80" s="17">
        <f>COUNTIFS('Prácticas_Revisiones'!$S$2:$S$282,"T068",'Prácticas_Revisiones'!$T$2:$T$282,"SOFTWARE ENG. MANAGEMENT &gt; Subárea no determinable")+COUNTIFS('Prácticas_Snowballing'!$AB$2:$AB$281,"T068",'Prácticas_Snowballing'!$AC$2:$AC$281,"SOFTWARE ENG. MANAGEMENT &gt; Subárea no determinable")</f>
        <v>0</v>
      </c>
      <c r="DN80" s="29">
        <f t="shared" si="66"/>
        <v>0</v>
      </c>
      <c r="DO80" s="17">
        <f>COUNTIFS('Prácticas_Revisiones'!$S$2:$S$282,"T068",'Prácticas_Revisiones'!$T$2:$T$282,"Sin área SWEBOK")+COUNTIFS('Prácticas_Snowballing'!$AB$2:$AB$281,"T068",'Prácticas_Snowballing'!$AC$2:$AC$281,"Sin área SWEBOK")</f>
        <v>0</v>
      </c>
      <c r="DP80" s="27">
        <f t="shared" si="67"/>
        <v>0</v>
      </c>
    </row>
    <row r="81" ht="15.75" customHeight="1">
      <c r="A81" s="28"/>
      <c r="B81" s="16" t="s">
        <v>2834</v>
      </c>
      <c r="C81" s="17">
        <f>COUNTIFS('Prácticas_Revisiones'!$S$2:$S$282,"T069",'Prácticas_Revisiones'!$T$2:$T$282,"REQUIREMENTS &gt; Software Requirements Fundamentals")+COUNTIFS('Prácticas_Snowballing'!$AB$2:$AB$281,"T069",'Prácticas_Snowballing'!$AC$2:$AC$281,"REQUIREMENTS &gt; Software Requirements Fundamentals")</f>
        <v>0</v>
      </c>
      <c r="D81" s="17">
        <f>COUNTIFS('Prácticas_Revisiones'!$S$2:$S$282,"T069",'Prácticas_Revisiones'!$T$2:$T$282,"REQUIREMENTS &gt; Requirements Elicitation")+COUNTIFS('Prácticas_Snowballing'!$AB$2:$AB$281,"T069",'Prácticas_Snowballing'!$AC$2:$AC$281,"REQUIREMENTS &gt; Requirements Elicitation")</f>
        <v>0</v>
      </c>
      <c r="E81" s="17">
        <f>COUNTIFS('Prácticas_Revisiones'!$S$2:$S$282,"T069",'Prácticas_Revisiones'!$T$2:$T$282,"REQUIREMENTS &gt; Requirements Analysis")+COUNTIFS('Prácticas_Snowballing'!$AB$2:$AB$281,"T069",'Prácticas_Snowballing'!$AC$2:$AC$281,"REQUIREMENTS &gt; Requirements Analysis")</f>
        <v>0</v>
      </c>
      <c r="F81" s="17">
        <f>COUNTIFS('Prácticas_Revisiones'!$S$2:$S$282,"T069",'Prácticas_Revisiones'!$T$2:$T$282,"REQUIREMENTS &gt; Requirements Specification")+COUNTIFS('Prácticas_Snowballing'!$AB$2:$AB$281,"T069",'Prácticas_Snowballing'!$AC$2:$AC$281,"REQUIREMENTS &gt; Requirements Specification")</f>
        <v>0</v>
      </c>
      <c r="G81" s="17">
        <f>COUNTIFS('Prácticas_Revisiones'!$S$2:$S$282,"T069",'Prácticas_Revisiones'!$T$2:$T$282,"REQUIREMENTS &gt; Requirements Validation")+COUNTIFS('Prácticas_Snowballing'!$AB$2:$AB$281,"T069",'Prácticas_Snowballing'!$AC$2:$AC$281,"REQUIREMENTS &gt; Requirements Validation")</f>
        <v>0</v>
      </c>
      <c r="H81" s="17">
        <f>COUNTIFS('Prácticas_Revisiones'!$S$2:$S$282,"T069",'Prácticas_Revisiones'!$T$2:$T$282,"REQUIREMENTS &gt; Requirements Management Activities")+COUNTIFS('Prácticas_Snowballing'!$AB$2:$AB$281,"T069",'Prácticas_Snowballing'!$AC$2:$AC$281,"REQUIREMENTS &gt; Requirements Management Activities")</f>
        <v>0</v>
      </c>
      <c r="I81" s="17">
        <f>COUNTIFS('Prácticas_Revisiones'!$S$2:$S$282,"T069",'Prácticas_Revisiones'!$T$2:$T$282,"REQUIREMENTS &gt; Practical Considerations")+COUNTIFS('Prácticas_Snowballing'!$AB$2:$AB$281,"T069",'Prácticas_Snowballing'!$AC$2:$AC$281,"REQUIREMENTS &gt; Practical Considerations")</f>
        <v>0</v>
      </c>
      <c r="J81" s="17">
        <f>COUNTIFS('Prácticas_Revisiones'!$S$2:$S$282,"T069",'Prácticas_Revisiones'!$T$2:$T$282,"REQUIREMENTS &gt; Software Requirements Tools")+COUNTIFS('Prácticas_Snowballing'!$AB$2:$AB$281,"T069",'Prácticas_Snowballing'!$AC$2:$AC$281,"REQUIREMENTS &gt; Software Requirements Tools")</f>
        <v>0</v>
      </c>
      <c r="K81" s="17">
        <f>COUNTIFS('Prácticas_Revisiones'!$S$2:$S$282,"T069",'Prácticas_Revisiones'!$T$2:$T$282,"REQUIREMENTS &gt; Subárea no determinable")+COUNTIFS('Prácticas_Snowballing'!$AB$2:$AB$281,"T069",'Prácticas_Snowballing'!$AC$2:$AC$281,"REQUIREMENTS &gt; Subárea no determinable")</f>
        <v>0</v>
      </c>
      <c r="L81" s="29">
        <f t="shared" si="52"/>
        <v>0</v>
      </c>
      <c r="M81" s="17">
        <f>COUNTIFS('Prácticas_Revisiones'!$S$2:$S$282,"T069",'Prácticas_Revisiones'!$T$2:$T$282,"ARCHITECTURE &gt; Software Architecture Fundamentals")+COUNTIFS('Prácticas_Snowballing'!$AB$2:$AB$281,"T069",'Prácticas_Snowballing'!$AC$2:$AC$281,"ARCHITECTURE &gt; Software Architecture Fundamentals")</f>
        <v>0</v>
      </c>
      <c r="N81" s="17">
        <f>COUNTIFS('Prácticas_Revisiones'!$S$2:$S$282,"T069",'Prácticas_Revisiones'!$T$2:$T$282,"ARCHITECTURE &gt; Software Architecture Description")+COUNTIFS('Prácticas_Snowballing'!$AB$2:$AB$281,"T069",'Prácticas_Snowballing'!$AC$2:$AC$281,"ARCHITECTURE &gt; Software Architecture Description")</f>
        <v>0</v>
      </c>
      <c r="O81" s="17">
        <f>COUNTIFS('Prácticas_Revisiones'!$S$2:$S$282,"T069",'Prácticas_Revisiones'!$T$2:$T$282,"ARCHITECTURE &gt; Software Architecture Process")+COUNTIFS('Prácticas_Snowballing'!$AB$2:$AB$281,"T069",'Prácticas_Snowballing'!$AC$2:$AC$281,"ARCHITECTURE &gt; Software Architecture Process")</f>
        <v>0</v>
      </c>
      <c r="P81" s="17">
        <f>COUNTIFS('Prácticas_Revisiones'!$S$2:$S$282,"T069",'Prácticas_Revisiones'!$T$2:$T$282,"ARCHITECTURE &gt; Software Architecture Evaluation")+COUNTIFS('Prácticas_Snowballing'!$AB$2:$AB$281,"T069",'Prácticas_Snowballing'!$AC$2:$AC$281,"ARCHITECTURE &gt; Software Architecture Evaluation")</f>
        <v>0</v>
      </c>
      <c r="Q81" s="17">
        <f>COUNTIFS('Prácticas_Revisiones'!$S$2:$S$282,"T069",'Prácticas_Revisiones'!$T$2:$T$282,"ARCHITECTURE &gt; Subárea no determinable")+COUNTIFS('Prácticas_Snowballing'!$AB$2:$AB$281,"T069",'Prácticas_Snowballing'!$AC$2:$AC$281,"ARCHITECTURE &gt; Subárea no determinable")</f>
        <v>0</v>
      </c>
      <c r="R81" s="29">
        <f t="shared" si="53"/>
        <v>0</v>
      </c>
      <c r="S81" s="17">
        <f>COUNTIFS('Prácticas_Revisiones'!$S$2:$S$282,"T069",'Prácticas_Revisiones'!$T$2:$T$282,"DESIGN &gt; Software Design Fundamentals")+COUNTIFS('Prácticas_Snowballing'!$AB$2:$AB$281,"T069",'Prácticas_Snowballing'!$AC$2:$AC$281,"DESIGN &gt; Software Design Fundamentals")</f>
        <v>0</v>
      </c>
      <c r="T81" s="17">
        <f>COUNTIFS('Prácticas_Revisiones'!$S$2:$S$282,"T069",'Prácticas_Revisiones'!$T$2:$T$282,"DESIGN &gt; Software Design Processes")+COUNTIFS('Prácticas_Snowballing'!$AB$2:$AB$281,"T069",'Prácticas_Snowballing'!$AC$2:$AC$281,"DESIGN &gt; Software Design Processes")</f>
        <v>0</v>
      </c>
      <c r="U81" s="17">
        <f>COUNTIFS('Prácticas_Revisiones'!$S$2:$S$282,"T069",'Prácticas_Revisiones'!$T$2:$T$282,"DESIGN &gt; Software Design Qualities")+COUNTIFS('Prácticas_Snowballing'!$AB$2:$AB$281,"T069",'Prácticas_Snowballing'!$AC$2:$AC$281,"DESIGN &gt; Software Design Qualities")</f>
        <v>0</v>
      </c>
      <c r="V81" s="17">
        <f>COUNTIFS('Prácticas_Revisiones'!$S$2:$S$282,"T069",'Prácticas_Revisiones'!$T$2:$T$282,"DESIGN &gt; Recording Software Design")+COUNTIFS('Prácticas_Snowballing'!$AB$2:$AB$281,"T069",'Prácticas_Snowballing'!$AC$2:$AC$281,"DESIGN &gt; Recording Software Design")</f>
        <v>0</v>
      </c>
      <c r="W81" s="17">
        <f>COUNTIFS('Prácticas_Revisiones'!$S$2:$S$282,"T069",'Prácticas_Revisiones'!$T$2:$T$282,"DESIGN &gt; Software Design Strategies and Methods")+COUNTIFS('Prácticas_Snowballing'!$AB$2:$AB$281,"T069",'Prácticas_Snowballing'!$AC$2:$AC$281,"DESIGN &gt; Software Design Strategies and Methods")</f>
        <v>0</v>
      </c>
      <c r="X81" s="17">
        <f>COUNTIFS('Prácticas_Revisiones'!$S$2:$S$282,"T069",'Prácticas_Revisiones'!$T$2:$T$282,"DESIGN &gt; Software Design Analysis and Evaluations")+COUNTIFS('Prácticas_Snowballing'!$AB$2:$AB$281,"T069",'Prácticas_Snowballing'!$AC$2:$AC$281,"DESIGN &gt; Software Design Analysis and Evaluations")</f>
        <v>0</v>
      </c>
      <c r="Y81" s="17">
        <f>COUNTIFS('Prácticas_Revisiones'!$S$2:$S$282,"T069",'Prácticas_Revisiones'!$T$2:$T$282,"DESIGN &gt; Subárea no determinable")+COUNTIFS('Prácticas_Snowballing'!$AB$2:$AB$281,"T069",'Prácticas_Snowballing'!$AC$2:$AC$281,"DESIGN &gt; Subárea no determinable")</f>
        <v>0</v>
      </c>
      <c r="Z81" s="29">
        <f t="shared" si="54"/>
        <v>0</v>
      </c>
      <c r="AA81" s="17">
        <f>COUNTIFS('Prácticas_Revisiones'!$S$2:$S$282,"T069",'Prácticas_Revisiones'!$T$2:$T$282,"CONSTRUCTION &gt; Software Construction Fundamentals")+COUNTIFS('Prácticas_Snowballing'!$AB$2:$AB$281,"T069",'Prácticas_Snowballing'!$AC$2:$AC$281,"CONSTRUCTION &gt; Software Construction Fundamentals")</f>
        <v>0</v>
      </c>
      <c r="AB81" s="17">
        <f>COUNTIFS('Prácticas_Revisiones'!$S$2:$S$282,"T069",'Prácticas_Revisiones'!$T$2:$T$282,"CONSTRUCTION &gt; Managing Construction")+COUNTIFS('Prácticas_Snowballing'!$AB$2:$AB$281,"T069",'Prácticas_Snowballing'!$AC$2:$AC$281,"CONSTRUCTION &gt; Managing Construction")</f>
        <v>0</v>
      </c>
      <c r="AC81" s="17">
        <f>COUNTIFS('Prácticas_Revisiones'!$S$2:$S$282,"T069",'Prácticas_Revisiones'!$T$2:$T$282,"CONSTRUCTION &gt; Practical Considerations")+COUNTIFS('Prácticas_Snowballing'!$AB$2:$AB$281,"T069",'Prácticas_Snowballing'!$AC$2:$AC$281,"CONSTRUCTION &gt; Practical Considerations")</f>
        <v>0</v>
      </c>
      <c r="AD81" s="17">
        <f>COUNTIFS('Prácticas_Revisiones'!$S$2:$S$282,"T069",'Prácticas_Revisiones'!$T$2:$T$282,"CONSTRUCTION &gt; Construction Technologies")+COUNTIFS('Prácticas_Snowballing'!$AB$2:$AB$281,"T069",'Prácticas_Snowballing'!$AC$2:$AC$281,"CONSTRUCTION &gt; Construction Technologies")</f>
        <v>0</v>
      </c>
      <c r="AE81" s="17">
        <f>COUNTIFS('Prácticas_Revisiones'!$S$2:$S$282,"T069",'Prácticas_Revisiones'!$T$2:$T$282,"CONSTRUCTION &gt; Software Construction Tools")+COUNTIFS('Prácticas_Snowballing'!$AB$2:$AB$281,"T069",'Prácticas_Snowballing'!$AC$2:$AC$281,"CONSTRUCTION &gt; Software Construction Tools")</f>
        <v>0</v>
      </c>
      <c r="AF81" s="17">
        <f>COUNTIFS('Prácticas_Revisiones'!$S$2:$S$282,"T069",'Prácticas_Revisiones'!$T$2:$T$282,"CONSTRUCTION &gt; Subárea no determinable")+COUNTIFS('Prácticas_Snowballing'!$AB$2:$AB$281,"T069",'Prácticas_Snowballing'!$AC$2:$AC$281,"CONSTRUCTION &gt; Subárea no determinable")</f>
        <v>0</v>
      </c>
      <c r="AG81" s="29">
        <f t="shared" si="55"/>
        <v>0</v>
      </c>
      <c r="AH81" s="17">
        <f>COUNTIFS('Prácticas_Revisiones'!$S$2:$S$282,"T069",'Prácticas_Revisiones'!$T$2:$T$282,"SOFTWARE TESTING &gt; Software Testing Fundamentals")+COUNTIFS('Prácticas_Snowballing'!$AB$2:$AB$281,"T069",'Prácticas_Snowballing'!$AC$2:$AC$281,"SOFTWARE TESTING &gt; Software Testing Fundamentals")</f>
        <v>0</v>
      </c>
      <c r="AI81" s="17">
        <f>COUNTIFS('Prácticas_Revisiones'!$S$2:$S$282,"T069",'Prácticas_Revisiones'!$T$2:$T$282,"SOFTWARE TESTING &gt; Test Levels")+COUNTIFS('Prácticas_Snowballing'!$AB$2:$AB$281,"T069",'Prácticas_Snowballing'!$AC$2:$AC$281,"SOFTWARE TESTING &gt; Test Levels")</f>
        <v>0</v>
      </c>
      <c r="AJ81" s="17">
        <f>COUNTIFS('Prácticas_Revisiones'!$S$2:$S$282,"T069",'Prácticas_Revisiones'!$T$2:$T$282,"SOFTWARE TESTING &gt; Test Techniques")+COUNTIFS('Prácticas_Snowballing'!$AB$2:$AB$281,"T069",'Prácticas_Snowballing'!$AC$2:$AC$281,"SOFTWARE TESTING &gt; Test Techniques")</f>
        <v>0</v>
      </c>
      <c r="AK81" s="17">
        <f>COUNTIFS('Prácticas_Revisiones'!$S$2:$S$282,"T069",'Prácticas_Revisiones'!$T$2:$T$282,"SOFTWARE TESTING &gt; Test-Related Measures")+COUNTIFS('Prácticas_Snowballing'!$AB$2:$AB$281,"T069",'Prácticas_Snowballing'!$AC$2:$AC$281,"SOFTWARE TESTING &gt; Test-Related Measures")</f>
        <v>0</v>
      </c>
      <c r="AL81" s="17">
        <f>COUNTIFS('Prácticas_Revisiones'!$S$2:$S$282,"T069",'Prácticas_Revisiones'!$T$2:$T$282,"SOFTWARE TESTING &gt; Test Process")+COUNTIFS('Prácticas_Snowballing'!$AB$2:$AB$281,"T069",'Prácticas_Snowballing'!$AC$2:$AC$281,"SOFTWARE TESTING &gt; Test Process")</f>
        <v>0</v>
      </c>
      <c r="AM81" s="17">
        <f>COUNTIFS('Prácticas_Revisiones'!$S$2:$S$282,"T069",'Prácticas_Revisiones'!$T$2:$T$282,"SOFTWARE TESTING &gt; Software Testing in the Development Processes...")+COUNTIFS('Prácticas_Snowballing'!$AB$2:$AB$281,"T069",'Prácticas_Snowballing'!$AC$2:$AC$281,"SOFTWARE TESTING &gt; Software Testing in the Development Processes...")</f>
        <v>0</v>
      </c>
      <c r="AN81" s="17">
        <f>COUNTIFS('Prácticas_Revisiones'!$S$2:$S$282,"T069",'Prácticas_Revisiones'!$T$2:$T$282,"SOFTWARE TESTING &gt; Testing of and Testing Through Emerging Tech...")+COUNTIFS('Prácticas_Snowballing'!$AB$2:$AB$281,"T069",'Prácticas_Snowballing'!$AC$2:$AC$281,"SOFTWARE TESTING &gt; Testing of and Testing Through Emerging Tech...")</f>
        <v>0</v>
      </c>
      <c r="AO81" s="17">
        <f>COUNTIFS('Prácticas_Revisiones'!$S$2:$S$282,"T069",'Prácticas_Revisiones'!$T$2:$T$282,"SOFTWARE TESTING &gt; Software Testing Tools")+COUNTIFS('Prácticas_Snowballing'!$AB$2:$AB$281,"T069",'Prácticas_Snowballing'!$AC$2:$AC$281,"SOFTWARE TESTING &gt; Software Testing Tools")</f>
        <v>0</v>
      </c>
      <c r="AP81" s="17">
        <f>COUNTIFS('Prácticas_Revisiones'!$S$2:$S$282,"T069",'Prácticas_Revisiones'!$T$2:$T$282,"SOFTWARE TESTING &gt; Subárea no determinable")+COUNTIFS('Prácticas_Snowballing'!$AB$2:$AB$281,"T069",'Prácticas_Snowballing'!$AC$2:$AC$281,"SOFTWARE TESTING &gt; Subárea no determinable")</f>
        <v>0</v>
      </c>
      <c r="AQ81" s="29">
        <f t="shared" si="56"/>
        <v>0</v>
      </c>
      <c r="AR81" s="17">
        <f>COUNTIFS('Prácticas_Revisiones'!$S$2:$S$282,"T069",'Prácticas_Revisiones'!$T$2:$T$282,"SOFTWARE ENG. OPERATIONS &gt; Software Engineering Operations Fundamentals")+COUNTIFS('Prácticas_Snowballing'!$AB$2:$AB$281,"T069",'Prácticas_Snowballing'!$AC$2:$AC$281,"SOFTWARE ENG. OPERATIONS &gt; Software Engineering Operations Fundamentals")</f>
        <v>0</v>
      </c>
      <c r="AS81" s="17">
        <f>COUNTIFS('Prácticas_Revisiones'!$S$2:$S$282,"T069",'Prácticas_Revisiones'!$T$2:$T$282,"SOFTWARE ENG. OPERATIONS &gt; Software Engineering Operations Planning")+COUNTIFS('Prácticas_Snowballing'!$AB$2:$AB$281,"T069",'Prácticas_Snowballing'!$AC$2:$AC$281,"SOFTWARE ENG. OPERATIONS &gt; Software Engineering Operations Planning")</f>
        <v>0</v>
      </c>
      <c r="AT81" s="17">
        <f>COUNTIFS('Prácticas_Revisiones'!$S$2:$S$282,"T069",'Prácticas_Revisiones'!$T$2:$T$282,"SOFTWARE ENG. OPERATIONS &gt; Software Engineering Operations Delivery")+COUNTIFS('Prácticas_Snowballing'!$AB$2:$AB$281,"T069",'Prácticas_Snowballing'!$AC$2:$AC$281,"SOFTWARE ENG. OPERATIONS &gt; Software Engineering Operations Delivery")</f>
        <v>0</v>
      </c>
      <c r="AU81" s="17">
        <f>COUNTIFS('Prácticas_Revisiones'!$S$2:$S$282,"T069",'Prácticas_Revisiones'!$T$2:$T$282,"SOFTWARE ENG. OPERATIONS &gt; Software Engineering Operations Control")+COUNTIFS('Prácticas_Snowballing'!$AB$2:$AB$281,"T069",'Prácticas_Snowballing'!$AC$2:$AC$281,"SOFTWARE ENG. OPERATIONS &gt; Software Engineering Operations Control")</f>
        <v>0</v>
      </c>
      <c r="AV81" s="17">
        <f>COUNTIFS('Prácticas_Revisiones'!$S$2:$S$282,"T069",'Prácticas_Revisiones'!$T$2:$T$282,"SOFTWARE ENG. OPERATIONS &gt; Practical Considerations")+COUNTIFS('Prácticas_Snowballing'!$AB$2:$AB$281,"T069",'Prácticas_Snowballing'!$AC$2:$AC$281,"SOFTWARE ENG. OPERATIONS &gt; Practical Considerations")</f>
        <v>0</v>
      </c>
      <c r="AW81" s="17">
        <f>COUNTIFS('Prácticas_Revisiones'!$S$2:$S$282,"T069",'Prácticas_Revisiones'!$T$2:$T$282,"SOFTWARE ENG. OPERATIONS &gt; Software Engineering Operations Tools")+COUNTIFS('Prácticas_Snowballing'!$AB$2:$AB$281,"T069",'Prácticas_Snowballing'!$AC$2:$AC$281,"SOFTWARE ENG. OPERATIONS &gt; Software Engineering Operations Tools")</f>
        <v>0</v>
      </c>
      <c r="AX81" s="17">
        <f>COUNTIFS('Prácticas_Revisiones'!$S$2:$S$282,"T069",'Prácticas_Revisiones'!$T$2:$T$282,"SOFTWARE ENG. OPERATIONS &gt; Subárea no determinable")+COUNTIFS('Prácticas_Snowballing'!$AB$2:$AB$281,"T069",'Prácticas_Snowballing'!$AC$2:$AC$281,"SOFTWARE ENG. OPERATIONS &gt; Subárea no determinable")</f>
        <v>0</v>
      </c>
      <c r="AY81" s="29">
        <f t="shared" si="57"/>
        <v>0</v>
      </c>
      <c r="AZ81" s="17">
        <f>COUNTIFS('Prácticas_Revisiones'!$S$2:$S$282,"T069",'Prácticas_Revisiones'!$T$2:$T$282,"MAINTENANCE &gt; Software Maintenance Fundamentals")+COUNTIFS('Prácticas_Snowballing'!$AB$2:$AB$281,"T069",'Prácticas_Snowballing'!$AC$2:$AC$281,"MAINTENANCE &gt; Software Maintenance Fundamentals")</f>
        <v>0</v>
      </c>
      <c r="BA81" s="17">
        <f>COUNTIFS('Prácticas_Revisiones'!$S$2:$S$282,"T069",'Prácticas_Revisiones'!$T$2:$T$282,"MAINTENANCE &gt; Key Issues in Software Maintenance")+COUNTIFS('Prácticas_Snowballing'!$AB$2:$AB$281,"T069",'Prácticas_Snowballing'!$AC$2:$AC$281,"MAINTENANCE &gt; Key Issues in Software Maintenance")</f>
        <v>0</v>
      </c>
      <c r="BB81" s="17">
        <f>COUNTIFS('Prácticas_Revisiones'!$S$2:$S$282,"T069",'Prácticas_Revisiones'!$T$2:$T$282,"MAINTENANCE &gt; Software Maintenance Processes")+COUNTIFS('Prácticas_Snowballing'!$AB$2:$AB$281,"T069",'Prácticas_Snowballing'!$AC$2:$AC$281,"MAINTENANCE &gt; Software Maintenance Processes")</f>
        <v>0</v>
      </c>
      <c r="BC81" s="17">
        <f>COUNTIFS('Prácticas_Revisiones'!$S$2:$S$282,"T069",'Prácticas_Revisiones'!$T$2:$T$282,"MAINTENANCE &gt; Software Maintenance Techniques")+COUNTIFS('Prácticas_Snowballing'!$AB$2:$AB$281,"T069",'Prácticas_Snowballing'!$AC$2:$AC$281,"MAINTENANCE &gt; Software Maintenance Techniques")</f>
        <v>0</v>
      </c>
      <c r="BD81" s="17">
        <f>COUNTIFS('Prácticas_Revisiones'!$S$2:$S$282,"T069",'Prácticas_Revisiones'!$T$2:$T$282,"MAINTENANCE &gt; Software Maintenance Tools")+COUNTIFS('Prácticas_Snowballing'!$AB$2:$AB$281,"T069",'Prácticas_Snowballing'!$AC$2:$AC$281,"MAINTENANCE &gt; Software Maintenance Tools")</f>
        <v>0</v>
      </c>
      <c r="BE81" s="17">
        <f>COUNTIFS('Prácticas_Revisiones'!$S$2:$S$282,"T069",'Prácticas_Revisiones'!$T$2:$T$282,"MAINTENANCE &gt; Subárea no determinable")+COUNTIFS('Prácticas_Snowballing'!$AB$2:$AB$281,"T069",'Prácticas_Snowballing'!$AC$2:$AC$281,"MAINTENANCE &gt; Subárea no determinable")</f>
        <v>0</v>
      </c>
      <c r="BF81" s="29">
        <f t="shared" si="58"/>
        <v>0</v>
      </c>
      <c r="BG81" s="17">
        <f>COUNTIFS('Prácticas_Revisiones'!$S$2:$S$282,"T069",'Prácticas_Revisiones'!$T$2:$T$282,"SOFTWARE CONFIG. MGMT. &gt; Management of the SCM Process")+COUNTIFS('Prácticas_Snowballing'!$AB$2:$AB$281,"T069",'Prácticas_Snowballing'!$AC$2:$AC$281,"SOFTWARE CONFIG. MGMT. &gt; Management of the SCM Process")</f>
        <v>0</v>
      </c>
      <c r="BH81" s="17">
        <f>COUNTIFS('Prácticas_Revisiones'!$S$2:$S$282,"T069",'Prácticas_Revisiones'!$T$2:$T$282,"SOFTWARE CONFIG. MGMT. &gt; Software Configuration Identification")+COUNTIFS('Prácticas_Snowballing'!$AB$2:$AB$281,"T069",'Prácticas_Snowballing'!$AC$2:$AC$281,"SOFTWARE CONFIG. MGMT. &gt; Software Configuration Identification")</f>
        <v>0</v>
      </c>
      <c r="BI81" s="17">
        <f>COUNTIFS('Prácticas_Revisiones'!$S$2:$S$282,"T069",'Prácticas_Revisiones'!$T$2:$T$282,"SOFTWARE CONFIG. MGMT. &gt; Software Configuration Change Control")+COUNTIFS('Prácticas_Snowballing'!$AB$2:$AB$281,"T069",'Prácticas_Snowballing'!$AC$2:$AC$281,"SOFTWARE CONFIG. MGMT. &gt; Software Configuration Change Control")</f>
        <v>0</v>
      </c>
      <c r="BJ81" s="17">
        <f>COUNTIFS('Prácticas_Revisiones'!$S$2:$S$282,"T069",'Prácticas_Revisiones'!$T$2:$T$282,"SOFTWARE CONFIG. MGMT. &gt; Software Configuration Status Accounting")+COUNTIFS('Prácticas_Snowballing'!$AB$2:$AB$281,"T069",'Prácticas_Snowballing'!$AC$2:$AC$281,"SOFTWARE CONFIG. MGMT. &gt; Software Configuration Status Accounting")</f>
        <v>0</v>
      </c>
      <c r="BK81" s="17">
        <f>COUNTIFS('Prácticas_Revisiones'!$S$2:$S$282,"T069",'Prácticas_Revisiones'!$T$2:$T$282,"SOFTWARE CONFIG. MGMT. &gt; Software Configuration Auditing")+COUNTIFS('Prácticas_Snowballing'!$AB$2:$AB$281,"T069",'Prácticas_Snowballing'!$AC$2:$AC$281,"SOFTWARE CONFIG. MGMT. &gt; Software Configuration Auditing")</f>
        <v>0</v>
      </c>
      <c r="BL81" s="17">
        <f>COUNTIFS('Prácticas_Revisiones'!$S$2:$S$282,"T069",'Prácticas_Revisiones'!$T$2:$T$282,"SOFTWARE CONFIG. MGMT. &gt; Software Release Management and Delivery")+COUNTIFS('Prácticas_Snowballing'!$AB$2:$AB$281,"T069",'Prácticas_Snowballing'!$AC$2:$AC$281,"SOFTWARE CONFIG. MGMT. &gt; Software Release Management and Delivery")</f>
        <v>0</v>
      </c>
      <c r="BM81" s="17">
        <f>COUNTIFS('Prácticas_Revisiones'!$S$2:$S$282,"T069",'Prácticas_Revisiones'!$T$2:$T$282,"SOFTWARE CONFIG. MGMT. &gt; Software Configuration Management Tools")+COUNTIFS('Prácticas_Snowballing'!$AB$2:$AB$281,"T069",'Prácticas_Snowballing'!$AC$2:$AC$281,"SOFTWARE CONFIG. MGMT. &gt; Software Configuration Management Tools")</f>
        <v>0</v>
      </c>
      <c r="BN81" s="17">
        <f>COUNTIFS('Prácticas_Revisiones'!$S$2:$S$282,"T069",'Prácticas_Revisiones'!$T$2:$T$282,"SOFTWARE CONFIG. MGMT. &gt; Subárea no determinable")+COUNTIFS('Prácticas_Snowballing'!$AB$2:$AB$281,"T069",'Prácticas_Snowballing'!$AC$2:$AC$281,"SOFTWARE CONFIG. MGMT. &gt; Subárea no determinable")</f>
        <v>0</v>
      </c>
      <c r="BO81" s="29">
        <f t="shared" si="59"/>
        <v>0</v>
      </c>
      <c r="BP81" s="17">
        <f>COUNTIFS('Prácticas_Revisiones'!$S$2:$S$282,"T069",'Prácticas_Revisiones'!$T$2:$T$282,"SOFTWARE ENG. PROCESS &gt; Software Engineering Process Fundamentals")+COUNTIFS('Prácticas_Snowballing'!$AB$2:$AB$281,"T069",'Prácticas_Snowballing'!$AC$2:$AC$281,"SOFTWARE ENG. PROCESS &gt; Software Engineering Process Fundamentals")</f>
        <v>0</v>
      </c>
      <c r="BQ81" s="17">
        <f>COUNTIFS('Prácticas_Revisiones'!$S$2:$S$282,"T069",'Prácticas_Revisiones'!$T$2:$T$282,"SOFTWARE ENG. PROCESS &gt; Life Cycles")+COUNTIFS('Prácticas_Snowballing'!$AB$2:$AB$281,"T069",'Prácticas_Snowballing'!$AC$2:$AC$281,"SOFTWARE ENG. PROCESS &gt; Life Cycles")</f>
        <v>0</v>
      </c>
      <c r="BR81" s="17">
        <f>COUNTIFS('Prácticas_Revisiones'!$S$2:$S$282,"T069",'Prácticas_Revisiones'!$T$2:$T$282,"SOFTWARE ENG. PROCESS &gt; Software Process Assessment and Improvement")+COUNTIFS('Prácticas_Snowballing'!$AB$2:$AB$281,"T069",'Prácticas_Snowballing'!$AC$2:$AC$281,"SOFTWARE ENG. PROCESS &gt; Software Process Assessment and Improvement")</f>
        <v>0</v>
      </c>
      <c r="BS81" s="17">
        <f>COUNTIFS('Prácticas_Revisiones'!$S$2:$S$282,"T069",'Prácticas_Revisiones'!$T$2:$T$282,"SOFTWARE ENG. PROCESS &gt; Subárea no determinable")+COUNTIFS('Prácticas_Snowballing'!$AB$2:$AB$281,"T069",'Prácticas_Snowballing'!$AC$2:$AC$281,"SOFTWARE ENG. PROCESS &gt; Subárea no determinable")</f>
        <v>0</v>
      </c>
      <c r="BT81" s="29">
        <f t="shared" si="60"/>
        <v>0</v>
      </c>
      <c r="BU81" s="17">
        <f>COUNTIFS('Prácticas_Revisiones'!$S$2:$S$282,"T069",'Prácticas_Revisiones'!$T$2:$T$282,"SOFTWARE ENG. MODELS/METH. &gt; Modeling")+COUNTIFS('Prácticas_Snowballing'!$AB$2:$AB$281,"T069",'Prácticas_Snowballing'!$AC$2:$AC$281,"SOFTWARE ENG. MODELS/METH. &gt; Modeling")</f>
        <v>0</v>
      </c>
      <c r="BV81" s="17">
        <f>COUNTIFS('Prácticas_Revisiones'!$S$2:$S$282,"T069",'Prácticas_Revisiones'!$T$2:$T$282,"SOFTWARE ENG. MODELS/METH. &gt; Types of Models")+COUNTIFS('Prácticas_Snowballing'!$AB$2:$AB$281,"T069",'Prácticas_Snowballing'!$AC$2:$AC$281,"SOFTWARE ENG. MODELS/METH. &gt; Types of Models")</f>
        <v>0</v>
      </c>
      <c r="BW81" s="17">
        <f>COUNTIFS('Prácticas_Revisiones'!$S$2:$S$282,"T069",'Prácticas_Revisiones'!$T$2:$T$282,"SOFTWARE ENG. MODELS/METH. &gt; Analysis of Models")+COUNTIFS('Prácticas_Snowballing'!$AB$2:$AB$281,"T069",'Prácticas_Snowballing'!$AC$2:$AC$281,"SOFTWARE ENG. MODELS/METH. &gt; Analysis of Models")</f>
        <v>0</v>
      </c>
      <c r="BX81" s="17">
        <f>COUNTIFS('Prácticas_Revisiones'!$S$2:$S$282,"T069",'Prácticas_Revisiones'!$T$2:$T$282,"SOFTWARE ENG. MODELS/METH. &gt; Software Engineering Methods")+COUNTIFS('Prácticas_Snowballing'!$AB$2:$AB$281,"T069",'Prácticas_Snowballing'!$AC$2:$AC$281,"SOFTWARE ENG. MODELS/METH. &gt; Software Engineering Methods")</f>
        <v>0</v>
      </c>
      <c r="BY81" s="17">
        <f>COUNTIFS('Prácticas_Revisiones'!$S$2:$S$282,"T069",'Prácticas_Revisiones'!$T$2:$T$282,"SOFTWARE ENG. MODELS/METH. &gt; Subárea no determinable")+COUNTIFS('Prácticas_Snowballing'!$AB$2:$AB$281,"T069",'Prácticas_Snowballing'!$AC$2:$AC$281,"SOFTWARE ENG. MODELS/METH. &gt; Subárea no determinable")</f>
        <v>0</v>
      </c>
      <c r="BZ81" s="29">
        <f t="shared" si="61"/>
        <v>0</v>
      </c>
      <c r="CA81" s="17">
        <f>COUNTIFS('Prácticas_Revisiones'!$S$2:$S$282,"T069",'Prácticas_Revisiones'!$T$2:$T$282,"SOFTWARE QUALITY &gt; Software Quality Fundamentals")+COUNTIFS('Prácticas_Snowballing'!$AB$2:$AB$281,"T069",'Prácticas_Snowballing'!$AC$2:$AC$281,"SOFTWARE QUALITY &gt; Software Quality Fundamentals")</f>
        <v>0</v>
      </c>
      <c r="CB81" s="17">
        <f>COUNTIFS('Prácticas_Revisiones'!$S$2:$S$282,"T069",'Prácticas_Revisiones'!$T$2:$T$282,"SOFTWARE QUALITY &gt; Software Quality Management Process")+COUNTIFS('Prácticas_Snowballing'!$AB$2:$AB$281,"T069",'Prácticas_Snowballing'!$AC$2:$AC$281,"SOFTWARE QUALITY &gt; Software Quality Management Process")</f>
        <v>0</v>
      </c>
      <c r="CC81" s="17">
        <f>COUNTIFS('Prácticas_Revisiones'!$S$2:$S$282,"T069",'Prácticas_Revisiones'!$T$2:$T$282,"SOFTWARE QUALITY &gt; Software Quality Assurance Process")+COUNTIFS('Prácticas_Snowballing'!$AB$2:$AB$281,"T069",'Prácticas_Snowballing'!$AC$2:$AC$281,"SOFTWARE QUALITY &gt; Software Quality Assurance Process")</f>
        <v>0</v>
      </c>
      <c r="CD81" s="17">
        <f>COUNTIFS('Prácticas_Revisiones'!$S$2:$S$282,"T069",'Prácticas_Revisiones'!$T$2:$T$282,"SOFTWARE QUALITY &gt; Software Quality Tools")+COUNTIFS('Prácticas_Snowballing'!$AB$2:$AB$281,"T069",'Prácticas_Snowballing'!$AC$2:$AC$281,"SOFTWARE QUALITY &gt; Software Quality Tools")</f>
        <v>0</v>
      </c>
      <c r="CE81" s="17">
        <f>COUNTIFS('Prácticas_Revisiones'!$S$2:$S$282,"T069",'Prácticas_Revisiones'!$T$2:$T$282,"SOFTWARE QUALITY &gt; Subárea no determinable")+COUNTIFS('Prácticas_Snowballing'!$AB$2:$AB$281,"T069",'Prácticas_Snowballing'!$AC$2:$AC$281,"SOFTWARE QUALITY &gt; Subárea no determinable")</f>
        <v>0</v>
      </c>
      <c r="CF81" s="29">
        <f t="shared" si="62"/>
        <v>0</v>
      </c>
      <c r="CG81" s="17">
        <f>COUNTIFS('Prácticas_Revisiones'!$S$2:$S$282,"T069",'Prácticas_Revisiones'!$T$2:$T$282,"SOFTWARE SECURITY &gt; Software Security Fundamentals")+COUNTIFS('Prácticas_Snowballing'!$AB$2:$AB$281,"T069",'Prácticas_Snowballing'!$AC$2:$AC$281,"SOFTWARE SECURITY &gt; Software Security Fundamentals")</f>
        <v>0</v>
      </c>
      <c r="CH81" s="17">
        <f>COUNTIFS('Prácticas_Revisiones'!$S$2:$S$282,"T069",'Prácticas_Revisiones'!$T$2:$T$282,"SOFTWARE SECURITY &gt; Security Management and Organization")+COUNTIFS('Prácticas_Snowballing'!$AB$2:$AB$281,"T069",'Prácticas_Snowballing'!$AC$2:$AC$281,"SOFTWARE SECURITY &gt; Security Management and Organization")</f>
        <v>0</v>
      </c>
      <c r="CI81" s="17">
        <f>COUNTIFS('Prácticas_Revisiones'!$S$2:$S$282,"T069",'Prácticas_Revisiones'!$T$2:$T$282,"SOFTWARE SECURITY &gt; Software Security Engineering and Process")+COUNTIFS('Prácticas_Snowballing'!$AB$2:$AB$281,"T069",'Prácticas_Snowballing'!$AC$2:$AC$281,"SOFTWARE SECURITY &gt; Software Security Engineering and Process")</f>
        <v>0</v>
      </c>
      <c r="CJ81" s="17">
        <f>COUNTIFS('Prácticas_Revisiones'!$S$2:$S$282,"T069",'Prácticas_Revisiones'!$T$2:$T$282,"SOFTWARE SECURITY &gt; Security Engineering for Software Systems")+COUNTIFS('Prácticas_Snowballing'!$AB$2:$AB$281,"T069",'Prácticas_Snowballing'!$AC$2:$AC$281,"SOFTWARE SECURITY &gt; Security Engineering for Software Systems")</f>
        <v>0</v>
      </c>
      <c r="CK81" s="17">
        <f>COUNTIFS('Prácticas_Revisiones'!$S$2:$S$282,"T069",'Prácticas_Revisiones'!$T$2:$T$282,"SOFTWARE SECURITY &gt; Software Security Tools")+COUNTIFS('Prácticas_Snowballing'!$AB$2:$AB$281,"T069",'Prácticas_Snowballing'!$AC$2:$AC$281,"SOFTWARE SECURITY &gt; Software Security Tools")</f>
        <v>0</v>
      </c>
      <c r="CL81" s="17">
        <f>COUNTIFS('Prácticas_Revisiones'!$S$2:$S$282,"T069",'Prácticas_Revisiones'!$T$2:$T$282,"SOFTWARE SECURITY &gt; Domain Specific Software Security")+COUNTIFS('Prácticas_Snowballing'!$AB$2:$AB$281,"T069",'Prácticas_Snowballing'!$AC$2:$AC$281,"SOFTWARE SECURITY &gt; Domain Specific Software Security")</f>
        <v>0</v>
      </c>
      <c r="CM81" s="17">
        <f>COUNTIFS('Prácticas_Revisiones'!$S$2:$S$282,"T069",'Prácticas_Revisiones'!$T$2:$T$282,"SOFTWARE SECURITY &gt; Subárea no determinable")+COUNTIFS('Prácticas_Snowballing'!$AB$2:$AB$281,"T069",'Prácticas_Snowballing'!$AC$2:$AC$281,"SOFTWARE SECURITY &gt; Subárea no determinable")</f>
        <v>0</v>
      </c>
      <c r="CN81" s="29">
        <f t="shared" si="63"/>
        <v>0</v>
      </c>
      <c r="CO81" s="17">
        <f>COUNTIFS('Prácticas_Revisiones'!$S$2:$S$282,"T069",'Prácticas_Revisiones'!$T$2:$T$282,"PROFESSIONAL PRACTICE &gt; Professionalism")+COUNTIFS('Prácticas_Snowballing'!$AB$2:$AB$281,"T069",'Prácticas_Snowballing'!$AC$2:$AC$281,"PROFESSIONAL PRACTICE &gt; Professionalism")</f>
        <v>0</v>
      </c>
      <c r="CP81" s="17">
        <f>COUNTIFS('Prácticas_Revisiones'!$S$2:$S$282,"T069",'Prácticas_Revisiones'!$T$2:$T$282,"PROFESSIONAL PRACTICE &gt; Group Dynamics and Psychology")+COUNTIFS('Prácticas_Snowballing'!$AB$2:$AB$281,"T069",'Prácticas_Snowballing'!$AC$2:$AC$281,"PROFESSIONAL PRACTICE &gt; Group Dynamics and Psychology")</f>
        <v>0</v>
      </c>
      <c r="CQ81" s="17">
        <f>COUNTIFS('Prácticas_Revisiones'!$S$2:$S$282,"T069",'Prácticas_Revisiones'!$T$2:$T$282,"PROFESSIONAL PRACTICE &gt; Communication Skills")+COUNTIFS('Prácticas_Snowballing'!$AB$2:$AB$281,"T069",'Prácticas_Snowballing'!$AC$2:$AC$281,"PROFESSIONAL PRACTICE &gt; Communication Skills")</f>
        <v>0</v>
      </c>
      <c r="CR81" s="17">
        <f>COUNTIFS('Prácticas_Revisiones'!$S$2:$S$282,"T069",'Prácticas_Revisiones'!$T$2:$T$282,"PROFESSIONAL PRACTICE &gt; Subárea no determinable")+COUNTIFS('Prácticas_Snowballing'!$AB$2:$AB$281,"T069",'Prácticas_Snowballing'!$AC$2:$AC$281,"PROFESSIONAL PRACTICE &gt; Subárea no determinable")</f>
        <v>0</v>
      </c>
      <c r="CS81" s="29">
        <f t="shared" si="64"/>
        <v>0</v>
      </c>
      <c r="CT81" s="17">
        <f>COUNTIFS('Prácticas_Revisiones'!$S$2:$S$282,"T069",'Prácticas_Revisiones'!$T$2:$T$282,"SOFTWARE ENG. ECONOMICS &gt; Software Engineering Economics Fundamentals")+COUNTIFS('Prácticas_Snowballing'!$AB$2:$AB$281,"T069",'Prácticas_Snowballing'!$AC$2:$AC$281,"SOFTWARE ENG. ECONOMICS &gt; Software Engineering Economics Fundamentals")</f>
        <v>0</v>
      </c>
      <c r="CU81" s="17">
        <f>COUNTIFS('Prácticas_Revisiones'!$S$2:$S$282,"T069",'Prácticas_Revisiones'!$T$2:$T$282,"SOFTWARE ENG. ECONOMICS &gt; The Engineering Decision-Making Process")+COUNTIFS('Prácticas_Snowballing'!$AB$2:$AB$281,"T069",'Prácticas_Snowballing'!$AC$2:$AC$281,"SOFTWARE ENG. ECONOMICS &gt; The Engineering Decision-Making Process")</f>
        <v>0</v>
      </c>
      <c r="CV81" s="17">
        <f>COUNTIFS('Prácticas_Revisiones'!$S$2:$S$282,"T069",'Prácticas_Revisiones'!$T$2:$T$282,"SOFTWARE ENG. ECONOMICS &gt; For-Profit Decision-Making")+COUNTIFS('Prácticas_Snowballing'!$AB$2:$AB$281,"T069",'Prácticas_Snowballing'!$AC$2:$AC$281,"SOFTWARE ENG. ECONOMICS &gt; For-Profit Decision-Making")</f>
        <v>0</v>
      </c>
      <c r="CW81" s="17">
        <f>COUNTIFS('Prácticas_Revisiones'!$S$2:$S$282,"T069",'Prácticas_Revisiones'!$T$2:$T$282,"SOFTWARE ENG. ECONOMICS &gt; Nonprofit Decision-Making")+COUNTIFS('Prácticas_Snowballing'!$AB$2:$AB$281,"T069",'Prácticas_Snowballing'!$AC$2:$AC$281,"SOFTWARE ENG. ECONOMICS &gt; Nonprofit Decision-Making")</f>
        <v>0</v>
      </c>
      <c r="CX81" s="17">
        <f>COUNTIFS('Prácticas_Revisiones'!$S$2:$S$282,"T069",'Prácticas_Revisiones'!$T$2:$T$282,"SOFTWARE ENG. ECONOMICS &gt; Present Economy Decision-Making")+COUNTIFS('Prácticas_Snowballing'!$AB$2:$AB$281,"T069",'Prácticas_Snowballing'!$AC$2:$AC$281,"SOFTWARE ENG. ECONOMICS &gt; Present Economy Decision-Making")</f>
        <v>0</v>
      </c>
      <c r="CY81" s="17">
        <f>COUNTIFS('Prácticas_Revisiones'!$S$2:$S$282,"T069",'Prácticas_Revisiones'!$T$2:$T$282,"SOFTWARE ENG. ECONOMICS &gt; Multiple-Attribute Decision-Making")+COUNTIFS('Prácticas_Snowballing'!$AB$2:$AB$281,"T069",'Prácticas_Snowballing'!$AC$2:$AC$281,"SOFTWARE ENG. ECONOMICS &gt; Multiple-Attribute Decision-Making")</f>
        <v>0</v>
      </c>
      <c r="CZ81" s="17">
        <f>COUNTIFS('Prácticas_Revisiones'!$S$2:$S$282,"T069",'Prácticas_Revisiones'!$T$2:$T$282,"SOFTWARE ENG. ECONOMICS &gt; Identifying and Characterizing Intangible Assets")+COUNTIFS('Prácticas_Snowballing'!$AB$2:$AB$281,"T069",'Prácticas_Snowballing'!$AC$2:$AC$281,"SOFTWARE ENG. ECONOMICS &gt; Identifying and Characterizing Intangible Assets")</f>
        <v>0</v>
      </c>
      <c r="DA81" s="17">
        <f>COUNTIFS('Prácticas_Revisiones'!$S$2:$S$282,"T069",'Prácticas_Revisiones'!$T$2:$T$282,"SOFTWARE ENG. ECONOMICS &gt; Estimation")+COUNTIFS('Prácticas_Snowballing'!$AB$2:$AB$281,"T069",'Prácticas_Snowballing'!$AC$2:$AC$281,"SOFTWARE ENG. ECONOMICS &gt; Estimation")</f>
        <v>0</v>
      </c>
      <c r="DB81" s="17">
        <f>COUNTIFS('Prácticas_Revisiones'!$S$2:$S$282,"T069",'Prácticas_Revisiones'!$T$2:$T$282,"SOFTWARE ENG. ECONOMICS &gt; Practical Considerations")+COUNTIFS('Prácticas_Snowballing'!$AB$2:$AB$281,"T069",'Prácticas_Snowballing'!$AC$2:$AC$281,"SOFTWARE ENG. ECONOMICS &gt; Practical Considerations")</f>
        <v>0</v>
      </c>
      <c r="DC81" s="17">
        <f>COUNTIFS('Prácticas_Revisiones'!$S$2:$S$282,"T069",'Prácticas_Revisiones'!$T$2:$T$282,"SOFTWARE ENG. ECONOMICS &gt; Related Concepts")+COUNTIFS('Prácticas_Snowballing'!$AB$2:$AB$281,"T069",'Prácticas_Snowballing'!$AC$2:$AC$281,"SOFTWARE ENG. ECONOMICS &gt; Related Concepts")</f>
        <v>0</v>
      </c>
      <c r="DD81" s="17">
        <f>COUNTIFS('Prácticas_Revisiones'!$S$2:$S$282,"T069",'Prácticas_Revisiones'!$T$2:$T$282,"SOFTWARE ENG. ECONOMICS &gt; Subárea no determinable")+COUNTIFS('Prácticas_Snowballing'!$AB$2:$AB$281,"T069",'Prácticas_Snowballing'!$AC$2:$AC$281,"SOFTWARE ENG. ECONOMICS &gt; Subárea no determinable")</f>
        <v>0</v>
      </c>
      <c r="DE81" s="29">
        <f t="shared" si="65"/>
        <v>0</v>
      </c>
      <c r="DF81" s="17">
        <f>COUNTIFS('Prácticas_Revisiones'!$S$2:$S$282,"T069",'Prácticas_Revisiones'!$T$2:$T$282,"SOFTWARE ENG. MANAGEMENT &gt; Software Engineering Management Fundamentals")+COUNTIFS('Prácticas_Snowballing'!$AB$2:$AB$281,"T069",'Prácticas_Snowballing'!$AC$2:$AC$281,"SOFTWARE ENG. MANAGEMENT &gt; Software Engineering Management Fundamentals")</f>
        <v>0</v>
      </c>
      <c r="DG81" s="17">
        <f>COUNTIFS('Prácticas_Revisiones'!$S$2:$S$282,"T069",'Prácticas_Revisiones'!$T$2:$T$282,"SOFTWARE ENG. MANAGEMENT &gt; Initiation and Scope Definition")+COUNTIFS('Prácticas_Snowballing'!$AB$2:$AB$281,"T069",'Prácticas_Snowballing'!$AC$2:$AC$281,"SOFTWARE ENG. MANAGEMENT &gt; Initiation and Scope Definition")</f>
        <v>0</v>
      </c>
      <c r="DH81" s="17">
        <f>COUNTIFS('Prácticas_Revisiones'!$S$2:$S$282,"T069",'Prácticas_Revisiones'!$T$2:$T$282,"SOFTWARE ENG. MANAGEMENT &gt; Software Project Planning")+COUNTIFS('Prácticas_Snowballing'!$AB$2:$AB$281,"T069",'Prácticas_Snowballing'!$AC$2:$AC$281,"SOFTWARE ENG. MANAGEMENT &gt; Software Project Planning")</f>
        <v>0</v>
      </c>
      <c r="DI81" s="17">
        <f>COUNTIFS('Prácticas_Revisiones'!$S$2:$S$282,"T069",'Prácticas_Revisiones'!$T$2:$T$282,"SOFTWARE ENG. MANAGEMENT &gt; Software Project Enactment")+COUNTIFS('Prácticas_Snowballing'!$AB$2:$AB$281,"T069",'Prácticas_Snowballing'!$AC$2:$AC$281,"SOFTWARE ENG. MANAGEMENT &gt; Software Project Enactment")</f>
        <v>0</v>
      </c>
      <c r="DJ81" s="17">
        <f>COUNTIFS('Prácticas_Revisiones'!$S$2:$S$282,"T069",'Prácticas_Revisiones'!$T$2:$T$282,"SOFTWARE ENG. MANAGEMENT &gt; Review and Evaluation")+COUNTIFS('Prácticas_Snowballing'!$AB$2:$AB$281,"T069",'Prácticas_Snowballing'!$AC$2:$AC$281,"SOFTWARE ENG. MANAGEMENT &gt; Review and Evaluation")</f>
        <v>0</v>
      </c>
      <c r="DK81" s="17">
        <f>COUNTIFS('Prácticas_Revisiones'!$S$2:$S$282,"T069",'Prácticas_Revisiones'!$T$2:$T$282,"SOFTWARE ENG. MANAGEMENT &gt; Closure")+COUNTIFS('Prácticas_Snowballing'!$AB$2:$AB$281,"T069",'Prácticas_Snowballing'!$AC$2:$AC$281,"SOFTWARE ENG. MANAGEMENT &gt; Closure")</f>
        <v>0</v>
      </c>
      <c r="DL81" s="17">
        <f>COUNTIFS('Prácticas_Revisiones'!$S$2:$S$282,"T069",'Prácticas_Revisiones'!$T$2:$T$282,"SOFTWARE ENG. MANAGEMENT &gt; Software Engineering Management Tools")+COUNTIFS('Prácticas_Snowballing'!$AB$2:$AB$281,"T069",'Prácticas_Snowballing'!$AC$2:$AC$281,"SOFTWARE ENG. MANAGEMENT &gt; Software Engineering Management Tools")</f>
        <v>0</v>
      </c>
      <c r="DM81" s="17">
        <f>COUNTIFS('Prácticas_Revisiones'!$S$2:$S$282,"T069",'Prácticas_Revisiones'!$T$2:$T$282,"SOFTWARE ENG. MANAGEMENT &gt; Subárea no determinable")+COUNTIFS('Prácticas_Snowballing'!$AB$2:$AB$281,"T069",'Prácticas_Snowballing'!$AC$2:$AC$281,"SOFTWARE ENG. MANAGEMENT &gt; Subárea no determinable")</f>
        <v>0</v>
      </c>
      <c r="DN81" s="29">
        <f t="shared" si="66"/>
        <v>0</v>
      </c>
      <c r="DO81" s="17">
        <f>COUNTIFS('Prácticas_Revisiones'!$S$2:$S$282,"T069",'Prácticas_Revisiones'!$T$2:$T$282,"Sin área SWEBOK")+COUNTIFS('Prácticas_Snowballing'!$AB$2:$AB$281,"T069",'Prácticas_Snowballing'!$AC$2:$AC$281,"Sin área SWEBOK")</f>
        <v>0</v>
      </c>
      <c r="DP81" s="27">
        <f t="shared" si="67"/>
        <v>0</v>
      </c>
    </row>
    <row r="82" ht="15.75" customHeight="1">
      <c r="A82" s="28"/>
      <c r="B82" s="16" t="s">
        <v>2831</v>
      </c>
      <c r="C82" s="17">
        <f>COUNTIFS('Prácticas_Revisiones'!$S$2:$S$282,"T070",'Prácticas_Revisiones'!$T$2:$T$282,"REQUIREMENTS &gt; Software Requirements Fundamentals")+COUNTIFS('Prácticas_Snowballing'!$AB$2:$AB$281,"T070",'Prácticas_Snowballing'!$AC$2:$AC$281,"REQUIREMENTS &gt; Software Requirements Fundamentals")</f>
        <v>0</v>
      </c>
      <c r="D82" s="17">
        <f>COUNTIFS('Prácticas_Revisiones'!$S$2:$S$282,"T070",'Prácticas_Revisiones'!$T$2:$T$282,"REQUIREMENTS &gt; Requirements Elicitation")+COUNTIFS('Prácticas_Snowballing'!$AB$2:$AB$281,"T070",'Prácticas_Snowballing'!$AC$2:$AC$281,"REQUIREMENTS &gt; Requirements Elicitation")</f>
        <v>0</v>
      </c>
      <c r="E82" s="17">
        <f>COUNTIFS('Prácticas_Revisiones'!$S$2:$S$282,"T070",'Prácticas_Revisiones'!$T$2:$T$282,"REQUIREMENTS &gt; Requirements Analysis")+COUNTIFS('Prácticas_Snowballing'!$AB$2:$AB$281,"T070",'Prácticas_Snowballing'!$AC$2:$AC$281,"REQUIREMENTS &gt; Requirements Analysis")</f>
        <v>0</v>
      </c>
      <c r="F82" s="17">
        <f>COUNTIFS('Prácticas_Revisiones'!$S$2:$S$282,"T070",'Prácticas_Revisiones'!$T$2:$T$282,"REQUIREMENTS &gt; Requirements Specification")+COUNTIFS('Prácticas_Snowballing'!$AB$2:$AB$281,"T070",'Prácticas_Snowballing'!$AC$2:$AC$281,"REQUIREMENTS &gt; Requirements Specification")</f>
        <v>0</v>
      </c>
      <c r="G82" s="17">
        <f>COUNTIFS('Prácticas_Revisiones'!$S$2:$S$282,"T070",'Prácticas_Revisiones'!$T$2:$T$282,"REQUIREMENTS &gt; Requirements Validation")+COUNTIFS('Prácticas_Snowballing'!$AB$2:$AB$281,"T070",'Prácticas_Snowballing'!$AC$2:$AC$281,"REQUIREMENTS &gt; Requirements Validation")</f>
        <v>0</v>
      </c>
      <c r="H82" s="17">
        <f>COUNTIFS('Prácticas_Revisiones'!$S$2:$S$282,"T070",'Prácticas_Revisiones'!$T$2:$T$282,"REQUIREMENTS &gt; Requirements Management Activities")+COUNTIFS('Prácticas_Snowballing'!$AB$2:$AB$281,"T070",'Prácticas_Snowballing'!$AC$2:$AC$281,"REQUIREMENTS &gt; Requirements Management Activities")</f>
        <v>0</v>
      </c>
      <c r="I82" s="17">
        <f>COUNTIFS('Prácticas_Revisiones'!$S$2:$S$282,"T070",'Prácticas_Revisiones'!$T$2:$T$282,"REQUIREMENTS &gt; Practical Considerations")+COUNTIFS('Prácticas_Snowballing'!$AB$2:$AB$281,"T070",'Prácticas_Snowballing'!$AC$2:$AC$281,"REQUIREMENTS &gt; Practical Considerations")</f>
        <v>0</v>
      </c>
      <c r="J82" s="17">
        <f>COUNTIFS('Prácticas_Revisiones'!$S$2:$S$282,"T070",'Prácticas_Revisiones'!$T$2:$T$282,"REQUIREMENTS &gt; Software Requirements Tools")+COUNTIFS('Prácticas_Snowballing'!$AB$2:$AB$281,"T070",'Prácticas_Snowballing'!$AC$2:$AC$281,"REQUIREMENTS &gt; Software Requirements Tools")</f>
        <v>0</v>
      </c>
      <c r="K82" s="17">
        <f>COUNTIFS('Prácticas_Revisiones'!$S$2:$S$282,"T070",'Prácticas_Revisiones'!$T$2:$T$282,"REQUIREMENTS &gt; Subárea no determinable")+COUNTIFS('Prácticas_Snowballing'!$AB$2:$AB$281,"T070",'Prácticas_Snowballing'!$AC$2:$AC$281,"REQUIREMENTS &gt; Subárea no determinable")</f>
        <v>0</v>
      </c>
      <c r="L82" s="29">
        <f t="shared" si="52"/>
        <v>0</v>
      </c>
      <c r="M82" s="17">
        <f>COUNTIFS('Prácticas_Revisiones'!$S$2:$S$282,"T070",'Prácticas_Revisiones'!$T$2:$T$282,"ARCHITECTURE &gt; Software Architecture Fundamentals")+COUNTIFS('Prácticas_Snowballing'!$AB$2:$AB$281,"T070",'Prácticas_Snowballing'!$AC$2:$AC$281,"ARCHITECTURE &gt; Software Architecture Fundamentals")</f>
        <v>0</v>
      </c>
      <c r="N82" s="17">
        <f>COUNTIFS('Prácticas_Revisiones'!$S$2:$S$282,"T070",'Prácticas_Revisiones'!$T$2:$T$282,"ARCHITECTURE &gt; Software Architecture Description")+COUNTIFS('Prácticas_Snowballing'!$AB$2:$AB$281,"T070",'Prácticas_Snowballing'!$AC$2:$AC$281,"ARCHITECTURE &gt; Software Architecture Description")</f>
        <v>0</v>
      </c>
      <c r="O82" s="17">
        <f>COUNTIFS('Prácticas_Revisiones'!$S$2:$S$282,"T070",'Prácticas_Revisiones'!$T$2:$T$282,"ARCHITECTURE &gt; Software Architecture Process")+COUNTIFS('Prácticas_Snowballing'!$AB$2:$AB$281,"T070",'Prácticas_Snowballing'!$AC$2:$AC$281,"ARCHITECTURE &gt; Software Architecture Process")</f>
        <v>0</v>
      </c>
      <c r="P82" s="17">
        <f>COUNTIFS('Prácticas_Revisiones'!$S$2:$S$282,"T070",'Prácticas_Revisiones'!$T$2:$T$282,"ARCHITECTURE &gt; Software Architecture Evaluation")+COUNTIFS('Prácticas_Snowballing'!$AB$2:$AB$281,"T070",'Prácticas_Snowballing'!$AC$2:$AC$281,"ARCHITECTURE &gt; Software Architecture Evaluation")</f>
        <v>0</v>
      </c>
      <c r="Q82" s="17">
        <f>COUNTIFS('Prácticas_Revisiones'!$S$2:$S$282,"T070",'Prácticas_Revisiones'!$T$2:$T$282,"ARCHITECTURE &gt; Subárea no determinable")+COUNTIFS('Prácticas_Snowballing'!$AB$2:$AB$281,"T070",'Prácticas_Snowballing'!$AC$2:$AC$281,"ARCHITECTURE &gt; Subárea no determinable")</f>
        <v>0</v>
      </c>
      <c r="R82" s="29">
        <f t="shared" si="53"/>
        <v>0</v>
      </c>
      <c r="S82" s="17">
        <f>COUNTIFS('Prácticas_Revisiones'!$S$2:$S$282,"T070",'Prácticas_Revisiones'!$T$2:$T$282,"DESIGN &gt; Software Design Fundamentals")+COUNTIFS('Prácticas_Snowballing'!$AB$2:$AB$281,"T070",'Prácticas_Snowballing'!$AC$2:$AC$281,"DESIGN &gt; Software Design Fundamentals")</f>
        <v>0</v>
      </c>
      <c r="T82" s="17">
        <f>COUNTIFS('Prácticas_Revisiones'!$S$2:$S$282,"T070",'Prácticas_Revisiones'!$T$2:$T$282,"DESIGN &gt; Software Design Processes")+COUNTIFS('Prácticas_Snowballing'!$AB$2:$AB$281,"T070",'Prácticas_Snowballing'!$AC$2:$AC$281,"DESIGN &gt; Software Design Processes")</f>
        <v>0</v>
      </c>
      <c r="U82" s="17">
        <f>COUNTIFS('Prácticas_Revisiones'!$S$2:$S$282,"T070",'Prácticas_Revisiones'!$T$2:$T$282,"DESIGN &gt; Software Design Qualities")+COUNTIFS('Prácticas_Snowballing'!$AB$2:$AB$281,"T070",'Prácticas_Snowballing'!$AC$2:$AC$281,"DESIGN &gt; Software Design Qualities")</f>
        <v>0</v>
      </c>
      <c r="V82" s="17">
        <f>COUNTIFS('Prácticas_Revisiones'!$S$2:$S$282,"T070",'Prácticas_Revisiones'!$T$2:$T$282,"DESIGN &gt; Recording Software Design")+COUNTIFS('Prácticas_Snowballing'!$AB$2:$AB$281,"T070",'Prácticas_Snowballing'!$AC$2:$AC$281,"DESIGN &gt; Recording Software Design")</f>
        <v>0</v>
      </c>
      <c r="W82" s="17">
        <f>COUNTIFS('Prácticas_Revisiones'!$S$2:$S$282,"T070",'Prácticas_Revisiones'!$T$2:$T$282,"DESIGN &gt; Software Design Strategies and Methods")+COUNTIFS('Prácticas_Snowballing'!$AB$2:$AB$281,"T070",'Prácticas_Snowballing'!$AC$2:$AC$281,"DESIGN &gt; Software Design Strategies and Methods")</f>
        <v>0</v>
      </c>
      <c r="X82" s="17">
        <f>COUNTIFS('Prácticas_Revisiones'!$S$2:$S$282,"T070",'Prácticas_Revisiones'!$T$2:$T$282,"DESIGN &gt; Software Design Analysis and Evaluations")+COUNTIFS('Prácticas_Snowballing'!$AB$2:$AB$281,"T070",'Prácticas_Snowballing'!$AC$2:$AC$281,"DESIGN &gt; Software Design Analysis and Evaluations")</f>
        <v>0</v>
      </c>
      <c r="Y82" s="17">
        <f>COUNTIFS('Prácticas_Revisiones'!$S$2:$S$282,"T070",'Prácticas_Revisiones'!$T$2:$T$282,"DESIGN &gt; Subárea no determinable")+COUNTIFS('Prácticas_Snowballing'!$AB$2:$AB$281,"T070",'Prácticas_Snowballing'!$AC$2:$AC$281,"DESIGN &gt; Subárea no determinable")</f>
        <v>0</v>
      </c>
      <c r="Z82" s="29">
        <f t="shared" si="54"/>
        <v>0</v>
      </c>
      <c r="AA82" s="17">
        <f>COUNTIFS('Prácticas_Revisiones'!$S$2:$S$282,"T070",'Prácticas_Revisiones'!$T$2:$T$282,"CONSTRUCTION &gt; Software Construction Fundamentals")+COUNTIFS('Prácticas_Snowballing'!$AB$2:$AB$281,"T070",'Prácticas_Snowballing'!$AC$2:$AC$281,"CONSTRUCTION &gt; Software Construction Fundamentals")</f>
        <v>0</v>
      </c>
      <c r="AB82" s="17">
        <f>COUNTIFS('Prácticas_Revisiones'!$S$2:$S$282,"T070",'Prácticas_Revisiones'!$T$2:$T$282,"CONSTRUCTION &gt; Managing Construction")+COUNTIFS('Prácticas_Snowballing'!$AB$2:$AB$281,"T070",'Prácticas_Snowballing'!$AC$2:$AC$281,"CONSTRUCTION &gt; Managing Construction")</f>
        <v>0</v>
      </c>
      <c r="AC82" s="17">
        <f>COUNTIFS('Prácticas_Revisiones'!$S$2:$S$282,"T070",'Prácticas_Revisiones'!$T$2:$T$282,"CONSTRUCTION &gt; Practical Considerations")+COUNTIFS('Prácticas_Snowballing'!$AB$2:$AB$281,"T070",'Prácticas_Snowballing'!$AC$2:$AC$281,"CONSTRUCTION &gt; Practical Considerations")</f>
        <v>0</v>
      </c>
      <c r="AD82" s="17">
        <f>COUNTIFS('Prácticas_Revisiones'!$S$2:$S$282,"T070",'Prácticas_Revisiones'!$T$2:$T$282,"CONSTRUCTION &gt; Construction Technologies")+COUNTIFS('Prácticas_Snowballing'!$AB$2:$AB$281,"T070",'Prácticas_Snowballing'!$AC$2:$AC$281,"CONSTRUCTION &gt; Construction Technologies")</f>
        <v>0</v>
      </c>
      <c r="AE82" s="17">
        <f>COUNTIFS('Prácticas_Revisiones'!$S$2:$S$282,"T070",'Prácticas_Revisiones'!$T$2:$T$282,"CONSTRUCTION &gt; Software Construction Tools")+COUNTIFS('Prácticas_Snowballing'!$AB$2:$AB$281,"T070",'Prácticas_Snowballing'!$AC$2:$AC$281,"CONSTRUCTION &gt; Software Construction Tools")</f>
        <v>0</v>
      </c>
      <c r="AF82" s="17">
        <f>COUNTIFS('Prácticas_Revisiones'!$S$2:$S$282,"T070",'Prácticas_Revisiones'!$T$2:$T$282,"CONSTRUCTION &gt; Subárea no determinable")+COUNTIFS('Prácticas_Snowballing'!$AB$2:$AB$281,"T070",'Prácticas_Snowballing'!$AC$2:$AC$281,"CONSTRUCTION &gt; Subárea no determinable")</f>
        <v>0</v>
      </c>
      <c r="AG82" s="29">
        <f t="shared" si="55"/>
        <v>0</v>
      </c>
      <c r="AH82" s="17">
        <f>COUNTIFS('Prácticas_Revisiones'!$S$2:$S$282,"T070",'Prácticas_Revisiones'!$T$2:$T$282,"SOFTWARE TESTING &gt; Software Testing Fundamentals")+COUNTIFS('Prácticas_Snowballing'!$AB$2:$AB$281,"T070",'Prácticas_Snowballing'!$AC$2:$AC$281,"SOFTWARE TESTING &gt; Software Testing Fundamentals")</f>
        <v>0</v>
      </c>
      <c r="AI82" s="17">
        <f>COUNTIFS('Prácticas_Revisiones'!$S$2:$S$282,"T070",'Prácticas_Revisiones'!$T$2:$T$282,"SOFTWARE TESTING &gt; Test Levels")+COUNTIFS('Prácticas_Snowballing'!$AB$2:$AB$281,"T070",'Prácticas_Snowballing'!$AC$2:$AC$281,"SOFTWARE TESTING &gt; Test Levels")</f>
        <v>0</v>
      </c>
      <c r="AJ82" s="17">
        <f>COUNTIFS('Prácticas_Revisiones'!$S$2:$S$282,"T070",'Prácticas_Revisiones'!$T$2:$T$282,"SOFTWARE TESTING &gt; Test Techniques")+COUNTIFS('Prácticas_Snowballing'!$AB$2:$AB$281,"T070",'Prácticas_Snowballing'!$AC$2:$AC$281,"SOFTWARE TESTING &gt; Test Techniques")</f>
        <v>0</v>
      </c>
      <c r="AK82" s="17">
        <f>COUNTIFS('Prácticas_Revisiones'!$S$2:$S$282,"T070",'Prácticas_Revisiones'!$T$2:$T$282,"SOFTWARE TESTING &gt; Test-Related Measures")+COUNTIFS('Prácticas_Snowballing'!$AB$2:$AB$281,"T070",'Prácticas_Snowballing'!$AC$2:$AC$281,"SOFTWARE TESTING &gt; Test-Related Measures")</f>
        <v>0</v>
      </c>
      <c r="AL82" s="17">
        <f>COUNTIFS('Prácticas_Revisiones'!$S$2:$S$282,"T070",'Prácticas_Revisiones'!$T$2:$T$282,"SOFTWARE TESTING &gt; Test Process")+COUNTIFS('Prácticas_Snowballing'!$AB$2:$AB$281,"T070",'Prácticas_Snowballing'!$AC$2:$AC$281,"SOFTWARE TESTING &gt; Test Process")</f>
        <v>0</v>
      </c>
      <c r="AM82" s="17">
        <f>COUNTIFS('Prácticas_Revisiones'!$S$2:$S$282,"T070",'Prácticas_Revisiones'!$T$2:$T$282,"SOFTWARE TESTING &gt; Software Testing in the Development Processes...")+COUNTIFS('Prácticas_Snowballing'!$AB$2:$AB$281,"T070",'Prácticas_Snowballing'!$AC$2:$AC$281,"SOFTWARE TESTING &gt; Software Testing in the Development Processes...")</f>
        <v>0</v>
      </c>
      <c r="AN82" s="17">
        <f>COUNTIFS('Prácticas_Revisiones'!$S$2:$S$282,"T070",'Prácticas_Revisiones'!$T$2:$T$282,"SOFTWARE TESTING &gt; Testing of and Testing Through Emerging Tech...")+COUNTIFS('Prácticas_Snowballing'!$AB$2:$AB$281,"T070",'Prácticas_Snowballing'!$AC$2:$AC$281,"SOFTWARE TESTING &gt; Testing of and Testing Through Emerging Tech...")</f>
        <v>0</v>
      </c>
      <c r="AO82" s="17">
        <f>COUNTIFS('Prácticas_Revisiones'!$S$2:$S$282,"T070",'Prácticas_Revisiones'!$T$2:$T$282,"SOFTWARE TESTING &gt; Software Testing Tools")+COUNTIFS('Prácticas_Snowballing'!$AB$2:$AB$281,"T070",'Prácticas_Snowballing'!$AC$2:$AC$281,"SOFTWARE TESTING &gt; Software Testing Tools")</f>
        <v>0</v>
      </c>
      <c r="AP82" s="17">
        <f>COUNTIFS('Prácticas_Revisiones'!$S$2:$S$282,"T070",'Prácticas_Revisiones'!$T$2:$T$282,"SOFTWARE TESTING &gt; Subárea no determinable")+COUNTIFS('Prácticas_Snowballing'!$AB$2:$AB$281,"T070",'Prácticas_Snowballing'!$AC$2:$AC$281,"SOFTWARE TESTING &gt; Subárea no determinable")</f>
        <v>0</v>
      </c>
      <c r="AQ82" s="29">
        <f t="shared" si="56"/>
        <v>0</v>
      </c>
      <c r="AR82" s="17">
        <f>COUNTIFS('Prácticas_Revisiones'!$S$2:$S$282,"T070",'Prácticas_Revisiones'!$T$2:$T$282,"SOFTWARE ENG. OPERATIONS &gt; Software Engineering Operations Fundamentals")+COUNTIFS('Prácticas_Snowballing'!$AB$2:$AB$281,"T070",'Prácticas_Snowballing'!$AC$2:$AC$281,"SOFTWARE ENG. OPERATIONS &gt; Software Engineering Operations Fundamentals")</f>
        <v>0</v>
      </c>
      <c r="AS82" s="17">
        <f>COUNTIFS('Prácticas_Revisiones'!$S$2:$S$282,"T070",'Prácticas_Revisiones'!$T$2:$T$282,"SOFTWARE ENG. OPERATIONS &gt; Software Engineering Operations Planning")+COUNTIFS('Prácticas_Snowballing'!$AB$2:$AB$281,"T070",'Prácticas_Snowballing'!$AC$2:$AC$281,"SOFTWARE ENG. OPERATIONS &gt; Software Engineering Operations Planning")</f>
        <v>0</v>
      </c>
      <c r="AT82" s="17">
        <f>COUNTIFS('Prácticas_Revisiones'!$S$2:$S$282,"T070",'Prácticas_Revisiones'!$T$2:$T$282,"SOFTWARE ENG. OPERATIONS &gt; Software Engineering Operations Delivery")+COUNTIFS('Prácticas_Snowballing'!$AB$2:$AB$281,"T070",'Prácticas_Snowballing'!$AC$2:$AC$281,"SOFTWARE ENG. OPERATIONS &gt; Software Engineering Operations Delivery")</f>
        <v>0</v>
      </c>
      <c r="AU82" s="17">
        <f>COUNTIFS('Prácticas_Revisiones'!$S$2:$S$282,"T070",'Prácticas_Revisiones'!$T$2:$T$282,"SOFTWARE ENG. OPERATIONS &gt; Software Engineering Operations Control")+COUNTIFS('Prácticas_Snowballing'!$AB$2:$AB$281,"T070",'Prácticas_Snowballing'!$AC$2:$AC$281,"SOFTWARE ENG. OPERATIONS &gt; Software Engineering Operations Control")</f>
        <v>0</v>
      </c>
      <c r="AV82" s="17">
        <f>COUNTIFS('Prácticas_Revisiones'!$S$2:$S$282,"T070",'Prácticas_Revisiones'!$T$2:$T$282,"SOFTWARE ENG. OPERATIONS &gt; Practical Considerations")+COUNTIFS('Prácticas_Snowballing'!$AB$2:$AB$281,"T070",'Prácticas_Snowballing'!$AC$2:$AC$281,"SOFTWARE ENG. OPERATIONS &gt; Practical Considerations")</f>
        <v>0</v>
      </c>
      <c r="AW82" s="17">
        <f>COUNTIFS('Prácticas_Revisiones'!$S$2:$S$282,"T070",'Prácticas_Revisiones'!$T$2:$T$282,"SOFTWARE ENG. OPERATIONS &gt; Software Engineering Operations Tools")+COUNTIFS('Prácticas_Snowballing'!$AB$2:$AB$281,"T070",'Prácticas_Snowballing'!$AC$2:$AC$281,"SOFTWARE ENG. OPERATIONS &gt; Software Engineering Operations Tools")</f>
        <v>0</v>
      </c>
      <c r="AX82" s="17">
        <f>COUNTIFS('Prácticas_Revisiones'!$S$2:$S$282,"T070",'Prácticas_Revisiones'!$T$2:$T$282,"SOFTWARE ENG. OPERATIONS &gt; Subárea no determinable")+COUNTIFS('Prácticas_Snowballing'!$AB$2:$AB$281,"T070",'Prácticas_Snowballing'!$AC$2:$AC$281,"SOFTWARE ENG. OPERATIONS &gt; Subárea no determinable")</f>
        <v>0</v>
      </c>
      <c r="AY82" s="29">
        <f t="shared" si="57"/>
        <v>0</v>
      </c>
      <c r="AZ82" s="17">
        <f>COUNTIFS('Prácticas_Revisiones'!$S$2:$S$282,"T070",'Prácticas_Revisiones'!$T$2:$T$282,"MAINTENANCE &gt; Software Maintenance Fundamentals")+COUNTIFS('Prácticas_Snowballing'!$AB$2:$AB$281,"T070",'Prácticas_Snowballing'!$AC$2:$AC$281,"MAINTENANCE &gt; Software Maintenance Fundamentals")</f>
        <v>0</v>
      </c>
      <c r="BA82" s="17">
        <f>COUNTIFS('Prácticas_Revisiones'!$S$2:$S$282,"T070",'Prácticas_Revisiones'!$T$2:$T$282,"MAINTENANCE &gt; Key Issues in Software Maintenance")+COUNTIFS('Prácticas_Snowballing'!$AB$2:$AB$281,"T070",'Prácticas_Snowballing'!$AC$2:$AC$281,"MAINTENANCE &gt; Key Issues in Software Maintenance")</f>
        <v>0</v>
      </c>
      <c r="BB82" s="17">
        <f>COUNTIFS('Prácticas_Revisiones'!$S$2:$S$282,"T070",'Prácticas_Revisiones'!$T$2:$T$282,"MAINTENANCE &gt; Software Maintenance Processes")+COUNTIFS('Prácticas_Snowballing'!$AB$2:$AB$281,"T070",'Prácticas_Snowballing'!$AC$2:$AC$281,"MAINTENANCE &gt; Software Maintenance Processes")</f>
        <v>0</v>
      </c>
      <c r="BC82" s="17">
        <f>COUNTIFS('Prácticas_Revisiones'!$S$2:$S$282,"T070",'Prácticas_Revisiones'!$T$2:$T$282,"MAINTENANCE &gt; Software Maintenance Techniques")+COUNTIFS('Prácticas_Snowballing'!$AB$2:$AB$281,"T070",'Prácticas_Snowballing'!$AC$2:$AC$281,"MAINTENANCE &gt; Software Maintenance Techniques")</f>
        <v>0</v>
      </c>
      <c r="BD82" s="17">
        <f>COUNTIFS('Prácticas_Revisiones'!$S$2:$S$282,"T070",'Prácticas_Revisiones'!$T$2:$T$282,"MAINTENANCE &gt; Software Maintenance Tools")+COUNTIFS('Prácticas_Snowballing'!$AB$2:$AB$281,"T070",'Prácticas_Snowballing'!$AC$2:$AC$281,"MAINTENANCE &gt; Software Maintenance Tools")</f>
        <v>0</v>
      </c>
      <c r="BE82" s="17">
        <f>COUNTIFS('Prácticas_Revisiones'!$S$2:$S$282,"T070",'Prácticas_Revisiones'!$T$2:$T$282,"MAINTENANCE &gt; Subárea no determinable")+COUNTIFS('Prácticas_Snowballing'!$AB$2:$AB$281,"T070",'Prácticas_Snowballing'!$AC$2:$AC$281,"MAINTENANCE &gt; Subárea no determinable")</f>
        <v>0</v>
      </c>
      <c r="BF82" s="29">
        <f t="shared" si="58"/>
        <v>0</v>
      </c>
      <c r="BG82" s="17">
        <f>COUNTIFS('Prácticas_Revisiones'!$S$2:$S$282,"T070",'Prácticas_Revisiones'!$T$2:$T$282,"SOFTWARE CONFIG. MGMT. &gt; Management of the SCM Process")+COUNTIFS('Prácticas_Snowballing'!$AB$2:$AB$281,"T070",'Prácticas_Snowballing'!$AC$2:$AC$281,"SOFTWARE CONFIG. MGMT. &gt; Management of the SCM Process")</f>
        <v>0</v>
      </c>
      <c r="BH82" s="17">
        <f>COUNTIFS('Prácticas_Revisiones'!$S$2:$S$282,"T070",'Prácticas_Revisiones'!$T$2:$T$282,"SOFTWARE CONFIG. MGMT. &gt; Software Configuration Identification")+COUNTIFS('Prácticas_Snowballing'!$AB$2:$AB$281,"T070",'Prácticas_Snowballing'!$AC$2:$AC$281,"SOFTWARE CONFIG. MGMT. &gt; Software Configuration Identification")</f>
        <v>0</v>
      </c>
      <c r="BI82" s="17">
        <f>COUNTIFS('Prácticas_Revisiones'!$S$2:$S$282,"T070",'Prácticas_Revisiones'!$T$2:$T$282,"SOFTWARE CONFIG. MGMT. &gt; Software Configuration Change Control")+COUNTIFS('Prácticas_Snowballing'!$AB$2:$AB$281,"T070",'Prácticas_Snowballing'!$AC$2:$AC$281,"SOFTWARE CONFIG. MGMT. &gt; Software Configuration Change Control")</f>
        <v>0</v>
      </c>
      <c r="BJ82" s="17">
        <f>COUNTIFS('Prácticas_Revisiones'!$S$2:$S$282,"T070",'Prácticas_Revisiones'!$T$2:$T$282,"SOFTWARE CONFIG. MGMT. &gt; Software Configuration Status Accounting")+COUNTIFS('Prácticas_Snowballing'!$AB$2:$AB$281,"T070",'Prácticas_Snowballing'!$AC$2:$AC$281,"SOFTWARE CONFIG. MGMT. &gt; Software Configuration Status Accounting")</f>
        <v>0</v>
      </c>
      <c r="BK82" s="17">
        <f>COUNTIFS('Prácticas_Revisiones'!$S$2:$S$282,"T070",'Prácticas_Revisiones'!$T$2:$T$282,"SOFTWARE CONFIG. MGMT. &gt; Software Configuration Auditing")+COUNTIFS('Prácticas_Snowballing'!$AB$2:$AB$281,"T070",'Prácticas_Snowballing'!$AC$2:$AC$281,"SOFTWARE CONFIG. MGMT. &gt; Software Configuration Auditing")</f>
        <v>0</v>
      </c>
      <c r="BL82" s="17">
        <f>COUNTIFS('Prácticas_Revisiones'!$S$2:$S$282,"T070",'Prácticas_Revisiones'!$T$2:$T$282,"SOFTWARE CONFIG. MGMT. &gt; Software Release Management and Delivery")+COUNTIFS('Prácticas_Snowballing'!$AB$2:$AB$281,"T070",'Prácticas_Snowballing'!$AC$2:$AC$281,"SOFTWARE CONFIG. MGMT. &gt; Software Release Management and Delivery")</f>
        <v>0</v>
      </c>
      <c r="BM82" s="17">
        <f>COUNTIFS('Prácticas_Revisiones'!$S$2:$S$282,"T070",'Prácticas_Revisiones'!$T$2:$T$282,"SOFTWARE CONFIG. MGMT. &gt; Software Configuration Management Tools")+COUNTIFS('Prácticas_Snowballing'!$AB$2:$AB$281,"T070",'Prácticas_Snowballing'!$AC$2:$AC$281,"SOFTWARE CONFIG. MGMT. &gt; Software Configuration Management Tools")</f>
        <v>0</v>
      </c>
      <c r="BN82" s="17">
        <f>COUNTIFS('Prácticas_Revisiones'!$S$2:$S$282,"T070",'Prácticas_Revisiones'!$T$2:$T$282,"SOFTWARE CONFIG. MGMT. &gt; Subárea no determinable")+COUNTIFS('Prácticas_Snowballing'!$AB$2:$AB$281,"T070",'Prácticas_Snowballing'!$AC$2:$AC$281,"SOFTWARE CONFIG. MGMT. &gt; Subárea no determinable")</f>
        <v>0</v>
      </c>
      <c r="BO82" s="29">
        <f t="shared" si="59"/>
        <v>0</v>
      </c>
      <c r="BP82" s="17">
        <f>COUNTIFS('Prácticas_Revisiones'!$S$2:$S$282,"T070",'Prácticas_Revisiones'!$T$2:$T$282,"SOFTWARE ENG. PROCESS &gt; Software Engineering Process Fundamentals")+COUNTIFS('Prácticas_Snowballing'!$AB$2:$AB$281,"T070",'Prácticas_Snowballing'!$AC$2:$AC$281,"SOFTWARE ENG. PROCESS &gt; Software Engineering Process Fundamentals")</f>
        <v>0</v>
      </c>
      <c r="BQ82" s="17">
        <f>COUNTIFS('Prácticas_Revisiones'!$S$2:$S$282,"T070",'Prácticas_Revisiones'!$T$2:$T$282,"SOFTWARE ENG. PROCESS &gt; Life Cycles")+COUNTIFS('Prácticas_Snowballing'!$AB$2:$AB$281,"T070",'Prácticas_Snowballing'!$AC$2:$AC$281,"SOFTWARE ENG. PROCESS &gt; Life Cycles")</f>
        <v>0</v>
      </c>
      <c r="BR82" s="17">
        <f>COUNTIFS('Prácticas_Revisiones'!$S$2:$S$282,"T070",'Prácticas_Revisiones'!$T$2:$T$282,"SOFTWARE ENG. PROCESS &gt; Software Process Assessment and Improvement")+COUNTIFS('Prácticas_Snowballing'!$AB$2:$AB$281,"T070",'Prácticas_Snowballing'!$AC$2:$AC$281,"SOFTWARE ENG. PROCESS &gt; Software Process Assessment and Improvement")</f>
        <v>0</v>
      </c>
      <c r="BS82" s="17">
        <f>COUNTIFS('Prácticas_Revisiones'!$S$2:$S$282,"T070",'Prácticas_Revisiones'!$T$2:$T$282,"SOFTWARE ENG. PROCESS &gt; Subárea no determinable")+COUNTIFS('Prácticas_Snowballing'!$AB$2:$AB$281,"T070",'Prácticas_Snowballing'!$AC$2:$AC$281,"SOFTWARE ENG. PROCESS &gt; Subárea no determinable")</f>
        <v>0</v>
      </c>
      <c r="BT82" s="29">
        <f t="shared" si="60"/>
        <v>0</v>
      </c>
      <c r="BU82" s="17">
        <f>COUNTIFS('Prácticas_Revisiones'!$S$2:$S$282,"T070",'Prácticas_Revisiones'!$T$2:$T$282,"SOFTWARE ENG. MODELS/METH. &gt; Modeling")+COUNTIFS('Prácticas_Snowballing'!$AB$2:$AB$281,"T070",'Prácticas_Snowballing'!$AC$2:$AC$281,"SOFTWARE ENG. MODELS/METH. &gt; Modeling")</f>
        <v>0</v>
      </c>
      <c r="BV82" s="17">
        <f>COUNTIFS('Prácticas_Revisiones'!$S$2:$S$282,"T070",'Prácticas_Revisiones'!$T$2:$T$282,"SOFTWARE ENG. MODELS/METH. &gt; Types of Models")+COUNTIFS('Prácticas_Snowballing'!$AB$2:$AB$281,"T070",'Prácticas_Snowballing'!$AC$2:$AC$281,"SOFTWARE ENG. MODELS/METH. &gt; Types of Models")</f>
        <v>0</v>
      </c>
      <c r="BW82" s="17">
        <f>COUNTIFS('Prácticas_Revisiones'!$S$2:$S$282,"T070",'Prácticas_Revisiones'!$T$2:$T$282,"SOFTWARE ENG. MODELS/METH. &gt; Analysis of Models")+COUNTIFS('Prácticas_Snowballing'!$AB$2:$AB$281,"T070",'Prácticas_Snowballing'!$AC$2:$AC$281,"SOFTWARE ENG. MODELS/METH. &gt; Analysis of Models")</f>
        <v>0</v>
      </c>
      <c r="BX82" s="17">
        <f>COUNTIFS('Prácticas_Revisiones'!$S$2:$S$282,"T070",'Prácticas_Revisiones'!$T$2:$T$282,"SOFTWARE ENG. MODELS/METH. &gt; Software Engineering Methods")+COUNTIFS('Prácticas_Snowballing'!$AB$2:$AB$281,"T070",'Prácticas_Snowballing'!$AC$2:$AC$281,"SOFTWARE ENG. MODELS/METH. &gt; Software Engineering Methods")</f>
        <v>0</v>
      </c>
      <c r="BY82" s="17">
        <f>COUNTIFS('Prácticas_Revisiones'!$S$2:$S$282,"T070",'Prácticas_Revisiones'!$T$2:$T$282,"SOFTWARE ENG. MODELS/METH. &gt; Subárea no determinable")+COUNTIFS('Prácticas_Snowballing'!$AB$2:$AB$281,"T070",'Prácticas_Snowballing'!$AC$2:$AC$281,"SOFTWARE ENG. MODELS/METH. &gt; Subárea no determinable")</f>
        <v>0</v>
      </c>
      <c r="BZ82" s="29">
        <f t="shared" si="61"/>
        <v>0</v>
      </c>
      <c r="CA82" s="17">
        <f>COUNTIFS('Prácticas_Revisiones'!$S$2:$S$282,"T070",'Prácticas_Revisiones'!$T$2:$T$282,"SOFTWARE QUALITY &gt; Software Quality Fundamentals")+COUNTIFS('Prácticas_Snowballing'!$AB$2:$AB$281,"T070",'Prácticas_Snowballing'!$AC$2:$AC$281,"SOFTWARE QUALITY &gt; Software Quality Fundamentals")</f>
        <v>0</v>
      </c>
      <c r="CB82" s="17">
        <f>COUNTIFS('Prácticas_Revisiones'!$S$2:$S$282,"T070",'Prácticas_Revisiones'!$T$2:$T$282,"SOFTWARE QUALITY &gt; Software Quality Management Process")+COUNTIFS('Prácticas_Snowballing'!$AB$2:$AB$281,"T070",'Prácticas_Snowballing'!$AC$2:$AC$281,"SOFTWARE QUALITY &gt; Software Quality Management Process")</f>
        <v>0</v>
      </c>
      <c r="CC82" s="17">
        <f>COUNTIFS('Prácticas_Revisiones'!$S$2:$S$282,"T070",'Prácticas_Revisiones'!$T$2:$T$282,"SOFTWARE QUALITY &gt; Software Quality Assurance Process")+COUNTIFS('Prácticas_Snowballing'!$AB$2:$AB$281,"T070",'Prácticas_Snowballing'!$AC$2:$AC$281,"SOFTWARE QUALITY &gt; Software Quality Assurance Process")</f>
        <v>0</v>
      </c>
      <c r="CD82" s="17">
        <f>COUNTIFS('Prácticas_Revisiones'!$S$2:$S$282,"T070",'Prácticas_Revisiones'!$T$2:$T$282,"SOFTWARE QUALITY &gt; Software Quality Tools")+COUNTIFS('Prácticas_Snowballing'!$AB$2:$AB$281,"T070",'Prácticas_Snowballing'!$AC$2:$AC$281,"SOFTWARE QUALITY &gt; Software Quality Tools")</f>
        <v>0</v>
      </c>
      <c r="CE82" s="17">
        <f>COUNTIFS('Prácticas_Revisiones'!$S$2:$S$282,"T070",'Prácticas_Revisiones'!$T$2:$T$282,"SOFTWARE QUALITY &gt; Subárea no determinable")+COUNTIFS('Prácticas_Snowballing'!$AB$2:$AB$281,"T070",'Prácticas_Snowballing'!$AC$2:$AC$281,"SOFTWARE QUALITY &gt; Subárea no determinable")</f>
        <v>0</v>
      </c>
      <c r="CF82" s="29">
        <f t="shared" si="62"/>
        <v>0</v>
      </c>
      <c r="CG82" s="17">
        <f>COUNTIFS('Prácticas_Revisiones'!$S$2:$S$282,"T070",'Prácticas_Revisiones'!$T$2:$T$282,"SOFTWARE SECURITY &gt; Software Security Fundamentals")+COUNTIFS('Prácticas_Snowballing'!$AB$2:$AB$281,"T070",'Prácticas_Snowballing'!$AC$2:$AC$281,"SOFTWARE SECURITY &gt; Software Security Fundamentals")</f>
        <v>0</v>
      </c>
      <c r="CH82" s="17">
        <f>COUNTIFS('Prácticas_Revisiones'!$S$2:$S$282,"T070",'Prácticas_Revisiones'!$T$2:$T$282,"SOFTWARE SECURITY &gt; Security Management and Organization")+COUNTIFS('Prácticas_Snowballing'!$AB$2:$AB$281,"T070",'Prácticas_Snowballing'!$AC$2:$AC$281,"SOFTWARE SECURITY &gt; Security Management and Organization")</f>
        <v>0</v>
      </c>
      <c r="CI82" s="17">
        <f>COUNTIFS('Prácticas_Revisiones'!$S$2:$S$282,"T070",'Prácticas_Revisiones'!$T$2:$T$282,"SOFTWARE SECURITY &gt; Software Security Engineering and Process")+COUNTIFS('Prácticas_Snowballing'!$AB$2:$AB$281,"T070",'Prácticas_Snowballing'!$AC$2:$AC$281,"SOFTWARE SECURITY &gt; Software Security Engineering and Process")</f>
        <v>0</v>
      </c>
      <c r="CJ82" s="17">
        <f>COUNTIFS('Prácticas_Revisiones'!$S$2:$S$282,"T070",'Prácticas_Revisiones'!$T$2:$T$282,"SOFTWARE SECURITY &gt; Security Engineering for Software Systems")+COUNTIFS('Prácticas_Snowballing'!$AB$2:$AB$281,"T070",'Prácticas_Snowballing'!$AC$2:$AC$281,"SOFTWARE SECURITY &gt; Security Engineering for Software Systems")</f>
        <v>0</v>
      </c>
      <c r="CK82" s="17">
        <f>COUNTIFS('Prácticas_Revisiones'!$S$2:$S$282,"T070",'Prácticas_Revisiones'!$T$2:$T$282,"SOFTWARE SECURITY &gt; Software Security Tools")+COUNTIFS('Prácticas_Snowballing'!$AB$2:$AB$281,"T070",'Prácticas_Snowballing'!$AC$2:$AC$281,"SOFTWARE SECURITY &gt; Software Security Tools")</f>
        <v>0</v>
      </c>
      <c r="CL82" s="17">
        <f>COUNTIFS('Prácticas_Revisiones'!$S$2:$S$282,"T070",'Prácticas_Revisiones'!$T$2:$T$282,"SOFTWARE SECURITY &gt; Domain Specific Software Security")+COUNTIFS('Prácticas_Snowballing'!$AB$2:$AB$281,"T070",'Prácticas_Snowballing'!$AC$2:$AC$281,"SOFTWARE SECURITY &gt; Domain Specific Software Security")</f>
        <v>0</v>
      </c>
      <c r="CM82" s="17">
        <f>COUNTIFS('Prácticas_Revisiones'!$S$2:$S$282,"T070",'Prácticas_Revisiones'!$T$2:$T$282,"SOFTWARE SECURITY &gt; Subárea no determinable")+COUNTIFS('Prácticas_Snowballing'!$AB$2:$AB$281,"T070",'Prácticas_Snowballing'!$AC$2:$AC$281,"SOFTWARE SECURITY &gt; Subárea no determinable")</f>
        <v>0</v>
      </c>
      <c r="CN82" s="29">
        <f t="shared" si="63"/>
        <v>0</v>
      </c>
      <c r="CO82" s="17">
        <f>COUNTIFS('Prácticas_Revisiones'!$S$2:$S$282,"T070",'Prácticas_Revisiones'!$T$2:$T$282,"PROFESSIONAL PRACTICE &gt; Professionalism")+COUNTIFS('Prácticas_Snowballing'!$AB$2:$AB$281,"T070",'Prácticas_Snowballing'!$AC$2:$AC$281,"PROFESSIONAL PRACTICE &gt; Professionalism")</f>
        <v>0</v>
      </c>
      <c r="CP82" s="17">
        <f>COUNTIFS('Prácticas_Revisiones'!$S$2:$S$282,"T070",'Prácticas_Revisiones'!$T$2:$T$282,"PROFESSIONAL PRACTICE &gt; Group Dynamics and Psychology")+COUNTIFS('Prácticas_Snowballing'!$AB$2:$AB$281,"T070",'Prácticas_Snowballing'!$AC$2:$AC$281,"PROFESSIONAL PRACTICE &gt; Group Dynamics and Psychology")</f>
        <v>0</v>
      </c>
      <c r="CQ82" s="17">
        <f>COUNTIFS('Prácticas_Revisiones'!$S$2:$S$282,"T070",'Prácticas_Revisiones'!$T$2:$T$282,"PROFESSIONAL PRACTICE &gt; Communication Skills")+COUNTIFS('Prácticas_Snowballing'!$AB$2:$AB$281,"T070",'Prácticas_Snowballing'!$AC$2:$AC$281,"PROFESSIONAL PRACTICE &gt; Communication Skills")</f>
        <v>0</v>
      </c>
      <c r="CR82" s="17">
        <f>COUNTIFS('Prácticas_Revisiones'!$S$2:$S$282,"T070",'Prácticas_Revisiones'!$T$2:$T$282,"PROFESSIONAL PRACTICE &gt; Subárea no determinable")+COUNTIFS('Prácticas_Snowballing'!$AB$2:$AB$281,"T070",'Prácticas_Snowballing'!$AC$2:$AC$281,"PROFESSIONAL PRACTICE &gt; Subárea no determinable")</f>
        <v>0</v>
      </c>
      <c r="CS82" s="29">
        <f t="shared" si="64"/>
        <v>0</v>
      </c>
      <c r="CT82" s="17">
        <f>COUNTIFS('Prácticas_Revisiones'!$S$2:$S$282,"T070",'Prácticas_Revisiones'!$T$2:$T$282,"SOFTWARE ENG. ECONOMICS &gt; Software Engineering Economics Fundamentals")+COUNTIFS('Prácticas_Snowballing'!$AB$2:$AB$281,"T070",'Prácticas_Snowballing'!$AC$2:$AC$281,"SOFTWARE ENG. ECONOMICS &gt; Software Engineering Economics Fundamentals")</f>
        <v>0</v>
      </c>
      <c r="CU82" s="17">
        <f>COUNTIFS('Prácticas_Revisiones'!$S$2:$S$282,"T070",'Prácticas_Revisiones'!$T$2:$T$282,"SOFTWARE ENG. ECONOMICS &gt; The Engineering Decision-Making Process")+COUNTIFS('Prácticas_Snowballing'!$AB$2:$AB$281,"T070",'Prácticas_Snowballing'!$AC$2:$AC$281,"SOFTWARE ENG. ECONOMICS &gt; The Engineering Decision-Making Process")</f>
        <v>0</v>
      </c>
      <c r="CV82" s="17">
        <f>COUNTIFS('Prácticas_Revisiones'!$S$2:$S$282,"T070",'Prácticas_Revisiones'!$T$2:$T$282,"SOFTWARE ENG. ECONOMICS &gt; For-Profit Decision-Making")+COUNTIFS('Prácticas_Snowballing'!$AB$2:$AB$281,"T070",'Prácticas_Snowballing'!$AC$2:$AC$281,"SOFTWARE ENG. ECONOMICS &gt; For-Profit Decision-Making")</f>
        <v>0</v>
      </c>
      <c r="CW82" s="17">
        <f>COUNTIFS('Prácticas_Revisiones'!$S$2:$S$282,"T070",'Prácticas_Revisiones'!$T$2:$T$282,"SOFTWARE ENG. ECONOMICS &gt; Nonprofit Decision-Making")+COUNTIFS('Prácticas_Snowballing'!$AB$2:$AB$281,"T070",'Prácticas_Snowballing'!$AC$2:$AC$281,"SOFTWARE ENG. ECONOMICS &gt; Nonprofit Decision-Making")</f>
        <v>0</v>
      </c>
      <c r="CX82" s="17">
        <f>COUNTIFS('Prácticas_Revisiones'!$S$2:$S$282,"T070",'Prácticas_Revisiones'!$T$2:$T$282,"SOFTWARE ENG. ECONOMICS &gt; Present Economy Decision-Making")+COUNTIFS('Prácticas_Snowballing'!$AB$2:$AB$281,"T070",'Prácticas_Snowballing'!$AC$2:$AC$281,"SOFTWARE ENG. ECONOMICS &gt; Present Economy Decision-Making")</f>
        <v>0</v>
      </c>
      <c r="CY82" s="17">
        <f>COUNTIFS('Prácticas_Revisiones'!$S$2:$S$282,"T070",'Prácticas_Revisiones'!$T$2:$T$282,"SOFTWARE ENG. ECONOMICS &gt; Multiple-Attribute Decision-Making")+COUNTIFS('Prácticas_Snowballing'!$AB$2:$AB$281,"T070",'Prácticas_Snowballing'!$AC$2:$AC$281,"SOFTWARE ENG. ECONOMICS &gt; Multiple-Attribute Decision-Making")</f>
        <v>0</v>
      </c>
      <c r="CZ82" s="17">
        <f>COUNTIFS('Prácticas_Revisiones'!$S$2:$S$282,"T070",'Prácticas_Revisiones'!$T$2:$T$282,"SOFTWARE ENG. ECONOMICS &gt; Identifying and Characterizing Intangible Assets")+COUNTIFS('Prácticas_Snowballing'!$AB$2:$AB$281,"T070",'Prácticas_Snowballing'!$AC$2:$AC$281,"SOFTWARE ENG. ECONOMICS &gt; Identifying and Characterizing Intangible Assets")</f>
        <v>0</v>
      </c>
      <c r="DA82" s="17">
        <f>COUNTIFS('Prácticas_Revisiones'!$S$2:$S$282,"T070",'Prácticas_Revisiones'!$T$2:$T$282,"SOFTWARE ENG. ECONOMICS &gt; Estimation")+COUNTIFS('Prácticas_Snowballing'!$AB$2:$AB$281,"T070",'Prácticas_Snowballing'!$AC$2:$AC$281,"SOFTWARE ENG. ECONOMICS &gt; Estimation")</f>
        <v>0</v>
      </c>
      <c r="DB82" s="17">
        <f>COUNTIFS('Prácticas_Revisiones'!$S$2:$S$282,"T070",'Prácticas_Revisiones'!$T$2:$T$282,"SOFTWARE ENG. ECONOMICS &gt; Practical Considerations")+COUNTIFS('Prácticas_Snowballing'!$AB$2:$AB$281,"T070",'Prácticas_Snowballing'!$AC$2:$AC$281,"SOFTWARE ENG. ECONOMICS &gt; Practical Considerations")</f>
        <v>0</v>
      </c>
      <c r="DC82" s="17">
        <f>COUNTIFS('Prácticas_Revisiones'!$S$2:$S$282,"T070",'Prácticas_Revisiones'!$T$2:$T$282,"SOFTWARE ENG. ECONOMICS &gt; Related Concepts")+COUNTIFS('Prácticas_Snowballing'!$AB$2:$AB$281,"T070",'Prácticas_Snowballing'!$AC$2:$AC$281,"SOFTWARE ENG. ECONOMICS &gt; Related Concepts")</f>
        <v>0</v>
      </c>
      <c r="DD82" s="17">
        <f>COUNTIFS('Prácticas_Revisiones'!$S$2:$S$282,"T070",'Prácticas_Revisiones'!$T$2:$T$282,"SOFTWARE ENG. ECONOMICS &gt; Subárea no determinable")+COUNTIFS('Prácticas_Snowballing'!$AB$2:$AB$281,"T070",'Prácticas_Snowballing'!$AC$2:$AC$281,"SOFTWARE ENG. ECONOMICS &gt; Subárea no determinable")</f>
        <v>0</v>
      </c>
      <c r="DE82" s="29">
        <f t="shared" si="65"/>
        <v>0</v>
      </c>
      <c r="DF82" s="17">
        <f>COUNTIFS('Prácticas_Revisiones'!$S$2:$S$282,"T070",'Prácticas_Revisiones'!$T$2:$T$282,"SOFTWARE ENG. MANAGEMENT &gt; Software Engineering Management Fundamentals")+COUNTIFS('Prácticas_Snowballing'!$AB$2:$AB$281,"T070",'Prácticas_Snowballing'!$AC$2:$AC$281,"SOFTWARE ENG. MANAGEMENT &gt; Software Engineering Management Fundamentals")</f>
        <v>0</v>
      </c>
      <c r="DG82" s="17">
        <f>COUNTIFS('Prácticas_Revisiones'!$S$2:$S$282,"T070",'Prácticas_Revisiones'!$T$2:$T$282,"SOFTWARE ENG. MANAGEMENT &gt; Initiation and Scope Definition")+COUNTIFS('Prácticas_Snowballing'!$AB$2:$AB$281,"T070",'Prácticas_Snowballing'!$AC$2:$AC$281,"SOFTWARE ENG. MANAGEMENT &gt; Initiation and Scope Definition")</f>
        <v>0</v>
      </c>
      <c r="DH82" s="17">
        <f>COUNTIFS('Prácticas_Revisiones'!$S$2:$S$282,"T070",'Prácticas_Revisiones'!$T$2:$T$282,"SOFTWARE ENG. MANAGEMENT &gt; Software Project Planning")+COUNTIFS('Prácticas_Snowballing'!$AB$2:$AB$281,"T070",'Prácticas_Snowballing'!$AC$2:$AC$281,"SOFTWARE ENG. MANAGEMENT &gt; Software Project Planning")</f>
        <v>0</v>
      </c>
      <c r="DI82" s="17">
        <f>COUNTIFS('Prácticas_Revisiones'!$S$2:$S$282,"T070",'Prácticas_Revisiones'!$T$2:$T$282,"SOFTWARE ENG. MANAGEMENT &gt; Software Project Enactment")+COUNTIFS('Prácticas_Snowballing'!$AB$2:$AB$281,"T070",'Prácticas_Snowballing'!$AC$2:$AC$281,"SOFTWARE ENG. MANAGEMENT &gt; Software Project Enactment")</f>
        <v>0</v>
      </c>
      <c r="DJ82" s="17">
        <f>COUNTIFS('Prácticas_Revisiones'!$S$2:$S$282,"T070",'Prácticas_Revisiones'!$T$2:$T$282,"SOFTWARE ENG. MANAGEMENT &gt; Review and Evaluation")+COUNTIFS('Prácticas_Snowballing'!$AB$2:$AB$281,"T070",'Prácticas_Snowballing'!$AC$2:$AC$281,"SOFTWARE ENG. MANAGEMENT &gt; Review and Evaluation")</f>
        <v>0</v>
      </c>
      <c r="DK82" s="17">
        <f>COUNTIFS('Prácticas_Revisiones'!$S$2:$S$282,"T070",'Prácticas_Revisiones'!$T$2:$T$282,"SOFTWARE ENG. MANAGEMENT &gt; Closure")+COUNTIFS('Prácticas_Snowballing'!$AB$2:$AB$281,"T070",'Prácticas_Snowballing'!$AC$2:$AC$281,"SOFTWARE ENG. MANAGEMENT &gt; Closure")</f>
        <v>0</v>
      </c>
      <c r="DL82" s="17">
        <f>COUNTIFS('Prácticas_Revisiones'!$S$2:$S$282,"T070",'Prácticas_Revisiones'!$T$2:$T$282,"SOFTWARE ENG. MANAGEMENT &gt; Software Engineering Management Tools")+COUNTIFS('Prácticas_Snowballing'!$AB$2:$AB$281,"T070",'Prácticas_Snowballing'!$AC$2:$AC$281,"SOFTWARE ENG. MANAGEMENT &gt; Software Engineering Management Tools")</f>
        <v>0</v>
      </c>
      <c r="DM82" s="17">
        <f>COUNTIFS('Prácticas_Revisiones'!$S$2:$S$282,"T070",'Prácticas_Revisiones'!$T$2:$T$282,"SOFTWARE ENG. MANAGEMENT &gt; Subárea no determinable")+COUNTIFS('Prácticas_Snowballing'!$AB$2:$AB$281,"T070",'Prácticas_Snowballing'!$AC$2:$AC$281,"SOFTWARE ENG. MANAGEMENT &gt; Subárea no determinable")</f>
        <v>0</v>
      </c>
      <c r="DN82" s="29">
        <f t="shared" si="66"/>
        <v>0</v>
      </c>
      <c r="DO82" s="17">
        <f>COUNTIFS('Prácticas_Revisiones'!$S$2:$S$282,"T070",'Prácticas_Revisiones'!$T$2:$T$282,"Sin área SWEBOK")+COUNTIFS('Prácticas_Snowballing'!$AB$2:$AB$281,"T070",'Prácticas_Snowballing'!$AC$2:$AC$281,"Sin área SWEBOK")</f>
        <v>0</v>
      </c>
      <c r="DP82" s="27">
        <f t="shared" si="67"/>
        <v>0</v>
      </c>
    </row>
    <row r="83" ht="15.75" customHeight="1">
      <c r="A83" s="28"/>
      <c r="B83" s="16" t="s">
        <v>2828</v>
      </c>
      <c r="C83" s="17">
        <f>COUNTIFS('Prácticas_Revisiones'!$S$2:$S$282,"T071",'Prácticas_Revisiones'!$T$2:$T$282,"REQUIREMENTS &gt; Software Requirements Fundamentals")+COUNTIFS('Prácticas_Snowballing'!$AB$2:$AB$281,"T071",'Prácticas_Snowballing'!$AC$2:$AC$281,"REQUIREMENTS &gt; Software Requirements Fundamentals")</f>
        <v>0</v>
      </c>
      <c r="D83" s="17">
        <f>COUNTIFS('Prácticas_Revisiones'!$S$2:$S$282,"T071",'Prácticas_Revisiones'!$T$2:$T$282,"REQUIREMENTS &gt; Requirements Elicitation")+COUNTIFS('Prácticas_Snowballing'!$AB$2:$AB$281,"T071",'Prácticas_Snowballing'!$AC$2:$AC$281,"REQUIREMENTS &gt; Requirements Elicitation")</f>
        <v>0</v>
      </c>
      <c r="E83" s="17">
        <f>COUNTIFS('Prácticas_Revisiones'!$S$2:$S$282,"T071",'Prácticas_Revisiones'!$T$2:$T$282,"REQUIREMENTS &gt; Requirements Analysis")+COUNTIFS('Prácticas_Snowballing'!$AB$2:$AB$281,"T071",'Prácticas_Snowballing'!$AC$2:$AC$281,"REQUIREMENTS &gt; Requirements Analysis")</f>
        <v>0</v>
      </c>
      <c r="F83" s="17">
        <f>COUNTIFS('Prácticas_Revisiones'!$S$2:$S$282,"T071",'Prácticas_Revisiones'!$T$2:$T$282,"REQUIREMENTS &gt; Requirements Specification")+COUNTIFS('Prácticas_Snowballing'!$AB$2:$AB$281,"T071",'Prácticas_Snowballing'!$AC$2:$AC$281,"REQUIREMENTS &gt; Requirements Specification")</f>
        <v>0</v>
      </c>
      <c r="G83" s="17">
        <f>COUNTIFS('Prácticas_Revisiones'!$S$2:$S$282,"T071",'Prácticas_Revisiones'!$T$2:$T$282,"REQUIREMENTS &gt; Requirements Validation")+COUNTIFS('Prácticas_Snowballing'!$AB$2:$AB$281,"T071",'Prácticas_Snowballing'!$AC$2:$AC$281,"REQUIREMENTS &gt; Requirements Validation")</f>
        <v>0</v>
      </c>
      <c r="H83" s="17">
        <f>COUNTIFS('Prácticas_Revisiones'!$S$2:$S$282,"T071",'Prácticas_Revisiones'!$T$2:$T$282,"REQUIREMENTS &gt; Requirements Management Activities")+COUNTIFS('Prácticas_Snowballing'!$AB$2:$AB$281,"T071",'Prácticas_Snowballing'!$AC$2:$AC$281,"REQUIREMENTS &gt; Requirements Management Activities")</f>
        <v>0</v>
      </c>
      <c r="I83" s="17">
        <f>COUNTIFS('Prácticas_Revisiones'!$S$2:$S$282,"T071",'Prácticas_Revisiones'!$T$2:$T$282,"REQUIREMENTS &gt; Practical Considerations")+COUNTIFS('Prácticas_Snowballing'!$AB$2:$AB$281,"T071",'Prácticas_Snowballing'!$AC$2:$AC$281,"REQUIREMENTS &gt; Practical Considerations")</f>
        <v>0</v>
      </c>
      <c r="J83" s="17">
        <f>COUNTIFS('Prácticas_Revisiones'!$S$2:$S$282,"T071",'Prácticas_Revisiones'!$T$2:$T$282,"REQUIREMENTS &gt; Software Requirements Tools")+COUNTIFS('Prácticas_Snowballing'!$AB$2:$AB$281,"T071",'Prácticas_Snowballing'!$AC$2:$AC$281,"REQUIREMENTS &gt; Software Requirements Tools")</f>
        <v>0</v>
      </c>
      <c r="K83" s="17">
        <f>COUNTIFS('Prácticas_Revisiones'!$S$2:$S$282,"T071",'Prácticas_Revisiones'!$T$2:$T$282,"REQUIREMENTS &gt; Subárea no determinable")+COUNTIFS('Prácticas_Snowballing'!$AB$2:$AB$281,"T071",'Prácticas_Snowballing'!$AC$2:$AC$281,"REQUIREMENTS &gt; Subárea no determinable")</f>
        <v>0</v>
      </c>
      <c r="L83" s="29">
        <f t="shared" si="52"/>
        <v>0</v>
      </c>
      <c r="M83" s="17">
        <f>COUNTIFS('Prácticas_Revisiones'!$S$2:$S$282,"T071",'Prácticas_Revisiones'!$T$2:$T$282,"ARCHITECTURE &gt; Software Architecture Fundamentals")+COUNTIFS('Prácticas_Snowballing'!$AB$2:$AB$281,"T071",'Prácticas_Snowballing'!$AC$2:$AC$281,"ARCHITECTURE &gt; Software Architecture Fundamentals")</f>
        <v>0</v>
      </c>
      <c r="N83" s="17">
        <f>COUNTIFS('Prácticas_Revisiones'!$S$2:$S$282,"T071",'Prácticas_Revisiones'!$T$2:$T$282,"ARCHITECTURE &gt; Software Architecture Description")+COUNTIFS('Prácticas_Snowballing'!$AB$2:$AB$281,"T071",'Prácticas_Snowballing'!$AC$2:$AC$281,"ARCHITECTURE &gt; Software Architecture Description")</f>
        <v>0</v>
      </c>
      <c r="O83" s="17">
        <f>COUNTIFS('Prácticas_Revisiones'!$S$2:$S$282,"T071",'Prácticas_Revisiones'!$T$2:$T$282,"ARCHITECTURE &gt; Software Architecture Process")+COUNTIFS('Prácticas_Snowballing'!$AB$2:$AB$281,"T071",'Prácticas_Snowballing'!$AC$2:$AC$281,"ARCHITECTURE &gt; Software Architecture Process")</f>
        <v>0</v>
      </c>
      <c r="P83" s="17">
        <f>COUNTIFS('Prácticas_Revisiones'!$S$2:$S$282,"T071",'Prácticas_Revisiones'!$T$2:$T$282,"ARCHITECTURE &gt; Software Architecture Evaluation")+COUNTIFS('Prácticas_Snowballing'!$AB$2:$AB$281,"T071",'Prácticas_Snowballing'!$AC$2:$AC$281,"ARCHITECTURE &gt; Software Architecture Evaluation")</f>
        <v>0</v>
      </c>
      <c r="Q83" s="17">
        <f>COUNTIFS('Prácticas_Revisiones'!$S$2:$S$282,"T071",'Prácticas_Revisiones'!$T$2:$T$282,"ARCHITECTURE &gt; Subárea no determinable")+COUNTIFS('Prácticas_Snowballing'!$AB$2:$AB$281,"T071",'Prácticas_Snowballing'!$AC$2:$AC$281,"ARCHITECTURE &gt; Subárea no determinable")</f>
        <v>0</v>
      </c>
      <c r="R83" s="29">
        <f t="shared" si="53"/>
        <v>0</v>
      </c>
      <c r="S83" s="17">
        <f>COUNTIFS('Prácticas_Revisiones'!$S$2:$S$282,"T071",'Prácticas_Revisiones'!$T$2:$T$282,"DESIGN &gt; Software Design Fundamentals")+COUNTIFS('Prácticas_Snowballing'!$AB$2:$AB$281,"T071",'Prácticas_Snowballing'!$AC$2:$AC$281,"DESIGN &gt; Software Design Fundamentals")</f>
        <v>0</v>
      </c>
      <c r="T83" s="17">
        <f>COUNTIFS('Prácticas_Revisiones'!$S$2:$S$282,"T071",'Prácticas_Revisiones'!$T$2:$T$282,"DESIGN &gt; Software Design Processes")+COUNTIFS('Prácticas_Snowballing'!$AB$2:$AB$281,"T071",'Prácticas_Snowballing'!$AC$2:$AC$281,"DESIGN &gt; Software Design Processes")</f>
        <v>0</v>
      </c>
      <c r="U83" s="17">
        <f>COUNTIFS('Prácticas_Revisiones'!$S$2:$S$282,"T071",'Prácticas_Revisiones'!$T$2:$T$282,"DESIGN &gt; Software Design Qualities")+COUNTIFS('Prácticas_Snowballing'!$AB$2:$AB$281,"T071",'Prácticas_Snowballing'!$AC$2:$AC$281,"DESIGN &gt; Software Design Qualities")</f>
        <v>0</v>
      </c>
      <c r="V83" s="17">
        <f>COUNTIFS('Prácticas_Revisiones'!$S$2:$S$282,"T071",'Prácticas_Revisiones'!$T$2:$T$282,"DESIGN &gt; Recording Software Design")+COUNTIFS('Prácticas_Snowballing'!$AB$2:$AB$281,"T071",'Prácticas_Snowballing'!$AC$2:$AC$281,"DESIGN &gt; Recording Software Design")</f>
        <v>0</v>
      </c>
      <c r="W83" s="17">
        <f>COUNTIFS('Prácticas_Revisiones'!$S$2:$S$282,"T071",'Prácticas_Revisiones'!$T$2:$T$282,"DESIGN &gt; Software Design Strategies and Methods")+COUNTIFS('Prácticas_Snowballing'!$AB$2:$AB$281,"T071",'Prácticas_Snowballing'!$AC$2:$AC$281,"DESIGN &gt; Software Design Strategies and Methods")</f>
        <v>0</v>
      </c>
      <c r="X83" s="17">
        <f>COUNTIFS('Prácticas_Revisiones'!$S$2:$S$282,"T071",'Prácticas_Revisiones'!$T$2:$T$282,"DESIGN &gt; Software Design Analysis and Evaluations")+COUNTIFS('Prácticas_Snowballing'!$AB$2:$AB$281,"T071",'Prácticas_Snowballing'!$AC$2:$AC$281,"DESIGN &gt; Software Design Analysis and Evaluations")</f>
        <v>0</v>
      </c>
      <c r="Y83" s="17">
        <f>COUNTIFS('Prácticas_Revisiones'!$S$2:$S$282,"T071",'Prácticas_Revisiones'!$T$2:$T$282,"DESIGN &gt; Subárea no determinable")+COUNTIFS('Prácticas_Snowballing'!$AB$2:$AB$281,"T071",'Prácticas_Snowballing'!$AC$2:$AC$281,"DESIGN &gt; Subárea no determinable")</f>
        <v>0</v>
      </c>
      <c r="Z83" s="29">
        <f t="shared" si="54"/>
        <v>0</v>
      </c>
      <c r="AA83" s="17">
        <f>COUNTIFS('Prácticas_Revisiones'!$S$2:$S$282,"T071",'Prácticas_Revisiones'!$T$2:$T$282,"CONSTRUCTION &gt; Software Construction Fundamentals")+COUNTIFS('Prácticas_Snowballing'!$AB$2:$AB$281,"T071",'Prácticas_Snowballing'!$AC$2:$AC$281,"CONSTRUCTION &gt; Software Construction Fundamentals")</f>
        <v>0</v>
      </c>
      <c r="AB83" s="17">
        <f>COUNTIFS('Prácticas_Revisiones'!$S$2:$S$282,"T071",'Prácticas_Revisiones'!$T$2:$T$282,"CONSTRUCTION &gt; Managing Construction")+COUNTIFS('Prácticas_Snowballing'!$AB$2:$AB$281,"T071",'Prácticas_Snowballing'!$AC$2:$AC$281,"CONSTRUCTION &gt; Managing Construction")</f>
        <v>0</v>
      </c>
      <c r="AC83" s="17">
        <f>COUNTIFS('Prácticas_Revisiones'!$S$2:$S$282,"T071",'Prácticas_Revisiones'!$T$2:$T$282,"CONSTRUCTION &gt; Practical Considerations")+COUNTIFS('Prácticas_Snowballing'!$AB$2:$AB$281,"T071",'Prácticas_Snowballing'!$AC$2:$AC$281,"CONSTRUCTION &gt; Practical Considerations")</f>
        <v>0</v>
      </c>
      <c r="AD83" s="17">
        <f>COUNTIFS('Prácticas_Revisiones'!$S$2:$S$282,"T071",'Prácticas_Revisiones'!$T$2:$T$282,"CONSTRUCTION &gt; Construction Technologies")+COUNTIFS('Prácticas_Snowballing'!$AB$2:$AB$281,"T071",'Prácticas_Snowballing'!$AC$2:$AC$281,"CONSTRUCTION &gt; Construction Technologies")</f>
        <v>0</v>
      </c>
      <c r="AE83" s="17">
        <f>COUNTIFS('Prácticas_Revisiones'!$S$2:$S$282,"T071",'Prácticas_Revisiones'!$T$2:$T$282,"CONSTRUCTION &gt; Software Construction Tools")+COUNTIFS('Prácticas_Snowballing'!$AB$2:$AB$281,"T071",'Prácticas_Snowballing'!$AC$2:$AC$281,"CONSTRUCTION &gt; Software Construction Tools")</f>
        <v>0</v>
      </c>
      <c r="AF83" s="17">
        <f>COUNTIFS('Prácticas_Revisiones'!$S$2:$S$282,"T071",'Prácticas_Revisiones'!$T$2:$T$282,"CONSTRUCTION &gt; Subárea no determinable")+COUNTIFS('Prácticas_Snowballing'!$AB$2:$AB$281,"T071",'Prácticas_Snowballing'!$AC$2:$AC$281,"CONSTRUCTION &gt; Subárea no determinable")</f>
        <v>0</v>
      </c>
      <c r="AG83" s="29">
        <f t="shared" si="55"/>
        <v>0</v>
      </c>
      <c r="AH83" s="17">
        <f>COUNTIFS('Prácticas_Revisiones'!$S$2:$S$282,"T071",'Prácticas_Revisiones'!$T$2:$T$282,"SOFTWARE TESTING &gt; Software Testing Fundamentals")+COUNTIFS('Prácticas_Snowballing'!$AB$2:$AB$281,"T071",'Prácticas_Snowballing'!$AC$2:$AC$281,"SOFTWARE TESTING &gt; Software Testing Fundamentals")</f>
        <v>0</v>
      </c>
      <c r="AI83" s="17">
        <f>COUNTIFS('Prácticas_Revisiones'!$S$2:$S$282,"T071",'Prácticas_Revisiones'!$T$2:$T$282,"SOFTWARE TESTING &gt; Test Levels")+COUNTIFS('Prácticas_Snowballing'!$AB$2:$AB$281,"T071",'Prácticas_Snowballing'!$AC$2:$AC$281,"SOFTWARE TESTING &gt; Test Levels")</f>
        <v>0</v>
      </c>
      <c r="AJ83" s="17">
        <f>COUNTIFS('Prácticas_Revisiones'!$S$2:$S$282,"T071",'Prácticas_Revisiones'!$T$2:$T$282,"SOFTWARE TESTING &gt; Test Techniques")+COUNTIFS('Prácticas_Snowballing'!$AB$2:$AB$281,"T071",'Prácticas_Snowballing'!$AC$2:$AC$281,"SOFTWARE TESTING &gt; Test Techniques")</f>
        <v>0</v>
      </c>
      <c r="AK83" s="17">
        <f>COUNTIFS('Prácticas_Revisiones'!$S$2:$S$282,"T071",'Prácticas_Revisiones'!$T$2:$T$282,"SOFTWARE TESTING &gt; Test-Related Measures")+COUNTIFS('Prácticas_Snowballing'!$AB$2:$AB$281,"T071",'Prácticas_Snowballing'!$AC$2:$AC$281,"SOFTWARE TESTING &gt; Test-Related Measures")</f>
        <v>0</v>
      </c>
      <c r="AL83" s="17">
        <f>COUNTIFS('Prácticas_Revisiones'!$S$2:$S$282,"T071",'Prácticas_Revisiones'!$T$2:$T$282,"SOFTWARE TESTING &gt; Test Process")+COUNTIFS('Prácticas_Snowballing'!$AB$2:$AB$281,"T071",'Prácticas_Snowballing'!$AC$2:$AC$281,"SOFTWARE TESTING &gt; Test Process")</f>
        <v>0</v>
      </c>
      <c r="AM83" s="17">
        <f>COUNTIFS('Prácticas_Revisiones'!$S$2:$S$282,"T071",'Prácticas_Revisiones'!$T$2:$T$282,"SOFTWARE TESTING &gt; Software Testing in the Development Processes...")+COUNTIFS('Prácticas_Snowballing'!$AB$2:$AB$281,"T071",'Prácticas_Snowballing'!$AC$2:$AC$281,"SOFTWARE TESTING &gt; Software Testing in the Development Processes...")</f>
        <v>0</v>
      </c>
      <c r="AN83" s="17">
        <f>COUNTIFS('Prácticas_Revisiones'!$S$2:$S$282,"T071",'Prácticas_Revisiones'!$T$2:$T$282,"SOFTWARE TESTING &gt; Testing of and Testing Through Emerging Tech...")+COUNTIFS('Prácticas_Snowballing'!$AB$2:$AB$281,"T071",'Prácticas_Snowballing'!$AC$2:$AC$281,"SOFTWARE TESTING &gt; Testing of and Testing Through Emerging Tech...")</f>
        <v>0</v>
      </c>
      <c r="AO83" s="17">
        <f>COUNTIFS('Prácticas_Revisiones'!$S$2:$S$282,"T071",'Prácticas_Revisiones'!$T$2:$T$282,"SOFTWARE TESTING &gt; Software Testing Tools")+COUNTIFS('Prácticas_Snowballing'!$AB$2:$AB$281,"T071",'Prácticas_Snowballing'!$AC$2:$AC$281,"SOFTWARE TESTING &gt; Software Testing Tools")</f>
        <v>0</v>
      </c>
      <c r="AP83" s="17">
        <f>COUNTIFS('Prácticas_Revisiones'!$S$2:$S$282,"T071",'Prácticas_Revisiones'!$T$2:$T$282,"SOFTWARE TESTING &gt; Subárea no determinable")+COUNTIFS('Prácticas_Snowballing'!$AB$2:$AB$281,"T071",'Prácticas_Snowballing'!$AC$2:$AC$281,"SOFTWARE TESTING &gt; Subárea no determinable")</f>
        <v>0</v>
      </c>
      <c r="AQ83" s="29">
        <f t="shared" si="56"/>
        <v>0</v>
      </c>
      <c r="AR83" s="17">
        <f>COUNTIFS('Prácticas_Revisiones'!$S$2:$S$282,"T071",'Prácticas_Revisiones'!$T$2:$T$282,"SOFTWARE ENG. OPERATIONS &gt; Software Engineering Operations Fundamentals")+COUNTIFS('Prácticas_Snowballing'!$AB$2:$AB$281,"T071",'Prácticas_Snowballing'!$AC$2:$AC$281,"SOFTWARE ENG. OPERATIONS &gt; Software Engineering Operations Fundamentals")</f>
        <v>0</v>
      </c>
      <c r="AS83" s="17">
        <f>COUNTIFS('Prácticas_Revisiones'!$S$2:$S$282,"T071",'Prácticas_Revisiones'!$T$2:$T$282,"SOFTWARE ENG. OPERATIONS &gt; Software Engineering Operations Planning")+COUNTIFS('Prácticas_Snowballing'!$AB$2:$AB$281,"T071",'Prácticas_Snowballing'!$AC$2:$AC$281,"SOFTWARE ENG. OPERATIONS &gt; Software Engineering Operations Planning")</f>
        <v>0</v>
      </c>
      <c r="AT83" s="17">
        <f>COUNTIFS('Prácticas_Revisiones'!$S$2:$S$282,"T071",'Prácticas_Revisiones'!$T$2:$T$282,"SOFTWARE ENG. OPERATIONS &gt; Software Engineering Operations Delivery")+COUNTIFS('Prácticas_Snowballing'!$AB$2:$AB$281,"T071",'Prácticas_Snowballing'!$AC$2:$AC$281,"SOFTWARE ENG. OPERATIONS &gt; Software Engineering Operations Delivery")</f>
        <v>0</v>
      </c>
      <c r="AU83" s="17">
        <f>COUNTIFS('Prácticas_Revisiones'!$S$2:$S$282,"T071",'Prácticas_Revisiones'!$T$2:$T$282,"SOFTWARE ENG. OPERATIONS &gt; Software Engineering Operations Control")+COUNTIFS('Prácticas_Snowballing'!$AB$2:$AB$281,"T071",'Prácticas_Snowballing'!$AC$2:$AC$281,"SOFTWARE ENG. OPERATIONS &gt; Software Engineering Operations Control")</f>
        <v>0</v>
      </c>
      <c r="AV83" s="17">
        <f>COUNTIFS('Prácticas_Revisiones'!$S$2:$S$282,"T071",'Prácticas_Revisiones'!$T$2:$T$282,"SOFTWARE ENG. OPERATIONS &gt; Practical Considerations")+COUNTIFS('Prácticas_Snowballing'!$AB$2:$AB$281,"T071",'Prácticas_Snowballing'!$AC$2:$AC$281,"SOFTWARE ENG. OPERATIONS &gt; Practical Considerations")</f>
        <v>0</v>
      </c>
      <c r="AW83" s="17">
        <f>COUNTIFS('Prácticas_Revisiones'!$S$2:$S$282,"T071",'Prácticas_Revisiones'!$T$2:$T$282,"SOFTWARE ENG. OPERATIONS &gt; Software Engineering Operations Tools")+COUNTIFS('Prácticas_Snowballing'!$AB$2:$AB$281,"T071",'Prácticas_Snowballing'!$AC$2:$AC$281,"SOFTWARE ENG. OPERATIONS &gt; Software Engineering Operations Tools")</f>
        <v>0</v>
      </c>
      <c r="AX83" s="17">
        <f>COUNTIFS('Prácticas_Revisiones'!$S$2:$S$282,"T071",'Prácticas_Revisiones'!$T$2:$T$282,"SOFTWARE ENG. OPERATIONS &gt; Subárea no determinable")+COUNTIFS('Prácticas_Snowballing'!$AB$2:$AB$281,"T071",'Prácticas_Snowballing'!$AC$2:$AC$281,"SOFTWARE ENG. OPERATIONS &gt; Subárea no determinable")</f>
        <v>0</v>
      </c>
      <c r="AY83" s="29">
        <f t="shared" si="57"/>
        <v>0</v>
      </c>
      <c r="AZ83" s="17">
        <f>COUNTIFS('Prácticas_Revisiones'!$S$2:$S$282,"T071",'Prácticas_Revisiones'!$T$2:$T$282,"MAINTENANCE &gt; Software Maintenance Fundamentals")+COUNTIFS('Prácticas_Snowballing'!$AB$2:$AB$281,"T071",'Prácticas_Snowballing'!$AC$2:$AC$281,"MAINTENANCE &gt; Software Maintenance Fundamentals")</f>
        <v>0</v>
      </c>
      <c r="BA83" s="17">
        <f>COUNTIFS('Prácticas_Revisiones'!$S$2:$S$282,"T071",'Prácticas_Revisiones'!$T$2:$T$282,"MAINTENANCE &gt; Key Issues in Software Maintenance")+COUNTIFS('Prácticas_Snowballing'!$AB$2:$AB$281,"T071",'Prácticas_Snowballing'!$AC$2:$AC$281,"MAINTENANCE &gt; Key Issues in Software Maintenance")</f>
        <v>0</v>
      </c>
      <c r="BB83" s="17">
        <f>COUNTIFS('Prácticas_Revisiones'!$S$2:$S$282,"T071",'Prácticas_Revisiones'!$T$2:$T$282,"MAINTENANCE &gt; Software Maintenance Processes")+COUNTIFS('Prácticas_Snowballing'!$AB$2:$AB$281,"T071",'Prácticas_Snowballing'!$AC$2:$AC$281,"MAINTENANCE &gt; Software Maintenance Processes")</f>
        <v>0</v>
      </c>
      <c r="BC83" s="17">
        <f>COUNTIFS('Prácticas_Revisiones'!$S$2:$S$282,"T071",'Prácticas_Revisiones'!$T$2:$T$282,"MAINTENANCE &gt; Software Maintenance Techniques")+COUNTIFS('Prácticas_Snowballing'!$AB$2:$AB$281,"T071",'Prácticas_Snowballing'!$AC$2:$AC$281,"MAINTENANCE &gt; Software Maintenance Techniques")</f>
        <v>0</v>
      </c>
      <c r="BD83" s="17">
        <f>COUNTIFS('Prácticas_Revisiones'!$S$2:$S$282,"T071",'Prácticas_Revisiones'!$T$2:$T$282,"MAINTENANCE &gt; Software Maintenance Tools")+COUNTIFS('Prácticas_Snowballing'!$AB$2:$AB$281,"T071",'Prácticas_Snowballing'!$AC$2:$AC$281,"MAINTENANCE &gt; Software Maintenance Tools")</f>
        <v>0</v>
      </c>
      <c r="BE83" s="17">
        <f>COUNTIFS('Prácticas_Revisiones'!$S$2:$S$282,"T071",'Prácticas_Revisiones'!$T$2:$T$282,"MAINTENANCE &gt; Subárea no determinable")+COUNTIFS('Prácticas_Snowballing'!$AB$2:$AB$281,"T071",'Prácticas_Snowballing'!$AC$2:$AC$281,"MAINTENANCE &gt; Subárea no determinable")</f>
        <v>0</v>
      </c>
      <c r="BF83" s="29">
        <f t="shared" si="58"/>
        <v>0</v>
      </c>
      <c r="BG83" s="17">
        <f>COUNTIFS('Prácticas_Revisiones'!$S$2:$S$282,"T071",'Prácticas_Revisiones'!$T$2:$T$282,"SOFTWARE CONFIG. MGMT. &gt; Management of the SCM Process")+COUNTIFS('Prácticas_Snowballing'!$AB$2:$AB$281,"T071",'Prácticas_Snowballing'!$AC$2:$AC$281,"SOFTWARE CONFIG. MGMT. &gt; Management of the SCM Process")</f>
        <v>0</v>
      </c>
      <c r="BH83" s="17">
        <f>COUNTIFS('Prácticas_Revisiones'!$S$2:$S$282,"T071",'Prácticas_Revisiones'!$T$2:$T$282,"SOFTWARE CONFIG. MGMT. &gt; Software Configuration Identification")+COUNTIFS('Prácticas_Snowballing'!$AB$2:$AB$281,"T071",'Prácticas_Snowballing'!$AC$2:$AC$281,"SOFTWARE CONFIG. MGMT. &gt; Software Configuration Identification")</f>
        <v>0</v>
      </c>
      <c r="BI83" s="17">
        <f>COUNTIFS('Prácticas_Revisiones'!$S$2:$S$282,"T071",'Prácticas_Revisiones'!$T$2:$T$282,"SOFTWARE CONFIG. MGMT. &gt; Software Configuration Change Control")+COUNTIFS('Prácticas_Snowballing'!$AB$2:$AB$281,"T071",'Prácticas_Snowballing'!$AC$2:$AC$281,"SOFTWARE CONFIG. MGMT. &gt; Software Configuration Change Control")</f>
        <v>0</v>
      </c>
      <c r="BJ83" s="17">
        <f>COUNTIFS('Prácticas_Revisiones'!$S$2:$S$282,"T071",'Prácticas_Revisiones'!$T$2:$T$282,"SOFTWARE CONFIG. MGMT. &gt; Software Configuration Status Accounting")+COUNTIFS('Prácticas_Snowballing'!$AB$2:$AB$281,"T071",'Prácticas_Snowballing'!$AC$2:$AC$281,"SOFTWARE CONFIG. MGMT. &gt; Software Configuration Status Accounting")</f>
        <v>0</v>
      </c>
      <c r="BK83" s="17">
        <f>COUNTIFS('Prácticas_Revisiones'!$S$2:$S$282,"T071",'Prácticas_Revisiones'!$T$2:$T$282,"SOFTWARE CONFIG. MGMT. &gt; Software Configuration Auditing")+COUNTIFS('Prácticas_Snowballing'!$AB$2:$AB$281,"T071",'Prácticas_Snowballing'!$AC$2:$AC$281,"SOFTWARE CONFIG. MGMT. &gt; Software Configuration Auditing")</f>
        <v>0</v>
      </c>
      <c r="BL83" s="17">
        <f>COUNTIFS('Prácticas_Revisiones'!$S$2:$S$282,"T071",'Prácticas_Revisiones'!$T$2:$T$282,"SOFTWARE CONFIG. MGMT. &gt; Software Release Management and Delivery")+COUNTIFS('Prácticas_Snowballing'!$AB$2:$AB$281,"T071",'Prácticas_Snowballing'!$AC$2:$AC$281,"SOFTWARE CONFIG. MGMT. &gt; Software Release Management and Delivery")</f>
        <v>0</v>
      </c>
      <c r="BM83" s="17">
        <f>COUNTIFS('Prácticas_Revisiones'!$S$2:$S$282,"T071",'Prácticas_Revisiones'!$T$2:$T$282,"SOFTWARE CONFIG. MGMT. &gt; Software Configuration Management Tools")+COUNTIFS('Prácticas_Snowballing'!$AB$2:$AB$281,"T071",'Prácticas_Snowballing'!$AC$2:$AC$281,"SOFTWARE CONFIG. MGMT. &gt; Software Configuration Management Tools")</f>
        <v>0</v>
      </c>
      <c r="BN83" s="17">
        <f>COUNTIFS('Prácticas_Revisiones'!$S$2:$S$282,"T071",'Prácticas_Revisiones'!$T$2:$T$282,"SOFTWARE CONFIG. MGMT. &gt; Subárea no determinable")+COUNTIFS('Prácticas_Snowballing'!$AB$2:$AB$281,"T071",'Prácticas_Snowballing'!$AC$2:$AC$281,"SOFTWARE CONFIG. MGMT. &gt; Subárea no determinable")</f>
        <v>0</v>
      </c>
      <c r="BO83" s="29">
        <f t="shared" si="59"/>
        <v>0</v>
      </c>
      <c r="BP83" s="17">
        <f>COUNTIFS('Prácticas_Revisiones'!$S$2:$S$282,"T071",'Prácticas_Revisiones'!$T$2:$T$282,"SOFTWARE ENG. PROCESS &gt; Software Engineering Process Fundamentals")+COUNTIFS('Prácticas_Snowballing'!$AB$2:$AB$281,"T071",'Prácticas_Snowballing'!$AC$2:$AC$281,"SOFTWARE ENG. PROCESS &gt; Software Engineering Process Fundamentals")</f>
        <v>0</v>
      </c>
      <c r="BQ83" s="17">
        <f>COUNTIFS('Prácticas_Revisiones'!$S$2:$S$282,"T071",'Prácticas_Revisiones'!$T$2:$T$282,"SOFTWARE ENG. PROCESS &gt; Life Cycles")+COUNTIFS('Prácticas_Snowballing'!$AB$2:$AB$281,"T071",'Prácticas_Snowballing'!$AC$2:$AC$281,"SOFTWARE ENG. PROCESS &gt; Life Cycles")</f>
        <v>0</v>
      </c>
      <c r="BR83" s="17">
        <f>COUNTIFS('Prácticas_Revisiones'!$S$2:$S$282,"T071",'Prácticas_Revisiones'!$T$2:$T$282,"SOFTWARE ENG. PROCESS &gt; Software Process Assessment and Improvement")+COUNTIFS('Prácticas_Snowballing'!$AB$2:$AB$281,"T071",'Prácticas_Snowballing'!$AC$2:$AC$281,"SOFTWARE ENG. PROCESS &gt; Software Process Assessment and Improvement")</f>
        <v>0</v>
      </c>
      <c r="BS83" s="17">
        <f>COUNTIFS('Prácticas_Revisiones'!$S$2:$S$282,"T071",'Prácticas_Revisiones'!$T$2:$T$282,"SOFTWARE ENG. PROCESS &gt; Subárea no determinable")+COUNTIFS('Prácticas_Snowballing'!$AB$2:$AB$281,"T071",'Prácticas_Snowballing'!$AC$2:$AC$281,"SOFTWARE ENG. PROCESS &gt; Subárea no determinable")</f>
        <v>0</v>
      </c>
      <c r="BT83" s="29">
        <f t="shared" si="60"/>
        <v>0</v>
      </c>
      <c r="BU83" s="17">
        <f>COUNTIFS('Prácticas_Revisiones'!$S$2:$S$282,"T071",'Prácticas_Revisiones'!$T$2:$T$282,"SOFTWARE ENG. MODELS/METH. &gt; Modeling")+COUNTIFS('Prácticas_Snowballing'!$AB$2:$AB$281,"T071",'Prácticas_Snowballing'!$AC$2:$AC$281,"SOFTWARE ENG. MODELS/METH. &gt; Modeling")</f>
        <v>0</v>
      </c>
      <c r="BV83" s="17">
        <f>COUNTIFS('Prácticas_Revisiones'!$S$2:$S$282,"T071",'Prácticas_Revisiones'!$T$2:$T$282,"SOFTWARE ENG. MODELS/METH. &gt; Types of Models")+COUNTIFS('Prácticas_Snowballing'!$AB$2:$AB$281,"T071",'Prácticas_Snowballing'!$AC$2:$AC$281,"SOFTWARE ENG. MODELS/METH. &gt; Types of Models")</f>
        <v>0</v>
      </c>
      <c r="BW83" s="17">
        <f>COUNTIFS('Prácticas_Revisiones'!$S$2:$S$282,"T071",'Prácticas_Revisiones'!$T$2:$T$282,"SOFTWARE ENG. MODELS/METH. &gt; Analysis of Models")+COUNTIFS('Prácticas_Snowballing'!$AB$2:$AB$281,"T071",'Prácticas_Snowballing'!$AC$2:$AC$281,"SOFTWARE ENG. MODELS/METH. &gt; Analysis of Models")</f>
        <v>0</v>
      </c>
      <c r="BX83" s="17">
        <f>COUNTIFS('Prácticas_Revisiones'!$S$2:$S$282,"T071",'Prácticas_Revisiones'!$T$2:$T$282,"SOFTWARE ENG. MODELS/METH. &gt; Software Engineering Methods")+COUNTIFS('Prácticas_Snowballing'!$AB$2:$AB$281,"T071",'Prácticas_Snowballing'!$AC$2:$AC$281,"SOFTWARE ENG. MODELS/METH. &gt; Software Engineering Methods")</f>
        <v>0</v>
      </c>
      <c r="BY83" s="17">
        <f>COUNTIFS('Prácticas_Revisiones'!$S$2:$S$282,"T071",'Prácticas_Revisiones'!$T$2:$T$282,"SOFTWARE ENG. MODELS/METH. &gt; Subárea no determinable")+COUNTIFS('Prácticas_Snowballing'!$AB$2:$AB$281,"T071",'Prácticas_Snowballing'!$AC$2:$AC$281,"SOFTWARE ENG. MODELS/METH. &gt; Subárea no determinable")</f>
        <v>0</v>
      </c>
      <c r="BZ83" s="29">
        <f t="shared" si="61"/>
        <v>0</v>
      </c>
      <c r="CA83" s="17">
        <f>COUNTIFS('Prácticas_Revisiones'!$S$2:$S$282,"T071",'Prácticas_Revisiones'!$T$2:$T$282,"SOFTWARE QUALITY &gt; Software Quality Fundamentals")+COUNTIFS('Prácticas_Snowballing'!$AB$2:$AB$281,"T071",'Prácticas_Snowballing'!$AC$2:$AC$281,"SOFTWARE QUALITY &gt; Software Quality Fundamentals")</f>
        <v>0</v>
      </c>
      <c r="CB83" s="17">
        <f>COUNTIFS('Prácticas_Revisiones'!$S$2:$S$282,"T071",'Prácticas_Revisiones'!$T$2:$T$282,"SOFTWARE QUALITY &gt; Software Quality Management Process")+COUNTIFS('Prácticas_Snowballing'!$AB$2:$AB$281,"T071",'Prácticas_Snowballing'!$AC$2:$AC$281,"SOFTWARE QUALITY &gt; Software Quality Management Process")</f>
        <v>0</v>
      </c>
      <c r="CC83" s="17">
        <f>COUNTIFS('Prácticas_Revisiones'!$S$2:$S$282,"T071",'Prácticas_Revisiones'!$T$2:$T$282,"SOFTWARE QUALITY &gt; Software Quality Assurance Process")+COUNTIFS('Prácticas_Snowballing'!$AB$2:$AB$281,"T071",'Prácticas_Snowballing'!$AC$2:$AC$281,"SOFTWARE QUALITY &gt; Software Quality Assurance Process")</f>
        <v>0</v>
      </c>
      <c r="CD83" s="17">
        <f>COUNTIFS('Prácticas_Revisiones'!$S$2:$S$282,"T071",'Prácticas_Revisiones'!$T$2:$T$282,"SOFTWARE QUALITY &gt; Software Quality Tools")+COUNTIFS('Prácticas_Snowballing'!$AB$2:$AB$281,"T071",'Prácticas_Snowballing'!$AC$2:$AC$281,"SOFTWARE QUALITY &gt; Software Quality Tools")</f>
        <v>0</v>
      </c>
      <c r="CE83" s="17">
        <f>COUNTIFS('Prácticas_Revisiones'!$S$2:$S$282,"T071",'Prácticas_Revisiones'!$T$2:$T$282,"SOFTWARE QUALITY &gt; Subárea no determinable")+COUNTIFS('Prácticas_Snowballing'!$AB$2:$AB$281,"T071",'Prácticas_Snowballing'!$AC$2:$AC$281,"SOFTWARE QUALITY &gt; Subárea no determinable")</f>
        <v>0</v>
      </c>
      <c r="CF83" s="29">
        <f t="shared" si="62"/>
        <v>0</v>
      </c>
      <c r="CG83" s="17">
        <f>COUNTIFS('Prácticas_Revisiones'!$S$2:$S$282,"T071",'Prácticas_Revisiones'!$T$2:$T$282,"SOFTWARE SECURITY &gt; Software Security Fundamentals")+COUNTIFS('Prácticas_Snowballing'!$AB$2:$AB$281,"T071",'Prácticas_Snowballing'!$AC$2:$AC$281,"SOFTWARE SECURITY &gt; Software Security Fundamentals")</f>
        <v>0</v>
      </c>
      <c r="CH83" s="17">
        <f>COUNTIFS('Prácticas_Revisiones'!$S$2:$S$282,"T071",'Prácticas_Revisiones'!$T$2:$T$282,"SOFTWARE SECURITY &gt; Security Management and Organization")+COUNTIFS('Prácticas_Snowballing'!$AB$2:$AB$281,"T071",'Prácticas_Snowballing'!$AC$2:$AC$281,"SOFTWARE SECURITY &gt; Security Management and Organization")</f>
        <v>0</v>
      </c>
      <c r="CI83" s="17">
        <f>COUNTIFS('Prácticas_Revisiones'!$S$2:$S$282,"T071",'Prácticas_Revisiones'!$T$2:$T$282,"SOFTWARE SECURITY &gt; Software Security Engineering and Process")+COUNTIFS('Prácticas_Snowballing'!$AB$2:$AB$281,"T071",'Prácticas_Snowballing'!$AC$2:$AC$281,"SOFTWARE SECURITY &gt; Software Security Engineering and Process")</f>
        <v>0</v>
      </c>
      <c r="CJ83" s="17">
        <f>COUNTIFS('Prácticas_Revisiones'!$S$2:$S$282,"T071",'Prácticas_Revisiones'!$T$2:$T$282,"SOFTWARE SECURITY &gt; Security Engineering for Software Systems")+COUNTIFS('Prácticas_Snowballing'!$AB$2:$AB$281,"T071",'Prácticas_Snowballing'!$AC$2:$AC$281,"SOFTWARE SECURITY &gt; Security Engineering for Software Systems")</f>
        <v>0</v>
      </c>
      <c r="CK83" s="17">
        <f>COUNTIFS('Prácticas_Revisiones'!$S$2:$S$282,"T071",'Prácticas_Revisiones'!$T$2:$T$282,"SOFTWARE SECURITY &gt; Software Security Tools")+COUNTIFS('Prácticas_Snowballing'!$AB$2:$AB$281,"T071",'Prácticas_Snowballing'!$AC$2:$AC$281,"SOFTWARE SECURITY &gt; Software Security Tools")</f>
        <v>0</v>
      </c>
      <c r="CL83" s="17">
        <f>COUNTIFS('Prácticas_Revisiones'!$S$2:$S$282,"T071",'Prácticas_Revisiones'!$T$2:$T$282,"SOFTWARE SECURITY &gt; Domain Specific Software Security")+COUNTIFS('Prácticas_Snowballing'!$AB$2:$AB$281,"T071",'Prácticas_Snowballing'!$AC$2:$AC$281,"SOFTWARE SECURITY &gt; Domain Specific Software Security")</f>
        <v>0</v>
      </c>
      <c r="CM83" s="17">
        <f>COUNTIFS('Prácticas_Revisiones'!$S$2:$S$282,"T071",'Prácticas_Revisiones'!$T$2:$T$282,"SOFTWARE SECURITY &gt; Subárea no determinable")+COUNTIFS('Prácticas_Snowballing'!$AB$2:$AB$281,"T071",'Prácticas_Snowballing'!$AC$2:$AC$281,"SOFTWARE SECURITY &gt; Subárea no determinable")</f>
        <v>0</v>
      </c>
      <c r="CN83" s="29">
        <f t="shared" si="63"/>
        <v>0</v>
      </c>
      <c r="CO83" s="17">
        <f>COUNTIFS('Prácticas_Revisiones'!$S$2:$S$282,"T071",'Prácticas_Revisiones'!$T$2:$T$282,"PROFESSIONAL PRACTICE &gt; Professionalism")+COUNTIFS('Prácticas_Snowballing'!$AB$2:$AB$281,"T071",'Prácticas_Snowballing'!$AC$2:$AC$281,"PROFESSIONAL PRACTICE &gt; Professionalism")</f>
        <v>0</v>
      </c>
      <c r="CP83" s="17">
        <f>COUNTIFS('Prácticas_Revisiones'!$S$2:$S$282,"T071",'Prácticas_Revisiones'!$T$2:$T$282,"PROFESSIONAL PRACTICE &gt; Group Dynamics and Psychology")+COUNTIFS('Prácticas_Snowballing'!$AB$2:$AB$281,"T071",'Prácticas_Snowballing'!$AC$2:$AC$281,"PROFESSIONAL PRACTICE &gt; Group Dynamics and Psychology")</f>
        <v>0</v>
      </c>
      <c r="CQ83" s="17">
        <f>COUNTIFS('Prácticas_Revisiones'!$S$2:$S$282,"T071",'Prácticas_Revisiones'!$T$2:$T$282,"PROFESSIONAL PRACTICE &gt; Communication Skills")+COUNTIFS('Prácticas_Snowballing'!$AB$2:$AB$281,"T071",'Prácticas_Snowballing'!$AC$2:$AC$281,"PROFESSIONAL PRACTICE &gt; Communication Skills")</f>
        <v>0</v>
      </c>
      <c r="CR83" s="17">
        <f>COUNTIFS('Prácticas_Revisiones'!$S$2:$S$282,"T071",'Prácticas_Revisiones'!$T$2:$T$282,"PROFESSIONAL PRACTICE &gt; Subárea no determinable")+COUNTIFS('Prácticas_Snowballing'!$AB$2:$AB$281,"T071",'Prácticas_Snowballing'!$AC$2:$AC$281,"PROFESSIONAL PRACTICE &gt; Subárea no determinable")</f>
        <v>0</v>
      </c>
      <c r="CS83" s="29">
        <f t="shared" si="64"/>
        <v>0</v>
      </c>
      <c r="CT83" s="17">
        <f>COUNTIFS('Prácticas_Revisiones'!$S$2:$S$282,"T071",'Prácticas_Revisiones'!$T$2:$T$282,"SOFTWARE ENG. ECONOMICS &gt; Software Engineering Economics Fundamentals")+COUNTIFS('Prácticas_Snowballing'!$AB$2:$AB$281,"T071",'Prácticas_Snowballing'!$AC$2:$AC$281,"SOFTWARE ENG. ECONOMICS &gt; Software Engineering Economics Fundamentals")</f>
        <v>0</v>
      </c>
      <c r="CU83" s="17">
        <f>COUNTIFS('Prácticas_Revisiones'!$S$2:$S$282,"T071",'Prácticas_Revisiones'!$T$2:$T$282,"SOFTWARE ENG. ECONOMICS &gt; The Engineering Decision-Making Process")+COUNTIFS('Prácticas_Snowballing'!$AB$2:$AB$281,"T071",'Prácticas_Snowballing'!$AC$2:$AC$281,"SOFTWARE ENG. ECONOMICS &gt; The Engineering Decision-Making Process")</f>
        <v>0</v>
      </c>
      <c r="CV83" s="17">
        <f>COUNTIFS('Prácticas_Revisiones'!$S$2:$S$282,"T071",'Prácticas_Revisiones'!$T$2:$T$282,"SOFTWARE ENG. ECONOMICS &gt; For-Profit Decision-Making")+COUNTIFS('Prácticas_Snowballing'!$AB$2:$AB$281,"T071",'Prácticas_Snowballing'!$AC$2:$AC$281,"SOFTWARE ENG. ECONOMICS &gt; For-Profit Decision-Making")</f>
        <v>0</v>
      </c>
      <c r="CW83" s="17">
        <f>COUNTIFS('Prácticas_Revisiones'!$S$2:$S$282,"T071",'Prácticas_Revisiones'!$T$2:$T$282,"SOFTWARE ENG. ECONOMICS &gt; Nonprofit Decision-Making")+COUNTIFS('Prácticas_Snowballing'!$AB$2:$AB$281,"T071",'Prácticas_Snowballing'!$AC$2:$AC$281,"SOFTWARE ENG. ECONOMICS &gt; Nonprofit Decision-Making")</f>
        <v>0</v>
      </c>
      <c r="CX83" s="17">
        <f>COUNTIFS('Prácticas_Revisiones'!$S$2:$S$282,"T071",'Prácticas_Revisiones'!$T$2:$T$282,"SOFTWARE ENG. ECONOMICS &gt; Present Economy Decision-Making")+COUNTIFS('Prácticas_Snowballing'!$AB$2:$AB$281,"T071",'Prácticas_Snowballing'!$AC$2:$AC$281,"SOFTWARE ENG. ECONOMICS &gt; Present Economy Decision-Making")</f>
        <v>0</v>
      </c>
      <c r="CY83" s="17">
        <f>COUNTIFS('Prácticas_Revisiones'!$S$2:$S$282,"T071",'Prácticas_Revisiones'!$T$2:$T$282,"SOFTWARE ENG. ECONOMICS &gt; Multiple-Attribute Decision-Making")+COUNTIFS('Prácticas_Snowballing'!$AB$2:$AB$281,"T071",'Prácticas_Snowballing'!$AC$2:$AC$281,"SOFTWARE ENG. ECONOMICS &gt; Multiple-Attribute Decision-Making")</f>
        <v>0</v>
      </c>
      <c r="CZ83" s="17">
        <f>COUNTIFS('Prácticas_Revisiones'!$S$2:$S$282,"T071",'Prácticas_Revisiones'!$T$2:$T$282,"SOFTWARE ENG. ECONOMICS &gt; Identifying and Characterizing Intangible Assets")+COUNTIFS('Prácticas_Snowballing'!$AB$2:$AB$281,"T071",'Prácticas_Snowballing'!$AC$2:$AC$281,"SOFTWARE ENG. ECONOMICS &gt; Identifying and Characterizing Intangible Assets")</f>
        <v>0</v>
      </c>
      <c r="DA83" s="17">
        <f>COUNTIFS('Prácticas_Revisiones'!$S$2:$S$282,"T071",'Prácticas_Revisiones'!$T$2:$T$282,"SOFTWARE ENG. ECONOMICS &gt; Estimation")+COUNTIFS('Prácticas_Snowballing'!$AB$2:$AB$281,"T071",'Prácticas_Snowballing'!$AC$2:$AC$281,"SOFTWARE ENG. ECONOMICS &gt; Estimation")</f>
        <v>0</v>
      </c>
      <c r="DB83" s="17">
        <f>COUNTIFS('Prácticas_Revisiones'!$S$2:$S$282,"T071",'Prácticas_Revisiones'!$T$2:$T$282,"SOFTWARE ENG. ECONOMICS &gt; Practical Considerations")+COUNTIFS('Prácticas_Snowballing'!$AB$2:$AB$281,"T071",'Prácticas_Snowballing'!$AC$2:$AC$281,"SOFTWARE ENG. ECONOMICS &gt; Practical Considerations")</f>
        <v>0</v>
      </c>
      <c r="DC83" s="17">
        <f>COUNTIFS('Prácticas_Revisiones'!$S$2:$S$282,"T071",'Prácticas_Revisiones'!$T$2:$T$282,"SOFTWARE ENG. ECONOMICS &gt; Related Concepts")+COUNTIFS('Prácticas_Snowballing'!$AB$2:$AB$281,"T071",'Prácticas_Snowballing'!$AC$2:$AC$281,"SOFTWARE ENG. ECONOMICS &gt; Related Concepts")</f>
        <v>0</v>
      </c>
      <c r="DD83" s="17">
        <f>COUNTIFS('Prácticas_Revisiones'!$S$2:$S$282,"T071",'Prácticas_Revisiones'!$T$2:$T$282,"SOFTWARE ENG. ECONOMICS &gt; Subárea no determinable")+COUNTIFS('Prácticas_Snowballing'!$AB$2:$AB$281,"T071",'Prácticas_Snowballing'!$AC$2:$AC$281,"SOFTWARE ENG. ECONOMICS &gt; Subárea no determinable")</f>
        <v>0</v>
      </c>
      <c r="DE83" s="29">
        <f t="shared" si="65"/>
        <v>0</v>
      </c>
      <c r="DF83" s="17">
        <f>COUNTIFS('Prácticas_Revisiones'!$S$2:$S$282,"T071",'Prácticas_Revisiones'!$T$2:$T$282,"SOFTWARE ENG. MANAGEMENT &gt; Software Engineering Management Fundamentals")+COUNTIFS('Prácticas_Snowballing'!$AB$2:$AB$281,"T071",'Prácticas_Snowballing'!$AC$2:$AC$281,"SOFTWARE ENG. MANAGEMENT &gt; Software Engineering Management Fundamentals")</f>
        <v>0</v>
      </c>
      <c r="DG83" s="17">
        <f>COUNTIFS('Prácticas_Revisiones'!$S$2:$S$282,"T071",'Prácticas_Revisiones'!$T$2:$T$282,"SOFTWARE ENG. MANAGEMENT &gt; Initiation and Scope Definition")+COUNTIFS('Prácticas_Snowballing'!$AB$2:$AB$281,"T071",'Prácticas_Snowballing'!$AC$2:$AC$281,"SOFTWARE ENG. MANAGEMENT &gt; Initiation and Scope Definition")</f>
        <v>0</v>
      </c>
      <c r="DH83" s="17">
        <f>COUNTIFS('Prácticas_Revisiones'!$S$2:$S$282,"T071",'Prácticas_Revisiones'!$T$2:$T$282,"SOFTWARE ENG. MANAGEMENT &gt; Software Project Planning")+COUNTIFS('Prácticas_Snowballing'!$AB$2:$AB$281,"T071",'Prácticas_Snowballing'!$AC$2:$AC$281,"SOFTWARE ENG. MANAGEMENT &gt; Software Project Planning")</f>
        <v>0</v>
      </c>
      <c r="DI83" s="17">
        <f>COUNTIFS('Prácticas_Revisiones'!$S$2:$S$282,"T071",'Prácticas_Revisiones'!$T$2:$T$282,"SOFTWARE ENG. MANAGEMENT &gt; Software Project Enactment")+COUNTIFS('Prácticas_Snowballing'!$AB$2:$AB$281,"T071",'Prácticas_Snowballing'!$AC$2:$AC$281,"SOFTWARE ENG. MANAGEMENT &gt; Software Project Enactment")</f>
        <v>0</v>
      </c>
      <c r="DJ83" s="17">
        <f>COUNTIFS('Prácticas_Revisiones'!$S$2:$S$282,"T071",'Prácticas_Revisiones'!$T$2:$T$282,"SOFTWARE ENG. MANAGEMENT &gt; Review and Evaluation")+COUNTIFS('Prácticas_Snowballing'!$AB$2:$AB$281,"T071",'Prácticas_Snowballing'!$AC$2:$AC$281,"SOFTWARE ENG. MANAGEMENT &gt; Review and Evaluation")</f>
        <v>0</v>
      </c>
      <c r="DK83" s="17">
        <f>COUNTIFS('Prácticas_Revisiones'!$S$2:$S$282,"T071",'Prácticas_Revisiones'!$T$2:$T$282,"SOFTWARE ENG. MANAGEMENT &gt; Closure")+COUNTIFS('Prácticas_Snowballing'!$AB$2:$AB$281,"T071",'Prácticas_Snowballing'!$AC$2:$AC$281,"SOFTWARE ENG. MANAGEMENT &gt; Closure")</f>
        <v>0</v>
      </c>
      <c r="DL83" s="17">
        <f>COUNTIFS('Prácticas_Revisiones'!$S$2:$S$282,"T071",'Prácticas_Revisiones'!$T$2:$T$282,"SOFTWARE ENG. MANAGEMENT &gt; Software Engineering Management Tools")+COUNTIFS('Prácticas_Snowballing'!$AB$2:$AB$281,"T071",'Prácticas_Snowballing'!$AC$2:$AC$281,"SOFTWARE ENG. MANAGEMENT &gt; Software Engineering Management Tools")</f>
        <v>0</v>
      </c>
      <c r="DM83" s="17">
        <f>COUNTIFS('Prácticas_Revisiones'!$S$2:$S$282,"T071",'Prácticas_Revisiones'!$T$2:$T$282,"SOFTWARE ENG. MANAGEMENT &gt; Subárea no determinable")+COUNTIFS('Prácticas_Snowballing'!$AB$2:$AB$281,"T071",'Prácticas_Snowballing'!$AC$2:$AC$281,"SOFTWARE ENG. MANAGEMENT &gt; Subárea no determinable")</f>
        <v>0</v>
      </c>
      <c r="DN83" s="29">
        <f t="shared" si="66"/>
        <v>0</v>
      </c>
      <c r="DO83" s="17">
        <f>COUNTIFS('Prácticas_Revisiones'!$S$2:$S$282,"T071",'Prácticas_Revisiones'!$T$2:$T$282,"Sin área SWEBOK")+COUNTIFS('Prácticas_Snowballing'!$AB$2:$AB$281,"T071",'Prácticas_Snowballing'!$AC$2:$AC$281,"Sin área SWEBOK")</f>
        <v>0</v>
      </c>
      <c r="DP83" s="27">
        <f t="shared" si="67"/>
        <v>0</v>
      </c>
    </row>
    <row r="84" ht="15.75" customHeight="1">
      <c r="A84" s="28"/>
      <c r="B84" s="16" t="s">
        <v>2848</v>
      </c>
      <c r="C84" s="17">
        <f>COUNTIFS('Prácticas_Revisiones'!$S$2:$S$282,"T072",'Prácticas_Revisiones'!$T$2:$T$282,"REQUIREMENTS &gt; Software Requirements Fundamentals")+COUNTIFS('Prácticas_Snowballing'!$AB$2:$AB$281,"T072",'Prácticas_Snowballing'!$AC$2:$AC$281,"REQUIREMENTS &gt; Software Requirements Fundamentals")</f>
        <v>0</v>
      </c>
      <c r="D84" s="17">
        <f>COUNTIFS('Prácticas_Revisiones'!$S$2:$S$282,"T072",'Prácticas_Revisiones'!$T$2:$T$282,"REQUIREMENTS &gt; Requirements Elicitation")+COUNTIFS('Prácticas_Snowballing'!$AB$2:$AB$281,"T072",'Prácticas_Snowballing'!$AC$2:$AC$281,"REQUIREMENTS &gt; Requirements Elicitation")</f>
        <v>0</v>
      </c>
      <c r="E84" s="17">
        <f>COUNTIFS('Prácticas_Revisiones'!$S$2:$S$282,"T072",'Prácticas_Revisiones'!$T$2:$T$282,"REQUIREMENTS &gt; Requirements Analysis")+COUNTIFS('Prácticas_Snowballing'!$AB$2:$AB$281,"T072",'Prácticas_Snowballing'!$AC$2:$AC$281,"REQUIREMENTS &gt; Requirements Analysis")</f>
        <v>0</v>
      </c>
      <c r="F84" s="17">
        <f>COUNTIFS('Prácticas_Revisiones'!$S$2:$S$282,"T072",'Prácticas_Revisiones'!$T$2:$T$282,"REQUIREMENTS &gt; Requirements Specification")+COUNTIFS('Prácticas_Snowballing'!$AB$2:$AB$281,"T072",'Prácticas_Snowballing'!$AC$2:$AC$281,"REQUIREMENTS &gt; Requirements Specification")</f>
        <v>0</v>
      </c>
      <c r="G84" s="17">
        <f>COUNTIFS('Prácticas_Revisiones'!$S$2:$S$282,"T072",'Prácticas_Revisiones'!$T$2:$T$282,"REQUIREMENTS &gt; Requirements Validation")+COUNTIFS('Prácticas_Snowballing'!$AB$2:$AB$281,"T072",'Prácticas_Snowballing'!$AC$2:$AC$281,"REQUIREMENTS &gt; Requirements Validation")</f>
        <v>0</v>
      </c>
      <c r="H84" s="17">
        <f>COUNTIFS('Prácticas_Revisiones'!$S$2:$S$282,"T072",'Prácticas_Revisiones'!$T$2:$T$282,"REQUIREMENTS &gt; Requirements Management Activities")+COUNTIFS('Prácticas_Snowballing'!$AB$2:$AB$281,"T072",'Prácticas_Snowballing'!$AC$2:$AC$281,"REQUIREMENTS &gt; Requirements Management Activities")</f>
        <v>1</v>
      </c>
      <c r="I84" s="17">
        <f>COUNTIFS('Prácticas_Revisiones'!$S$2:$S$282,"T072",'Prácticas_Revisiones'!$T$2:$T$282,"REQUIREMENTS &gt; Practical Considerations")+COUNTIFS('Prácticas_Snowballing'!$AB$2:$AB$281,"T072",'Prácticas_Snowballing'!$AC$2:$AC$281,"REQUIREMENTS &gt; Practical Considerations")</f>
        <v>0</v>
      </c>
      <c r="J84" s="17">
        <f>COUNTIFS('Prácticas_Revisiones'!$S$2:$S$282,"T072",'Prácticas_Revisiones'!$T$2:$T$282,"REQUIREMENTS &gt; Software Requirements Tools")+COUNTIFS('Prácticas_Snowballing'!$AB$2:$AB$281,"T072",'Prácticas_Snowballing'!$AC$2:$AC$281,"REQUIREMENTS &gt; Software Requirements Tools")</f>
        <v>0</v>
      </c>
      <c r="K84" s="17">
        <f>COUNTIFS('Prácticas_Revisiones'!$S$2:$S$282,"T072",'Prácticas_Revisiones'!$T$2:$T$282,"REQUIREMENTS &gt; Subárea no determinable")+COUNTIFS('Prácticas_Snowballing'!$AB$2:$AB$281,"T072",'Prácticas_Snowballing'!$AC$2:$AC$281,"REQUIREMENTS &gt; Subárea no determinable")</f>
        <v>0</v>
      </c>
      <c r="L84" s="29">
        <f t="shared" si="52"/>
        <v>1</v>
      </c>
      <c r="M84" s="17">
        <f>COUNTIFS('Prácticas_Revisiones'!$S$2:$S$282,"T072",'Prácticas_Revisiones'!$T$2:$T$282,"ARCHITECTURE &gt; Software Architecture Fundamentals")+COUNTIFS('Prácticas_Snowballing'!$AB$2:$AB$281,"T072",'Prácticas_Snowballing'!$AC$2:$AC$281,"ARCHITECTURE &gt; Software Architecture Fundamentals")</f>
        <v>0</v>
      </c>
      <c r="N84" s="17">
        <f>COUNTIFS('Prácticas_Revisiones'!$S$2:$S$282,"T072",'Prácticas_Revisiones'!$T$2:$T$282,"ARCHITECTURE &gt; Software Architecture Description")+COUNTIFS('Prácticas_Snowballing'!$AB$2:$AB$281,"T072",'Prácticas_Snowballing'!$AC$2:$AC$281,"ARCHITECTURE &gt; Software Architecture Description")</f>
        <v>0</v>
      </c>
      <c r="O84" s="17">
        <f>COUNTIFS('Prácticas_Revisiones'!$S$2:$S$282,"T072",'Prácticas_Revisiones'!$T$2:$T$282,"ARCHITECTURE &gt; Software Architecture Process")+COUNTIFS('Prácticas_Snowballing'!$AB$2:$AB$281,"T072",'Prácticas_Snowballing'!$AC$2:$AC$281,"ARCHITECTURE &gt; Software Architecture Process")</f>
        <v>0</v>
      </c>
      <c r="P84" s="17">
        <f>COUNTIFS('Prácticas_Revisiones'!$S$2:$S$282,"T072",'Prácticas_Revisiones'!$T$2:$T$282,"ARCHITECTURE &gt; Software Architecture Evaluation")+COUNTIFS('Prácticas_Snowballing'!$AB$2:$AB$281,"T072",'Prácticas_Snowballing'!$AC$2:$AC$281,"ARCHITECTURE &gt; Software Architecture Evaluation")</f>
        <v>0</v>
      </c>
      <c r="Q84" s="17">
        <f>COUNTIFS('Prácticas_Revisiones'!$S$2:$S$282,"T072",'Prácticas_Revisiones'!$T$2:$T$282,"ARCHITECTURE &gt; Subárea no determinable")+COUNTIFS('Prácticas_Snowballing'!$AB$2:$AB$281,"T072",'Prácticas_Snowballing'!$AC$2:$AC$281,"ARCHITECTURE &gt; Subárea no determinable")</f>
        <v>0</v>
      </c>
      <c r="R84" s="29">
        <f t="shared" si="53"/>
        <v>0</v>
      </c>
      <c r="S84" s="17">
        <f>COUNTIFS('Prácticas_Revisiones'!$S$2:$S$282,"T072",'Prácticas_Revisiones'!$T$2:$T$282,"DESIGN &gt; Software Design Fundamentals")+COUNTIFS('Prácticas_Snowballing'!$AB$2:$AB$281,"T072",'Prácticas_Snowballing'!$AC$2:$AC$281,"DESIGN &gt; Software Design Fundamentals")</f>
        <v>0</v>
      </c>
      <c r="T84" s="17">
        <f>COUNTIFS('Prácticas_Revisiones'!$S$2:$S$282,"T072",'Prácticas_Revisiones'!$T$2:$T$282,"DESIGN &gt; Software Design Processes")+COUNTIFS('Prácticas_Snowballing'!$AB$2:$AB$281,"T072",'Prácticas_Snowballing'!$AC$2:$AC$281,"DESIGN &gt; Software Design Processes")</f>
        <v>0</v>
      </c>
      <c r="U84" s="17">
        <f>COUNTIFS('Prácticas_Revisiones'!$S$2:$S$282,"T072",'Prácticas_Revisiones'!$T$2:$T$282,"DESIGN &gt; Software Design Qualities")+COUNTIFS('Prácticas_Snowballing'!$AB$2:$AB$281,"T072",'Prácticas_Snowballing'!$AC$2:$AC$281,"DESIGN &gt; Software Design Qualities")</f>
        <v>0</v>
      </c>
      <c r="V84" s="17">
        <f>COUNTIFS('Prácticas_Revisiones'!$S$2:$S$282,"T072",'Prácticas_Revisiones'!$T$2:$T$282,"DESIGN &gt; Recording Software Design")+COUNTIFS('Prácticas_Snowballing'!$AB$2:$AB$281,"T072",'Prácticas_Snowballing'!$AC$2:$AC$281,"DESIGN &gt; Recording Software Design")</f>
        <v>0</v>
      </c>
      <c r="W84" s="17">
        <f>COUNTIFS('Prácticas_Revisiones'!$S$2:$S$282,"T072",'Prácticas_Revisiones'!$T$2:$T$282,"DESIGN &gt; Software Design Strategies and Methods")+COUNTIFS('Prácticas_Snowballing'!$AB$2:$AB$281,"T072",'Prácticas_Snowballing'!$AC$2:$AC$281,"DESIGN &gt; Software Design Strategies and Methods")</f>
        <v>0</v>
      </c>
      <c r="X84" s="17">
        <f>COUNTIFS('Prácticas_Revisiones'!$S$2:$S$282,"T072",'Prácticas_Revisiones'!$T$2:$T$282,"DESIGN &gt; Software Design Analysis and Evaluations")+COUNTIFS('Prácticas_Snowballing'!$AB$2:$AB$281,"T072",'Prácticas_Snowballing'!$AC$2:$AC$281,"DESIGN &gt; Software Design Analysis and Evaluations")</f>
        <v>0</v>
      </c>
      <c r="Y84" s="17">
        <f>COUNTIFS('Prácticas_Revisiones'!$S$2:$S$282,"T072",'Prácticas_Revisiones'!$T$2:$T$282,"DESIGN &gt; Subárea no determinable")+COUNTIFS('Prácticas_Snowballing'!$AB$2:$AB$281,"T072",'Prácticas_Snowballing'!$AC$2:$AC$281,"DESIGN &gt; Subárea no determinable")</f>
        <v>0</v>
      </c>
      <c r="Z84" s="29">
        <f t="shared" si="54"/>
        <v>0</v>
      </c>
      <c r="AA84" s="17">
        <f>COUNTIFS('Prácticas_Revisiones'!$S$2:$S$282,"T072",'Prácticas_Revisiones'!$T$2:$T$282,"CONSTRUCTION &gt; Software Construction Fundamentals")+COUNTIFS('Prácticas_Snowballing'!$AB$2:$AB$281,"T072",'Prácticas_Snowballing'!$AC$2:$AC$281,"CONSTRUCTION &gt; Software Construction Fundamentals")</f>
        <v>0</v>
      </c>
      <c r="AB84" s="17">
        <f>COUNTIFS('Prácticas_Revisiones'!$S$2:$S$282,"T072",'Prácticas_Revisiones'!$T$2:$T$282,"CONSTRUCTION &gt; Managing Construction")+COUNTIFS('Prácticas_Snowballing'!$AB$2:$AB$281,"T072",'Prácticas_Snowballing'!$AC$2:$AC$281,"CONSTRUCTION &gt; Managing Construction")</f>
        <v>0</v>
      </c>
      <c r="AC84" s="17">
        <f>COUNTIFS('Prácticas_Revisiones'!$S$2:$S$282,"T072",'Prácticas_Revisiones'!$T$2:$T$282,"CONSTRUCTION &gt; Practical Considerations")+COUNTIFS('Prácticas_Snowballing'!$AB$2:$AB$281,"T072",'Prácticas_Snowballing'!$AC$2:$AC$281,"CONSTRUCTION &gt; Practical Considerations")</f>
        <v>0</v>
      </c>
      <c r="AD84" s="17">
        <f>COUNTIFS('Prácticas_Revisiones'!$S$2:$S$282,"T072",'Prácticas_Revisiones'!$T$2:$T$282,"CONSTRUCTION &gt; Construction Technologies")+COUNTIFS('Prácticas_Snowballing'!$AB$2:$AB$281,"T072",'Prácticas_Snowballing'!$AC$2:$AC$281,"CONSTRUCTION &gt; Construction Technologies")</f>
        <v>0</v>
      </c>
      <c r="AE84" s="17">
        <f>COUNTIFS('Prácticas_Revisiones'!$S$2:$S$282,"T072",'Prácticas_Revisiones'!$T$2:$T$282,"CONSTRUCTION &gt; Software Construction Tools")+COUNTIFS('Prácticas_Snowballing'!$AB$2:$AB$281,"T072",'Prácticas_Snowballing'!$AC$2:$AC$281,"CONSTRUCTION &gt; Software Construction Tools")</f>
        <v>0</v>
      </c>
      <c r="AF84" s="17">
        <f>COUNTIFS('Prácticas_Revisiones'!$S$2:$S$282,"T072",'Prácticas_Revisiones'!$T$2:$T$282,"CONSTRUCTION &gt; Subárea no determinable")+COUNTIFS('Prácticas_Snowballing'!$AB$2:$AB$281,"T072",'Prácticas_Snowballing'!$AC$2:$AC$281,"CONSTRUCTION &gt; Subárea no determinable")</f>
        <v>0</v>
      </c>
      <c r="AG84" s="29">
        <f t="shared" si="55"/>
        <v>0</v>
      </c>
      <c r="AH84" s="17">
        <f>COUNTIFS('Prácticas_Revisiones'!$S$2:$S$282,"T072",'Prácticas_Revisiones'!$T$2:$T$282,"SOFTWARE TESTING &gt; Software Testing Fundamentals")+COUNTIFS('Prácticas_Snowballing'!$AB$2:$AB$281,"T072",'Prácticas_Snowballing'!$AC$2:$AC$281,"SOFTWARE TESTING &gt; Software Testing Fundamentals")</f>
        <v>0</v>
      </c>
      <c r="AI84" s="17">
        <f>COUNTIFS('Prácticas_Revisiones'!$S$2:$S$282,"T072",'Prácticas_Revisiones'!$T$2:$T$282,"SOFTWARE TESTING &gt; Test Levels")+COUNTIFS('Prácticas_Snowballing'!$AB$2:$AB$281,"T072",'Prácticas_Snowballing'!$AC$2:$AC$281,"SOFTWARE TESTING &gt; Test Levels")</f>
        <v>0</v>
      </c>
      <c r="AJ84" s="17">
        <f>COUNTIFS('Prácticas_Revisiones'!$S$2:$S$282,"T072",'Prácticas_Revisiones'!$T$2:$T$282,"SOFTWARE TESTING &gt; Test Techniques")+COUNTIFS('Prácticas_Snowballing'!$AB$2:$AB$281,"T072",'Prácticas_Snowballing'!$AC$2:$AC$281,"SOFTWARE TESTING &gt; Test Techniques")</f>
        <v>0</v>
      </c>
      <c r="AK84" s="17">
        <f>COUNTIFS('Prácticas_Revisiones'!$S$2:$S$282,"T072",'Prácticas_Revisiones'!$T$2:$T$282,"SOFTWARE TESTING &gt; Test-Related Measures")+COUNTIFS('Prácticas_Snowballing'!$AB$2:$AB$281,"T072",'Prácticas_Snowballing'!$AC$2:$AC$281,"SOFTWARE TESTING &gt; Test-Related Measures")</f>
        <v>0</v>
      </c>
      <c r="AL84" s="17">
        <f>COUNTIFS('Prácticas_Revisiones'!$S$2:$S$282,"T072",'Prácticas_Revisiones'!$T$2:$T$282,"SOFTWARE TESTING &gt; Test Process")+COUNTIFS('Prácticas_Snowballing'!$AB$2:$AB$281,"T072",'Prácticas_Snowballing'!$AC$2:$AC$281,"SOFTWARE TESTING &gt; Test Process")</f>
        <v>0</v>
      </c>
      <c r="AM84" s="17">
        <f>COUNTIFS('Prácticas_Revisiones'!$S$2:$S$282,"T072",'Prácticas_Revisiones'!$T$2:$T$282,"SOFTWARE TESTING &gt; Software Testing in the Development Processes...")+COUNTIFS('Prácticas_Snowballing'!$AB$2:$AB$281,"T072",'Prácticas_Snowballing'!$AC$2:$AC$281,"SOFTWARE TESTING &gt; Software Testing in the Development Processes...")</f>
        <v>0</v>
      </c>
      <c r="AN84" s="17">
        <f>COUNTIFS('Prácticas_Revisiones'!$S$2:$S$282,"T072",'Prácticas_Revisiones'!$T$2:$T$282,"SOFTWARE TESTING &gt; Testing of and Testing Through Emerging Tech...")+COUNTIFS('Prácticas_Snowballing'!$AB$2:$AB$281,"T072",'Prácticas_Snowballing'!$AC$2:$AC$281,"SOFTWARE TESTING &gt; Testing of and Testing Through Emerging Tech...")</f>
        <v>0</v>
      </c>
      <c r="AO84" s="17">
        <f>COUNTIFS('Prácticas_Revisiones'!$S$2:$S$282,"T072",'Prácticas_Revisiones'!$T$2:$T$282,"SOFTWARE TESTING &gt; Software Testing Tools")+COUNTIFS('Prácticas_Snowballing'!$AB$2:$AB$281,"T072",'Prácticas_Snowballing'!$AC$2:$AC$281,"SOFTWARE TESTING &gt; Software Testing Tools")</f>
        <v>0</v>
      </c>
      <c r="AP84" s="17">
        <f>COUNTIFS('Prácticas_Revisiones'!$S$2:$S$282,"T072",'Prácticas_Revisiones'!$T$2:$T$282,"SOFTWARE TESTING &gt; Subárea no determinable")+COUNTIFS('Prácticas_Snowballing'!$AB$2:$AB$281,"T072",'Prácticas_Snowballing'!$AC$2:$AC$281,"SOFTWARE TESTING &gt; Subárea no determinable")</f>
        <v>0</v>
      </c>
      <c r="AQ84" s="29">
        <f t="shared" si="56"/>
        <v>0</v>
      </c>
      <c r="AR84" s="17">
        <f>COUNTIFS('Prácticas_Revisiones'!$S$2:$S$282,"T072",'Prácticas_Revisiones'!$T$2:$T$282,"SOFTWARE ENG. OPERATIONS &gt; Software Engineering Operations Fundamentals")+COUNTIFS('Prácticas_Snowballing'!$AB$2:$AB$281,"T072",'Prácticas_Snowballing'!$AC$2:$AC$281,"SOFTWARE ENG. OPERATIONS &gt; Software Engineering Operations Fundamentals")</f>
        <v>0</v>
      </c>
      <c r="AS84" s="17">
        <f>COUNTIFS('Prácticas_Revisiones'!$S$2:$S$282,"T072",'Prácticas_Revisiones'!$T$2:$T$282,"SOFTWARE ENG. OPERATIONS &gt; Software Engineering Operations Planning")+COUNTIFS('Prácticas_Snowballing'!$AB$2:$AB$281,"T072",'Prácticas_Snowballing'!$AC$2:$AC$281,"SOFTWARE ENG. OPERATIONS &gt; Software Engineering Operations Planning")</f>
        <v>0</v>
      </c>
      <c r="AT84" s="17">
        <f>COUNTIFS('Prácticas_Revisiones'!$S$2:$S$282,"T072",'Prácticas_Revisiones'!$T$2:$T$282,"SOFTWARE ENG. OPERATIONS &gt; Software Engineering Operations Delivery")+COUNTIFS('Prácticas_Snowballing'!$AB$2:$AB$281,"T072",'Prácticas_Snowballing'!$AC$2:$AC$281,"SOFTWARE ENG. OPERATIONS &gt; Software Engineering Operations Delivery")</f>
        <v>0</v>
      </c>
      <c r="AU84" s="17">
        <f>COUNTIFS('Prácticas_Revisiones'!$S$2:$S$282,"T072",'Prácticas_Revisiones'!$T$2:$T$282,"SOFTWARE ENG. OPERATIONS &gt; Software Engineering Operations Control")+COUNTIFS('Prácticas_Snowballing'!$AB$2:$AB$281,"T072",'Prácticas_Snowballing'!$AC$2:$AC$281,"SOFTWARE ENG. OPERATIONS &gt; Software Engineering Operations Control")</f>
        <v>0</v>
      </c>
      <c r="AV84" s="17">
        <f>COUNTIFS('Prácticas_Revisiones'!$S$2:$S$282,"T072",'Prácticas_Revisiones'!$T$2:$T$282,"SOFTWARE ENG. OPERATIONS &gt; Practical Considerations")+COUNTIFS('Prácticas_Snowballing'!$AB$2:$AB$281,"T072",'Prácticas_Snowballing'!$AC$2:$AC$281,"SOFTWARE ENG. OPERATIONS &gt; Practical Considerations")</f>
        <v>0</v>
      </c>
      <c r="AW84" s="17">
        <f>COUNTIFS('Prácticas_Revisiones'!$S$2:$S$282,"T072",'Prácticas_Revisiones'!$T$2:$T$282,"SOFTWARE ENG. OPERATIONS &gt; Software Engineering Operations Tools")+COUNTIFS('Prácticas_Snowballing'!$AB$2:$AB$281,"T072",'Prácticas_Snowballing'!$AC$2:$AC$281,"SOFTWARE ENG. OPERATIONS &gt; Software Engineering Operations Tools")</f>
        <v>0</v>
      </c>
      <c r="AX84" s="17">
        <f>COUNTIFS('Prácticas_Revisiones'!$S$2:$S$282,"T072",'Prácticas_Revisiones'!$T$2:$T$282,"SOFTWARE ENG. OPERATIONS &gt; Subárea no determinable")+COUNTIFS('Prácticas_Snowballing'!$AB$2:$AB$281,"T072",'Prácticas_Snowballing'!$AC$2:$AC$281,"SOFTWARE ENG. OPERATIONS &gt; Subárea no determinable")</f>
        <v>0</v>
      </c>
      <c r="AY84" s="29">
        <f t="shared" si="57"/>
        <v>0</v>
      </c>
      <c r="AZ84" s="17">
        <f>COUNTIFS('Prácticas_Revisiones'!$S$2:$S$282,"T072",'Prácticas_Revisiones'!$T$2:$T$282,"MAINTENANCE &gt; Software Maintenance Fundamentals")+COUNTIFS('Prácticas_Snowballing'!$AB$2:$AB$281,"T072",'Prácticas_Snowballing'!$AC$2:$AC$281,"MAINTENANCE &gt; Software Maintenance Fundamentals")</f>
        <v>0</v>
      </c>
      <c r="BA84" s="17">
        <f>COUNTIFS('Prácticas_Revisiones'!$S$2:$S$282,"T072",'Prácticas_Revisiones'!$T$2:$T$282,"MAINTENANCE &gt; Key Issues in Software Maintenance")+COUNTIFS('Prácticas_Snowballing'!$AB$2:$AB$281,"T072",'Prácticas_Snowballing'!$AC$2:$AC$281,"MAINTENANCE &gt; Key Issues in Software Maintenance")</f>
        <v>0</v>
      </c>
      <c r="BB84" s="17">
        <f>COUNTIFS('Prácticas_Revisiones'!$S$2:$S$282,"T072",'Prácticas_Revisiones'!$T$2:$T$282,"MAINTENANCE &gt; Software Maintenance Processes")+COUNTIFS('Prácticas_Snowballing'!$AB$2:$AB$281,"T072",'Prácticas_Snowballing'!$AC$2:$AC$281,"MAINTENANCE &gt; Software Maintenance Processes")</f>
        <v>0</v>
      </c>
      <c r="BC84" s="17">
        <f>COUNTIFS('Prácticas_Revisiones'!$S$2:$S$282,"T072",'Prácticas_Revisiones'!$T$2:$T$282,"MAINTENANCE &gt; Software Maintenance Techniques")+COUNTIFS('Prácticas_Snowballing'!$AB$2:$AB$281,"T072",'Prácticas_Snowballing'!$AC$2:$AC$281,"MAINTENANCE &gt; Software Maintenance Techniques")</f>
        <v>1</v>
      </c>
      <c r="BD84" s="17">
        <f>COUNTIFS('Prácticas_Revisiones'!$S$2:$S$282,"T072",'Prácticas_Revisiones'!$T$2:$T$282,"MAINTENANCE &gt; Software Maintenance Tools")+COUNTIFS('Prácticas_Snowballing'!$AB$2:$AB$281,"T072",'Prácticas_Snowballing'!$AC$2:$AC$281,"MAINTENANCE &gt; Software Maintenance Tools")</f>
        <v>0</v>
      </c>
      <c r="BE84" s="17">
        <f>COUNTIFS('Prácticas_Revisiones'!$S$2:$S$282,"T072",'Prácticas_Revisiones'!$T$2:$T$282,"MAINTENANCE &gt; Subárea no determinable")+COUNTIFS('Prácticas_Snowballing'!$AB$2:$AB$281,"T072",'Prácticas_Snowballing'!$AC$2:$AC$281,"MAINTENANCE &gt; Subárea no determinable")</f>
        <v>0</v>
      </c>
      <c r="BF84" s="29">
        <f t="shared" si="58"/>
        <v>1</v>
      </c>
      <c r="BG84" s="17">
        <f>COUNTIFS('Prácticas_Revisiones'!$S$2:$S$282,"T072",'Prácticas_Revisiones'!$T$2:$T$282,"SOFTWARE CONFIG. MGMT. &gt; Management of the SCM Process")+COUNTIFS('Prácticas_Snowballing'!$AB$2:$AB$281,"T072",'Prácticas_Snowballing'!$AC$2:$AC$281,"SOFTWARE CONFIG. MGMT. &gt; Management of the SCM Process")</f>
        <v>0</v>
      </c>
      <c r="BH84" s="17">
        <f>COUNTIFS('Prácticas_Revisiones'!$S$2:$S$282,"T072",'Prácticas_Revisiones'!$T$2:$T$282,"SOFTWARE CONFIG. MGMT. &gt; Software Configuration Identification")+COUNTIFS('Prácticas_Snowballing'!$AB$2:$AB$281,"T072",'Prácticas_Snowballing'!$AC$2:$AC$281,"SOFTWARE CONFIG. MGMT. &gt; Software Configuration Identification")</f>
        <v>0</v>
      </c>
      <c r="BI84" s="17">
        <f>COUNTIFS('Prácticas_Revisiones'!$S$2:$S$282,"T072",'Prácticas_Revisiones'!$T$2:$T$282,"SOFTWARE CONFIG. MGMT. &gt; Software Configuration Change Control")+COUNTIFS('Prácticas_Snowballing'!$AB$2:$AB$281,"T072",'Prácticas_Snowballing'!$AC$2:$AC$281,"SOFTWARE CONFIG. MGMT. &gt; Software Configuration Change Control")</f>
        <v>0</v>
      </c>
      <c r="BJ84" s="17">
        <f>COUNTIFS('Prácticas_Revisiones'!$S$2:$S$282,"T072",'Prácticas_Revisiones'!$T$2:$T$282,"SOFTWARE CONFIG. MGMT. &gt; Software Configuration Status Accounting")+COUNTIFS('Prácticas_Snowballing'!$AB$2:$AB$281,"T072",'Prácticas_Snowballing'!$AC$2:$AC$281,"SOFTWARE CONFIG. MGMT. &gt; Software Configuration Status Accounting")</f>
        <v>0</v>
      </c>
      <c r="BK84" s="17">
        <f>COUNTIFS('Prácticas_Revisiones'!$S$2:$S$282,"T072",'Prácticas_Revisiones'!$T$2:$T$282,"SOFTWARE CONFIG. MGMT. &gt; Software Configuration Auditing")+COUNTIFS('Prácticas_Snowballing'!$AB$2:$AB$281,"T072",'Prácticas_Snowballing'!$AC$2:$AC$281,"SOFTWARE CONFIG. MGMT. &gt; Software Configuration Auditing")</f>
        <v>0</v>
      </c>
      <c r="BL84" s="17">
        <f>COUNTIFS('Prácticas_Revisiones'!$S$2:$S$282,"T072",'Prácticas_Revisiones'!$T$2:$T$282,"SOFTWARE CONFIG. MGMT. &gt; Software Release Management and Delivery")+COUNTIFS('Prácticas_Snowballing'!$AB$2:$AB$281,"T072",'Prácticas_Snowballing'!$AC$2:$AC$281,"SOFTWARE CONFIG. MGMT. &gt; Software Release Management and Delivery")</f>
        <v>0</v>
      </c>
      <c r="BM84" s="17">
        <f>COUNTIFS('Prácticas_Revisiones'!$S$2:$S$282,"T072",'Prácticas_Revisiones'!$T$2:$T$282,"SOFTWARE CONFIG. MGMT. &gt; Software Configuration Management Tools")+COUNTIFS('Prácticas_Snowballing'!$AB$2:$AB$281,"T072",'Prácticas_Snowballing'!$AC$2:$AC$281,"SOFTWARE CONFIG. MGMT. &gt; Software Configuration Management Tools")</f>
        <v>0</v>
      </c>
      <c r="BN84" s="17">
        <f>COUNTIFS('Prácticas_Revisiones'!$S$2:$S$282,"T072",'Prácticas_Revisiones'!$T$2:$T$282,"SOFTWARE CONFIG. MGMT. &gt; Subárea no determinable")+COUNTIFS('Prácticas_Snowballing'!$AB$2:$AB$281,"T072",'Prácticas_Snowballing'!$AC$2:$AC$281,"SOFTWARE CONFIG. MGMT. &gt; Subárea no determinable")</f>
        <v>0</v>
      </c>
      <c r="BO84" s="29">
        <f t="shared" si="59"/>
        <v>0</v>
      </c>
      <c r="BP84" s="17">
        <f>COUNTIFS('Prácticas_Revisiones'!$S$2:$S$282,"T072",'Prácticas_Revisiones'!$T$2:$T$282,"SOFTWARE ENG. PROCESS &gt; Software Engineering Process Fundamentals")+COUNTIFS('Prácticas_Snowballing'!$AB$2:$AB$281,"T072",'Prácticas_Snowballing'!$AC$2:$AC$281,"SOFTWARE ENG. PROCESS &gt; Software Engineering Process Fundamentals")</f>
        <v>0</v>
      </c>
      <c r="BQ84" s="17">
        <f>COUNTIFS('Prácticas_Revisiones'!$S$2:$S$282,"T072",'Prácticas_Revisiones'!$T$2:$T$282,"SOFTWARE ENG. PROCESS &gt; Life Cycles")+COUNTIFS('Prácticas_Snowballing'!$AB$2:$AB$281,"T072",'Prácticas_Snowballing'!$AC$2:$AC$281,"SOFTWARE ENG. PROCESS &gt; Life Cycles")</f>
        <v>0</v>
      </c>
      <c r="BR84" s="17">
        <f>COUNTIFS('Prácticas_Revisiones'!$S$2:$S$282,"T072",'Prácticas_Revisiones'!$T$2:$T$282,"SOFTWARE ENG. PROCESS &gt; Software Process Assessment and Improvement")+COUNTIFS('Prácticas_Snowballing'!$AB$2:$AB$281,"T072",'Prácticas_Snowballing'!$AC$2:$AC$281,"SOFTWARE ENG. PROCESS &gt; Software Process Assessment and Improvement")</f>
        <v>0</v>
      </c>
      <c r="BS84" s="17">
        <f>COUNTIFS('Prácticas_Revisiones'!$S$2:$S$282,"T072",'Prácticas_Revisiones'!$T$2:$T$282,"SOFTWARE ENG. PROCESS &gt; Subárea no determinable")+COUNTIFS('Prácticas_Snowballing'!$AB$2:$AB$281,"T072",'Prácticas_Snowballing'!$AC$2:$AC$281,"SOFTWARE ENG. PROCESS &gt; Subárea no determinable")</f>
        <v>0</v>
      </c>
      <c r="BT84" s="29">
        <f t="shared" si="60"/>
        <v>0</v>
      </c>
      <c r="BU84" s="17">
        <f>COUNTIFS('Prácticas_Revisiones'!$S$2:$S$282,"T072",'Prácticas_Revisiones'!$T$2:$T$282,"SOFTWARE ENG. MODELS/METH. &gt; Modeling")+COUNTIFS('Prácticas_Snowballing'!$AB$2:$AB$281,"T072",'Prácticas_Snowballing'!$AC$2:$AC$281,"SOFTWARE ENG. MODELS/METH. &gt; Modeling")</f>
        <v>0</v>
      </c>
      <c r="BV84" s="17">
        <f>COUNTIFS('Prácticas_Revisiones'!$S$2:$S$282,"T072",'Prácticas_Revisiones'!$T$2:$T$282,"SOFTWARE ENG. MODELS/METH. &gt; Types of Models")+COUNTIFS('Prácticas_Snowballing'!$AB$2:$AB$281,"T072",'Prácticas_Snowballing'!$AC$2:$AC$281,"SOFTWARE ENG. MODELS/METH. &gt; Types of Models")</f>
        <v>0</v>
      </c>
      <c r="BW84" s="17">
        <f>COUNTIFS('Prácticas_Revisiones'!$S$2:$S$282,"T072",'Prácticas_Revisiones'!$T$2:$T$282,"SOFTWARE ENG. MODELS/METH. &gt; Analysis of Models")+COUNTIFS('Prácticas_Snowballing'!$AB$2:$AB$281,"T072",'Prácticas_Snowballing'!$AC$2:$AC$281,"SOFTWARE ENG. MODELS/METH. &gt; Analysis of Models")</f>
        <v>0</v>
      </c>
      <c r="BX84" s="17">
        <f>COUNTIFS('Prácticas_Revisiones'!$S$2:$S$282,"T072",'Prácticas_Revisiones'!$T$2:$T$282,"SOFTWARE ENG. MODELS/METH. &gt; Software Engineering Methods")+COUNTIFS('Prácticas_Snowballing'!$AB$2:$AB$281,"T072",'Prácticas_Snowballing'!$AC$2:$AC$281,"SOFTWARE ENG. MODELS/METH. &gt; Software Engineering Methods")</f>
        <v>0</v>
      </c>
      <c r="BY84" s="17">
        <f>COUNTIFS('Prácticas_Revisiones'!$S$2:$S$282,"T072",'Prácticas_Revisiones'!$T$2:$T$282,"SOFTWARE ENG. MODELS/METH. &gt; Subárea no determinable")+COUNTIFS('Prácticas_Snowballing'!$AB$2:$AB$281,"T072",'Prácticas_Snowballing'!$AC$2:$AC$281,"SOFTWARE ENG. MODELS/METH. &gt; Subárea no determinable")</f>
        <v>0</v>
      </c>
      <c r="BZ84" s="29">
        <f t="shared" si="61"/>
        <v>0</v>
      </c>
      <c r="CA84" s="17">
        <f>COUNTIFS('Prácticas_Revisiones'!$S$2:$S$282,"T072",'Prácticas_Revisiones'!$T$2:$T$282,"SOFTWARE QUALITY &gt; Software Quality Fundamentals")+COUNTIFS('Prácticas_Snowballing'!$AB$2:$AB$281,"T072",'Prácticas_Snowballing'!$AC$2:$AC$281,"SOFTWARE QUALITY &gt; Software Quality Fundamentals")</f>
        <v>0</v>
      </c>
      <c r="CB84" s="17">
        <f>COUNTIFS('Prácticas_Revisiones'!$S$2:$S$282,"T072",'Prácticas_Revisiones'!$T$2:$T$282,"SOFTWARE QUALITY &gt; Software Quality Management Process")+COUNTIFS('Prácticas_Snowballing'!$AB$2:$AB$281,"T072",'Prácticas_Snowballing'!$AC$2:$AC$281,"SOFTWARE QUALITY &gt; Software Quality Management Process")</f>
        <v>0</v>
      </c>
      <c r="CC84" s="17">
        <f>COUNTIFS('Prácticas_Revisiones'!$S$2:$S$282,"T072",'Prácticas_Revisiones'!$T$2:$T$282,"SOFTWARE QUALITY &gt; Software Quality Assurance Process")+COUNTIFS('Prácticas_Snowballing'!$AB$2:$AB$281,"T072",'Prácticas_Snowballing'!$AC$2:$AC$281,"SOFTWARE QUALITY &gt; Software Quality Assurance Process")</f>
        <v>0</v>
      </c>
      <c r="CD84" s="17">
        <f>COUNTIFS('Prácticas_Revisiones'!$S$2:$S$282,"T072",'Prácticas_Revisiones'!$T$2:$T$282,"SOFTWARE QUALITY &gt; Software Quality Tools")+COUNTIFS('Prácticas_Snowballing'!$AB$2:$AB$281,"T072",'Prácticas_Snowballing'!$AC$2:$AC$281,"SOFTWARE QUALITY &gt; Software Quality Tools")</f>
        <v>0</v>
      </c>
      <c r="CE84" s="17">
        <f>COUNTIFS('Prácticas_Revisiones'!$S$2:$S$282,"T072",'Prácticas_Revisiones'!$T$2:$T$282,"SOFTWARE QUALITY &gt; Subárea no determinable")+COUNTIFS('Prácticas_Snowballing'!$AB$2:$AB$281,"T072",'Prácticas_Snowballing'!$AC$2:$AC$281,"SOFTWARE QUALITY &gt; Subárea no determinable")</f>
        <v>0</v>
      </c>
      <c r="CF84" s="29">
        <f t="shared" si="62"/>
        <v>0</v>
      </c>
      <c r="CG84" s="17">
        <f>COUNTIFS('Prácticas_Revisiones'!$S$2:$S$282,"T072",'Prácticas_Revisiones'!$T$2:$T$282,"SOFTWARE SECURITY &gt; Software Security Fundamentals")+COUNTIFS('Prácticas_Snowballing'!$AB$2:$AB$281,"T072",'Prácticas_Snowballing'!$AC$2:$AC$281,"SOFTWARE SECURITY &gt; Software Security Fundamentals")</f>
        <v>0</v>
      </c>
      <c r="CH84" s="17">
        <f>COUNTIFS('Prácticas_Revisiones'!$S$2:$S$282,"T072",'Prácticas_Revisiones'!$T$2:$T$282,"SOFTWARE SECURITY &gt; Security Management and Organization")+COUNTIFS('Prácticas_Snowballing'!$AB$2:$AB$281,"T072",'Prácticas_Snowballing'!$AC$2:$AC$281,"SOFTWARE SECURITY &gt; Security Management and Organization")</f>
        <v>0</v>
      </c>
      <c r="CI84" s="17">
        <f>COUNTIFS('Prácticas_Revisiones'!$S$2:$S$282,"T072",'Prácticas_Revisiones'!$T$2:$T$282,"SOFTWARE SECURITY &gt; Software Security Engineering and Process")+COUNTIFS('Prácticas_Snowballing'!$AB$2:$AB$281,"T072",'Prácticas_Snowballing'!$AC$2:$AC$281,"SOFTWARE SECURITY &gt; Software Security Engineering and Process")</f>
        <v>0</v>
      </c>
      <c r="CJ84" s="17">
        <f>COUNTIFS('Prácticas_Revisiones'!$S$2:$S$282,"T072",'Prácticas_Revisiones'!$T$2:$T$282,"SOFTWARE SECURITY &gt; Security Engineering for Software Systems")+COUNTIFS('Prácticas_Snowballing'!$AB$2:$AB$281,"T072",'Prácticas_Snowballing'!$AC$2:$AC$281,"SOFTWARE SECURITY &gt; Security Engineering for Software Systems")</f>
        <v>0</v>
      </c>
      <c r="CK84" s="17">
        <f>COUNTIFS('Prácticas_Revisiones'!$S$2:$S$282,"T072",'Prácticas_Revisiones'!$T$2:$T$282,"SOFTWARE SECURITY &gt; Software Security Tools")+COUNTIFS('Prácticas_Snowballing'!$AB$2:$AB$281,"T072",'Prácticas_Snowballing'!$AC$2:$AC$281,"SOFTWARE SECURITY &gt; Software Security Tools")</f>
        <v>0</v>
      </c>
      <c r="CL84" s="17">
        <f>COUNTIFS('Prácticas_Revisiones'!$S$2:$S$282,"T072",'Prácticas_Revisiones'!$T$2:$T$282,"SOFTWARE SECURITY &gt; Domain Specific Software Security")+COUNTIFS('Prácticas_Snowballing'!$AB$2:$AB$281,"T072",'Prácticas_Snowballing'!$AC$2:$AC$281,"SOFTWARE SECURITY &gt; Domain Specific Software Security")</f>
        <v>0</v>
      </c>
      <c r="CM84" s="17">
        <f>COUNTIFS('Prácticas_Revisiones'!$S$2:$S$282,"T072",'Prácticas_Revisiones'!$T$2:$T$282,"SOFTWARE SECURITY &gt; Subárea no determinable")+COUNTIFS('Prácticas_Snowballing'!$AB$2:$AB$281,"T072",'Prácticas_Snowballing'!$AC$2:$AC$281,"SOFTWARE SECURITY &gt; Subárea no determinable")</f>
        <v>0</v>
      </c>
      <c r="CN84" s="29">
        <f t="shared" si="63"/>
        <v>0</v>
      </c>
      <c r="CO84" s="17">
        <f>COUNTIFS('Prácticas_Revisiones'!$S$2:$S$282,"T072",'Prácticas_Revisiones'!$T$2:$T$282,"PROFESSIONAL PRACTICE &gt; Professionalism")+COUNTIFS('Prácticas_Snowballing'!$AB$2:$AB$281,"T072",'Prácticas_Snowballing'!$AC$2:$AC$281,"PROFESSIONAL PRACTICE &gt; Professionalism")</f>
        <v>0</v>
      </c>
      <c r="CP84" s="17">
        <f>COUNTIFS('Prácticas_Revisiones'!$S$2:$S$282,"T072",'Prácticas_Revisiones'!$T$2:$T$282,"PROFESSIONAL PRACTICE &gt; Group Dynamics and Psychology")+COUNTIFS('Prácticas_Snowballing'!$AB$2:$AB$281,"T072",'Prácticas_Snowballing'!$AC$2:$AC$281,"PROFESSIONAL PRACTICE &gt; Group Dynamics and Psychology")</f>
        <v>0</v>
      </c>
      <c r="CQ84" s="17">
        <f>COUNTIFS('Prácticas_Revisiones'!$S$2:$S$282,"T072",'Prácticas_Revisiones'!$T$2:$T$282,"PROFESSIONAL PRACTICE &gt; Communication Skills")+COUNTIFS('Prácticas_Snowballing'!$AB$2:$AB$281,"T072",'Prácticas_Snowballing'!$AC$2:$AC$281,"PROFESSIONAL PRACTICE &gt; Communication Skills")</f>
        <v>0</v>
      </c>
      <c r="CR84" s="17">
        <f>COUNTIFS('Prácticas_Revisiones'!$S$2:$S$282,"T072",'Prácticas_Revisiones'!$T$2:$T$282,"PROFESSIONAL PRACTICE &gt; Subárea no determinable")+COUNTIFS('Prácticas_Snowballing'!$AB$2:$AB$281,"T072",'Prácticas_Snowballing'!$AC$2:$AC$281,"PROFESSIONAL PRACTICE &gt; Subárea no determinable")</f>
        <v>0</v>
      </c>
      <c r="CS84" s="29">
        <f t="shared" si="64"/>
        <v>0</v>
      </c>
      <c r="CT84" s="17">
        <f>COUNTIFS('Prácticas_Revisiones'!$S$2:$S$282,"T072",'Prácticas_Revisiones'!$T$2:$T$282,"SOFTWARE ENG. ECONOMICS &gt; Software Engineering Economics Fundamentals")+COUNTIFS('Prácticas_Snowballing'!$AB$2:$AB$281,"T072",'Prácticas_Snowballing'!$AC$2:$AC$281,"SOFTWARE ENG. ECONOMICS &gt; Software Engineering Economics Fundamentals")</f>
        <v>0</v>
      </c>
      <c r="CU84" s="17">
        <f>COUNTIFS('Prácticas_Revisiones'!$S$2:$S$282,"T072",'Prácticas_Revisiones'!$T$2:$T$282,"SOFTWARE ENG. ECONOMICS &gt; The Engineering Decision-Making Process")+COUNTIFS('Prácticas_Snowballing'!$AB$2:$AB$281,"T072",'Prácticas_Snowballing'!$AC$2:$AC$281,"SOFTWARE ENG. ECONOMICS &gt; The Engineering Decision-Making Process")</f>
        <v>0</v>
      </c>
      <c r="CV84" s="17">
        <f>COUNTIFS('Prácticas_Revisiones'!$S$2:$S$282,"T072",'Prácticas_Revisiones'!$T$2:$T$282,"SOFTWARE ENG. ECONOMICS &gt; For-Profit Decision-Making")+COUNTIFS('Prácticas_Snowballing'!$AB$2:$AB$281,"T072",'Prácticas_Snowballing'!$AC$2:$AC$281,"SOFTWARE ENG. ECONOMICS &gt; For-Profit Decision-Making")</f>
        <v>0</v>
      </c>
      <c r="CW84" s="17">
        <f>COUNTIFS('Prácticas_Revisiones'!$S$2:$S$282,"T072",'Prácticas_Revisiones'!$T$2:$T$282,"SOFTWARE ENG. ECONOMICS &gt; Nonprofit Decision-Making")+COUNTIFS('Prácticas_Snowballing'!$AB$2:$AB$281,"T072",'Prácticas_Snowballing'!$AC$2:$AC$281,"SOFTWARE ENG. ECONOMICS &gt; Nonprofit Decision-Making")</f>
        <v>0</v>
      </c>
      <c r="CX84" s="17">
        <f>COUNTIFS('Prácticas_Revisiones'!$S$2:$S$282,"T072",'Prácticas_Revisiones'!$T$2:$T$282,"SOFTWARE ENG. ECONOMICS &gt; Present Economy Decision-Making")+COUNTIFS('Prácticas_Snowballing'!$AB$2:$AB$281,"T072",'Prácticas_Snowballing'!$AC$2:$AC$281,"SOFTWARE ENG. ECONOMICS &gt; Present Economy Decision-Making")</f>
        <v>0</v>
      </c>
      <c r="CY84" s="17">
        <f>COUNTIFS('Prácticas_Revisiones'!$S$2:$S$282,"T072",'Prácticas_Revisiones'!$T$2:$T$282,"SOFTWARE ENG. ECONOMICS &gt; Multiple-Attribute Decision-Making")+COUNTIFS('Prácticas_Snowballing'!$AB$2:$AB$281,"T072",'Prácticas_Snowballing'!$AC$2:$AC$281,"SOFTWARE ENG. ECONOMICS &gt; Multiple-Attribute Decision-Making")</f>
        <v>0</v>
      </c>
      <c r="CZ84" s="17">
        <f>COUNTIFS('Prácticas_Revisiones'!$S$2:$S$282,"T072",'Prácticas_Revisiones'!$T$2:$T$282,"SOFTWARE ENG. ECONOMICS &gt; Identifying and Characterizing Intangible Assets")+COUNTIFS('Prácticas_Snowballing'!$AB$2:$AB$281,"T072",'Prácticas_Snowballing'!$AC$2:$AC$281,"SOFTWARE ENG. ECONOMICS &gt; Identifying and Characterizing Intangible Assets")</f>
        <v>0</v>
      </c>
      <c r="DA84" s="17">
        <f>COUNTIFS('Prácticas_Revisiones'!$S$2:$S$282,"T072",'Prácticas_Revisiones'!$T$2:$T$282,"SOFTWARE ENG. ECONOMICS &gt; Estimation")+COUNTIFS('Prácticas_Snowballing'!$AB$2:$AB$281,"T072",'Prácticas_Snowballing'!$AC$2:$AC$281,"SOFTWARE ENG. ECONOMICS &gt; Estimation")</f>
        <v>0</v>
      </c>
      <c r="DB84" s="17">
        <f>COUNTIFS('Prácticas_Revisiones'!$S$2:$S$282,"T072",'Prácticas_Revisiones'!$T$2:$T$282,"SOFTWARE ENG. ECONOMICS &gt; Practical Considerations")+COUNTIFS('Prácticas_Snowballing'!$AB$2:$AB$281,"T072",'Prácticas_Snowballing'!$AC$2:$AC$281,"SOFTWARE ENG. ECONOMICS &gt; Practical Considerations")</f>
        <v>0</v>
      </c>
      <c r="DC84" s="17">
        <f>COUNTIFS('Prácticas_Revisiones'!$S$2:$S$282,"T072",'Prácticas_Revisiones'!$T$2:$T$282,"SOFTWARE ENG. ECONOMICS &gt; Related Concepts")+COUNTIFS('Prácticas_Snowballing'!$AB$2:$AB$281,"T072",'Prácticas_Snowballing'!$AC$2:$AC$281,"SOFTWARE ENG. ECONOMICS &gt; Related Concepts")</f>
        <v>0</v>
      </c>
      <c r="DD84" s="17">
        <f>COUNTIFS('Prácticas_Revisiones'!$S$2:$S$282,"T072",'Prácticas_Revisiones'!$T$2:$T$282,"SOFTWARE ENG. ECONOMICS &gt; Subárea no determinable")+COUNTIFS('Prácticas_Snowballing'!$AB$2:$AB$281,"T072",'Prácticas_Snowballing'!$AC$2:$AC$281,"SOFTWARE ENG. ECONOMICS &gt; Subárea no determinable")</f>
        <v>0</v>
      </c>
      <c r="DE84" s="29">
        <f t="shared" si="65"/>
        <v>0</v>
      </c>
      <c r="DF84" s="17">
        <f>COUNTIFS('Prácticas_Revisiones'!$S$2:$S$282,"T072",'Prácticas_Revisiones'!$T$2:$T$282,"SOFTWARE ENG. MANAGEMENT &gt; Software Engineering Management Fundamentals")+COUNTIFS('Prácticas_Snowballing'!$AB$2:$AB$281,"T072",'Prácticas_Snowballing'!$AC$2:$AC$281,"SOFTWARE ENG. MANAGEMENT &gt; Software Engineering Management Fundamentals")</f>
        <v>0</v>
      </c>
      <c r="DG84" s="17">
        <f>COUNTIFS('Prácticas_Revisiones'!$S$2:$S$282,"T072",'Prácticas_Revisiones'!$T$2:$T$282,"SOFTWARE ENG. MANAGEMENT &gt; Initiation and Scope Definition")+COUNTIFS('Prácticas_Snowballing'!$AB$2:$AB$281,"T072",'Prácticas_Snowballing'!$AC$2:$AC$281,"SOFTWARE ENG. MANAGEMENT &gt; Initiation and Scope Definition")</f>
        <v>0</v>
      </c>
      <c r="DH84" s="17">
        <f>COUNTIFS('Prácticas_Revisiones'!$S$2:$S$282,"T072",'Prácticas_Revisiones'!$T$2:$T$282,"SOFTWARE ENG. MANAGEMENT &gt; Software Project Planning")+COUNTIFS('Prácticas_Snowballing'!$AB$2:$AB$281,"T072",'Prácticas_Snowballing'!$AC$2:$AC$281,"SOFTWARE ENG. MANAGEMENT &gt; Software Project Planning")</f>
        <v>0</v>
      </c>
      <c r="DI84" s="17">
        <f>COUNTIFS('Prácticas_Revisiones'!$S$2:$S$282,"T072",'Prácticas_Revisiones'!$T$2:$T$282,"SOFTWARE ENG. MANAGEMENT &gt; Software Project Enactment")+COUNTIFS('Prácticas_Snowballing'!$AB$2:$AB$281,"T072",'Prácticas_Snowballing'!$AC$2:$AC$281,"SOFTWARE ENG. MANAGEMENT &gt; Software Project Enactment")</f>
        <v>0</v>
      </c>
      <c r="DJ84" s="17">
        <f>COUNTIFS('Prácticas_Revisiones'!$S$2:$S$282,"T072",'Prácticas_Revisiones'!$T$2:$T$282,"SOFTWARE ENG. MANAGEMENT &gt; Review and Evaluation")+COUNTIFS('Prácticas_Snowballing'!$AB$2:$AB$281,"T072",'Prácticas_Snowballing'!$AC$2:$AC$281,"SOFTWARE ENG. MANAGEMENT &gt; Review and Evaluation")</f>
        <v>0</v>
      </c>
      <c r="DK84" s="17">
        <f>COUNTIFS('Prácticas_Revisiones'!$S$2:$S$282,"T072",'Prácticas_Revisiones'!$T$2:$T$282,"SOFTWARE ENG. MANAGEMENT &gt; Closure")+COUNTIFS('Prácticas_Snowballing'!$AB$2:$AB$281,"T072",'Prácticas_Snowballing'!$AC$2:$AC$281,"SOFTWARE ENG. MANAGEMENT &gt; Closure")</f>
        <v>0</v>
      </c>
      <c r="DL84" s="17">
        <f>COUNTIFS('Prácticas_Revisiones'!$S$2:$S$282,"T072",'Prácticas_Revisiones'!$T$2:$T$282,"SOFTWARE ENG. MANAGEMENT &gt; Software Engineering Management Tools")+COUNTIFS('Prácticas_Snowballing'!$AB$2:$AB$281,"T072",'Prácticas_Snowballing'!$AC$2:$AC$281,"SOFTWARE ENG. MANAGEMENT &gt; Software Engineering Management Tools")</f>
        <v>0</v>
      </c>
      <c r="DM84" s="17">
        <f>COUNTIFS('Prácticas_Revisiones'!$S$2:$S$282,"T072",'Prácticas_Revisiones'!$T$2:$T$282,"SOFTWARE ENG. MANAGEMENT &gt; Subárea no determinable")+COUNTIFS('Prácticas_Snowballing'!$AB$2:$AB$281,"T072",'Prácticas_Snowballing'!$AC$2:$AC$281,"SOFTWARE ENG. MANAGEMENT &gt; Subárea no determinable")</f>
        <v>0</v>
      </c>
      <c r="DN84" s="29">
        <f t="shared" si="66"/>
        <v>0</v>
      </c>
      <c r="DO84" s="17">
        <f>COUNTIFS('Prácticas_Revisiones'!$S$2:$S$282,"T072",'Prácticas_Revisiones'!$T$2:$T$282,"Sin área SWEBOK")+COUNTIFS('Prácticas_Snowballing'!$AB$2:$AB$281,"T072",'Prácticas_Snowballing'!$AC$2:$AC$281,"Sin área SWEBOK")</f>
        <v>0</v>
      </c>
      <c r="DP84" s="27">
        <f t="shared" si="67"/>
        <v>2</v>
      </c>
    </row>
    <row r="85" ht="15.75" customHeight="1">
      <c r="A85" s="28"/>
      <c r="B85" s="16" t="s">
        <v>2775</v>
      </c>
      <c r="C85" s="17">
        <f>COUNTIFS('Prácticas_Revisiones'!$S$2:$S$282,"T073",'Prácticas_Revisiones'!$T$2:$T$282,"REQUIREMENTS &gt; Software Requirements Fundamentals")+COUNTIFS('Prácticas_Snowballing'!$AB$2:$AB$281,"T073",'Prácticas_Snowballing'!$AC$2:$AC$281,"REQUIREMENTS &gt; Software Requirements Fundamentals")</f>
        <v>0</v>
      </c>
      <c r="D85" s="17">
        <f>COUNTIFS('Prácticas_Revisiones'!$S$2:$S$282,"T073",'Prácticas_Revisiones'!$T$2:$T$282,"REQUIREMENTS &gt; Requirements Elicitation")+COUNTIFS('Prácticas_Snowballing'!$AB$2:$AB$281,"T073",'Prácticas_Snowballing'!$AC$2:$AC$281,"REQUIREMENTS &gt; Requirements Elicitation")</f>
        <v>0</v>
      </c>
      <c r="E85" s="17">
        <f>COUNTIFS('Prácticas_Revisiones'!$S$2:$S$282,"T073",'Prácticas_Revisiones'!$T$2:$T$282,"REQUIREMENTS &gt; Requirements Analysis")+COUNTIFS('Prácticas_Snowballing'!$AB$2:$AB$281,"T073",'Prácticas_Snowballing'!$AC$2:$AC$281,"REQUIREMENTS &gt; Requirements Analysis")</f>
        <v>0</v>
      </c>
      <c r="F85" s="17">
        <f>COUNTIFS('Prácticas_Revisiones'!$S$2:$S$282,"T073",'Prácticas_Revisiones'!$T$2:$T$282,"REQUIREMENTS &gt; Requirements Specification")+COUNTIFS('Prácticas_Snowballing'!$AB$2:$AB$281,"T073",'Prácticas_Snowballing'!$AC$2:$AC$281,"REQUIREMENTS &gt; Requirements Specification")</f>
        <v>0</v>
      </c>
      <c r="G85" s="17">
        <f>COUNTIFS('Prácticas_Revisiones'!$S$2:$S$282,"T073",'Prácticas_Revisiones'!$T$2:$T$282,"REQUIREMENTS &gt; Requirements Validation")+COUNTIFS('Prácticas_Snowballing'!$AB$2:$AB$281,"T073",'Prácticas_Snowballing'!$AC$2:$AC$281,"REQUIREMENTS &gt; Requirements Validation")</f>
        <v>0</v>
      </c>
      <c r="H85" s="17">
        <f>COUNTIFS('Prácticas_Revisiones'!$S$2:$S$282,"T073",'Prácticas_Revisiones'!$T$2:$T$282,"REQUIREMENTS &gt; Requirements Management Activities")+COUNTIFS('Prácticas_Snowballing'!$AB$2:$AB$281,"T073",'Prácticas_Snowballing'!$AC$2:$AC$281,"REQUIREMENTS &gt; Requirements Management Activities")</f>
        <v>0</v>
      </c>
      <c r="I85" s="17">
        <f>COUNTIFS('Prácticas_Revisiones'!$S$2:$S$282,"T073",'Prácticas_Revisiones'!$T$2:$T$282,"REQUIREMENTS &gt; Practical Considerations")+COUNTIFS('Prácticas_Snowballing'!$AB$2:$AB$281,"T073",'Prácticas_Snowballing'!$AC$2:$AC$281,"REQUIREMENTS &gt; Practical Considerations")</f>
        <v>0</v>
      </c>
      <c r="J85" s="17">
        <f>COUNTIFS('Prácticas_Revisiones'!$S$2:$S$282,"T073",'Prácticas_Revisiones'!$T$2:$T$282,"REQUIREMENTS &gt; Software Requirements Tools")+COUNTIFS('Prácticas_Snowballing'!$AB$2:$AB$281,"T073",'Prácticas_Snowballing'!$AC$2:$AC$281,"REQUIREMENTS &gt; Software Requirements Tools")</f>
        <v>0</v>
      </c>
      <c r="K85" s="17">
        <f>COUNTIFS('Prácticas_Revisiones'!$S$2:$S$282,"T073",'Prácticas_Revisiones'!$T$2:$T$282,"REQUIREMENTS &gt; Subárea no determinable")+COUNTIFS('Prácticas_Snowballing'!$AB$2:$AB$281,"T073",'Prácticas_Snowballing'!$AC$2:$AC$281,"REQUIREMENTS &gt; Subárea no determinable")</f>
        <v>0</v>
      </c>
      <c r="L85" s="29">
        <f t="shared" si="52"/>
        <v>0</v>
      </c>
      <c r="M85" s="17">
        <f>COUNTIFS('Prácticas_Revisiones'!$S$2:$S$282,"T073",'Prácticas_Revisiones'!$T$2:$T$282,"ARCHITECTURE &gt; Software Architecture Fundamentals")+COUNTIFS('Prácticas_Snowballing'!$AB$2:$AB$281,"T073",'Prácticas_Snowballing'!$AC$2:$AC$281,"ARCHITECTURE &gt; Software Architecture Fundamentals")</f>
        <v>0</v>
      </c>
      <c r="N85" s="17">
        <f>COUNTIFS('Prácticas_Revisiones'!$S$2:$S$282,"T073",'Prácticas_Revisiones'!$T$2:$T$282,"ARCHITECTURE &gt; Software Architecture Description")+COUNTIFS('Prácticas_Snowballing'!$AB$2:$AB$281,"T073",'Prácticas_Snowballing'!$AC$2:$AC$281,"ARCHITECTURE &gt; Software Architecture Description")</f>
        <v>0</v>
      </c>
      <c r="O85" s="17">
        <f>COUNTIFS('Prácticas_Revisiones'!$S$2:$S$282,"T073",'Prácticas_Revisiones'!$T$2:$T$282,"ARCHITECTURE &gt; Software Architecture Process")+COUNTIFS('Prácticas_Snowballing'!$AB$2:$AB$281,"T073",'Prácticas_Snowballing'!$AC$2:$AC$281,"ARCHITECTURE &gt; Software Architecture Process")</f>
        <v>0</v>
      </c>
      <c r="P85" s="17">
        <f>COUNTIFS('Prácticas_Revisiones'!$S$2:$S$282,"T073",'Prácticas_Revisiones'!$T$2:$T$282,"ARCHITECTURE &gt; Software Architecture Evaluation")+COUNTIFS('Prácticas_Snowballing'!$AB$2:$AB$281,"T073",'Prácticas_Snowballing'!$AC$2:$AC$281,"ARCHITECTURE &gt; Software Architecture Evaluation")</f>
        <v>0</v>
      </c>
      <c r="Q85" s="17">
        <f>COUNTIFS('Prácticas_Revisiones'!$S$2:$S$282,"T073",'Prácticas_Revisiones'!$T$2:$T$282,"ARCHITECTURE &gt; Subárea no determinable")+COUNTIFS('Prácticas_Snowballing'!$AB$2:$AB$281,"T073",'Prácticas_Snowballing'!$AC$2:$AC$281,"ARCHITECTURE &gt; Subárea no determinable")</f>
        <v>0</v>
      </c>
      <c r="R85" s="29">
        <f t="shared" si="53"/>
        <v>0</v>
      </c>
      <c r="S85" s="17">
        <f>COUNTIFS('Prácticas_Revisiones'!$S$2:$S$282,"T073",'Prácticas_Revisiones'!$T$2:$T$282,"DESIGN &gt; Software Design Fundamentals")+COUNTIFS('Prácticas_Snowballing'!$AB$2:$AB$281,"T073",'Prácticas_Snowballing'!$AC$2:$AC$281,"DESIGN &gt; Software Design Fundamentals")</f>
        <v>0</v>
      </c>
      <c r="T85" s="17">
        <f>COUNTIFS('Prácticas_Revisiones'!$S$2:$S$282,"T073",'Prácticas_Revisiones'!$T$2:$T$282,"DESIGN &gt; Software Design Processes")+COUNTIFS('Prácticas_Snowballing'!$AB$2:$AB$281,"T073",'Prácticas_Snowballing'!$AC$2:$AC$281,"DESIGN &gt; Software Design Processes")</f>
        <v>0</v>
      </c>
      <c r="U85" s="17">
        <f>COUNTIFS('Prácticas_Revisiones'!$S$2:$S$282,"T073",'Prácticas_Revisiones'!$T$2:$T$282,"DESIGN &gt; Software Design Qualities")+COUNTIFS('Prácticas_Snowballing'!$AB$2:$AB$281,"T073",'Prácticas_Snowballing'!$AC$2:$AC$281,"DESIGN &gt; Software Design Qualities")</f>
        <v>0</v>
      </c>
      <c r="V85" s="17">
        <f>COUNTIFS('Prácticas_Revisiones'!$S$2:$S$282,"T073",'Prácticas_Revisiones'!$T$2:$T$282,"DESIGN &gt; Recording Software Design")+COUNTIFS('Prácticas_Snowballing'!$AB$2:$AB$281,"T073",'Prácticas_Snowballing'!$AC$2:$AC$281,"DESIGN &gt; Recording Software Design")</f>
        <v>0</v>
      </c>
      <c r="W85" s="17">
        <f>COUNTIFS('Prácticas_Revisiones'!$S$2:$S$282,"T073",'Prácticas_Revisiones'!$T$2:$T$282,"DESIGN &gt; Software Design Strategies and Methods")+COUNTIFS('Prácticas_Snowballing'!$AB$2:$AB$281,"T073",'Prácticas_Snowballing'!$AC$2:$AC$281,"DESIGN &gt; Software Design Strategies and Methods")</f>
        <v>0</v>
      </c>
      <c r="X85" s="17">
        <f>COUNTIFS('Prácticas_Revisiones'!$S$2:$S$282,"T073",'Prácticas_Revisiones'!$T$2:$T$282,"DESIGN &gt; Software Design Analysis and Evaluations")+COUNTIFS('Prácticas_Snowballing'!$AB$2:$AB$281,"T073",'Prácticas_Snowballing'!$AC$2:$AC$281,"DESIGN &gt; Software Design Analysis and Evaluations")</f>
        <v>0</v>
      </c>
      <c r="Y85" s="17">
        <f>COUNTIFS('Prácticas_Revisiones'!$S$2:$S$282,"T073",'Prácticas_Revisiones'!$T$2:$T$282,"DESIGN &gt; Subárea no determinable")+COUNTIFS('Prácticas_Snowballing'!$AB$2:$AB$281,"T073",'Prácticas_Snowballing'!$AC$2:$AC$281,"DESIGN &gt; Subárea no determinable")</f>
        <v>0</v>
      </c>
      <c r="Z85" s="29">
        <f t="shared" si="54"/>
        <v>0</v>
      </c>
      <c r="AA85" s="17">
        <f>COUNTIFS('Prácticas_Revisiones'!$S$2:$S$282,"T073",'Prácticas_Revisiones'!$T$2:$T$282,"CONSTRUCTION &gt; Software Construction Fundamentals")+COUNTIFS('Prácticas_Snowballing'!$AB$2:$AB$281,"T073",'Prácticas_Snowballing'!$AC$2:$AC$281,"CONSTRUCTION &gt; Software Construction Fundamentals")</f>
        <v>0</v>
      </c>
      <c r="AB85" s="17">
        <f>COUNTIFS('Prácticas_Revisiones'!$S$2:$S$282,"T073",'Prácticas_Revisiones'!$T$2:$T$282,"CONSTRUCTION &gt; Managing Construction")+COUNTIFS('Prácticas_Snowballing'!$AB$2:$AB$281,"T073",'Prácticas_Snowballing'!$AC$2:$AC$281,"CONSTRUCTION &gt; Managing Construction")</f>
        <v>0</v>
      </c>
      <c r="AC85" s="17">
        <f>COUNTIFS('Prácticas_Revisiones'!$S$2:$S$282,"T073",'Prácticas_Revisiones'!$T$2:$T$282,"CONSTRUCTION &gt; Practical Considerations")+COUNTIFS('Prácticas_Snowballing'!$AB$2:$AB$281,"T073",'Prácticas_Snowballing'!$AC$2:$AC$281,"CONSTRUCTION &gt; Practical Considerations")</f>
        <v>0</v>
      </c>
      <c r="AD85" s="17">
        <f>COUNTIFS('Prácticas_Revisiones'!$S$2:$S$282,"T073",'Prácticas_Revisiones'!$T$2:$T$282,"CONSTRUCTION &gt; Construction Technologies")+COUNTIFS('Prácticas_Snowballing'!$AB$2:$AB$281,"T073",'Prácticas_Snowballing'!$AC$2:$AC$281,"CONSTRUCTION &gt; Construction Technologies")</f>
        <v>1</v>
      </c>
      <c r="AE85" s="17">
        <f>COUNTIFS('Prácticas_Revisiones'!$S$2:$S$282,"T073",'Prácticas_Revisiones'!$T$2:$T$282,"CONSTRUCTION &gt; Software Construction Tools")+COUNTIFS('Prácticas_Snowballing'!$AB$2:$AB$281,"T073",'Prácticas_Snowballing'!$AC$2:$AC$281,"CONSTRUCTION &gt; Software Construction Tools")</f>
        <v>0</v>
      </c>
      <c r="AF85" s="17">
        <f>COUNTIFS('Prácticas_Revisiones'!$S$2:$S$282,"T073",'Prácticas_Revisiones'!$T$2:$T$282,"CONSTRUCTION &gt; Subárea no determinable")+COUNTIFS('Prácticas_Snowballing'!$AB$2:$AB$281,"T073",'Prácticas_Snowballing'!$AC$2:$AC$281,"CONSTRUCTION &gt; Subárea no determinable")</f>
        <v>0</v>
      </c>
      <c r="AG85" s="29">
        <f t="shared" si="55"/>
        <v>1</v>
      </c>
      <c r="AH85" s="17">
        <f>COUNTIFS('Prácticas_Revisiones'!$S$2:$S$282,"T073",'Prácticas_Revisiones'!$T$2:$T$282,"SOFTWARE TESTING &gt; Software Testing Fundamentals")+COUNTIFS('Prácticas_Snowballing'!$AB$2:$AB$281,"T073",'Prácticas_Snowballing'!$AC$2:$AC$281,"SOFTWARE TESTING &gt; Software Testing Fundamentals")</f>
        <v>0</v>
      </c>
      <c r="AI85" s="17">
        <f>COUNTIFS('Prácticas_Revisiones'!$S$2:$S$282,"T073",'Prácticas_Revisiones'!$T$2:$T$282,"SOFTWARE TESTING &gt; Test Levels")+COUNTIFS('Prácticas_Snowballing'!$AB$2:$AB$281,"T073",'Prácticas_Snowballing'!$AC$2:$AC$281,"SOFTWARE TESTING &gt; Test Levels")</f>
        <v>0</v>
      </c>
      <c r="AJ85" s="17">
        <f>COUNTIFS('Prácticas_Revisiones'!$S$2:$S$282,"T073",'Prácticas_Revisiones'!$T$2:$T$282,"SOFTWARE TESTING &gt; Test Techniques")+COUNTIFS('Prácticas_Snowballing'!$AB$2:$AB$281,"T073",'Prácticas_Snowballing'!$AC$2:$AC$281,"SOFTWARE TESTING &gt; Test Techniques")</f>
        <v>0</v>
      </c>
      <c r="AK85" s="17">
        <f>COUNTIFS('Prácticas_Revisiones'!$S$2:$S$282,"T073",'Prácticas_Revisiones'!$T$2:$T$282,"SOFTWARE TESTING &gt; Test-Related Measures")+COUNTIFS('Prácticas_Snowballing'!$AB$2:$AB$281,"T073",'Prácticas_Snowballing'!$AC$2:$AC$281,"SOFTWARE TESTING &gt; Test-Related Measures")</f>
        <v>0</v>
      </c>
      <c r="AL85" s="17">
        <f>COUNTIFS('Prácticas_Revisiones'!$S$2:$S$282,"T073",'Prácticas_Revisiones'!$T$2:$T$282,"SOFTWARE TESTING &gt; Test Process")+COUNTIFS('Prácticas_Snowballing'!$AB$2:$AB$281,"T073",'Prácticas_Snowballing'!$AC$2:$AC$281,"SOFTWARE TESTING &gt; Test Process")</f>
        <v>0</v>
      </c>
      <c r="AM85" s="17">
        <f>COUNTIFS('Prácticas_Revisiones'!$S$2:$S$282,"T073",'Prácticas_Revisiones'!$T$2:$T$282,"SOFTWARE TESTING &gt; Software Testing in the Development Processes...")+COUNTIFS('Prácticas_Snowballing'!$AB$2:$AB$281,"T073",'Prácticas_Snowballing'!$AC$2:$AC$281,"SOFTWARE TESTING &gt; Software Testing in the Development Processes...")</f>
        <v>0</v>
      </c>
      <c r="AN85" s="17">
        <f>COUNTIFS('Prácticas_Revisiones'!$S$2:$S$282,"T073",'Prácticas_Revisiones'!$T$2:$T$282,"SOFTWARE TESTING &gt; Testing of and Testing Through Emerging Tech...")+COUNTIFS('Prácticas_Snowballing'!$AB$2:$AB$281,"T073",'Prácticas_Snowballing'!$AC$2:$AC$281,"SOFTWARE TESTING &gt; Testing of and Testing Through Emerging Tech...")</f>
        <v>0</v>
      </c>
      <c r="AO85" s="17">
        <f>COUNTIFS('Prácticas_Revisiones'!$S$2:$S$282,"T073",'Prácticas_Revisiones'!$T$2:$T$282,"SOFTWARE TESTING &gt; Software Testing Tools")+COUNTIFS('Prácticas_Snowballing'!$AB$2:$AB$281,"T073",'Prácticas_Snowballing'!$AC$2:$AC$281,"SOFTWARE TESTING &gt; Software Testing Tools")</f>
        <v>0</v>
      </c>
      <c r="AP85" s="17">
        <f>COUNTIFS('Prácticas_Revisiones'!$S$2:$S$282,"T073",'Prácticas_Revisiones'!$T$2:$T$282,"SOFTWARE TESTING &gt; Subárea no determinable")+COUNTIFS('Prácticas_Snowballing'!$AB$2:$AB$281,"T073",'Prácticas_Snowballing'!$AC$2:$AC$281,"SOFTWARE TESTING &gt; Subárea no determinable")</f>
        <v>0</v>
      </c>
      <c r="AQ85" s="29">
        <f t="shared" si="56"/>
        <v>0</v>
      </c>
      <c r="AR85" s="17">
        <f>COUNTIFS('Prácticas_Revisiones'!$S$2:$S$282,"T073",'Prácticas_Revisiones'!$T$2:$T$282,"SOFTWARE ENG. OPERATIONS &gt; Software Engineering Operations Fundamentals")+COUNTIFS('Prácticas_Snowballing'!$AB$2:$AB$281,"T073",'Prácticas_Snowballing'!$AC$2:$AC$281,"SOFTWARE ENG. OPERATIONS &gt; Software Engineering Operations Fundamentals")</f>
        <v>0</v>
      </c>
      <c r="AS85" s="17">
        <f>COUNTIFS('Prácticas_Revisiones'!$S$2:$S$282,"T073",'Prácticas_Revisiones'!$T$2:$T$282,"SOFTWARE ENG. OPERATIONS &gt; Software Engineering Operations Planning")+COUNTIFS('Prácticas_Snowballing'!$AB$2:$AB$281,"T073",'Prácticas_Snowballing'!$AC$2:$AC$281,"SOFTWARE ENG. OPERATIONS &gt; Software Engineering Operations Planning")</f>
        <v>0</v>
      </c>
      <c r="AT85" s="17">
        <f>COUNTIFS('Prácticas_Revisiones'!$S$2:$S$282,"T073",'Prácticas_Revisiones'!$T$2:$T$282,"SOFTWARE ENG. OPERATIONS &gt; Software Engineering Operations Delivery")+COUNTIFS('Prácticas_Snowballing'!$AB$2:$AB$281,"T073",'Prácticas_Snowballing'!$AC$2:$AC$281,"SOFTWARE ENG. OPERATIONS &gt; Software Engineering Operations Delivery")</f>
        <v>0</v>
      </c>
      <c r="AU85" s="17">
        <f>COUNTIFS('Prácticas_Revisiones'!$S$2:$S$282,"T073",'Prácticas_Revisiones'!$T$2:$T$282,"SOFTWARE ENG. OPERATIONS &gt; Software Engineering Operations Control")+COUNTIFS('Prácticas_Snowballing'!$AB$2:$AB$281,"T073",'Prácticas_Snowballing'!$AC$2:$AC$281,"SOFTWARE ENG. OPERATIONS &gt; Software Engineering Operations Control")</f>
        <v>0</v>
      </c>
      <c r="AV85" s="17">
        <f>COUNTIFS('Prácticas_Revisiones'!$S$2:$S$282,"T073",'Prácticas_Revisiones'!$T$2:$T$282,"SOFTWARE ENG. OPERATIONS &gt; Practical Considerations")+COUNTIFS('Prácticas_Snowballing'!$AB$2:$AB$281,"T073",'Prácticas_Snowballing'!$AC$2:$AC$281,"SOFTWARE ENG. OPERATIONS &gt; Practical Considerations")</f>
        <v>0</v>
      </c>
      <c r="AW85" s="17">
        <f>COUNTIFS('Prácticas_Revisiones'!$S$2:$S$282,"T073",'Prácticas_Revisiones'!$T$2:$T$282,"SOFTWARE ENG. OPERATIONS &gt; Software Engineering Operations Tools")+COUNTIFS('Prácticas_Snowballing'!$AB$2:$AB$281,"T073",'Prácticas_Snowballing'!$AC$2:$AC$281,"SOFTWARE ENG. OPERATIONS &gt; Software Engineering Operations Tools")</f>
        <v>0</v>
      </c>
      <c r="AX85" s="17">
        <f>COUNTIFS('Prácticas_Revisiones'!$S$2:$S$282,"T073",'Prácticas_Revisiones'!$T$2:$T$282,"SOFTWARE ENG. OPERATIONS &gt; Subárea no determinable")+COUNTIFS('Prácticas_Snowballing'!$AB$2:$AB$281,"T073",'Prácticas_Snowballing'!$AC$2:$AC$281,"SOFTWARE ENG. OPERATIONS &gt; Subárea no determinable")</f>
        <v>0</v>
      </c>
      <c r="AY85" s="29">
        <f t="shared" si="57"/>
        <v>0</v>
      </c>
      <c r="AZ85" s="17">
        <f>COUNTIFS('Prácticas_Revisiones'!$S$2:$S$282,"T073",'Prácticas_Revisiones'!$T$2:$T$282,"MAINTENANCE &gt; Software Maintenance Fundamentals")+COUNTIFS('Prácticas_Snowballing'!$AB$2:$AB$281,"T073",'Prácticas_Snowballing'!$AC$2:$AC$281,"MAINTENANCE &gt; Software Maintenance Fundamentals")</f>
        <v>0</v>
      </c>
      <c r="BA85" s="17">
        <f>COUNTIFS('Prácticas_Revisiones'!$S$2:$S$282,"T073",'Prácticas_Revisiones'!$T$2:$T$282,"MAINTENANCE &gt; Key Issues in Software Maintenance")+COUNTIFS('Prácticas_Snowballing'!$AB$2:$AB$281,"T073",'Prácticas_Snowballing'!$AC$2:$AC$281,"MAINTENANCE &gt; Key Issues in Software Maintenance")</f>
        <v>0</v>
      </c>
      <c r="BB85" s="17">
        <f>COUNTIFS('Prácticas_Revisiones'!$S$2:$S$282,"T073",'Prácticas_Revisiones'!$T$2:$T$282,"MAINTENANCE &gt; Software Maintenance Processes")+COUNTIFS('Prácticas_Snowballing'!$AB$2:$AB$281,"T073",'Prácticas_Snowballing'!$AC$2:$AC$281,"MAINTENANCE &gt; Software Maintenance Processes")</f>
        <v>0</v>
      </c>
      <c r="BC85" s="17">
        <f>COUNTIFS('Prácticas_Revisiones'!$S$2:$S$282,"T073",'Prácticas_Revisiones'!$T$2:$T$282,"MAINTENANCE &gt; Software Maintenance Techniques")+COUNTIFS('Prácticas_Snowballing'!$AB$2:$AB$281,"T073",'Prácticas_Snowballing'!$AC$2:$AC$281,"MAINTENANCE &gt; Software Maintenance Techniques")</f>
        <v>0</v>
      </c>
      <c r="BD85" s="17">
        <f>COUNTIFS('Prácticas_Revisiones'!$S$2:$S$282,"T073",'Prácticas_Revisiones'!$T$2:$T$282,"MAINTENANCE &gt; Software Maintenance Tools")+COUNTIFS('Prácticas_Snowballing'!$AB$2:$AB$281,"T073",'Prácticas_Snowballing'!$AC$2:$AC$281,"MAINTENANCE &gt; Software Maintenance Tools")</f>
        <v>0</v>
      </c>
      <c r="BE85" s="17">
        <f>COUNTIFS('Prácticas_Revisiones'!$S$2:$S$282,"T073",'Prácticas_Revisiones'!$T$2:$T$282,"MAINTENANCE &gt; Subárea no determinable")+COUNTIFS('Prácticas_Snowballing'!$AB$2:$AB$281,"T073",'Prácticas_Snowballing'!$AC$2:$AC$281,"MAINTENANCE &gt; Subárea no determinable")</f>
        <v>0</v>
      </c>
      <c r="BF85" s="29">
        <f t="shared" si="58"/>
        <v>0</v>
      </c>
      <c r="BG85" s="17">
        <f>COUNTIFS('Prácticas_Revisiones'!$S$2:$S$282,"T073",'Prácticas_Revisiones'!$T$2:$T$282,"SOFTWARE CONFIG. MGMT. &gt; Management of the SCM Process")+COUNTIFS('Prácticas_Snowballing'!$AB$2:$AB$281,"T073",'Prácticas_Snowballing'!$AC$2:$AC$281,"SOFTWARE CONFIG. MGMT. &gt; Management of the SCM Process")</f>
        <v>0</v>
      </c>
      <c r="BH85" s="17">
        <f>COUNTIFS('Prácticas_Revisiones'!$S$2:$S$282,"T073",'Prácticas_Revisiones'!$T$2:$T$282,"SOFTWARE CONFIG. MGMT. &gt; Software Configuration Identification")+COUNTIFS('Prácticas_Snowballing'!$AB$2:$AB$281,"T073",'Prácticas_Snowballing'!$AC$2:$AC$281,"SOFTWARE CONFIG. MGMT. &gt; Software Configuration Identification")</f>
        <v>0</v>
      </c>
      <c r="BI85" s="17">
        <f>COUNTIFS('Prácticas_Revisiones'!$S$2:$S$282,"T073",'Prácticas_Revisiones'!$T$2:$T$282,"SOFTWARE CONFIG. MGMT. &gt; Software Configuration Change Control")+COUNTIFS('Prácticas_Snowballing'!$AB$2:$AB$281,"T073",'Prácticas_Snowballing'!$AC$2:$AC$281,"SOFTWARE CONFIG. MGMT. &gt; Software Configuration Change Control")</f>
        <v>0</v>
      </c>
      <c r="BJ85" s="17">
        <f>COUNTIFS('Prácticas_Revisiones'!$S$2:$S$282,"T073",'Prácticas_Revisiones'!$T$2:$T$282,"SOFTWARE CONFIG. MGMT. &gt; Software Configuration Status Accounting")+COUNTIFS('Prácticas_Snowballing'!$AB$2:$AB$281,"T073",'Prácticas_Snowballing'!$AC$2:$AC$281,"SOFTWARE CONFIG. MGMT. &gt; Software Configuration Status Accounting")</f>
        <v>0</v>
      </c>
      <c r="BK85" s="17">
        <f>COUNTIFS('Prácticas_Revisiones'!$S$2:$S$282,"T073",'Prácticas_Revisiones'!$T$2:$T$282,"SOFTWARE CONFIG. MGMT. &gt; Software Configuration Auditing")+COUNTIFS('Prácticas_Snowballing'!$AB$2:$AB$281,"T073",'Prácticas_Snowballing'!$AC$2:$AC$281,"SOFTWARE CONFIG. MGMT. &gt; Software Configuration Auditing")</f>
        <v>0</v>
      </c>
      <c r="BL85" s="17">
        <f>COUNTIFS('Prácticas_Revisiones'!$S$2:$S$282,"T073",'Prácticas_Revisiones'!$T$2:$T$282,"SOFTWARE CONFIG. MGMT. &gt; Software Release Management and Delivery")+COUNTIFS('Prácticas_Snowballing'!$AB$2:$AB$281,"T073",'Prácticas_Snowballing'!$AC$2:$AC$281,"SOFTWARE CONFIG. MGMT. &gt; Software Release Management and Delivery")</f>
        <v>0</v>
      </c>
      <c r="BM85" s="17">
        <f>COUNTIFS('Prácticas_Revisiones'!$S$2:$S$282,"T073",'Prácticas_Revisiones'!$T$2:$T$282,"SOFTWARE CONFIG. MGMT. &gt; Software Configuration Management Tools")+COUNTIFS('Prácticas_Snowballing'!$AB$2:$AB$281,"T073",'Prácticas_Snowballing'!$AC$2:$AC$281,"SOFTWARE CONFIG. MGMT. &gt; Software Configuration Management Tools")</f>
        <v>0</v>
      </c>
      <c r="BN85" s="17">
        <f>COUNTIFS('Prácticas_Revisiones'!$S$2:$S$282,"T073",'Prácticas_Revisiones'!$T$2:$T$282,"SOFTWARE CONFIG. MGMT. &gt; Subárea no determinable")+COUNTIFS('Prácticas_Snowballing'!$AB$2:$AB$281,"T073",'Prácticas_Snowballing'!$AC$2:$AC$281,"SOFTWARE CONFIG. MGMT. &gt; Subárea no determinable")</f>
        <v>0</v>
      </c>
      <c r="BO85" s="29">
        <f t="shared" si="59"/>
        <v>0</v>
      </c>
      <c r="BP85" s="17">
        <f>COUNTIFS('Prácticas_Revisiones'!$S$2:$S$282,"T073",'Prácticas_Revisiones'!$T$2:$T$282,"SOFTWARE ENG. PROCESS &gt; Software Engineering Process Fundamentals")+COUNTIFS('Prácticas_Snowballing'!$AB$2:$AB$281,"T073",'Prácticas_Snowballing'!$AC$2:$AC$281,"SOFTWARE ENG. PROCESS &gt; Software Engineering Process Fundamentals")</f>
        <v>0</v>
      </c>
      <c r="BQ85" s="17">
        <f>COUNTIFS('Prácticas_Revisiones'!$S$2:$S$282,"T073",'Prácticas_Revisiones'!$T$2:$T$282,"SOFTWARE ENG. PROCESS &gt; Life Cycles")+COUNTIFS('Prácticas_Snowballing'!$AB$2:$AB$281,"T073",'Prácticas_Snowballing'!$AC$2:$AC$281,"SOFTWARE ENG. PROCESS &gt; Life Cycles")</f>
        <v>0</v>
      </c>
      <c r="BR85" s="17">
        <f>COUNTIFS('Prácticas_Revisiones'!$S$2:$S$282,"T073",'Prácticas_Revisiones'!$T$2:$T$282,"SOFTWARE ENG. PROCESS &gt; Software Process Assessment and Improvement")+COUNTIFS('Prácticas_Snowballing'!$AB$2:$AB$281,"T073",'Prácticas_Snowballing'!$AC$2:$AC$281,"SOFTWARE ENG. PROCESS &gt; Software Process Assessment and Improvement")</f>
        <v>0</v>
      </c>
      <c r="BS85" s="17">
        <f>COUNTIFS('Prácticas_Revisiones'!$S$2:$S$282,"T073",'Prácticas_Revisiones'!$T$2:$T$282,"SOFTWARE ENG. PROCESS &gt; Subárea no determinable")+COUNTIFS('Prácticas_Snowballing'!$AB$2:$AB$281,"T073",'Prácticas_Snowballing'!$AC$2:$AC$281,"SOFTWARE ENG. PROCESS &gt; Subárea no determinable")</f>
        <v>0</v>
      </c>
      <c r="BT85" s="29">
        <f t="shared" si="60"/>
        <v>0</v>
      </c>
      <c r="BU85" s="17">
        <f>COUNTIFS('Prácticas_Revisiones'!$S$2:$S$282,"T073",'Prácticas_Revisiones'!$T$2:$T$282,"SOFTWARE ENG. MODELS/METH. &gt; Modeling")+COUNTIFS('Prácticas_Snowballing'!$AB$2:$AB$281,"T073",'Prácticas_Snowballing'!$AC$2:$AC$281,"SOFTWARE ENG. MODELS/METH. &gt; Modeling")</f>
        <v>0</v>
      </c>
      <c r="BV85" s="17">
        <f>COUNTIFS('Prácticas_Revisiones'!$S$2:$S$282,"T073",'Prácticas_Revisiones'!$T$2:$T$282,"SOFTWARE ENG. MODELS/METH. &gt; Types of Models")+COUNTIFS('Prácticas_Snowballing'!$AB$2:$AB$281,"T073",'Prácticas_Snowballing'!$AC$2:$AC$281,"SOFTWARE ENG. MODELS/METH. &gt; Types of Models")</f>
        <v>0</v>
      </c>
      <c r="BW85" s="17">
        <f>COUNTIFS('Prácticas_Revisiones'!$S$2:$S$282,"T073",'Prácticas_Revisiones'!$T$2:$T$282,"SOFTWARE ENG. MODELS/METH. &gt; Analysis of Models")+COUNTIFS('Prácticas_Snowballing'!$AB$2:$AB$281,"T073",'Prácticas_Snowballing'!$AC$2:$AC$281,"SOFTWARE ENG. MODELS/METH. &gt; Analysis of Models")</f>
        <v>0</v>
      </c>
      <c r="BX85" s="17">
        <f>COUNTIFS('Prácticas_Revisiones'!$S$2:$S$282,"T073",'Prácticas_Revisiones'!$T$2:$T$282,"SOFTWARE ENG. MODELS/METH. &gt; Software Engineering Methods")+COUNTIFS('Prácticas_Snowballing'!$AB$2:$AB$281,"T073",'Prácticas_Snowballing'!$AC$2:$AC$281,"SOFTWARE ENG. MODELS/METH. &gt; Software Engineering Methods")</f>
        <v>0</v>
      </c>
      <c r="BY85" s="17">
        <f>COUNTIFS('Prácticas_Revisiones'!$S$2:$S$282,"T073",'Prácticas_Revisiones'!$T$2:$T$282,"SOFTWARE ENG. MODELS/METH. &gt; Subárea no determinable")+COUNTIFS('Prácticas_Snowballing'!$AB$2:$AB$281,"T073",'Prácticas_Snowballing'!$AC$2:$AC$281,"SOFTWARE ENG. MODELS/METH. &gt; Subárea no determinable")</f>
        <v>0</v>
      </c>
      <c r="BZ85" s="29">
        <f t="shared" si="61"/>
        <v>0</v>
      </c>
      <c r="CA85" s="17">
        <f>COUNTIFS('Prácticas_Revisiones'!$S$2:$S$282,"T073",'Prácticas_Revisiones'!$T$2:$T$282,"SOFTWARE QUALITY &gt; Software Quality Fundamentals")+COUNTIFS('Prácticas_Snowballing'!$AB$2:$AB$281,"T073",'Prácticas_Snowballing'!$AC$2:$AC$281,"SOFTWARE QUALITY &gt; Software Quality Fundamentals")</f>
        <v>0</v>
      </c>
      <c r="CB85" s="17">
        <f>COUNTIFS('Prácticas_Revisiones'!$S$2:$S$282,"T073",'Prácticas_Revisiones'!$T$2:$T$282,"SOFTWARE QUALITY &gt; Software Quality Management Process")+COUNTIFS('Prácticas_Snowballing'!$AB$2:$AB$281,"T073",'Prácticas_Snowballing'!$AC$2:$AC$281,"SOFTWARE QUALITY &gt; Software Quality Management Process")</f>
        <v>0</v>
      </c>
      <c r="CC85" s="17">
        <f>COUNTIFS('Prácticas_Revisiones'!$S$2:$S$282,"T073",'Prácticas_Revisiones'!$T$2:$T$282,"SOFTWARE QUALITY &gt; Software Quality Assurance Process")+COUNTIFS('Prácticas_Snowballing'!$AB$2:$AB$281,"T073",'Prácticas_Snowballing'!$AC$2:$AC$281,"SOFTWARE QUALITY &gt; Software Quality Assurance Process")</f>
        <v>0</v>
      </c>
      <c r="CD85" s="17">
        <f>COUNTIFS('Prácticas_Revisiones'!$S$2:$S$282,"T073",'Prácticas_Revisiones'!$T$2:$T$282,"SOFTWARE QUALITY &gt; Software Quality Tools")+COUNTIFS('Prácticas_Snowballing'!$AB$2:$AB$281,"T073",'Prácticas_Snowballing'!$AC$2:$AC$281,"SOFTWARE QUALITY &gt; Software Quality Tools")</f>
        <v>0</v>
      </c>
      <c r="CE85" s="17">
        <f>COUNTIFS('Prácticas_Revisiones'!$S$2:$S$282,"T073",'Prácticas_Revisiones'!$T$2:$T$282,"SOFTWARE QUALITY &gt; Subárea no determinable")+COUNTIFS('Prácticas_Snowballing'!$AB$2:$AB$281,"T073",'Prácticas_Snowballing'!$AC$2:$AC$281,"SOFTWARE QUALITY &gt; Subárea no determinable")</f>
        <v>0</v>
      </c>
      <c r="CF85" s="29">
        <f t="shared" si="62"/>
        <v>0</v>
      </c>
      <c r="CG85" s="17">
        <f>COUNTIFS('Prácticas_Revisiones'!$S$2:$S$282,"T073",'Prácticas_Revisiones'!$T$2:$T$282,"SOFTWARE SECURITY &gt; Software Security Fundamentals")+COUNTIFS('Prácticas_Snowballing'!$AB$2:$AB$281,"T073",'Prácticas_Snowballing'!$AC$2:$AC$281,"SOFTWARE SECURITY &gt; Software Security Fundamentals")</f>
        <v>0</v>
      </c>
      <c r="CH85" s="17">
        <f>COUNTIFS('Prácticas_Revisiones'!$S$2:$S$282,"T073",'Prácticas_Revisiones'!$T$2:$T$282,"SOFTWARE SECURITY &gt; Security Management and Organization")+COUNTIFS('Prácticas_Snowballing'!$AB$2:$AB$281,"T073",'Prácticas_Snowballing'!$AC$2:$AC$281,"SOFTWARE SECURITY &gt; Security Management and Organization")</f>
        <v>0</v>
      </c>
      <c r="CI85" s="17">
        <f>COUNTIFS('Prácticas_Revisiones'!$S$2:$S$282,"T073",'Prácticas_Revisiones'!$T$2:$T$282,"SOFTWARE SECURITY &gt; Software Security Engineering and Process")+COUNTIFS('Prácticas_Snowballing'!$AB$2:$AB$281,"T073",'Prácticas_Snowballing'!$AC$2:$AC$281,"SOFTWARE SECURITY &gt; Software Security Engineering and Process")</f>
        <v>0</v>
      </c>
      <c r="CJ85" s="17">
        <f>COUNTIFS('Prácticas_Revisiones'!$S$2:$S$282,"T073",'Prácticas_Revisiones'!$T$2:$T$282,"SOFTWARE SECURITY &gt; Security Engineering for Software Systems")+COUNTIFS('Prácticas_Snowballing'!$AB$2:$AB$281,"T073",'Prácticas_Snowballing'!$AC$2:$AC$281,"SOFTWARE SECURITY &gt; Security Engineering for Software Systems")</f>
        <v>0</v>
      </c>
      <c r="CK85" s="17">
        <f>COUNTIFS('Prácticas_Revisiones'!$S$2:$S$282,"T073",'Prácticas_Revisiones'!$T$2:$T$282,"SOFTWARE SECURITY &gt; Software Security Tools")+COUNTIFS('Prácticas_Snowballing'!$AB$2:$AB$281,"T073",'Prácticas_Snowballing'!$AC$2:$AC$281,"SOFTWARE SECURITY &gt; Software Security Tools")</f>
        <v>0</v>
      </c>
      <c r="CL85" s="17">
        <f>COUNTIFS('Prácticas_Revisiones'!$S$2:$S$282,"T073",'Prácticas_Revisiones'!$T$2:$T$282,"SOFTWARE SECURITY &gt; Domain Specific Software Security")+COUNTIFS('Prácticas_Snowballing'!$AB$2:$AB$281,"T073",'Prácticas_Snowballing'!$AC$2:$AC$281,"SOFTWARE SECURITY &gt; Domain Specific Software Security")</f>
        <v>0</v>
      </c>
      <c r="CM85" s="17">
        <f>COUNTIFS('Prácticas_Revisiones'!$S$2:$S$282,"T073",'Prácticas_Revisiones'!$T$2:$T$282,"SOFTWARE SECURITY &gt; Subárea no determinable")+COUNTIFS('Prácticas_Snowballing'!$AB$2:$AB$281,"T073",'Prácticas_Snowballing'!$AC$2:$AC$281,"SOFTWARE SECURITY &gt; Subárea no determinable")</f>
        <v>0</v>
      </c>
      <c r="CN85" s="29">
        <f t="shared" si="63"/>
        <v>0</v>
      </c>
      <c r="CO85" s="17">
        <f>COUNTIFS('Prácticas_Revisiones'!$S$2:$S$282,"T073",'Prácticas_Revisiones'!$T$2:$T$282,"PROFESSIONAL PRACTICE &gt; Professionalism")+COUNTIFS('Prácticas_Snowballing'!$AB$2:$AB$281,"T073",'Prácticas_Snowballing'!$AC$2:$AC$281,"PROFESSIONAL PRACTICE &gt; Professionalism")</f>
        <v>0</v>
      </c>
      <c r="CP85" s="17">
        <f>COUNTIFS('Prácticas_Revisiones'!$S$2:$S$282,"T073",'Prácticas_Revisiones'!$T$2:$T$282,"PROFESSIONAL PRACTICE &gt; Group Dynamics and Psychology")+COUNTIFS('Prácticas_Snowballing'!$AB$2:$AB$281,"T073",'Prácticas_Snowballing'!$AC$2:$AC$281,"PROFESSIONAL PRACTICE &gt; Group Dynamics and Psychology")</f>
        <v>0</v>
      </c>
      <c r="CQ85" s="17">
        <f>COUNTIFS('Prácticas_Revisiones'!$S$2:$S$282,"T073",'Prácticas_Revisiones'!$T$2:$T$282,"PROFESSIONAL PRACTICE &gt; Communication Skills")+COUNTIFS('Prácticas_Snowballing'!$AB$2:$AB$281,"T073",'Prácticas_Snowballing'!$AC$2:$AC$281,"PROFESSIONAL PRACTICE &gt; Communication Skills")</f>
        <v>0</v>
      </c>
      <c r="CR85" s="17">
        <f>COUNTIFS('Prácticas_Revisiones'!$S$2:$S$282,"T073",'Prácticas_Revisiones'!$T$2:$T$282,"PROFESSIONAL PRACTICE &gt; Subárea no determinable")+COUNTIFS('Prácticas_Snowballing'!$AB$2:$AB$281,"T073",'Prácticas_Snowballing'!$AC$2:$AC$281,"PROFESSIONAL PRACTICE &gt; Subárea no determinable")</f>
        <v>0</v>
      </c>
      <c r="CS85" s="29">
        <f t="shared" si="64"/>
        <v>0</v>
      </c>
      <c r="CT85" s="17">
        <f>COUNTIFS('Prácticas_Revisiones'!$S$2:$S$282,"T073",'Prácticas_Revisiones'!$T$2:$T$282,"SOFTWARE ENG. ECONOMICS &gt; Software Engineering Economics Fundamentals")+COUNTIFS('Prácticas_Snowballing'!$AB$2:$AB$281,"T073",'Prácticas_Snowballing'!$AC$2:$AC$281,"SOFTWARE ENG. ECONOMICS &gt; Software Engineering Economics Fundamentals")</f>
        <v>0</v>
      </c>
      <c r="CU85" s="17">
        <f>COUNTIFS('Prácticas_Revisiones'!$S$2:$S$282,"T073",'Prácticas_Revisiones'!$T$2:$T$282,"SOFTWARE ENG. ECONOMICS &gt; The Engineering Decision-Making Process")+COUNTIFS('Prácticas_Snowballing'!$AB$2:$AB$281,"T073",'Prácticas_Snowballing'!$AC$2:$AC$281,"SOFTWARE ENG. ECONOMICS &gt; The Engineering Decision-Making Process")</f>
        <v>0</v>
      </c>
      <c r="CV85" s="17">
        <f>COUNTIFS('Prácticas_Revisiones'!$S$2:$S$282,"T073",'Prácticas_Revisiones'!$T$2:$T$282,"SOFTWARE ENG. ECONOMICS &gt; For-Profit Decision-Making")+COUNTIFS('Prácticas_Snowballing'!$AB$2:$AB$281,"T073",'Prácticas_Snowballing'!$AC$2:$AC$281,"SOFTWARE ENG. ECONOMICS &gt; For-Profit Decision-Making")</f>
        <v>0</v>
      </c>
      <c r="CW85" s="17">
        <f>COUNTIFS('Prácticas_Revisiones'!$S$2:$S$282,"T073",'Prácticas_Revisiones'!$T$2:$T$282,"SOFTWARE ENG. ECONOMICS &gt; Nonprofit Decision-Making")+COUNTIFS('Prácticas_Snowballing'!$AB$2:$AB$281,"T073",'Prácticas_Snowballing'!$AC$2:$AC$281,"SOFTWARE ENG. ECONOMICS &gt; Nonprofit Decision-Making")</f>
        <v>0</v>
      </c>
      <c r="CX85" s="17">
        <f>COUNTIFS('Prácticas_Revisiones'!$S$2:$S$282,"T073",'Prácticas_Revisiones'!$T$2:$T$282,"SOFTWARE ENG. ECONOMICS &gt; Present Economy Decision-Making")+COUNTIFS('Prácticas_Snowballing'!$AB$2:$AB$281,"T073",'Prácticas_Snowballing'!$AC$2:$AC$281,"SOFTWARE ENG. ECONOMICS &gt; Present Economy Decision-Making")</f>
        <v>0</v>
      </c>
      <c r="CY85" s="17">
        <f>COUNTIFS('Prácticas_Revisiones'!$S$2:$S$282,"T073",'Prácticas_Revisiones'!$T$2:$T$282,"SOFTWARE ENG. ECONOMICS &gt; Multiple-Attribute Decision-Making")+COUNTIFS('Prácticas_Snowballing'!$AB$2:$AB$281,"T073",'Prácticas_Snowballing'!$AC$2:$AC$281,"SOFTWARE ENG. ECONOMICS &gt; Multiple-Attribute Decision-Making")</f>
        <v>0</v>
      </c>
      <c r="CZ85" s="17">
        <f>COUNTIFS('Prácticas_Revisiones'!$S$2:$S$282,"T073",'Prácticas_Revisiones'!$T$2:$T$282,"SOFTWARE ENG. ECONOMICS &gt; Identifying and Characterizing Intangible Assets")+COUNTIFS('Prácticas_Snowballing'!$AB$2:$AB$281,"T073",'Prácticas_Snowballing'!$AC$2:$AC$281,"SOFTWARE ENG. ECONOMICS &gt; Identifying and Characterizing Intangible Assets")</f>
        <v>0</v>
      </c>
      <c r="DA85" s="17">
        <f>COUNTIFS('Prácticas_Revisiones'!$S$2:$S$282,"T073",'Prácticas_Revisiones'!$T$2:$T$282,"SOFTWARE ENG. ECONOMICS &gt; Estimation")+COUNTIFS('Prácticas_Snowballing'!$AB$2:$AB$281,"T073",'Prácticas_Snowballing'!$AC$2:$AC$281,"SOFTWARE ENG. ECONOMICS &gt; Estimation")</f>
        <v>0</v>
      </c>
      <c r="DB85" s="17">
        <f>COUNTIFS('Prácticas_Revisiones'!$S$2:$S$282,"T073",'Prácticas_Revisiones'!$T$2:$T$282,"SOFTWARE ENG. ECONOMICS &gt; Practical Considerations")+COUNTIFS('Prácticas_Snowballing'!$AB$2:$AB$281,"T073",'Prácticas_Snowballing'!$AC$2:$AC$281,"SOFTWARE ENG. ECONOMICS &gt; Practical Considerations")</f>
        <v>0</v>
      </c>
      <c r="DC85" s="17">
        <f>COUNTIFS('Prácticas_Revisiones'!$S$2:$S$282,"T073",'Prácticas_Revisiones'!$T$2:$T$282,"SOFTWARE ENG. ECONOMICS &gt; Related Concepts")+COUNTIFS('Prácticas_Snowballing'!$AB$2:$AB$281,"T073",'Prácticas_Snowballing'!$AC$2:$AC$281,"SOFTWARE ENG. ECONOMICS &gt; Related Concepts")</f>
        <v>0</v>
      </c>
      <c r="DD85" s="17">
        <f>COUNTIFS('Prácticas_Revisiones'!$S$2:$S$282,"T073",'Prácticas_Revisiones'!$T$2:$T$282,"SOFTWARE ENG. ECONOMICS &gt; Subárea no determinable")+COUNTIFS('Prácticas_Snowballing'!$AB$2:$AB$281,"T073",'Prácticas_Snowballing'!$AC$2:$AC$281,"SOFTWARE ENG. ECONOMICS &gt; Subárea no determinable")</f>
        <v>0</v>
      </c>
      <c r="DE85" s="29">
        <f t="shared" si="65"/>
        <v>0</v>
      </c>
      <c r="DF85" s="17">
        <f>COUNTIFS('Prácticas_Revisiones'!$S$2:$S$282,"T073",'Prácticas_Revisiones'!$T$2:$T$282,"SOFTWARE ENG. MANAGEMENT &gt; Software Engineering Management Fundamentals")+COUNTIFS('Prácticas_Snowballing'!$AB$2:$AB$281,"T073",'Prácticas_Snowballing'!$AC$2:$AC$281,"SOFTWARE ENG. MANAGEMENT &gt; Software Engineering Management Fundamentals")</f>
        <v>0</v>
      </c>
      <c r="DG85" s="17">
        <f>COUNTIFS('Prácticas_Revisiones'!$S$2:$S$282,"T073",'Prácticas_Revisiones'!$T$2:$T$282,"SOFTWARE ENG. MANAGEMENT &gt; Initiation and Scope Definition")+COUNTIFS('Prácticas_Snowballing'!$AB$2:$AB$281,"T073",'Prácticas_Snowballing'!$AC$2:$AC$281,"SOFTWARE ENG. MANAGEMENT &gt; Initiation and Scope Definition")</f>
        <v>0</v>
      </c>
      <c r="DH85" s="17">
        <f>COUNTIFS('Prácticas_Revisiones'!$S$2:$S$282,"T073",'Prácticas_Revisiones'!$T$2:$T$282,"SOFTWARE ENG. MANAGEMENT &gt; Software Project Planning")+COUNTIFS('Prácticas_Snowballing'!$AB$2:$AB$281,"T073",'Prácticas_Snowballing'!$AC$2:$AC$281,"SOFTWARE ENG. MANAGEMENT &gt; Software Project Planning")</f>
        <v>0</v>
      </c>
      <c r="DI85" s="17">
        <f>COUNTIFS('Prácticas_Revisiones'!$S$2:$S$282,"T073",'Prácticas_Revisiones'!$T$2:$T$282,"SOFTWARE ENG. MANAGEMENT &gt; Software Project Enactment")+COUNTIFS('Prácticas_Snowballing'!$AB$2:$AB$281,"T073",'Prácticas_Snowballing'!$AC$2:$AC$281,"SOFTWARE ENG. MANAGEMENT &gt; Software Project Enactment")</f>
        <v>0</v>
      </c>
      <c r="DJ85" s="17">
        <f>COUNTIFS('Prácticas_Revisiones'!$S$2:$S$282,"T073",'Prácticas_Revisiones'!$T$2:$T$282,"SOFTWARE ENG. MANAGEMENT &gt; Review and Evaluation")+COUNTIFS('Prácticas_Snowballing'!$AB$2:$AB$281,"T073",'Prácticas_Snowballing'!$AC$2:$AC$281,"SOFTWARE ENG. MANAGEMENT &gt; Review and Evaluation")</f>
        <v>0</v>
      </c>
      <c r="DK85" s="17">
        <f>COUNTIFS('Prácticas_Revisiones'!$S$2:$S$282,"T073",'Prácticas_Revisiones'!$T$2:$T$282,"SOFTWARE ENG. MANAGEMENT &gt; Closure")+COUNTIFS('Prácticas_Snowballing'!$AB$2:$AB$281,"T073",'Prácticas_Snowballing'!$AC$2:$AC$281,"SOFTWARE ENG. MANAGEMENT &gt; Closure")</f>
        <v>0</v>
      </c>
      <c r="DL85" s="17">
        <f>COUNTIFS('Prácticas_Revisiones'!$S$2:$S$282,"T073",'Prácticas_Revisiones'!$T$2:$T$282,"SOFTWARE ENG. MANAGEMENT &gt; Software Engineering Management Tools")+COUNTIFS('Prácticas_Snowballing'!$AB$2:$AB$281,"T073",'Prácticas_Snowballing'!$AC$2:$AC$281,"SOFTWARE ENG. MANAGEMENT &gt; Software Engineering Management Tools")</f>
        <v>0</v>
      </c>
      <c r="DM85" s="17">
        <f>COUNTIFS('Prácticas_Revisiones'!$S$2:$S$282,"T073",'Prácticas_Revisiones'!$T$2:$T$282,"SOFTWARE ENG. MANAGEMENT &gt; Subárea no determinable")+COUNTIFS('Prácticas_Snowballing'!$AB$2:$AB$281,"T073",'Prácticas_Snowballing'!$AC$2:$AC$281,"SOFTWARE ENG. MANAGEMENT &gt; Subárea no determinable")</f>
        <v>0</v>
      </c>
      <c r="DN85" s="29">
        <f t="shared" si="66"/>
        <v>0</v>
      </c>
      <c r="DO85" s="17">
        <f>COUNTIFS('Prácticas_Revisiones'!$S$2:$S$282,"T073",'Prácticas_Revisiones'!$T$2:$T$282,"Sin área SWEBOK")+COUNTIFS('Prácticas_Snowballing'!$AB$2:$AB$281,"T073",'Prácticas_Snowballing'!$AC$2:$AC$281,"Sin área SWEBOK")</f>
        <v>0</v>
      </c>
      <c r="DP85" s="27">
        <f t="shared" si="67"/>
        <v>1</v>
      </c>
    </row>
    <row r="86" ht="15.75" customHeight="1">
      <c r="A86" s="28"/>
      <c r="B86" s="16" t="s">
        <v>2849</v>
      </c>
      <c r="C86" s="17">
        <f>COUNTIFS('Prácticas_Revisiones'!$S$2:$S$282,"T074",'Prácticas_Revisiones'!$T$2:$T$282,"REQUIREMENTS &gt; Software Requirements Fundamentals")+COUNTIFS('Prácticas_Snowballing'!$AB$2:$AB$281,"T074",'Prácticas_Snowballing'!$AC$2:$AC$281,"REQUIREMENTS &gt; Software Requirements Fundamentals")</f>
        <v>0</v>
      </c>
      <c r="D86" s="17">
        <f>COUNTIFS('Prácticas_Revisiones'!$S$2:$S$282,"T074",'Prácticas_Revisiones'!$T$2:$T$282,"REQUIREMENTS &gt; Requirements Elicitation")+COUNTIFS('Prácticas_Snowballing'!$AB$2:$AB$281,"T074",'Prácticas_Snowballing'!$AC$2:$AC$281,"REQUIREMENTS &gt; Requirements Elicitation")</f>
        <v>0</v>
      </c>
      <c r="E86" s="17">
        <f>COUNTIFS('Prácticas_Revisiones'!$S$2:$S$282,"T074",'Prácticas_Revisiones'!$T$2:$T$282,"REQUIREMENTS &gt; Requirements Analysis")+COUNTIFS('Prácticas_Snowballing'!$AB$2:$AB$281,"T074",'Prácticas_Snowballing'!$AC$2:$AC$281,"REQUIREMENTS &gt; Requirements Analysis")</f>
        <v>0</v>
      </c>
      <c r="F86" s="17">
        <f>COUNTIFS('Prácticas_Revisiones'!$S$2:$S$282,"T074",'Prácticas_Revisiones'!$T$2:$T$282,"REQUIREMENTS &gt; Requirements Specification")+COUNTIFS('Prácticas_Snowballing'!$AB$2:$AB$281,"T074",'Prácticas_Snowballing'!$AC$2:$AC$281,"REQUIREMENTS &gt; Requirements Specification")</f>
        <v>0</v>
      </c>
      <c r="G86" s="17">
        <f>COUNTIFS('Prácticas_Revisiones'!$S$2:$S$282,"T074",'Prácticas_Revisiones'!$T$2:$T$282,"REQUIREMENTS &gt; Requirements Validation")+COUNTIFS('Prácticas_Snowballing'!$AB$2:$AB$281,"T074",'Prácticas_Snowballing'!$AC$2:$AC$281,"REQUIREMENTS &gt; Requirements Validation")</f>
        <v>0</v>
      </c>
      <c r="H86" s="17">
        <f>COUNTIFS('Prácticas_Revisiones'!$S$2:$S$282,"T074",'Prácticas_Revisiones'!$T$2:$T$282,"REQUIREMENTS &gt; Requirements Management Activities")+COUNTIFS('Prácticas_Snowballing'!$AB$2:$AB$281,"T074",'Prácticas_Snowballing'!$AC$2:$AC$281,"REQUIREMENTS &gt; Requirements Management Activities")</f>
        <v>0</v>
      </c>
      <c r="I86" s="17">
        <f>COUNTIFS('Prácticas_Revisiones'!$S$2:$S$282,"T074",'Prácticas_Revisiones'!$T$2:$T$282,"REQUIREMENTS &gt; Practical Considerations")+COUNTIFS('Prácticas_Snowballing'!$AB$2:$AB$281,"T074",'Prácticas_Snowballing'!$AC$2:$AC$281,"REQUIREMENTS &gt; Practical Considerations")</f>
        <v>0</v>
      </c>
      <c r="J86" s="17">
        <f>COUNTIFS('Prácticas_Revisiones'!$S$2:$S$282,"T074",'Prácticas_Revisiones'!$T$2:$T$282,"REQUIREMENTS &gt; Software Requirements Tools")+COUNTIFS('Prácticas_Snowballing'!$AB$2:$AB$281,"T074",'Prácticas_Snowballing'!$AC$2:$AC$281,"REQUIREMENTS &gt; Software Requirements Tools")</f>
        <v>0</v>
      </c>
      <c r="K86" s="17">
        <f>COUNTIFS('Prácticas_Revisiones'!$S$2:$S$282,"T074",'Prácticas_Revisiones'!$T$2:$T$282,"REQUIREMENTS &gt; Subárea no determinable")+COUNTIFS('Prácticas_Snowballing'!$AB$2:$AB$281,"T074",'Prácticas_Snowballing'!$AC$2:$AC$281,"REQUIREMENTS &gt; Subárea no determinable")</f>
        <v>0</v>
      </c>
      <c r="L86" s="29">
        <f t="shared" si="52"/>
        <v>0</v>
      </c>
      <c r="M86" s="17">
        <f>COUNTIFS('Prácticas_Revisiones'!$S$2:$S$282,"T074",'Prácticas_Revisiones'!$T$2:$T$282,"ARCHITECTURE &gt; Software Architecture Fundamentals")+COUNTIFS('Prácticas_Snowballing'!$AB$2:$AB$281,"T074",'Prácticas_Snowballing'!$AC$2:$AC$281,"ARCHITECTURE &gt; Software Architecture Fundamentals")</f>
        <v>0</v>
      </c>
      <c r="N86" s="17">
        <f>COUNTIFS('Prácticas_Revisiones'!$S$2:$S$282,"T074",'Prácticas_Revisiones'!$T$2:$T$282,"ARCHITECTURE &gt; Software Architecture Description")+COUNTIFS('Prácticas_Snowballing'!$AB$2:$AB$281,"T074",'Prácticas_Snowballing'!$AC$2:$AC$281,"ARCHITECTURE &gt; Software Architecture Description")</f>
        <v>0</v>
      </c>
      <c r="O86" s="17">
        <f>COUNTIFS('Prácticas_Revisiones'!$S$2:$S$282,"T074",'Prácticas_Revisiones'!$T$2:$T$282,"ARCHITECTURE &gt; Software Architecture Process")+COUNTIFS('Prácticas_Snowballing'!$AB$2:$AB$281,"T074",'Prácticas_Snowballing'!$AC$2:$AC$281,"ARCHITECTURE &gt; Software Architecture Process")</f>
        <v>0</v>
      </c>
      <c r="P86" s="17">
        <f>COUNTIFS('Prácticas_Revisiones'!$S$2:$S$282,"T074",'Prácticas_Revisiones'!$T$2:$T$282,"ARCHITECTURE &gt; Software Architecture Evaluation")+COUNTIFS('Prácticas_Snowballing'!$AB$2:$AB$281,"T074",'Prácticas_Snowballing'!$AC$2:$AC$281,"ARCHITECTURE &gt; Software Architecture Evaluation")</f>
        <v>0</v>
      </c>
      <c r="Q86" s="17">
        <f>COUNTIFS('Prácticas_Revisiones'!$S$2:$S$282,"T074",'Prácticas_Revisiones'!$T$2:$T$282,"ARCHITECTURE &gt; Subárea no determinable")+COUNTIFS('Prácticas_Snowballing'!$AB$2:$AB$281,"T074",'Prácticas_Snowballing'!$AC$2:$AC$281,"ARCHITECTURE &gt; Subárea no determinable")</f>
        <v>0</v>
      </c>
      <c r="R86" s="29">
        <f t="shared" si="53"/>
        <v>0</v>
      </c>
      <c r="S86" s="17">
        <f>COUNTIFS('Prácticas_Revisiones'!$S$2:$S$282,"T074",'Prácticas_Revisiones'!$T$2:$T$282,"DESIGN &gt; Software Design Fundamentals")+COUNTIFS('Prácticas_Snowballing'!$AB$2:$AB$281,"T074",'Prácticas_Snowballing'!$AC$2:$AC$281,"DESIGN &gt; Software Design Fundamentals")</f>
        <v>0</v>
      </c>
      <c r="T86" s="17">
        <f>COUNTIFS('Prácticas_Revisiones'!$S$2:$S$282,"T074",'Prácticas_Revisiones'!$T$2:$T$282,"DESIGN &gt; Software Design Processes")+COUNTIFS('Prácticas_Snowballing'!$AB$2:$AB$281,"T074",'Prácticas_Snowballing'!$AC$2:$AC$281,"DESIGN &gt; Software Design Processes")</f>
        <v>0</v>
      </c>
      <c r="U86" s="17">
        <f>COUNTIFS('Prácticas_Revisiones'!$S$2:$S$282,"T074",'Prácticas_Revisiones'!$T$2:$T$282,"DESIGN &gt; Software Design Qualities")+COUNTIFS('Prácticas_Snowballing'!$AB$2:$AB$281,"T074",'Prácticas_Snowballing'!$AC$2:$AC$281,"DESIGN &gt; Software Design Qualities")</f>
        <v>0</v>
      </c>
      <c r="V86" s="17">
        <f>COUNTIFS('Prácticas_Revisiones'!$S$2:$S$282,"T074",'Prácticas_Revisiones'!$T$2:$T$282,"DESIGN &gt; Recording Software Design")+COUNTIFS('Prácticas_Snowballing'!$AB$2:$AB$281,"T074",'Prácticas_Snowballing'!$AC$2:$AC$281,"DESIGN &gt; Recording Software Design")</f>
        <v>0</v>
      </c>
      <c r="W86" s="17">
        <f>COUNTIFS('Prácticas_Revisiones'!$S$2:$S$282,"T074",'Prácticas_Revisiones'!$T$2:$T$282,"DESIGN &gt; Software Design Strategies and Methods")+COUNTIFS('Prácticas_Snowballing'!$AB$2:$AB$281,"T074",'Prácticas_Snowballing'!$AC$2:$AC$281,"DESIGN &gt; Software Design Strategies and Methods")</f>
        <v>0</v>
      </c>
      <c r="X86" s="17">
        <f>COUNTIFS('Prácticas_Revisiones'!$S$2:$S$282,"T074",'Prácticas_Revisiones'!$T$2:$T$282,"DESIGN &gt; Software Design Analysis and Evaluations")+COUNTIFS('Prácticas_Snowballing'!$AB$2:$AB$281,"T074",'Prácticas_Snowballing'!$AC$2:$AC$281,"DESIGN &gt; Software Design Analysis and Evaluations")</f>
        <v>0</v>
      </c>
      <c r="Y86" s="17">
        <f>COUNTIFS('Prácticas_Revisiones'!$S$2:$S$282,"T074",'Prácticas_Revisiones'!$T$2:$T$282,"DESIGN &gt; Subárea no determinable")+COUNTIFS('Prácticas_Snowballing'!$AB$2:$AB$281,"T074",'Prácticas_Snowballing'!$AC$2:$AC$281,"DESIGN &gt; Subárea no determinable")</f>
        <v>0</v>
      </c>
      <c r="Z86" s="29">
        <f t="shared" si="54"/>
        <v>0</v>
      </c>
      <c r="AA86" s="17">
        <f>COUNTIFS('Prácticas_Revisiones'!$S$2:$S$282,"T074",'Prácticas_Revisiones'!$T$2:$T$282,"CONSTRUCTION &gt; Software Construction Fundamentals")+COUNTIFS('Prácticas_Snowballing'!$AB$2:$AB$281,"T074",'Prácticas_Snowballing'!$AC$2:$AC$281,"CONSTRUCTION &gt; Software Construction Fundamentals")</f>
        <v>1</v>
      </c>
      <c r="AB86" s="17">
        <f>COUNTIFS('Prácticas_Revisiones'!$S$2:$S$282,"T074",'Prácticas_Revisiones'!$T$2:$T$282,"CONSTRUCTION &gt; Managing Construction")+COUNTIFS('Prácticas_Snowballing'!$AB$2:$AB$281,"T074",'Prácticas_Snowballing'!$AC$2:$AC$281,"CONSTRUCTION &gt; Managing Construction")</f>
        <v>0</v>
      </c>
      <c r="AC86" s="17">
        <f>COUNTIFS('Prácticas_Revisiones'!$S$2:$S$282,"T074",'Prácticas_Revisiones'!$T$2:$T$282,"CONSTRUCTION &gt; Practical Considerations")+COUNTIFS('Prácticas_Snowballing'!$AB$2:$AB$281,"T074",'Prácticas_Snowballing'!$AC$2:$AC$281,"CONSTRUCTION &gt; Practical Considerations")</f>
        <v>0</v>
      </c>
      <c r="AD86" s="17">
        <f>COUNTIFS('Prácticas_Revisiones'!$S$2:$S$282,"T074",'Prácticas_Revisiones'!$T$2:$T$282,"CONSTRUCTION &gt; Construction Technologies")+COUNTIFS('Prácticas_Snowballing'!$AB$2:$AB$281,"T074",'Prácticas_Snowballing'!$AC$2:$AC$281,"CONSTRUCTION &gt; Construction Technologies")</f>
        <v>0</v>
      </c>
      <c r="AE86" s="17">
        <f>COUNTIFS('Prácticas_Revisiones'!$S$2:$S$282,"T074",'Prácticas_Revisiones'!$T$2:$T$282,"CONSTRUCTION &gt; Software Construction Tools")+COUNTIFS('Prácticas_Snowballing'!$AB$2:$AB$281,"T074",'Prácticas_Snowballing'!$AC$2:$AC$281,"CONSTRUCTION &gt; Software Construction Tools")</f>
        <v>0</v>
      </c>
      <c r="AF86" s="17">
        <f>COUNTIFS('Prácticas_Revisiones'!$S$2:$S$282,"T074",'Prácticas_Revisiones'!$T$2:$T$282,"CONSTRUCTION &gt; Subárea no determinable")+COUNTIFS('Prácticas_Snowballing'!$AB$2:$AB$281,"T074",'Prácticas_Snowballing'!$AC$2:$AC$281,"CONSTRUCTION &gt; Subárea no determinable")</f>
        <v>0</v>
      </c>
      <c r="AG86" s="29">
        <f t="shared" si="55"/>
        <v>1</v>
      </c>
      <c r="AH86" s="17">
        <f>COUNTIFS('Prácticas_Revisiones'!$S$2:$S$282,"T074",'Prácticas_Revisiones'!$T$2:$T$282,"SOFTWARE TESTING &gt; Software Testing Fundamentals")+COUNTIFS('Prácticas_Snowballing'!$AB$2:$AB$281,"T074",'Prácticas_Snowballing'!$AC$2:$AC$281,"SOFTWARE TESTING &gt; Software Testing Fundamentals")</f>
        <v>0</v>
      </c>
      <c r="AI86" s="17">
        <f>COUNTIFS('Prácticas_Revisiones'!$S$2:$S$282,"T074",'Prácticas_Revisiones'!$T$2:$T$282,"SOFTWARE TESTING &gt; Test Levels")+COUNTIFS('Prácticas_Snowballing'!$AB$2:$AB$281,"T074",'Prácticas_Snowballing'!$AC$2:$AC$281,"SOFTWARE TESTING &gt; Test Levels")</f>
        <v>0</v>
      </c>
      <c r="AJ86" s="17">
        <f>COUNTIFS('Prácticas_Revisiones'!$S$2:$S$282,"T074",'Prácticas_Revisiones'!$T$2:$T$282,"SOFTWARE TESTING &gt; Test Techniques")+COUNTIFS('Prácticas_Snowballing'!$AB$2:$AB$281,"T074",'Prácticas_Snowballing'!$AC$2:$AC$281,"SOFTWARE TESTING &gt; Test Techniques")</f>
        <v>0</v>
      </c>
      <c r="AK86" s="17">
        <f>COUNTIFS('Prácticas_Revisiones'!$S$2:$S$282,"T074",'Prácticas_Revisiones'!$T$2:$T$282,"SOFTWARE TESTING &gt; Test-Related Measures")+COUNTIFS('Prácticas_Snowballing'!$AB$2:$AB$281,"T074",'Prácticas_Snowballing'!$AC$2:$AC$281,"SOFTWARE TESTING &gt; Test-Related Measures")</f>
        <v>0</v>
      </c>
      <c r="AL86" s="17">
        <f>COUNTIFS('Prácticas_Revisiones'!$S$2:$S$282,"T074",'Prácticas_Revisiones'!$T$2:$T$282,"SOFTWARE TESTING &gt; Test Process")+COUNTIFS('Prácticas_Snowballing'!$AB$2:$AB$281,"T074",'Prácticas_Snowballing'!$AC$2:$AC$281,"SOFTWARE TESTING &gt; Test Process")</f>
        <v>0</v>
      </c>
      <c r="AM86" s="17">
        <f>COUNTIFS('Prácticas_Revisiones'!$S$2:$S$282,"T074",'Prácticas_Revisiones'!$T$2:$T$282,"SOFTWARE TESTING &gt; Software Testing in the Development Processes...")+COUNTIFS('Prácticas_Snowballing'!$AB$2:$AB$281,"T074",'Prácticas_Snowballing'!$AC$2:$AC$281,"SOFTWARE TESTING &gt; Software Testing in the Development Processes...")</f>
        <v>0</v>
      </c>
      <c r="AN86" s="17">
        <f>COUNTIFS('Prácticas_Revisiones'!$S$2:$S$282,"T074",'Prácticas_Revisiones'!$T$2:$T$282,"SOFTWARE TESTING &gt; Testing of and Testing Through Emerging Tech...")+COUNTIFS('Prácticas_Snowballing'!$AB$2:$AB$281,"T074",'Prácticas_Snowballing'!$AC$2:$AC$281,"SOFTWARE TESTING &gt; Testing of and Testing Through Emerging Tech...")</f>
        <v>0</v>
      </c>
      <c r="AO86" s="17">
        <f>COUNTIFS('Prácticas_Revisiones'!$S$2:$S$282,"T074",'Prácticas_Revisiones'!$T$2:$T$282,"SOFTWARE TESTING &gt; Software Testing Tools")+COUNTIFS('Prácticas_Snowballing'!$AB$2:$AB$281,"T074",'Prácticas_Snowballing'!$AC$2:$AC$281,"SOFTWARE TESTING &gt; Software Testing Tools")</f>
        <v>0</v>
      </c>
      <c r="AP86" s="17">
        <f>COUNTIFS('Prácticas_Revisiones'!$S$2:$S$282,"T074",'Prácticas_Revisiones'!$T$2:$T$282,"SOFTWARE TESTING &gt; Subárea no determinable")+COUNTIFS('Prácticas_Snowballing'!$AB$2:$AB$281,"T074",'Prácticas_Snowballing'!$AC$2:$AC$281,"SOFTWARE TESTING &gt; Subárea no determinable")</f>
        <v>0</v>
      </c>
      <c r="AQ86" s="29">
        <f t="shared" si="56"/>
        <v>0</v>
      </c>
      <c r="AR86" s="17">
        <f>COUNTIFS('Prácticas_Revisiones'!$S$2:$S$282,"T074",'Prácticas_Revisiones'!$T$2:$T$282,"SOFTWARE ENG. OPERATIONS &gt; Software Engineering Operations Fundamentals")+COUNTIFS('Prácticas_Snowballing'!$AB$2:$AB$281,"T074",'Prácticas_Snowballing'!$AC$2:$AC$281,"SOFTWARE ENG. OPERATIONS &gt; Software Engineering Operations Fundamentals")</f>
        <v>0</v>
      </c>
      <c r="AS86" s="17">
        <f>COUNTIFS('Prácticas_Revisiones'!$S$2:$S$282,"T074",'Prácticas_Revisiones'!$T$2:$T$282,"SOFTWARE ENG. OPERATIONS &gt; Software Engineering Operations Planning")+COUNTIFS('Prácticas_Snowballing'!$AB$2:$AB$281,"T074",'Prácticas_Snowballing'!$AC$2:$AC$281,"SOFTWARE ENG. OPERATIONS &gt; Software Engineering Operations Planning")</f>
        <v>0</v>
      </c>
      <c r="AT86" s="17">
        <f>COUNTIFS('Prácticas_Revisiones'!$S$2:$S$282,"T074",'Prácticas_Revisiones'!$T$2:$T$282,"SOFTWARE ENG. OPERATIONS &gt; Software Engineering Operations Delivery")+COUNTIFS('Prácticas_Snowballing'!$AB$2:$AB$281,"T074",'Prácticas_Snowballing'!$AC$2:$AC$281,"SOFTWARE ENG. OPERATIONS &gt; Software Engineering Operations Delivery")</f>
        <v>0</v>
      </c>
      <c r="AU86" s="17">
        <f>COUNTIFS('Prácticas_Revisiones'!$S$2:$S$282,"T074",'Prácticas_Revisiones'!$T$2:$T$282,"SOFTWARE ENG. OPERATIONS &gt; Software Engineering Operations Control")+COUNTIFS('Prácticas_Snowballing'!$AB$2:$AB$281,"T074",'Prácticas_Snowballing'!$AC$2:$AC$281,"SOFTWARE ENG. OPERATIONS &gt; Software Engineering Operations Control")</f>
        <v>0</v>
      </c>
      <c r="AV86" s="17">
        <f>COUNTIFS('Prácticas_Revisiones'!$S$2:$S$282,"T074",'Prácticas_Revisiones'!$T$2:$T$282,"SOFTWARE ENG. OPERATIONS &gt; Practical Considerations")+COUNTIFS('Prácticas_Snowballing'!$AB$2:$AB$281,"T074",'Prácticas_Snowballing'!$AC$2:$AC$281,"SOFTWARE ENG. OPERATIONS &gt; Practical Considerations")</f>
        <v>0</v>
      </c>
      <c r="AW86" s="17">
        <f>COUNTIFS('Prácticas_Revisiones'!$S$2:$S$282,"T074",'Prácticas_Revisiones'!$T$2:$T$282,"SOFTWARE ENG. OPERATIONS &gt; Software Engineering Operations Tools")+COUNTIFS('Prácticas_Snowballing'!$AB$2:$AB$281,"T074",'Prácticas_Snowballing'!$AC$2:$AC$281,"SOFTWARE ENG. OPERATIONS &gt; Software Engineering Operations Tools")</f>
        <v>0</v>
      </c>
      <c r="AX86" s="17">
        <f>COUNTIFS('Prácticas_Revisiones'!$S$2:$S$282,"T074",'Prácticas_Revisiones'!$T$2:$T$282,"SOFTWARE ENG. OPERATIONS &gt; Subárea no determinable")+COUNTIFS('Prácticas_Snowballing'!$AB$2:$AB$281,"T074",'Prácticas_Snowballing'!$AC$2:$AC$281,"SOFTWARE ENG. OPERATIONS &gt; Subárea no determinable")</f>
        <v>0</v>
      </c>
      <c r="AY86" s="29">
        <f t="shared" si="57"/>
        <v>0</v>
      </c>
      <c r="AZ86" s="17">
        <f>COUNTIFS('Prácticas_Revisiones'!$S$2:$S$282,"T074",'Prácticas_Revisiones'!$T$2:$T$282,"MAINTENANCE &gt; Software Maintenance Fundamentals")+COUNTIFS('Prácticas_Snowballing'!$AB$2:$AB$281,"T074",'Prácticas_Snowballing'!$AC$2:$AC$281,"MAINTENANCE &gt; Software Maintenance Fundamentals")</f>
        <v>0</v>
      </c>
      <c r="BA86" s="17">
        <f>COUNTIFS('Prácticas_Revisiones'!$S$2:$S$282,"T074",'Prácticas_Revisiones'!$T$2:$T$282,"MAINTENANCE &gt; Key Issues in Software Maintenance")+COUNTIFS('Prácticas_Snowballing'!$AB$2:$AB$281,"T074",'Prácticas_Snowballing'!$AC$2:$AC$281,"MAINTENANCE &gt; Key Issues in Software Maintenance")</f>
        <v>0</v>
      </c>
      <c r="BB86" s="17">
        <f>COUNTIFS('Prácticas_Revisiones'!$S$2:$S$282,"T074",'Prácticas_Revisiones'!$T$2:$T$282,"MAINTENANCE &gt; Software Maintenance Processes")+COUNTIFS('Prácticas_Snowballing'!$AB$2:$AB$281,"T074",'Prácticas_Snowballing'!$AC$2:$AC$281,"MAINTENANCE &gt; Software Maintenance Processes")</f>
        <v>0</v>
      </c>
      <c r="BC86" s="17">
        <f>COUNTIFS('Prácticas_Revisiones'!$S$2:$S$282,"T074",'Prácticas_Revisiones'!$T$2:$T$282,"MAINTENANCE &gt; Software Maintenance Techniques")+COUNTIFS('Prácticas_Snowballing'!$AB$2:$AB$281,"T074",'Prácticas_Snowballing'!$AC$2:$AC$281,"MAINTENANCE &gt; Software Maintenance Techniques")</f>
        <v>2</v>
      </c>
      <c r="BD86" s="17">
        <f>COUNTIFS('Prácticas_Revisiones'!$S$2:$S$282,"T074",'Prácticas_Revisiones'!$T$2:$T$282,"MAINTENANCE &gt; Software Maintenance Tools")+COUNTIFS('Prácticas_Snowballing'!$AB$2:$AB$281,"T074",'Prácticas_Snowballing'!$AC$2:$AC$281,"MAINTENANCE &gt; Software Maintenance Tools")</f>
        <v>0</v>
      </c>
      <c r="BE86" s="17">
        <f>COUNTIFS('Prácticas_Revisiones'!$S$2:$S$282,"T074",'Prácticas_Revisiones'!$T$2:$T$282,"MAINTENANCE &gt; Subárea no determinable")+COUNTIFS('Prácticas_Snowballing'!$AB$2:$AB$281,"T074",'Prácticas_Snowballing'!$AC$2:$AC$281,"MAINTENANCE &gt; Subárea no determinable")</f>
        <v>0</v>
      </c>
      <c r="BF86" s="29">
        <f t="shared" si="58"/>
        <v>2</v>
      </c>
      <c r="BG86" s="17">
        <f>COUNTIFS('Prácticas_Revisiones'!$S$2:$S$282,"T074",'Prácticas_Revisiones'!$T$2:$T$282,"SOFTWARE CONFIG. MGMT. &gt; Management of the SCM Process")+COUNTIFS('Prácticas_Snowballing'!$AB$2:$AB$281,"T074",'Prácticas_Snowballing'!$AC$2:$AC$281,"SOFTWARE CONFIG. MGMT. &gt; Management of the SCM Process")</f>
        <v>0</v>
      </c>
      <c r="BH86" s="17">
        <f>COUNTIFS('Prácticas_Revisiones'!$S$2:$S$282,"T074",'Prácticas_Revisiones'!$T$2:$T$282,"SOFTWARE CONFIG. MGMT. &gt; Software Configuration Identification")+COUNTIFS('Prácticas_Snowballing'!$AB$2:$AB$281,"T074",'Prácticas_Snowballing'!$AC$2:$AC$281,"SOFTWARE CONFIG. MGMT. &gt; Software Configuration Identification")</f>
        <v>0</v>
      </c>
      <c r="BI86" s="17">
        <f>COUNTIFS('Prácticas_Revisiones'!$S$2:$S$282,"T074",'Prácticas_Revisiones'!$T$2:$T$282,"SOFTWARE CONFIG. MGMT. &gt; Software Configuration Change Control")+COUNTIFS('Prácticas_Snowballing'!$AB$2:$AB$281,"T074",'Prácticas_Snowballing'!$AC$2:$AC$281,"SOFTWARE CONFIG. MGMT. &gt; Software Configuration Change Control")</f>
        <v>0</v>
      </c>
      <c r="BJ86" s="17">
        <f>COUNTIFS('Prácticas_Revisiones'!$S$2:$S$282,"T074",'Prácticas_Revisiones'!$T$2:$T$282,"SOFTWARE CONFIG. MGMT. &gt; Software Configuration Status Accounting")+COUNTIFS('Prácticas_Snowballing'!$AB$2:$AB$281,"T074",'Prácticas_Snowballing'!$AC$2:$AC$281,"SOFTWARE CONFIG. MGMT. &gt; Software Configuration Status Accounting")</f>
        <v>0</v>
      </c>
      <c r="BK86" s="17">
        <f>COUNTIFS('Prácticas_Revisiones'!$S$2:$S$282,"T074",'Prácticas_Revisiones'!$T$2:$T$282,"SOFTWARE CONFIG. MGMT. &gt; Software Configuration Auditing")+COUNTIFS('Prácticas_Snowballing'!$AB$2:$AB$281,"T074",'Prácticas_Snowballing'!$AC$2:$AC$281,"SOFTWARE CONFIG. MGMT. &gt; Software Configuration Auditing")</f>
        <v>0</v>
      </c>
      <c r="BL86" s="17">
        <f>COUNTIFS('Prácticas_Revisiones'!$S$2:$S$282,"T074",'Prácticas_Revisiones'!$T$2:$T$282,"SOFTWARE CONFIG. MGMT. &gt; Software Release Management and Delivery")+COUNTIFS('Prácticas_Snowballing'!$AB$2:$AB$281,"T074",'Prácticas_Snowballing'!$AC$2:$AC$281,"SOFTWARE CONFIG. MGMT. &gt; Software Release Management and Delivery")</f>
        <v>0</v>
      </c>
      <c r="BM86" s="17">
        <f>COUNTIFS('Prácticas_Revisiones'!$S$2:$S$282,"T074",'Prácticas_Revisiones'!$T$2:$T$282,"SOFTWARE CONFIG. MGMT. &gt; Software Configuration Management Tools")+COUNTIFS('Prácticas_Snowballing'!$AB$2:$AB$281,"T074",'Prácticas_Snowballing'!$AC$2:$AC$281,"SOFTWARE CONFIG. MGMT. &gt; Software Configuration Management Tools")</f>
        <v>0</v>
      </c>
      <c r="BN86" s="17">
        <f>COUNTIFS('Prácticas_Revisiones'!$S$2:$S$282,"T074",'Prácticas_Revisiones'!$T$2:$T$282,"SOFTWARE CONFIG. MGMT. &gt; Subárea no determinable")+COUNTIFS('Prácticas_Snowballing'!$AB$2:$AB$281,"T074",'Prácticas_Snowballing'!$AC$2:$AC$281,"SOFTWARE CONFIG. MGMT. &gt; Subárea no determinable")</f>
        <v>0</v>
      </c>
      <c r="BO86" s="29">
        <f t="shared" si="59"/>
        <v>0</v>
      </c>
      <c r="BP86" s="17">
        <f>COUNTIFS('Prácticas_Revisiones'!$S$2:$S$282,"T074",'Prácticas_Revisiones'!$T$2:$T$282,"SOFTWARE ENG. PROCESS &gt; Software Engineering Process Fundamentals")+COUNTIFS('Prácticas_Snowballing'!$AB$2:$AB$281,"T074",'Prácticas_Snowballing'!$AC$2:$AC$281,"SOFTWARE ENG. PROCESS &gt; Software Engineering Process Fundamentals")</f>
        <v>0</v>
      </c>
      <c r="BQ86" s="17">
        <f>COUNTIFS('Prácticas_Revisiones'!$S$2:$S$282,"T074",'Prácticas_Revisiones'!$T$2:$T$282,"SOFTWARE ENG. PROCESS &gt; Life Cycles")+COUNTIFS('Prácticas_Snowballing'!$AB$2:$AB$281,"T074",'Prácticas_Snowballing'!$AC$2:$AC$281,"SOFTWARE ENG. PROCESS &gt; Life Cycles")</f>
        <v>0</v>
      </c>
      <c r="BR86" s="17">
        <f>COUNTIFS('Prácticas_Revisiones'!$S$2:$S$282,"T074",'Prácticas_Revisiones'!$T$2:$T$282,"SOFTWARE ENG. PROCESS &gt; Software Process Assessment and Improvement")+COUNTIFS('Prácticas_Snowballing'!$AB$2:$AB$281,"T074",'Prácticas_Snowballing'!$AC$2:$AC$281,"SOFTWARE ENG. PROCESS &gt; Software Process Assessment and Improvement")</f>
        <v>0</v>
      </c>
      <c r="BS86" s="17">
        <f>COUNTIFS('Prácticas_Revisiones'!$S$2:$S$282,"T074",'Prácticas_Revisiones'!$T$2:$T$282,"SOFTWARE ENG. PROCESS &gt; Subárea no determinable")+COUNTIFS('Prácticas_Snowballing'!$AB$2:$AB$281,"T074",'Prácticas_Snowballing'!$AC$2:$AC$281,"SOFTWARE ENG. PROCESS &gt; Subárea no determinable")</f>
        <v>0</v>
      </c>
      <c r="BT86" s="29">
        <f t="shared" si="60"/>
        <v>0</v>
      </c>
      <c r="BU86" s="17">
        <f>COUNTIFS('Prácticas_Revisiones'!$S$2:$S$282,"T074",'Prácticas_Revisiones'!$T$2:$T$282,"SOFTWARE ENG. MODELS/METH. &gt; Modeling")+COUNTIFS('Prácticas_Snowballing'!$AB$2:$AB$281,"T074",'Prácticas_Snowballing'!$AC$2:$AC$281,"SOFTWARE ENG. MODELS/METH. &gt; Modeling")</f>
        <v>0</v>
      </c>
      <c r="BV86" s="17">
        <f>COUNTIFS('Prácticas_Revisiones'!$S$2:$S$282,"T074",'Prácticas_Revisiones'!$T$2:$T$282,"SOFTWARE ENG. MODELS/METH. &gt; Types of Models")+COUNTIFS('Prácticas_Snowballing'!$AB$2:$AB$281,"T074",'Prácticas_Snowballing'!$AC$2:$AC$281,"SOFTWARE ENG. MODELS/METH. &gt; Types of Models")</f>
        <v>0</v>
      </c>
      <c r="BW86" s="17">
        <f>COUNTIFS('Prácticas_Revisiones'!$S$2:$S$282,"T074",'Prácticas_Revisiones'!$T$2:$T$282,"SOFTWARE ENG. MODELS/METH. &gt; Analysis of Models")+COUNTIFS('Prácticas_Snowballing'!$AB$2:$AB$281,"T074",'Prácticas_Snowballing'!$AC$2:$AC$281,"SOFTWARE ENG. MODELS/METH. &gt; Analysis of Models")</f>
        <v>0</v>
      </c>
      <c r="BX86" s="17">
        <f>COUNTIFS('Prácticas_Revisiones'!$S$2:$S$282,"T074",'Prácticas_Revisiones'!$T$2:$T$282,"SOFTWARE ENG. MODELS/METH. &gt; Software Engineering Methods")+COUNTIFS('Prácticas_Snowballing'!$AB$2:$AB$281,"T074",'Prácticas_Snowballing'!$AC$2:$AC$281,"SOFTWARE ENG. MODELS/METH. &gt; Software Engineering Methods")</f>
        <v>0</v>
      </c>
      <c r="BY86" s="17">
        <f>COUNTIFS('Prácticas_Revisiones'!$S$2:$S$282,"T074",'Prácticas_Revisiones'!$T$2:$T$282,"SOFTWARE ENG. MODELS/METH. &gt; Subárea no determinable")+COUNTIFS('Prácticas_Snowballing'!$AB$2:$AB$281,"T074",'Prácticas_Snowballing'!$AC$2:$AC$281,"SOFTWARE ENG. MODELS/METH. &gt; Subárea no determinable")</f>
        <v>0</v>
      </c>
      <c r="BZ86" s="29">
        <f t="shared" si="61"/>
        <v>0</v>
      </c>
      <c r="CA86" s="17">
        <f>COUNTIFS('Prácticas_Revisiones'!$S$2:$S$282,"T074",'Prácticas_Revisiones'!$T$2:$T$282,"SOFTWARE QUALITY &gt; Software Quality Fundamentals")+COUNTIFS('Prácticas_Snowballing'!$AB$2:$AB$281,"T074",'Prácticas_Snowballing'!$AC$2:$AC$281,"SOFTWARE QUALITY &gt; Software Quality Fundamentals")</f>
        <v>0</v>
      </c>
      <c r="CB86" s="17">
        <f>COUNTIFS('Prácticas_Revisiones'!$S$2:$S$282,"T074",'Prácticas_Revisiones'!$T$2:$T$282,"SOFTWARE QUALITY &gt; Software Quality Management Process")+COUNTIFS('Prácticas_Snowballing'!$AB$2:$AB$281,"T074",'Prácticas_Snowballing'!$AC$2:$AC$281,"SOFTWARE QUALITY &gt; Software Quality Management Process")</f>
        <v>0</v>
      </c>
      <c r="CC86" s="17">
        <f>COUNTIFS('Prácticas_Revisiones'!$S$2:$S$282,"T074",'Prácticas_Revisiones'!$T$2:$T$282,"SOFTWARE QUALITY &gt; Software Quality Assurance Process")+COUNTIFS('Prácticas_Snowballing'!$AB$2:$AB$281,"T074",'Prácticas_Snowballing'!$AC$2:$AC$281,"SOFTWARE QUALITY &gt; Software Quality Assurance Process")</f>
        <v>5</v>
      </c>
      <c r="CD86" s="17">
        <f>COUNTIFS('Prácticas_Revisiones'!$S$2:$S$282,"T074",'Prácticas_Revisiones'!$T$2:$T$282,"SOFTWARE QUALITY &gt; Software Quality Tools")+COUNTIFS('Prácticas_Snowballing'!$AB$2:$AB$281,"T074",'Prácticas_Snowballing'!$AC$2:$AC$281,"SOFTWARE QUALITY &gt; Software Quality Tools")</f>
        <v>0</v>
      </c>
      <c r="CE86" s="17">
        <f>COUNTIFS('Prácticas_Revisiones'!$S$2:$S$282,"T074",'Prácticas_Revisiones'!$T$2:$T$282,"SOFTWARE QUALITY &gt; Subárea no determinable")+COUNTIFS('Prácticas_Snowballing'!$AB$2:$AB$281,"T074",'Prácticas_Snowballing'!$AC$2:$AC$281,"SOFTWARE QUALITY &gt; Subárea no determinable")</f>
        <v>0</v>
      </c>
      <c r="CF86" s="29">
        <f t="shared" si="62"/>
        <v>5</v>
      </c>
      <c r="CG86" s="17">
        <f>COUNTIFS('Prácticas_Revisiones'!$S$2:$S$282,"T074",'Prácticas_Revisiones'!$T$2:$T$282,"SOFTWARE SECURITY &gt; Software Security Fundamentals")+COUNTIFS('Prácticas_Snowballing'!$AB$2:$AB$281,"T074",'Prácticas_Snowballing'!$AC$2:$AC$281,"SOFTWARE SECURITY &gt; Software Security Fundamentals")</f>
        <v>0</v>
      </c>
      <c r="CH86" s="17">
        <f>COUNTIFS('Prácticas_Revisiones'!$S$2:$S$282,"T074",'Prácticas_Revisiones'!$T$2:$T$282,"SOFTWARE SECURITY &gt; Security Management and Organization")+COUNTIFS('Prácticas_Snowballing'!$AB$2:$AB$281,"T074",'Prácticas_Snowballing'!$AC$2:$AC$281,"SOFTWARE SECURITY &gt; Security Management and Organization")</f>
        <v>0</v>
      </c>
      <c r="CI86" s="17">
        <f>COUNTIFS('Prácticas_Revisiones'!$S$2:$S$282,"T074",'Prácticas_Revisiones'!$T$2:$T$282,"SOFTWARE SECURITY &gt; Software Security Engineering and Process")+COUNTIFS('Prácticas_Snowballing'!$AB$2:$AB$281,"T074",'Prácticas_Snowballing'!$AC$2:$AC$281,"SOFTWARE SECURITY &gt; Software Security Engineering and Process")</f>
        <v>0</v>
      </c>
      <c r="CJ86" s="17">
        <f>COUNTIFS('Prácticas_Revisiones'!$S$2:$S$282,"T074",'Prácticas_Revisiones'!$T$2:$T$282,"SOFTWARE SECURITY &gt; Security Engineering for Software Systems")+COUNTIFS('Prácticas_Snowballing'!$AB$2:$AB$281,"T074",'Prácticas_Snowballing'!$AC$2:$AC$281,"SOFTWARE SECURITY &gt; Security Engineering for Software Systems")</f>
        <v>0</v>
      </c>
      <c r="CK86" s="17">
        <f>COUNTIFS('Prácticas_Revisiones'!$S$2:$S$282,"T074",'Prácticas_Revisiones'!$T$2:$T$282,"SOFTWARE SECURITY &gt; Software Security Tools")+COUNTIFS('Prácticas_Snowballing'!$AB$2:$AB$281,"T074",'Prácticas_Snowballing'!$AC$2:$AC$281,"SOFTWARE SECURITY &gt; Software Security Tools")</f>
        <v>0</v>
      </c>
      <c r="CL86" s="17">
        <f>COUNTIFS('Prácticas_Revisiones'!$S$2:$S$282,"T074",'Prácticas_Revisiones'!$T$2:$T$282,"SOFTWARE SECURITY &gt; Domain Specific Software Security")+COUNTIFS('Prácticas_Snowballing'!$AB$2:$AB$281,"T074",'Prácticas_Snowballing'!$AC$2:$AC$281,"SOFTWARE SECURITY &gt; Domain Specific Software Security")</f>
        <v>0</v>
      </c>
      <c r="CM86" s="17">
        <f>COUNTIFS('Prácticas_Revisiones'!$S$2:$S$282,"T074",'Prácticas_Revisiones'!$T$2:$T$282,"SOFTWARE SECURITY &gt; Subárea no determinable")+COUNTIFS('Prácticas_Snowballing'!$AB$2:$AB$281,"T074",'Prácticas_Snowballing'!$AC$2:$AC$281,"SOFTWARE SECURITY &gt; Subárea no determinable")</f>
        <v>0</v>
      </c>
      <c r="CN86" s="29">
        <f t="shared" si="63"/>
        <v>0</v>
      </c>
      <c r="CO86" s="17">
        <f>COUNTIFS('Prácticas_Revisiones'!$S$2:$S$282,"T074",'Prácticas_Revisiones'!$T$2:$T$282,"PROFESSIONAL PRACTICE &gt; Professionalism")+COUNTIFS('Prácticas_Snowballing'!$AB$2:$AB$281,"T074",'Prácticas_Snowballing'!$AC$2:$AC$281,"PROFESSIONAL PRACTICE &gt; Professionalism")</f>
        <v>0</v>
      </c>
      <c r="CP86" s="17">
        <f>COUNTIFS('Prácticas_Revisiones'!$S$2:$S$282,"T074",'Prácticas_Revisiones'!$T$2:$T$282,"PROFESSIONAL PRACTICE &gt; Group Dynamics and Psychology")+COUNTIFS('Prácticas_Snowballing'!$AB$2:$AB$281,"T074",'Prácticas_Snowballing'!$AC$2:$AC$281,"PROFESSIONAL PRACTICE &gt; Group Dynamics and Psychology")</f>
        <v>0</v>
      </c>
      <c r="CQ86" s="17">
        <f>COUNTIFS('Prácticas_Revisiones'!$S$2:$S$282,"T074",'Prácticas_Revisiones'!$T$2:$T$282,"PROFESSIONAL PRACTICE &gt; Communication Skills")+COUNTIFS('Prácticas_Snowballing'!$AB$2:$AB$281,"T074",'Prácticas_Snowballing'!$AC$2:$AC$281,"PROFESSIONAL PRACTICE &gt; Communication Skills")</f>
        <v>0</v>
      </c>
      <c r="CR86" s="17">
        <f>COUNTIFS('Prácticas_Revisiones'!$S$2:$S$282,"T074",'Prácticas_Revisiones'!$T$2:$T$282,"PROFESSIONAL PRACTICE &gt; Subárea no determinable")+COUNTIFS('Prácticas_Snowballing'!$AB$2:$AB$281,"T074",'Prácticas_Snowballing'!$AC$2:$AC$281,"PROFESSIONAL PRACTICE &gt; Subárea no determinable")</f>
        <v>0</v>
      </c>
      <c r="CS86" s="29">
        <f t="shared" si="64"/>
        <v>0</v>
      </c>
      <c r="CT86" s="17">
        <f>COUNTIFS('Prácticas_Revisiones'!$S$2:$S$282,"T074",'Prácticas_Revisiones'!$T$2:$T$282,"SOFTWARE ENG. ECONOMICS &gt; Software Engineering Economics Fundamentals")+COUNTIFS('Prácticas_Snowballing'!$AB$2:$AB$281,"T074",'Prácticas_Snowballing'!$AC$2:$AC$281,"SOFTWARE ENG. ECONOMICS &gt; Software Engineering Economics Fundamentals")</f>
        <v>0</v>
      </c>
      <c r="CU86" s="17">
        <f>COUNTIFS('Prácticas_Revisiones'!$S$2:$S$282,"T074",'Prácticas_Revisiones'!$T$2:$T$282,"SOFTWARE ENG. ECONOMICS &gt; The Engineering Decision-Making Process")+COUNTIFS('Prácticas_Snowballing'!$AB$2:$AB$281,"T074",'Prácticas_Snowballing'!$AC$2:$AC$281,"SOFTWARE ENG. ECONOMICS &gt; The Engineering Decision-Making Process")</f>
        <v>0</v>
      </c>
      <c r="CV86" s="17">
        <f>COUNTIFS('Prácticas_Revisiones'!$S$2:$S$282,"T074",'Prácticas_Revisiones'!$T$2:$T$282,"SOFTWARE ENG. ECONOMICS &gt; For-Profit Decision-Making")+COUNTIFS('Prácticas_Snowballing'!$AB$2:$AB$281,"T074",'Prácticas_Snowballing'!$AC$2:$AC$281,"SOFTWARE ENG. ECONOMICS &gt; For-Profit Decision-Making")</f>
        <v>0</v>
      </c>
      <c r="CW86" s="17">
        <f>COUNTIFS('Prácticas_Revisiones'!$S$2:$S$282,"T074",'Prácticas_Revisiones'!$T$2:$T$282,"SOFTWARE ENG. ECONOMICS &gt; Nonprofit Decision-Making")+COUNTIFS('Prácticas_Snowballing'!$AB$2:$AB$281,"T074",'Prácticas_Snowballing'!$AC$2:$AC$281,"SOFTWARE ENG. ECONOMICS &gt; Nonprofit Decision-Making")</f>
        <v>0</v>
      </c>
      <c r="CX86" s="17">
        <f>COUNTIFS('Prácticas_Revisiones'!$S$2:$S$282,"T074",'Prácticas_Revisiones'!$T$2:$T$282,"SOFTWARE ENG. ECONOMICS &gt; Present Economy Decision-Making")+COUNTIFS('Prácticas_Snowballing'!$AB$2:$AB$281,"T074",'Prácticas_Snowballing'!$AC$2:$AC$281,"SOFTWARE ENG. ECONOMICS &gt; Present Economy Decision-Making")</f>
        <v>0</v>
      </c>
      <c r="CY86" s="17">
        <f>COUNTIFS('Prácticas_Revisiones'!$S$2:$S$282,"T074",'Prácticas_Revisiones'!$T$2:$T$282,"SOFTWARE ENG. ECONOMICS &gt; Multiple-Attribute Decision-Making")+COUNTIFS('Prácticas_Snowballing'!$AB$2:$AB$281,"T074",'Prácticas_Snowballing'!$AC$2:$AC$281,"SOFTWARE ENG. ECONOMICS &gt; Multiple-Attribute Decision-Making")</f>
        <v>0</v>
      </c>
      <c r="CZ86" s="17">
        <f>COUNTIFS('Prácticas_Revisiones'!$S$2:$S$282,"T074",'Prácticas_Revisiones'!$T$2:$T$282,"SOFTWARE ENG. ECONOMICS &gt; Identifying and Characterizing Intangible Assets")+COUNTIFS('Prácticas_Snowballing'!$AB$2:$AB$281,"T074",'Prácticas_Snowballing'!$AC$2:$AC$281,"SOFTWARE ENG. ECONOMICS &gt; Identifying and Characterizing Intangible Assets")</f>
        <v>0</v>
      </c>
      <c r="DA86" s="17">
        <f>COUNTIFS('Prácticas_Revisiones'!$S$2:$S$282,"T074",'Prácticas_Revisiones'!$T$2:$T$282,"SOFTWARE ENG. ECONOMICS &gt; Estimation")+COUNTIFS('Prácticas_Snowballing'!$AB$2:$AB$281,"T074",'Prácticas_Snowballing'!$AC$2:$AC$281,"SOFTWARE ENG. ECONOMICS &gt; Estimation")</f>
        <v>0</v>
      </c>
      <c r="DB86" s="17">
        <f>COUNTIFS('Prácticas_Revisiones'!$S$2:$S$282,"T074",'Prácticas_Revisiones'!$T$2:$T$282,"SOFTWARE ENG. ECONOMICS &gt; Practical Considerations")+COUNTIFS('Prácticas_Snowballing'!$AB$2:$AB$281,"T074",'Prácticas_Snowballing'!$AC$2:$AC$281,"SOFTWARE ENG. ECONOMICS &gt; Practical Considerations")</f>
        <v>0</v>
      </c>
      <c r="DC86" s="17">
        <f>COUNTIFS('Prácticas_Revisiones'!$S$2:$S$282,"T074",'Prácticas_Revisiones'!$T$2:$T$282,"SOFTWARE ENG. ECONOMICS &gt; Related Concepts")+COUNTIFS('Prácticas_Snowballing'!$AB$2:$AB$281,"T074",'Prácticas_Snowballing'!$AC$2:$AC$281,"SOFTWARE ENG. ECONOMICS &gt; Related Concepts")</f>
        <v>0</v>
      </c>
      <c r="DD86" s="17">
        <f>COUNTIFS('Prácticas_Revisiones'!$S$2:$S$282,"T074",'Prácticas_Revisiones'!$T$2:$T$282,"SOFTWARE ENG. ECONOMICS &gt; Subárea no determinable")+COUNTIFS('Prácticas_Snowballing'!$AB$2:$AB$281,"T074",'Prácticas_Snowballing'!$AC$2:$AC$281,"SOFTWARE ENG. ECONOMICS &gt; Subárea no determinable")</f>
        <v>0</v>
      </c>
      <c r="DE86" s="29">
        <f t="shared" si="65"/>
        <v>0</v>
      </c>
      <c r="DF86" s="17">
        <f>COUNTIFS('Prácticas_Revisiones'!$S$2:$S$282,"T074",'Prácticas_Revisiones'!$T$2:$T$282,"SOFTWARE ENG. MANAGEMENT &gt; Software Engineering Management Fundamentals")+COUNTIFS('Prácticas_Snowballing'!$AB$2:$AB$281,"T074",'Prácticas_Snowballing'!$AC$2:$AC$281,"SOFTWARE ENG. MANAGEMENT &gt; Software Engineering Management Fundamentals")</f>
        <v>0</v>
      </c>
      <c r="DG86" s="17">
        <f>COUNTIFS('Prácticas_Revisiones'!$S$2:$S$282,"T074",'Prácticas_Revisiones'!$T$2:$T$282,"SOFTWARE ENG. MANAGEMENT &gt; Initiation and Scope Definition")+COUNTIFS('Prácticas_Snowballing'!$AB$2:$AB$281,"T074",'Prácticas_Snowballing'!$AC$2:$AC$281,"SOFTWARE ENG. MANAGEMENT &gt; Initiation and Scope Definition")</f>
        <v>0</v>
      </c>
      <c r="DH86" s="17">
        <f>COUNTIFS('Prácticas_Revisiones'!$S$2:$S$282,"T074",'Prácticas_Revisiones'!$T$2:$T$282,"SOFTWARE ENG. MANAGEMENT &gt; Software Project Planning")+COUNTIFS('Prácticas_Snowballing'!$AB$2:$AB$281,"T074",'Prácticas_Snowballing'!$AC$2:$AC$281,"SOFTWARE ENG. MANAGEMENT &gt; Software Project Planning")</f>
        <v>0</v>
      </c>
      <c r="DI86" s="17">
        <f>COUNTIFS('Prácticas_Revisiones'!$S$2:$S$282,"T074",'Prácticas_Revisiones'!$T$2:$T$282,"SOFTWARE ENG. MANAGEMENT &gt; Software Project Enactment")+COUNTIFS('Prácticas_Snowballing'!$AB$2:$AB$281,"T074",'Prácticas_Snowballing'!$AC$2:$AC$281,"SOFTWARE ENG. MANAGEMENT &gt; Software Project Enactment")</f>
        <v>0</v>
      </c>
      <c r="DJ86" s="17">
        <f>COUNTIFS('Prácticas_Revisiones'!$S$2:$S$282,"T074",'Prácticas_Revisiones'!$T$2:$T$282,"SOFTWARE ENG. MANAGEMENT &gt; Review and Evaluation")+COUNTIFS('Prácticas_Snowballing'!$AB$2:$AB$281,"T074",'Prácticas_Snowballing'!$AC$2:$AC$281,"SOFTWARE ENG. MANAGEMENT &gt; Review and Evaluation")</f>
        <v>0</v>
      </c>
      <c r="DK86" s="17">
        <f>COUNTIFS('Prácticas_Revisiones'!$S$2:$S$282,"T074",'Prácticas_Revisiones'!$T$2:$T$282,"SOFTWARE ENG. MANAGEMENT &gt; Closure")+COUNTIFS('Prácticas_Snowballing'!$AB$2:$AB$281,"T074",'Prácticas_Snowballing'!$AC$2:$AC$281,"SOFTWARE ENG. MANAGEMENT &gt; Closure")</f>
        <v>0</v>
      </c>
      <c r="DL86" s="17">
        <f>COUNTIFS('Prácticas_Revisiones'!$S$2:$S$282,"T074",'Prácticas_Revisiones'!$T$2:$T$282,"SOFTWARE ENG. MANAGEMENT &gt; Software Engineering Management Tools")+COUNTIFS('Prácticas_Snowballing'!$AB$2:$AB$281,"T074",'Prácticas_Snowballing'!$AC$2:$AC$281,"SOFTWARE ENG. MANAGEMENT &gt; Software Engineering Management Tools")</f>
        <v>0</v>
      </c>
      <c r="DM86" s="17">
        <f>COUNTIFS('Prácticas_Revisiones'!$S$2:$S$282,"T074",'Prácticas_Revisiones'!$T$2:$T$282,"SOFTWARE ENG. MANAGEMENT &gt; Subárea no determinable")+COUNTIFS('Prácticas_Snowballing'!$AB$2:$AB$281,"T074",'Prácticas_Snowballing'!$AC$2:$AC$281,"SOFTWARE ENG. MANAGEMENT &gt; Subárea no determinable")</f>
        <v>0</v>
      </c>
      <c r="DN86" s="29">
        <f t="shared" si="66"/>
        <v>0</v>
      </c>
      <c r="DO86" s="17">
        <f>COUNTIFS('Prácticas_Revisiones'!$S$2:$S$282,"T074",'Prácticas_Revisiones'!$T$2:$T$282,"Sin área SWEBOK")+COUNTIFS('Prácticas_Snowballing'!$AB$2:$AB$281,"T074",'Prácticas_Snowballing'!$AC$2:$AC$281,"Sin área SWEBOK")</f>
        <v>0</v>
      </c>
      <c r="DP86" s="27">
        <f t="shared" si="67"/>
        <v>8</v>
      </c>
    </row>
    <row r="87" ht="15.75" customHeight="1">
      <c r="A87" s="23"/>
      <c r="B87" s="9" t="s">
        <v>2199</v>
      </c>
      <c r="C87" s="17">
        <f>COUNTIFS('Prácticas_Revisiones'!$S$2:$S$282,"Sin equivalente en catálogo (ANALIZAR)",'Prácticas_Revisiones'!$T$2:$T$282,"REQUIREMENTS &gt; Software Requirements Fundamentals")+COUNTIFS('Prácticas_Snowballing'!$AB$2:$AB$281,"Sin equivalente en catálogo (ANALIZAR)",'Prácticas_Snowballing'!$AC$2:$AC$281,"REQUIREMENTS &gt; Software Requirements Fundamentals")</f>
        <v>0</v>
      </c>
      <c r="D87" s="17">
        <f>COUNTIFS('Prácticas_Revisiones'!$S$2:$S$282,"Sin equivalente en catálogo (ANALIZAR)",'Prácticas_Revisiones'!$T$2:$T$282,"REQUIREMENTS &gt; Requirements Elicitation")+COUNTIFS('Prácticas_Snowballing'!$AB$2:$AB$281,"Sin equivalente en catálogo (ANALIZAR)",'Prácticas_Snowballing'!$AC$2:$AC$281,"REQUIREMENTS &gt; Requirements Elicitation")</f>
        <v>0</v>
      </c>
      <c r="E87" s="17">
        <f>COUNTIFS('Prácticas_Revisiones'!$S$2:$S$282,"Sin equivalente en catálogo (ANALIZAR)",'Prácticas_Revisiones'!$T$2:$T$282,"REQUIREMENTS &gt; Requirements Analysis")+COUNTIFS('Prácticas_Snowballing'!$AB$2:$AB$281,"Sin equivalente en catálogo (ANALIZAR)",'Prácticas_Snowballing'!$AC$2:$AC$281,"REQUIREMENTS &gt; Requirements Analysis")</f>
        <v>0</v>
      </c>
      <c r="F87" s="17">
        <f>COUNTIFS('Prácticas_Revisiones'!$S$2:$S$282,"Sin equivalente en catálogo (ANALIZAR)",'Prácticas_Revisiones'!$T$2:$T$282,"REQUIREMENTS &gt; Requirements Specification")+COUNTIFS('Prácticas_Snowballing'!$AB$2:$AB$281,"Sin equivalente en catálogo (ANALIZAR)",'Prácticas_Snowballing'!$AC$2:$AC$281,"REQUIREMENTS &gt; Requirements Specification")</f>
        <v>0</v>
      </c>
      <c r="G87" s="17">
        <f>COUNTIFS('Prácticas_Revisiones'!$S$2:$S$282,"Sin equivalente en catálogo (ANALIZAR)",'Prácticas_Revisiones'!$T$2:$T$282,"REQUIREMENTS &gt; Requirements Validation")+COUNTIFS('Prácticas_Snowballing'!$AB$2:$AB$281,"Sin equivalente en catálogo (ANALIZAR)",'Prácticas_Snowballing'!$AC$2:$AC$281,"REQUIREMENTS &gt; Requirements Validation")</f>
        <v>0</v>
      </c>
      <c r="H87" s="17">
        <f>COUNTIFS('Prácticas_Revisiones'!$S$2:$S$282,"Sin equivalente en catálogo (ANALIZAR)",'Prácticas_Revisiones'!$T$2:$T$282,"REQUIREMENTS &gt; Requirements Management Activities")+COUNTIFS('Prácticas_Snowballing'!$AB$2:$AB$281,"Sin equivalente en catálogo (ANALIZAR)",'Prácticas_Snowballing'!$AC$2:$AC$281,"REQUIREMENTS &gt; Requirements Management Activities")</f>
        <v>0</v>
      </c>
      <c r="I87" s="17">
        <f>COUNTIFS('Prácticas_Revisiones'!$S$2:$S$282,"Sin equivalente en catálogo (ANALIZAR)",'Prácticas_Revisiones'!$T$2:$T$282,"REQUIREMENTS &gt; Practical Considerations")+COUNTIFS('Prácticas_Snowballing'!$AB$2:$AB$281,"Sin equivalente en catálogo (ANALIZAR)",'Prácticas_Snowballing'!$AC$2:$AC$281,"REQUIREMENTS &gt; Practical Considerations")</f>
        <v>0</v>
      </c>
      <c r="J87" s="17">
        <f>COUNTIFS('Prácticas_Revisiones'!$S$2:$S$282,"Sin equivalente en catálogo (ANALIZAR)",'Prácticas_Revisiones'!$T$2:$T$282,"REQUIREMENTS &gt; Software Requirements Tools")+COUNTIFS('Prácticas_Snowballing'!$AB$2:$AB$281,"Sin equivalente en catálogo (ANALIZAR)",'Prácticas_Snowballing'!$AC$2:$AC$281,"REQUIREMENTS &gt; Software Requirements Tools")</f>
        <v>0</v>
      </c>
      <c r="K87" s="17">
        <f>COUNTIFS('Prácticas_Revisiones'!$S$2:$S$282,"Sin equivalente en catálogo (ANALIZAR)",'Prácticas_Revisiones'!$T$2:$T$282,"REQUIREMENTS &gt; Subárea no determinable")+COUNTIFS('Prácticas_Snowballing'!$AB$2:$AB$281,"Sin equivalente en catálogo (ANALIZAR)",'Prácticas_Snowballing'!$AC$2:$AC$281,"REQUIREMENTS &gt; Subárea no determinable")</f>
        <v>0</v>
      </c>
      <c r="L87" s="29">
        <f t="shared" si="52"/>
        <v>0</v>
      </c>
      <c r="M87" s="17">
        <f>COUNTIFS('Prácticas_Revisiones'!$S$2:$S$282,"Sin equivalente en catálogo (ANALIZAR)",'Prácticas_Revisiones'!$T$2:$T$282,"ARCHITECTURE &gt; Software Architecture Fundamentals")+COUNTIFS('Prácticas_Snowballing'!$AB$2:$AB$281,"Sin equivalente en catálogo (ANALIZAR)",'Prácticas_Snowballing'!$AC$2:$AC$281,"ARCHITECTURE &gt; Software Architecture Fundamentals")</f>
        <v>0</v>
      </c>
      <c r="N87" s="17">
        <f>COUNTIFS('Prácticas_Revisiones'!$S$2:$S$282,"Sin equivalente en catálogo (ANALIZAR)",'Prácticas_Revisiones'!$T$2:$T$282,"ARCHITECTURE &gt; Software Architecture Description")+COUNTIFS('Prácticas_Snowballing'!$AB$2:$AB$281,"Sin equivalente en catálogo (ANALIZAR)",'Prácticas_Snowballing'!$AC$2:$AC$281,"ARCHITECTURE &gt; Software Architecture Description")</f>
        <v>0</v>
      </c>
      <c r="O87" s="17">
        <f>COUNTIFS('Prácticas_Revisiones'!$S$2:$S$282,"Sin equivalente en catálogo (ANALIZAR)",'Prácticas_Revisiones'!$T$2:$T$282,"ARCHITECTURE &gt; Software Architecture Process")+COUNTIFS('Prácticas_Snowballing'!$AB$2:$AB$281,"Sin equivalente en catálogo (ANALIZAR)",'Prácticas_Snowballing'!$AC$2:$AC$281,"ARCHITECTURE &gt; Software Architecture Process")</f>
        <v>0</v>
      </c>
      <c r="P87" s="17">
        <f>COUNTIFS('Prácticas_Revisiones'!$S$2:$S$282,"Sin equivalente en catálogo (ANALIZAR)",'Prácticas_Revisiones'!$T$2:$T$282,"ARCHITECTURE &gt; Software Architecture Evaluation")+COUNTIFS('Prácticas_Snowballing'!$AB$2:$AB$281,"Sin equivalente en catálogo (ANALIZAR)",'Prácticas_Snowballing'!$AC$2:$AC$281,"ARCHITECTURE &gt; Software Architecture Evaluation")</f>
        <v>0</v>
      </c>
      <c r="Q87" s="17">
        <f>COUNTIFS('Prácticas_Revisiones'!$S$2:$S$282,"Sin equivalente en catálogo (ANALIZAR)",'Prácticas_Revisiones'!$T$2:$T$282,"ARCHITECTURE &gt; Subárea no determinable")+COUNTIFS('Prácticas_Snowballing'!$AB$2:$AB$281,"Sin equivalente en catálogo (ANALIZAR)",'Prácticas_Snowballing'!$AC$2:$AC$281,"ARCHITECTURE &gt; Subárea no determinable")</f>
        <v>0</v>
      </c>
      <c r="R87" s="29">
        <f t="shared" si="53"/>
        <v>0</v>
      </c>
      <c r="S87" s="17">
        <f>COUNTIFS('Prácticas_Revisiones'!$S$2:$S$282,"Sin equivalente en catálogo (ANALIZAR)",'Prácticas_Revisiones'!$T$2:$T$282,"DESIGN &gt; Software Design Fundamentals")+COUNTIFS('Prácticas_Snowballing'!$AB$2:$AB$281,"Sin equivalente en catálogo (ANALIZAR)",'Prácticas_Snowballing'!$AC$2:$AC$281,"DESIGN &gt; Software Design Fundamentals")</f>
        <v>0</v>
      </c>
      <c r="T87" s="17">
        <f>COUNTIFS('Prácticas_Revisiones'!$S$2:$S$282,"Sin equivalente en catálogo (ANALIZAR)",'Prácticas_Revisiones'!$T$2:$T$282,"DESIGN &gt; Software Design Processes")+COUNTIFS('Prácticas_Snowballing'!$AB$2:$AB$281,"Sin equivalente en catálogo (ANALIZAR)",'Prácticas_Snowballing'!$AC$2:$AC$281,"DESIGN &gt; Software Design Processes")</f>
        <v>0</v>
      </c>
      <c r="U87" s="17">
        <f>COUNTIFS('Prácticas_Revisiones'!$S$2:$S$282,"Sin equivalente en catálogo (ANALIZAR)",'Prácticas_Revisiones'!$T$2:$T$282,"DESIGN &gt; Software Design Qualities")+COUNTIFS('Prácticas_Snowballing'!$AB$2:$AB$281,"Sin equivalente en catálogo (ANALIZAR)",'Prácticas_Snowballing'!$AC$2:$AC$281,"DESIGN &gt; Software Design Qualities")</f>
        <v>0</v>
      </c>
      <c r="V87" s="17">
        <f>COUNTIFS('Prácticas_Revisiones'!$S$2:$S$282,"Sin equivalente en catálogo (ANALIZAR)",'Prácticas_Revisiones'!$T$2:$T$282,"DESIGN &gt; Recording Software Design")+COUNTIFS('Prácticas_Snowballing'!$AB$2:$AB$281,"Sin equivalente en catálogo (ANALIZAR)",'Prácticas_Snowballing'!$AC$2:$AC$281,"DESIGN &gt; Recording Software Design")</f>
        <v>0</v>
      </c>
      <c r="W87" s="17">
        <f>COUNTIFS('Prácticas_Revisiones'!$S$2:$S$282,"Sin equivalente en catálogo (ANALIZAR)",'Prácticas_Revisiones'!$T$2:$T$282,"DESIGN &gt; Software Design Strategies and Methods")+COUNTIFS('Prácticas_Snowballing'!$AB$2:$AB$281,"Sin equivalente en catálogo (ANALIZAR)",'Prácticas_Snowballing'!$AC$2:$AC$281,"DESIGN &gt; Software Design Strategies and Methods")</f>
        <v>0</v>
      </c>
      <c r="X87" s="17">
        <f>COUNTIFS('Prácticas_Revisiones'!$S$2:$S$282,"Sin equivalente en catálogo (ANALIZAR)",'Prácticas_Revisiones'!$T$2:$T$282,"DESIGN &gt; Software Design Analysis and Evaluations")+COUNTIFS('Prácticas_Snowballing'!$AB$2:$AB$281,"Sin equivalente en catálogo (ANALIZAR)",'Prácticas_Snowballing'!$AC$2:$AC$281,"DESIGN &gt; Software Design Analysis and Evaluations")</f>
        <v>0</v>
      </c>
      <c r="Y87" s="17">
        <f>COUNTIFS('Prácticas_Revisiones'!$S$2:$S$282,"Sin equivalente en catálogo (ANALIZAR)",'Prácticas_Revisiones'!$T$2:$T$282,"DESIGN &gt; Subárea no determinable")+COUNTIFS('Prácticas_Snowballing'!$AB$2:$AB$281,"Sin equivalente en catálogo (ANALIZAR)",'Prácticas_Snowballing'!$AC$2:$AC$281,"DESIGN &gt; Subárea no determinable")</f>
        <v>0</v>
      </c>
      <c r="Z87" s="29">
        <f t="shared" si="54"/>
        <v>0</v>
      </c>
      <c r="AA87" s="17">
        <f>COUNTIFS('Prácticas_Revisiones'!$S$2:$S$282,"Sin equivalente en catálogo (ANALIZAR)",'Prácticas_Revisiones'!$T$2:$T$282,"CONSTRUCTION &gt; Software Construction Fundamentals")+COUNTIFS('Prácticas_Snowballing'!$AB$2:$AB$281,"Sin equivalente en catálogo (ANALIZAR)",'Prácticas_Snowballing'!$AC$2:$AC$281,"CONSTRUCTION &gt; Software Construction Fundamentals")</f>
        <v>0</v>
      </c>
      <c r="AB87" s="17">
        <f>COUNTIFS('Prácticas_Revisiones'!$S$2:$S$282,"Sin equivalente en catálogo (ANALIZAR)",'Prácticas_Revisiones'!$T$2:$T$282,"CONSTRUCTION &gt; Managing Construction")+COUNTIFS('Prácticas_Snowballing'!$AB$2:$AB$281,"Sin equivalente en catálogo (ANALIZAR)",'Prácticas_Snowballing'!$AC$2:$AC$281,"CONSTRUCTION &gt; Managing Construction")</f>
        <v>0</v>
      </c>
      <c r="AC87" s="17">
        <f>COUNTIFS('Prácticas_Revisiones'!$S$2:$S$282,"Sin equivalente en catálogo (ANALIZAR)",'Prácticas_Revisiones'!$T$2:$T$282,"CONSTRUCTION &gt; Practical Considerations")+COUNTIFS('Prácticas_Snowballing'!$AB$2:$AB$281,"Sin equivalente en catálogo (ANALIZAR)",'Prácticas_Snowballing'!$AC$2:$AC$281,"CONSTRUCTION &gt; Practical Considerations")</f>
        <v>0</v>
      </c>
      <c r="AD87" s="17">
        <f>COUNTIFS('Prácticas_Revisiones'!$S$2:$S$282,"Sin equivalente en catálogo (ANALIZAR)",'Prácticas_Revisiones'!$T$2:$T$282,"CONSTRUCTION &gt; Construction Technologies")+COUNTIFS('Prácticas_Snowballing'!$AB$2:$AB$281,"Sin equivalente en catálogo (ANALIZAR)",'Prácticas_Snowballing'!$AC$2:$AC$281,"CONSTRUCTION &gt; Construction Technologies")</f>
        <v>0</v>
      </c>
      <c r="AE87" s="17">
        <f>COUNTIFS('Prácticas_Revisiones'!$S$2:$S$282,"Sin equivalente en catálogo (ANALIZAR)",'Prácticas_Revisiones'!$T$2:$T$282,"CONSTRUCTION &gt; Software Construction Tools")+COUNTIFS('Prácticas_Snowballing'!$AB$2:$AB$281,"Sin equivalente en catálogo (ANALIZAR)",'Prácticas_Snowballing'!$AC$2:$AC$281,"CONSTRUCTION &gt; Software Construction Tools")</f>
        <v>0</v>
      </c>
      <c r="AF87" s="17">
        <f>COUNTIFS('Prácticas_Revisiones'!$S$2:$S$282,"Sin equivalente en catálogo (ANALIZAR)",'Prácticas_Revisiones'!$T$2:$T$282,"CONSTRUCTION &gt; Subárea no determinable")+COUNTIFS('Prácticas_Snowballing'!$AB$2:$AB$281,"Sin equivalente en catálogo (ANALIZAR)",'Prácticas_Snowballing'!$AC$2:$AC$281,"CONSTRUCTION &gt; Subárea no determinable")</f>
        <v>0</v>
      </c>
      <c r="AG87" s="29">
        <f t="shared" si="55"/>
        <v>0</v>
      </c>
      <c r="AH87" s="17">
        <f>COUNTIFS('Prácticas_Revisiones'!$S$2:$S$282,"Sin equivalente en catálogo (ANALIZAR)",'Prácticas_Revisiones'!$T$2:$T$282,"SOFTWARE TESTING &gt; Software Testing Fundamentals")+COUNTIFS('Prácticas_Snowballing'!$AB$2:$AB$281,"Sin equivalente en catálogo (ANALIZAR)",'Prácticas_Snowballing'!$AC$2:$AC$281,"SOFTWARE TESTING &gt; Software Testing Fundamentals")</f>
        <v>0</v>
      </c>
      <c r="AI87" s="17">
        <f>COUNTIFS('Prácticas_Revisiones'!$S$2:$S$282,"Sin equivalente en catálogo (ANALIZAR)",'Prácticas_Revisiones'!$T$2:$T$282,"SOFTWARE TESTING &gt; Test Levels")+COUNTIFS('Prácticas_Snowballing'!$AB$2:$AB$281,"Sin equivalente en catálogo (ANALIZAR)",'Prácticas_Snowballing'!$AC$2:$AC$281,"SOFTWARE TESTING &gt; Test Levels")</f>
        <v>0</v>
      </c>
      <c r="AJ87" s="17">
        <f>COUNTIFS('Prácticas_Revisiones'!$S$2:$S$282,"Sin equivalente en catálogo (ANALIZAR)",'Prácticas_Revisiones'!$T$2:$T$282,"SOFTWARE TESTING &gt; Test Techniques")+COUNTIFS('Prácticas_Snowballing'!$AB$2:$AB$281,"Sin equivalente en catálogo (ANALIZAR)",'Prácticas_Snowballing'!$AC$2:$AC$281,"SOFTWARE TESTING &gt; Test Techniques")</f>
        <v>0</v>
      </c>
      <c r="AK87" s="17">
        <f>COUNTIFS('Prácticas_Revisiones'!$S$2:$S$282,"Sin equivalente en catálogo (ANALIZAR)",'Prácticas_Revisiones'!$T$2:$T$282,"SOFTWARE TESTING &gt; Test-Related Measures")+COUNTIFS('Prácticas_Snowballing'!$AB$2:$AB$281,"Sin equivalente en catálogo (ANALIZAR)",'Prácticas_Snowballing'!$AC$2:$AC$281,"SOFTWARE TESTING &gt; Test-Related Measures")</f>
        <v>0</v>
      </c>
      <c r="AL87" s="17">
        <f>COUNTIFS('Prácticas_Revisiones'!$S$2:$S$282,"Sin equivalente en catálogo (ANALIZAR)",'Prácticas_Revisiones'!$T$2:$T$282,"SOFTWARE TESTING &gt; Test Process")+COUNTIFS('Prácticas_Snowballing'!$AB$2:$AB$281,"Sin equivalente en catálogo (ANALIZAR)",'Prácticas_Snowballing'!$AC$2:$AC$281,"SOFTWARE TESTING &gt; Test Process")</f>
        <v>0</v>
      </c>
      <c r="AM87" s="17">
        <f>COUNTIFS('Prácticas_Revisiones'!$S$2:$S$282,"Sin equivalente en catálogo (ANALIZAR)",'Prácticas_Revisiones'!$T$2:$T$282,"SOFTWARE TESTING &gt; Software Testing in the Development Processes...")+COUNTIFS('Prácticas_Snowballing'!$AB$2:$AB$281,"Sin equivalente en catálogo (ANALIZAR)",'Prácticas_Snowballing'!$AC$2:$AC$281,"SOFTWARE TESTING &gt; Software Testing in the Development Processes...")</f>
        <v>0</v>
      </c>
      <c r="AN87" s="17">
        <f>COUNTIFS('Prácticas_Revisiones'!$S$2:$S$282,"Sin equivalente en catálogo (ANALIZAR)",'Prácticas_Revisiones'!$T$2:$T$282,"SOFTWARE TESTING &gt; Testing of and Testing Through Emerging Tech...")+COUNTIFS('Prácticas_Snowballing'!$AB$2:$AB$281,"Sin equivalente en catálogo (ANALIZAR)",'Prácticas_Snowballing'!$AC$2:$AC$281,"SOFTWARE TESTING &gt; Testing of and Testing Through Emerging Tech...")</f>
        <v>0</v>
      </c>
      <c r="AO87" s="17">
        <f>COUNTIFS('Prácticas_Revisiones'!$S$2:$S$282,"Sin equivalente en catálogo (ANALIZAR)",'Prácticas_Revisiones'!$T$2:$T$282,"SOFTWARE TESTING &gt; Software Testing Tools")+COUNTIFS('Prácticas_Snowballing'!$AB$2:$AB$281,"Sin equivalente en catálogo (ANALIZAR)",'Prácticas_Snowballing'!$AC$2:$AC$281,"SOFTWARE TESTING &gt; Software Testing Tools")</f>
        <v>0</v>
      </c>
      <c r="AP87" s="17">
        <f>COUNTIFS('Prácticas_Revisiones'!$S$2:$S$282,"Sin equivalente en catálogo (ANALIZAR)",'Prácticas_Revisiones'!$T$2:$T$282,"SOFTWARE TESTING &gt; Subárea no determinable")+COUNTIFS('Prácticas_Snowballing'!$AB$2:$AB$281,"Sin equivalente en catálogo (ANALIZAR)",'Prácticas_Snowballing'!$AC$2:$AC$281,"SOFTWARE TESTING &gt; Subárea no determinable")</f>
        <v>0</v>
      </c>
      <c r="AQ87" s="29">
        <f t="shared" si="56"/>
        <v>0</v>
      </c>
      <c r="AR87" s="17">
        <f>COUNTIFS('Prácticas_Revisiones'!$S$2:$S$282,"Sin equivalente en catálogo (ANALIZAR)",'Prácticas_Revisiones'!$T$2:$T$282,"SOFTWARE ENG. OPERATIONS &gt; Software Engineering Operations Fundamentals")+COUNTIFS('Prácticas_Snowballing'!$AB$2:$AB$281,"Sin equivalente en catálogo (ANALIZAR)",'Prácticas_Snowballing'!$AC$2:$AC$281,"SOFTWARE ENG. OPERATIONS &gt; Software Engineering Operations Fundamentals")</f>
        <v>0</v>
      </c>
      <c r="AS87" s="17">
        <f>COUNTIFS('Prácticas_Revisiones'!$S$2:$S$282,"Sin equivalente en catálogo (ANALIZAR)",'Prácticas_Revisiones'!$T$2:$T$282,"SOFTWARE ENG. OPERATIONS &gt; Software Engineering Operations Planning")+COUNTIFS('Prácticas_Snowballing'!$AB$2:$AB$281,"Sin equivalente en catálogo (ANALIZAR)",'Prácticas_Snowballing'!$AC$2:$AC$281,"SOFTWARE ENG. OPERATIONS &gt; Software Engineering Operations Planning")</f>
        <v>0</v>
      </c>
      <c r="AT87" s="17">
        <f>COUNTIFS('Prácticas_Revisiones'!$S$2:$S$282,"Sin equivalente en catálogo (ANALIZAR)",'Prácticas_Revisiones'!$T$2:$T$282,"SOFTWARE ENG. OPERATIONS &gt; Software Engineering Operations Delivery")+COUNTIFS('Prácticas_Snowballing'!$AB$2:$AB$281,"Sin equivalente en catálogo (ANALIZAR)",'Prácticas_Snowballing'!$AC$2:$AC$281,"SOFTWARE ENG. OPERATIONS &gt; Software Engineering Operations Delivery")</f>
        <v>0</v>
      </c>
      <c r="AU87" s="17">
        <f>COUNTIFS('Prácticas_Revisiones'!$S$2:$S$282,"Sin equivalente en catálogo (ANALIZAR)",'Prácticas_Revisiones'!$T$2:$T$282,"SOFTWARE ENG. OPERATIONS &gt; Software Engineering Operations Control")+COUNTIFS('Prácticas_Snowballing'!$AB$2:$AB$281,"Sin equivalente en catálogo (ANALIZAR)",'Prácticas_Snowballing'!$AC$2:$AC$281,"SOFTWARE ENG. OPERATIONS &gt; Software Engineering Operations Control")</f>
        <v>0</v>
      </c>
      <c r="AV87" s="17">
        <f>COUNTIFS('Prácticas_Revisiones'!$S$2:$S$282,"Sin equivalente en catálogo (ANALIZAR)",'Prácticas_Revisiones'!$T$2:$T$282,"SOFTWARE ENG. OPERATIONS &gt; Practical Considerations")+COUNTIFS('Prácticas_Snowballing'!$AB$2:$AB$281,"Sin equivalente en catálogo (ANALIZAR)",'Prácticas_Snowballing'!$AC$2:$AC$281,"SOFTWARE ENG. OPERATIONS &gt; Practical Considerations")</f>
        <v>0</v>
      </c>
      <c r="AW87" s="17">
        <f>COUNTIFS('Prácticas_Revisiones'!$S$2:$S$282,"Sin equivalente en catálogo (ANALIZAR)",'Prácticas_Revisiones'!$T$2:$T$282,"SOFTWARE ENG. OPERATIONS &gt; Software Engineering Operations Tools")+COUNTIFS('Prácticas_Snowballing'!$AB$2:$AB$281,"Sin equivalente en catálogo (ANALIZAR)",'Prácticas_Snowballing'!$AC$2:$AC$281,"SOFTWARE ENG. OPERATIONS &gt; Software Engineering Operations Tools")</f>
        <v>0</v>
      </c>
      <c r="AX87" s="17">
        <f>COUNTIFS('Prácticas_Revisiones'!$S$2:$S$282,"Sin equivalente en catálogo (ANALIZAR)",'Prácticas_Revisiones'!$T$2:$T$282,"SOFTWARE ENG. OPERATIONS &gt; Subárea no determinable")+COUNTIFS('Prácticas_Snowballing'!$AB$2:$AB$281,"Sin equivalente en catálogo (ANALIZAR)",'Prácticas_Snowballing'!$AC$2:$AC$281,"SOFTWARE ENG. OPERATIONS &gt; Subárea no determinable")</f>
        <v>0</v>
      </c>
      <c r="AY87" s="29">
        <f t="shared" si="57"/>
        <v>0</v>
      </c>
      <c r="AZ87" s="17">
        <f>COUNTIFS('Prácticas_Revisiones'!$S$2:$S$282,"Sin equivalente en catálogo (ANALIZAR)",'Prácticas_Revisiones'!$T$2:$T$282,"MAINTENANCE &gt; Software Maintenance Fundamentals")+COUNTIFS('Prácticas_Snowballing'!$AB$2:$AB$281,"Sin equivalente en catálogo (ANALIZAR)",'Prácticas_Snowballing'!$AC$2:$AC$281,"MAINTENANCE &gt; Software Maintenance Fundamentals")</f>
        <v>0</v>
      </c>
      <c r="BA87" s="17">
        <f>COUNTIFS('Prácticas_Revisiones'!$S$2:$S$282,"Sin equivalente en catálogo (ANALIZAR)",'Prácticas_Revisiones'!$T$2:$T$282,"MAINTENANCE &gt; Key Issues in Software Maintenance")+COUNTIFS('Prácticas_Snowballing'!$AB$2:$AB$281,"Sin equivalente en catálogo (ANALIZAR)",'Prácticas_Snowballing'!$AC$2:$AC$281,"MAINTENANCE &gt; Key Issues in Software Maintenance")</f>
        <v>0</v>
      </c>
      <c r="BB87" s="17">
        <f>COUNTIFS('Prácticas_Revisiones'!$S$2:$S$282,"Sin equivalente en catálogo (ANALIZAR)",'Prácticas_Revisiones'!$T$2:$T$282,"MAINTENANCE &gt; Software Maintenance Processes")+COUNTIFS('Prácticas_Snowballing'!$AB$2:$AB$281,"Sin equivalente en catálogo (ANALIZAR)",'Prácticas_Snowballing'!$AC$2:$AC$281,"MAINTENANCE &gt; Software Maintenance Processes")</f>
        <v>0</v>
      </c>
      <c r="BC87" s="17">
        <f>COUNTIFS('Prácticas_Revisiones'!$S$2:$S$282,"Sin equivalente en catálogo (ANALIZAR)",'Prácticas_Revisiones'!$T$2:$T$282,"MAINTENANCE &gt; Software Maintenance Techniques")+COUNTIFS('Prácticas_Snowballing'!$AB$2:$AB$281,"Sin equivalente en catálogo (ANALIZAR)",'Prácticas_Snowballing'!$AC$2:$AC$281,"MAINTENANCE &gt; Software Maintenance Techniques")</f>
        <v>0</v>
      </c>
      <c r="BD87" s="17">
        <f>COUNTIFS('Prácticas_Revisiones'!$S$2:$S$282,"Sin equivalente en catálogo (ANALIZAR)",'Prácticas_Revisiones'!$T$2:$T$282,"MAINTENANCE &gt; Software Maintenance Tools")+COUNTIFS('Prácticas_Snowballing'!$AB$2:$AB$281,"Sin equivalente en catálogo (ANALIZAR)",'Prácticas_Snowballing'!$AC$2:$AC$281,"MAINTENANCE &gt; Software Maintenance Tools")</f>
        <v>0</v>
      </c>
      <c r="BE87" s="17">
        <f>COUNTIFS('Prácticas_Revisiones'!$S$2:$S$282,"Sin equivalente en catálogo (ANALIZAR)",'Prácticas_Revisiones'!$T$2:$T$282,"MAINTENANCE &gt; Subárea no determinable")+COUNTIFS('Prácticas_Snowballing'!$AB$2:$AB$281,"Sin equivalente en catálogo (ANALIZAR)",'Prácticas_Snowballing'!$AC$2:$AC$281,"MAINTENANCE &gt; Subárea no determinable")</f>
        <v>0</v>
      </c>
      <c r="BF87" s="29">
        <f t="shared" si="58"/>
        <v>0</v>
      </c>
      <c r="BG87" s="17">
        <f>COUNTIFS('Prácticas_Revisiones'!$S$2:$S$282,"Sin equivalente en catálogo (ANALIZAR)",'Prácticas_Revisiones'!$T$2:$T$282,"SOFTWARE CONFIG. MGMT. &gt; Management of the SCM Process")+COUNTIFS('Prácticas_Snowballing'!$AB$2:$AB$281,"Sin equivalente en catálogo (ANALIZAR)",'Prácticas_Snowballing'!$AC$2:$AC$281,"SOFTWARE CONFIG. MGMT. &gt; Management of the SCM Process")</f>
        <v>0</v>
      </c>
      <c r="BH87" s="17">
        <f>COUNTIFS('Prácticas_Revisiones'!$S$2:$S$282,"Sin equivalente en catálogo (ANALIZAR)",'Prácticas_Revisiones'!$T$2:$T$282,"SOFTWARE CONFIG. MGMT. &gt; Software Configuration Identification")+COUNTIFS('Prácticas_Snowballing'!$AB$2:$AB$281,"Sin equivalente en catálogo (ANALIZAR)",'Prácticas_Snowballing'!$AC$2:$AC$281,"SOFTWARE CONFIG. MGMT. &gt; Software Configuration Identification")</f>
        <v>0</v>
      </c>
      <c r="BI87" s="17">
        <f>COUNTIFS('Prácticas_Revisiones'!$S$2:$S$282,"Sin equivalente en catálogo (ANALIZAR)",'Prácticas_Revisiones'!$T$2:$T$282,"SOFTWARE CONFIG. MGMT. &gt; Software Configuration Change Control")+COUNTIFS('Prácticas_Snowballing'!$AB$2:$AB$281,"Sin equivalente en catálogo (ANALIZAR)",'Prácticas_Snowballing'!$AC$2:$AC$281,"SOFTWARE CONFIG. MGMT. &gt; Software Configuration Change Control")</f>
        <v>0</v>
      </c>
      <c r="BJ87" s="17">
        <f>COUNTIFS('Prácticas_Revisiones'!$S$2:$S$282,"Sin equivalente en catálogo (ANALIZAR)",'Prácticas_Revisiones'!$T$2:$T$282,"SOFTWARE CONFIG. MGMT. &gt; Software Configuration Status Accounting")+COUNTIFS('Prácticas_Snowballing'!$AB$2:$AB$281,"Sin equivalente en catálogo (ANALIZAR)",'Prácticas_Snowballing'!$AC$2:$AC$281,"SOFTWARE CONFIG. MGMT. &gt; Software Configuration Status Accounting")</f>
        <v>0</v>
      </c>
      <c r="BK87" s="17">
        <f>COUNTIFS('Prácticas_Revisiones'!$S$2:$S$282,"Sin equivalente en catálogo (ANALIZAR)",'Prácticas_Revisiones'!$T$2:$T$282,"SOFTWARE CONFIG. MGMT. &gt; Software Configuration Auditing")+COUNTIFS('Prácticas_Snowballing'!$AB$2:$AB$281,"Sin equivalente en catálogo (ANALIZAR)",'Prácticas_Snowballing'!$AC$2:$AC$281,"SOFTWARE CONFIG. MGMT. &gt; Software Configuration Auditing")</f>
        <v>0</v>
      </c>
      <c r="BL87" s="17">
        <f>COUNTIFS('Prácticas_Revisiones'!$S$2:$S$282,"Sin equivalente en catálogo (ANALIZAR)",'Prácticas_Revisiones'!$T$2:$T$282,"SOFTWARE CONFIG. MGMT. &gt; Software Release Management and Delivery")+COUNTIFS('Prácticas_Snowballing'!$AB$2:$AB$281,"Sin equivalente en catálogo (ANALIZAR)",'Prácticas_Snowballing'!$AC$2:$AC$281,"SOFTWARE CONFIG. MGMT. &gt; Software Release Management and Delivery")</f>
        <v>0</v>
      </c>
      <c r="BM87" s="17">
        <f>COUNTIFS('Prácticas_Revisiones'!$S$2:$S$282,"Sin equivalente en catálogo (ANALIZAR)",'Prácticas_Revisiones'!$T$2:$T$282,"SOFTWARE CONFIG. MGMT. &gt; Software Configuration Management Tools")+COUNTIFS('Prácticas_Snowballing'!$AB$2:$AB$281,"Sin equivalente en catálogo (ANALIZAR)",'Prácticas_Snowballing'!$AC$2:$AC$281,"SOFTWARE CONFIG. MGMT. &gt; Software Configuration Management Tools")</f>
        <v>0</v>
      </c>
      <c r="BN87" s="17">
        <f>COUNTIFS('Prácticas_Revisiones'!$S$2:$S$282,"Sin equivalente en catálogo (ANALIZAR)",'Prácticas_Revisiones'!$T$2:$T$282,"SOFTWARE CONFIG. MGMT. &gt; Subárea no determinable")+COUNTIFS('Prácticas_Snowballing'!$AB$2:$AB$281,"Sin equivalente en catálogo (ANALIZAR)",'Prácticas_Snowballing'!$AC$2:$AC$281,"SOFTWARE CONFIG. MGMT. &gt; Subárea no determinable")</f>
        <v>0</v>
      </c>
      <c r="BO87" s="29">
        <f t="shared" si="59"/>
        <v>0</v>
      </c>
      <c r="BP87" s="17">
        <f>COUNTIFS('Prácticas_Revisiones'!$S$2:$S$282,"Sin equivalente en catálogo (ANALIZAR)",'Prácticas_Revisiones'!$T$2:$T$282,"SOFTWARE ENG. PROCESS &gt; Software Engineering Process Fundamentals")+COUNTIFS('Prácticas_Snowballing'!$AB$2:$AB$281,"Sin equivalente en catálogo (ANALIZAR)",'Prácticas_Snowballing'!$AC$2:$AC$281,"SOFTWARE ENG. PROCESS &gt; Software Engineering Process Fundamentals")</f>
        <v>0</v>
      </c>
      <c r="BQ87" s="17">
        <f>COUNTIFS('Prácticas_Revisiones'!$S$2:$S$282,"Sin equivalente en catálogo (ANALIZAR)",'Prácticas_Revisiones'!$T$2:$T$282,"SOFTWARE ENG. PROCESS &gt; Life Cycles")+COUNTIFS('Prácticas_Snowballing'!$AB$2:$AB$281,"Sin equivalente en catálogo (ANALIZAR)",'Prácticas_Snowballing'!$AC$2:$AC$281,"SOFTWARE ENG. PROCESS &gt; Life Cycles")</f>
        <v>0</v>
      </c>
      <c r="BR87" s="17">
        <f>COUNTIFS('Prácticas_Revisiones'!$S$2:$S$282,"Sin equivalente en catálogo (ANALIZAR)",'Prácticas_Revisiones'!$T$2:$T$282,"SOFTWARE ENG. PROCESS &gt; Software Process Assessment and Improvement")+COUNTIFS('Prácticas_Snowballing'!$AB$2:$AB$281,"Sin equivalente en catálogo (ANALIZAR)",'Prácticas_Snowballing'!$AC$2:$AC$281,"SOFTWARE ENG. PROCESS &gt; Software Process Assessment and Improvement")</f>
        <v>0</v>
      </c>
      <c r="BS87" s="17">
        <f>COUNTIFS('Prácticas_Revisiones'!$S$2:$S$282,"Sin equivalente en catálogo (ANALIZAR)",'Prácticas_Revisiones'!$T$2:$T$282,"SOFTWARE ENG. PROCESS &gt; Subárea no determinable")+COUNTIFS('Prácticas_Snowballing'!$AB$2:$AB$281,"Sin equivalente en catálogo (ANALIZAR)",'Prácticas_Snowballing'!$AC$2:$AC$281,"SOFTWARE ENG. PROCESS &gt; Subárea no determinable")</f>
        <v>0</v>
      </c>
      <c r="BT87" s="29">
        <f t="shared" si="60"/>
        <v>0</v>
      </c>
      <c r="BU87" s="17">
        <f>COUNTIFS('Prácticas_Revisiones'!$S$2:$S$282,"Sin equivalente en catálogo (ANALIZAR)",'Prácticas_Revisiones'!$T$2:$T$282,"SOFTWARE ENG. MODELS/METH. &gt; Modeling")+COUNTIFS('Prácticas_Snowballing'!$AB$2:$AB$281,"Sin equivalente en catálogo (ANALIZAR)",'Prácticas_Snowballing'!$AC$2:$AC$281,"SOFTWARE ENG. MODELS/METH. &gt; Modeling")</f>
        <v>0</v>
      </c>
      <c r="BV87" s="17">
        <f>COUNTIFS('Prácticas_Revisiones'!$S$2:$S$282,"Sin equivalente en catálogo (ANALIZAR)",'Prácticas_Revisiones'!$T$2:$T$282,"SOFTWARE ENG. MODELS/METH. &gt; Types of Models")+COUNTIFS('Prácticas_Snowballing'!$AB$2:$AB$281,"Sin equivalente en catálogo (ANALIZAR)",'Prácticas_Snowballing'!$AC$2:$AC$281,"SOFTWARE ENG. MODELS/METH. &gt; Types of Models")</f>
        <v>0</v>
      </c>
      <c r="BW87" s="17">
        <f>COUNTIFS('Prácticas_Revisiones'!$S$2:$S$282,"Sin equivalente en catálogo (ANALIZAR)",'Prácticas_Revisiones'!$T$2:$T$282,"SOFTWARE ENG. MODELS/METH. &gt; Analysis of Models")+COUNTIFS('Prácticas_Snowballing'!$AB$2:$AB$281,"Sin equivalente en catálogo (ANALIZAR)",'Prácticas_Snowballing'!$AC$2:$AC$281,"SOFTWARE ENG. MODELS/METH. &gt; Analysis of Models")</f>
        <v>0</v>
      </c>
      <c r="BX87" s="17">
        <f>COUNTIFS('Prácticas_Revisiones'!$S$2:$S$282,"Sin equivalente en catálogo (ANALIZAR)",'Prácticas_Revisiones'!$T$2:$T$282,"SOFTWARE ENG. MODELS/METH. &gt; Software Engineering Methods")+COUNTIFS('Prácticas_Snowballing'!$AB$2:$AB$281,"Sin equivalente en catálogo (ANALIZAR)",'Prácticas_Snowballing'!$AC$2:$AC$281,"SOFTWARE ENG. MODELS/METH. &gt; Software Engineering Methods")</f>
        <v>0</v>
      </c>
      <c r="BY87" s="17">
        <f>COUNTIFS('Prácticas_Revisiones'!$S$2:$S$282,"Sin equivalente en catálogo (ANALIZAR)",'Prácticas_Revisiones'!$T$2:$T$282,"SOFTWARE ENG. MODELS/METH. &gt; Subárea no determinable")+COUNTIFS('Prácticas_Snowballing'!$AB$2:$AB$281,"Sin equivalente en catálogo (ANALIZAR)",'Prácticas_Snowballing'!$AC$2:$AC$281,"SOFTWARE ENG. MODELS/METH. &gt; Subárea no determinable")</f>
        <v>0</v>
      </c>
      <c r="BZ87" s="29">
        <f t="shared" si="61"/>
        <v>0</v>
      </c>
      <c r="CA87" s="17">
        <f>COUNTIFS('Prácticas_Revisiones'!$S$2:$S$282,"Sin equivalente en catálogo (ANALIZAR)",'Prácticas_Revisiones'!$T$2:$T$282,"SOFTWARE QUALITY &gt; Software Quality Fundamentals")+COUNTIFS('Prácticas_Snowballing'!$AB$2:$AB$281,"Sin equivalente en catálogo (ANALIZAR)",'Prácticas_Snowballing'!$AC$2:$AC$281,"SOFTWARE QUALITY &gt; Software Quality Fundamentals")</f>
        <v>0</v>
      </c>
      <c r="CB87" s="17">
        <f>COUNTIFS('Prácticas_Revisiones'!$S$2:$S$282,"Sin equivalente en catálogo (ANALIZAR)",'Prácticas_Revisiones'!$T$2:$T$282,"SOFTWARE QUALITY &gt; Software Quality Management Process")+COUNTIFS('Prácticas_Snowballing'!$AB$2:$AB$281,"Sin equivalente en catálogo (ANALIZAR)",'Prácticas_Snowballing'!$AC$2:$AC$281,"SOFTWARE QUALITY &gt; Software Quality Management Process")</f>
        <v>0</v>
      </c>
      <c r="CC87" s="17">
        <f>COUNTIFS('Prácticas_Revisiones'!$S$2:$S$282,"Sin equivalente en catálogo (ANALIZAR)",'Prácticas_Revisiones'!$T$2:$T$282,"SOFTWARE QUALITY &gt; Software Quality Assurance Process")+COUNTIFS('Prácticas_Snowballing'!$AB$2:$AB$281,"Sin equivalente en catálogo (ANALIZAR)",'Prácticas_Snowballing'!$AC$2:$AC$281,"SOFTWARE QUALITY &gt; Software Quality Assurance Process")</f>
        <v>0</v>
      </c>
      <c r="CD87" s="17">
        <f>COUNTIFS('Prácticas_Revisiones'!$S$2:$S$282,"Sin equivalente en catálogo (ANALIZAR)",'Prácticas_Revisiones'!$T$2:$T$282,"SOFTWARE QUALITY &gt; Software Quality Tools")+COUNTIFS('Prácticas_Snowballing'!$AB$2:$AB$281,"Sin equivalente en catálogo (ANALIZAR)",'Prácticas_Snowballing'!$AC$2:$AC$281,"SOFTWARE QUALITY &gt; Software Quality Tools")</f>
        <v>0</v>
      </c>
      <c r="CE87" s="17">
        <f>COUNTIFS('Prácticas_Revisiones'!$S$2:$S$282,"Sin equivalente en catálogo (ANALIZAR)",'Prácticas_Revisiones'!$T$2:$T$282,"SOFTWARE QUALITY &gt; Subárea no determinable")+COUNTIFS('Prácticas_Snowballing'!$AB$2:$AB$281,"Sin equivalente en catálogo (ANALIZAR)",'Prácticas_Snowballing'!$AC$2:$AC$281,"SOFTWARE QUALITY &gt; Subárea no determinable")</f>
        <v>0</v>
      </c>
      <c r="CF87" s="29">
        <f t="shared" si="62"/>
        <v>0</v>
      </c>
      <c r="CG87" s="17">
        <f>COUNTIFS('Prácticas_Revisiones'!$S$2:$S$282,"Sin equivalente en catálogo (ANALIZAR)",'Prácticas_Revisiones'!$T$2:$T$282,"SOFTWARE SECURITY &gt; Software Security Fundamentals")+COUNTIFS('Prácticas_Snowballing'!$AB$2:$AB$281,"Sin equivalente en catálogo (ANALIZAR)",'Prácticas_Snowballing'!$AC$2:$AC$281,"SOFTWARE SECURITY &gt; Software Security Fundamentals")</f>
        <v>0</v>
      </c>
      <c r="CH87" s="17">
        <f>COUNTIFS('Prácticas_Revisiones'!$S$2:$S$282,"Sin equivalente en catálogo (ANALIZAR)",'Prácticas_Revisiones'!$T$2:$T$282,"SOFTWARE SECURITY &gt; Security Management and Organization")+COUNTIFS('Prácticas_Snowballing'!$AB$2:$AB$281,"Sin equivalente en catálogo (ANALIZAR)",'Prácticas_Snowballing'!$AC$2:$AC$281,"SOFTWARE SECURITY &gt; Security Management and Organization")</f>
        <v>0</v>
      </c>
      <c r="CI87" s="17">
        <f>COUNTIFS('Prácticas_Revisiones'!$S$2:$S$282,"Sin equivalente en catálogo (ANALIZAR)",'Prácticas_Revisiones'!$T$2:$T$282,"SOFTWARE SECURITY &gt; Software Security Engineering and Process")+COUNTIFS('Prácticas_Snowballing'!$AB$2:$AB$281,"Sin equivalente en catálogo (ANALIZAR)",'Prácticas_Snowballing'!$AC$2:$AC$281,"SOFTWARE SECURITY &gt; Software Security Engineering and Process")</f>
        <v>0</v>
      </c>
      <c r="CJ87" s="17">
        <f>COUNTIFS('Prácticas_Revisiones'!$S$2:$S$282,"Sin equivalente en catálogo (ANALIZAR)",'Prácticas_Revisiones'!$T$2:$T$282,"SOFTWARE SECURITY &gt; Security Engineering for Software Systems")+COUNTIFS('Prácticas_Snowballing'!$AB$2:$AB$281,"Sin equivalente en catálogo (ANALIZAR)",'Prácticas_Snowballing'!$AC$2:$AC$281,"SOFTWARE SECURITY &gt; Security Engineering for Software Systems")</f>
        <v>0</v>
      </c>
      <c r="CK87" s="17">
        <f>COUNTIFS('Prácticas_Revisiones'!$S$2:$S$282,"Sin equivalente en catálogo (ANALIZAR)",'Prácticas_Revisiones'!$T$2:$T$282,"SOFTWARE SECURITY &gt; Software Security Tools")+COUNTIFS('Prácticas_Snowballing'!$AB$2:$AB$281,"Sin equivalente en catálogo (ANALIZAR)",'Prácticas_Snowballing'!$AC$2:$AC$281,"SOFTWARE SECURITY &gt; Software Security Tools")</f>
        <v>0</v>
      </c>
      <c r="CL87" s="17">
        <f>COUNTIFS('Prácticas_Revisiones'!$S$2:$S$282,"Sin equivalente en catálogo (ANALIZAR)",'Prácticas_Revisiones'!$T$2:$T$282,"SOFTWARE SECURITY &gt; Domain Specific Software Security")+COUNTIFS('Prácticas_Snowballing'!$AB$2:$AB$281,"Sin equivalente en catálogo (ANALIZAR)",'Prácticas_Snowballing'!$AC$2:$AC$281,"SOFTWARE SECURITY &gt; Domain Specific Software Security")</f>
        <v>0</v>
      </c>
      <c r="CM87" s="17">
        <f>COUNTIFS('Prácticas_Revisiones'!$S$2:$S$282,"Sin equivalente en catálogo (ANALIZAR)",'Prácticas_Revisiones'!$T$2:$T$282,"SOFTWARE SECURITY &gt; Subárea no determinable")+COUNTIFS('Prácticas_Snowballing'!$AB$2:$AB$281,"Sin equivalente en catálogo (ANALIZAR)",'Prácticas_Snowballing'!$AC$2:$AC$281,"SOFTWARE SECURITY &gt; Subárea no determinable")</f>
        <v>0</v>
      </c>
      <c r="CN87" s="29">
        <f t="shared" si="63"/>
        <v>0</v>
      </c>
      <c r="CO87" s="17">
        <f>COUNTIFS('Prácticas_Revisiones'!$S$2:$S$282,"Sin equivalente en catálogo (ANALIZAR)",'Prácticas_Revisiones'!$T$2:$T$282,"PROFESSIONAL PRACTICE &gt; Professionalism")+COUNTIFS('Prácticas_Snowballing'!$AB$2:$AB$281,"Sin equivalente en catálogo (ANALIZAR)",'Prácticas_Snowballing'!$AC$2:$AC$281,"PROFESSIONAL PRACTICE &gt; Professionalism")</f>
        <v>0</v>
      </c>
      <c r="CP87" s="17">
        <f>COUNTIFS('Prácticas_Revisiones'!$S$2:$S$282,"Sin equivalente en catálogo (ANALIZAR)",'Prácticas_Revisiones'!$T$2:$T$282,"PROFESSIONAL PRACTICE &gt; Group Dynamics and Psychology")+COUNTIFS('Prácticas_Snowballing'!$AB$2:$AB$281,"Sin equivalente en catálogo (ANALIZAR)",'Prácticas_Snowballing'!$AC$2:$AC$281,"PROFESSIONAL PRACTICE &gt; Group Dynamics and Psychology")</f>
        <v>0</v>
      </c>
      <c r="CQ87" s="17">
        <f>COUNTIFS('Prácticas_Revisiones'!$S$2:$S$282,"Sin equivalente en catálogo (ANALIZAR)",'Prácticas_Revisiones'!$T$2:$T$282,"PROFESSIONAL PRACTICE &gt; Communication Skills")+COUNTIFS('Prácticas_Snowballing'!$AB$2:$AB$281,"Sin equivalente en catálogo (ANALIZAR)",'Prácticas_Snowballing'!$AC$2:$AC$281,"PROFESSIONAL PRACTICE &gt; Communication Skills")</f>
        <v>0</v>
      </c>
      <c r="CR87" s="17">
        <f>COUNTIFS('Prácticas_Revisiones'!$S$2:$S$282,"Sin equivalente en catálogo (ANALIZAR)",'Prácticas_Revisiones'!$T$2:$T$282,"PROFESSIONAL PRACTICE &gt; Subárea no determinable")+COUNTIFS('Prácticas_Snowballing'!$AB$2:$AB$281,"Sin equivalente en catálogo (ANALIZAR)",'Prácticas_Snowballing'!$AC$2:$AC$281,"PROFESSIONAL PRACTICE &gt; Subárea no determinable")</f>
        <v>0</v>
      </c>
      <c r="CS87" s="29">
        <f t="shared" si="64"/>
        <v>0</v>
      </c>
      <c r="CT87" s="17">
        <f>COUNTIFS('Prácticas_Revisiones'!$S$2:$S$282,"Sin equivalente en catálogo (ANALIZAR)",'Prácticas_Revisiones'!$T$2:$T$282,"SOFTWARE ENG. ECONOMICS &gt; Software Engineering Economics Fundamentals")+COUNTIFS('Prácticas_Snowballing'!$AB$2:$AB$281,"Sin equivalente en catálogo (ANALIZAR)",'Prácticas_Snowballing'!$AC$2:$AC$281,"SOFTWARE ENG. ECONOMICS &gt; Software Engineering Economics Fundamentals")</f>
        <v>0</v>
      </c>
      <c r="CU87" s="17">
        <f>COUNTIFS('Prácticas_Revisiones'!$S$2:$S$282,"Sin equivalente en catálogo (ANALIZAR)",'Prácticas_Revisiones'!$T$2:$T$282,"SOFTWARE ENG. ECONOMICS &gt; The Engineering Decision-Making Process")+COUNTIFS('Prácticas_Snowballing'!$AB$2:$AB$281,"Sin equivalente en catálogo (ANALIZAR)",'Prácticas_Snowballing'!$AC$2:$AC$281,"SOFTWARE ENG. ECONOMICS &gt; The Engineering Decision-Making Process")</f>
        <v>0</v>
      </c>
      <c r="CV87" s="17">
        <f>COUNTIFS('Prácticas_Revisiones'!$S$2:$S$282,"Sin equivalente en catálogo (ANALIZAR)",'Prácticas_Revisiones'!$T$2:$T$282,"SOFTWARE ENG. ECONOMICS &gt; For-Profit Decision-Making")+COUNTIFS('Prácticas_Snowballing'!$AB$2:$AB$281,"Sin equivalente en catálogo (ANALIZAR)",'Prácticas_Snowballing'!$AC$2:$AC$281,"SOFTWARE ENG. ECONOMICS &gt; For-Profit Decision-Making")</f>
        <v>0</v>
      </c>
      <c r="CW87" s="17">
        <f>COUNTIFS('Prácticas_Revisiones'!$S$2:$S$282,"Sin equivalente en catálogo (ANALIZAR)",'Prácticas_Revisiones'!$T$2:$T$282,"SOFTWARE ENG. ECONOMICS &gt; Nonprofit Decision-Making")+COUNTIFS('Prácticas_Snowballing'!$AB$2:$AB$281,"Sin equivalente en catálogo (ANALIZAR)",'Prácticas_Snowballing'!$AC$2:$AC$281,"SOFTWARE ENG. ECONOMICS &gt; Nonprofit Decision-Making")</f>
        <v>0</v>
      </c>
      <c r="CX87" s="17">
        <f>COUNTIFS('Prácticas_Revisiones'!$S$2:$S$282,"Sin equivalente en catálogo (ANALIZAR)",'Prácticas_Revisiones'!$T$2:$T$282,"SOFTWARE ENG. ECONOMICS &gt; Present Economy Decision-Making")+COUNTIFS('Prácticas_Snowballing'!$AB$2:$AB$281,"Sin equivalente en catálogo (ANALIZAR)",'Prácticas_Snowballing'!$AC$2:$AC$281,"SOFTWARE ENG. ECONOMICS &gt; Present Economy Decision-Making")</f>
        <v>0</v>
      </c>
      <c r="CY87" s="17">
        <f>COUNTIFS('Prácticas_Revisiones'!$S$2:$S$282,"Sin equivalente en catálogo (ANALIZAR)",'Prácticas_Revisiones'!$T$2:$T$282,"SOFTWARE ENG. ECONOMICS &gt; Multiple-Attribute Decision-Making")+COUNTIFS('Prácticas_Snowballing'!$AB$2:$AB$281,"Sin equivalente en catálogo (ANALIZAR)",'Prácticas_Snowballing'!$AC$2:$AC$281,"SOFTWARE ENG. ECONOMICS &gt; Multiple-Attribute Decision-Making")</f>
        <v>0</v>
      </c>
      <c r="CZ87" s="17">
        <f>COUNTIFS('Prácticas_Revisiones'!$S$2:$S$282,"Sin equivalente en catálogo (ANALIZAR)",'Prácticas_Revisiones'!$T$2:$T$282,"SOFTWARE ENG. ECONOMICS &gt; Identifying and Characterizing Intangible Assets")+COUNTIFS('Prácticas_Snowballing'!$AB$2:$AB$281,"Sin equivalente en catálogo (ANALIZAR)",'Prácticas_Snowballing'!$AC$2:$AC$281,"SOFTWARE ENG. ECONOMICS &gt; Identifying and Characterizing Intangible Assets")</f>
        <v>0</v>
      </c>
      <c r="DA87" s="17">
        <f>COUNTIFS('Prácticas_Revisiones'!$S$2:$S$282,"Sin equivalente en catálogo (ANALIZAR)",'Prácticas_Revisiones'!$T$2:$T$282,"SOFTWARE ENG. ECONOMICS &gt; Estimation")+COUNTIFS('Prácticas_Snowballing'!$AB$2:$AB$281,"Sin equivalente en catálogo (ANALIZAR)",'Prácticas_Snowballing'!$AC$2:$AC$281,"SOFTWARE ENG. ECONOMICS &gt; Estimation")</f>
        <v>0</v>
      </c>
      <c r="DB87" s="17">
        <f>COUNTIFS('Prácticas_Revisiones'!$S$2:$S$282,"Sin equivalente en catálogo (ANALIZAR)",'Prácticas_Revisiones'!$T$2:$T$282,"SOFTWARE ENG. ECONOMICS &gt; Practical Considerations")+COUNTIFS('Prácticas_Snowballing'!$AB$2:$AB$281,"Sin equivalente en catálogo (ANALIZAR)",'Prácticas_Snowballing'!$AC$2:$AC$281,"SOFTWARE ENG. ECONOMICS &gt; Practical Considerations")</f>
        <v>0</v>
      </c>
      <c r="DC87" s="17">
        <f>COUNTIFS('Prácticas_Revisiones'!$S$2:$S$282,"Sin equivalente en catálogo (ANALIZAR)",'Prácticas_Revisiones'!$T$2:$T$282,"SOFTWARE ENG. ECONOMICS &gt; Related Concepts")+COUNTIFS('Prácticas_Snowballing'!$AB$2:$AB$281,"Sin equivalente en catálogo (ANALIZAR)",'Prácticas_Snowballing'!$AC$2:$AC$281,"SOFTWARE ENG. ECONOMICS &gt; Related Concepts")</f>
        <v>0</v>
      </c>
      <c r="DD87" s="17">
        <f>COUNTIFS('Prácticas_Revisiones'!$S$2:$S$282,"Sin equivalente en catálogo (ANALIZAR)",'Prácticas_Revisiones'!$T$2:$T$282,"SOFTWARE ENG. ECONOMICS &gt; Subárea no determinable")+COUNTIFS('Prácticas_Snowballing'!$AB$2:$AB$281,"Sin equivalente en catálogo (ANALIZAR)",'Prácticas_Snowballing'!$AC$2:$AC$281,"SOFTWARE ENG. ECONOMICS &gt; Subárea no determinable")</f>
        <v>0</v>
      </c>
      <c r="DE87" s="29">
        <f t="shared" si="65"/>
        <v>0</v>
      </c>
      <c r="DF87" s="17">
        <f>COUNTIFS('Prácticas_Revisiones'!$S$2:$S$282,"Sin equivalente en catálogo (ANALIZAR)",'Prácticas_Revisiones'!$T$2:$T$282,"SOFTWARE ENG. MANAGEMENT &gt; Software Engineering Management Fundamentals")+COUNTIFS('Prácticas_Snowballing'!$AB$2:$AB$281,"Sin equivalente en catálogo (ANALIZAR)",'Prácticas_Snowballing'!$AC$2:$AC$281,"SOFTWARE ENG. MANAGEMENT &gt; Software Engineering Management Fundamentals")</f>
        <v>0</v>
      </c>
      <c r="DG87" s="17">
        <f>COUNTIFS('Prácticas_Revisiones'!$S$2:$S$282,"Sin equivalente en catálogo (ANALIZAR)",'Prácticas_Revisiones'!$T$2:$T$282,"SOFTWARE ENG. MANAGEMENT &gt; Initiation and Scope Definition")+COUNTIFS('Prácticas_Snowballing'!$AB$2:$AB$281,"Sin equivalente en catálogo (ANALIZAR)",'Prácticas_Snowballing'!$AC$2:$AC$281,"SOFTWARE ENG. MANAGEMENT &gt; Initiation and Scope Definition")</f>
        <v>0</v>
      </c>
      <c r="DH87" s="17">
        <f>COUNTIFS('Prácticas_Revisiones'!$S$2:$S$282,"Sin equivalente en catálogo (ANALIZAR)",'Prácticas_Revisiones'!$T$2:$T$282,"SOFTWARE ENG. MANAGEMENT &gt; Software Project Planning")+COUNTIFS('Prácticas_Snowballing'!$AB$2:$AB$281,"Sin equivalente en catálogo (ANALIZAR)",'Prácticas_Snowballing'!$AC$2:$AC$281,"SOFTWARE ENG. MANAGEMENT &gt; Software Project Planning")</f>
        <v>0</v>
      </c>
      <c r="DI87" s="17">
        <f>COUNTIFS('Prácticas_Revisiones'!$S$2:$S$282,"Sin equivalente en catálogo (ANALIZAR)",'Prácticas_Revisiones'!$T$2:$T$282,"SOFTWARE ENG. MANAGEMENT &gt; Software Project Enactment")+COUNTIFS('Prácticas_Snowballing'!$AB$2:$AB$281,"Sin equivalente en catálogo (ANALIZAR)",'Prácticas_Snowballing'!$AC$2:$AC$281,"SOFTWARE ENG. MANAGEMENT &gt; Software Project Enactment")</f>
        <v>0</v>
      </c>
      <c r="DJ87" s="17">
        <f>COUNTIFS('Prácticas_Revisiones'!$S$2:$S$282,"Sin equivalente en catálogo (ANALIZAR)",'Prácticas_Revisiones'!$T$2:$T$282,"SOFTWARE ENG. MANAGEMENT &gt; Review and Evaluation")+COUNTIFS('Prácticas_Snowballing'!$AB$2:$AB$281,"Sin equivalente en catálogo (ANALIZAR)",'Prácticas_Snowballing'!$AC$2:$AC$281,"SOFTWARE ENG. MANAGEMENT &gt; Review and Evaluation")</f>
        <v>0</v>
      </c>
      <c r="DK87" s="17">
        <f>COUNTIFS('Prácticas_Revisiones'!$S$2:$S$282,"Sin equivalente en catálogo (ANALIZAR)",'Prácticas_Revisiones'!$T$2:$T$282,"SOFTWARE ENG. MANAGEMENT &gt; Closure")+COUNTIFS('Prácticas_Snowballing'!$AB$2:$AB$281,"Sin equivalente en catálogo (ANALIZAR)",'Prácticas_Snowballing'!$AC$2:$AC$281,"SOFTWARE ENG. MANAGEMENT &gt; Closure")</f>
        <v>0</v>
      </c>
      <c r="DL87" s="17">
        <f>COUNTIFS('Prácticas_Revisiones'!$S$2:$S$282,"Sin equivalente en catálogo (ANALIZAR)",'Prácticas_Revisiones'!$T$2:$T$282,"SOFTWARE ENG. MANAGEMENT &gt; Software Engineering Management Tools")+COUNTIFS('Prácticas_Snowballing'!$AB$2:$AB$281,"Sin equivalente en catálogo (ANALIZAR)",'Prácticas_Snowballing'!$AC$2:$AC$281,"SOFTWARE ENG. MANAGEMENT &gt; Software Engineering Management Tools")</f>
        <v>0</v>
      </c>
      <c r="DM87" s="17">
        <f>COUNTIFS('Prácticas_Revisiones'!$S$2:$S$282,"Sin equivalente en catálogo (ANALIZAR)",'Prácticas_Revisiones'!$T$2:$T$282,"SOFTWARE ENG. MANAGEMENT &gt; Subárea no determinable")+COUNTIFS('Prácticas_Snowballing'!$AB$2:$AB$281,"Sin equivalente en catálogo (ANALIZAR)",'Prácticas_Snowballing'!$AC$2:$AC$281,"SOFTWARE ENG. MANAGEMENT &gt; Subárea no determinable")</f>
        <v>0</v>
      </c>
      <c r="DN87" s="29">
        <f t="shared" si="66"/>
        <v>0</v>
      </c>
      <c r="DO87" s="17">
        <f>COUNTIFS('Prácticas_Revisiones'!$S$2:$S$282,"Sin equivalente en catálogo (ANALIZAR)",'Prácticas_Revisiones'!$T$2:$T$282,"Sin área SWEBOK")+COUNTIFS('Prácticas_Snowballing'!$AB$2:$AB$281,"Sin equivalente en catálogo (ANALIZAR)",'Prácticas_Snowballing'!$AC$2:$AC$281,"Sin área SWEBOK")</f>
        <v>0</v>
      </c>
      <c r="DP87" s="27">
        <f t="shared" si="67"/>
        <v>0</v>
      </c>
    </row>
    <row r="88" ht="15.75" customHeight="1">
      <c r="A88" s="35" t="s">
        <v>2872</v>
      </c>
      <c r="B88" s="20"/>
      <c r="C88" s="29">
        <f t="shared" ref="C88:DP88" si="68">SUM(C70:C87)</f>
        <v>0</v>
      </c>
      <c r="D88" s="29">
        <f t="shared" si="68"/>
        <v>0</v>
      </c>
      <c r="E88" s="29">
        <f t="shared" si="68"/>
        <v>1</v>
      </c>
      <c r="F88" s="29">
        <f t="shared" si="68"/>
        <v>0</v>
      </c>
      <c r="G88" s="29">
        <f t="shared" si="68"/>
        <v>1</v>
      </c>
      <c r="H88" s="29">
        <f t="shared" si="68"/>
        <v>1</v>
      </c>
      <c r="I88" s="29">
        <f t="shared" si="68"/>
        <v>0</v>
      </c>
      <c r="J88" s="29">
        <f t="shared" si="68"/>
        <v>0</v>
      </c>
      <c r="K88" s="29">
        <f t="shared" si="68"/>
        <v>0</v>
      </c>
      <c r="L88" s="29">
        <f t="shared" si="68"/>
        <v>3</v>
      </c>
      <c r="M88" s="29">
        <f t="shared" si="68"/>
        <v>0</v>
      </c>
      <c r="N88" s="29">
        <f t="shared" si="68"/>
        <v>0</v>
      </c>
      <c r="O88" s="29">
        <f t="shared" si="68"/>
        <v>0</v>
      </c>
      <c r="P88" s="29">
        <f t="shared" si="68"/>
        <v>0</v>
      </c>
      <c r="Q88" s="29">
        <f t="shared" si="68"/>
        <v>0</v>
      </c>
      <c r="R88" s="29">
        <f t="shared" si="68"/>
        <v>0</v>
      </c>
      <c r="S88" s="29">
        <f t="shared" si="68"/>
        <v>0</v>
      </c>
      <c r="T88" s="29">
        <f t="shared" si="68"/>
        <v>0</v>
      </c>
      <c r="U88" s="29">
        <f t="shared" si="68"/>
        <v>0</v>
      </c>
      <c r="V88" s="29">
        <f t="shared" si="68"/>
        <v>0</v>
      </c>
      <c r="W88" s="29">
        <f t="shared" si="68"/>
        <v>0</v>
      </c>
      <c r="X88" s="29">
        <f t="shared" si="68"/>
        <v>2</v>
      </c>
      <c r="Y88" s="29">
        <f t="shared" si="68"/>
        <v>0</v>
      </c>
      <c r="Z88" s="29">
        <f t="shared" si="68"/>
        <v>2</v>
      </c>
      <c r="AA88" s="29">
        <f t="shared" si="68"/>
        <v>5</v>
      </c>
      <c r="AB88" s="29">
        <f t="shared" si="68"/>
        <v>0</v>
      </c>
      <c r="AC88" s="29">
        <f t="shared" si="68"/>
        <v>2</v>
      </c>
      <c r="AD88" s="29">
        <f t="shared" si="68"/>
        <v>2</v>
      </c>
      <c r="AE88" s="29">
        <f t="shared" si="68"/>
        <v>0</v>
      </c>
      <c r="AF88" s="29">
        <f t="shared" si="68"/>
        <v>0</v>
      </c>
      <c r="AG88" s="29">
        <f t="shared" si="68"/>
        <v>9</v>
      </c>
      <c r="AH88" s="29">
        <f t="shared" si="68"/>
        <v>0</v>
      </c>
      <c r="AI88" s="29">
        <f t="shared" si="68"/>
        <v>0</v>
      </c>
      <c r="AJ88" s="29">
        <f t="shared" si="68"/>
        <v>2</v>
      </c>
      <c r="AK88" s="29">
        <f t="shared" si="68"/>
        <v>0</v>
      </c>
      <c r="AL88" s="29">
        <f t="shared" si="68"/>
        <v>0</v>
      </c>
      <c r="AM88" s="29">
        <f t="shared" si="68"/>
        <v>0</v>
      </c>
      <c r="AN88" s="29">
        <f t="shared" si="68"/>
        <v>0</v>
      </c>
      <c r="AO88" s="29">
        <f t="shared" si="68"/>
        <v>0</v>
      </c>
      <c r="AP88" s="29">
        <f t="shared" si="68"/>
        <v>0</v>
      </c>
      <c r="AQ88" s="29">
        <f t="shared" si="68"/>
        <v>2</v>
      </c>
      <c r="AR88" s="29">
        <f t="shared" si="68"/>
        <v>0</v>
      </c>
      <c r="AS88" s="29">
        <f t="shared" si="68"/>
        <v>0</v>
      </c>
      <c r="AT88" s="29">
        <f t="shared" si="68"/>
        <v>0</v>
      </c>
      <c r="AU88" s="29">
        <f t="shared" si="68"/>
        <v>0</v>
      </c>
      <c r="AV88" s="29">
        <f t="shared" si="68"/>
        <v>0</v>
      </c>
      <c r="AW88" s="29">
        <f t="shared" si="68"/>
        <v>0</v>
      </c>
      <c r="AX88" s="29">
        <f t="shared" si="68"/>
        <v>0</v>
      </c>
      <c r="AY88" s="29">
        <f t="shared" si="68"/>
        <v>0</v>
      </c>
      <c r="AZ88" s="29">
        <f t="shared" si="68"/>
        <v>0</v>
      </c>
      <c r="BA88" s="29">
        <f t="shared" si="68"/>
        <v>0</v>
      </c>
      <c r="BB88" s="29">
        <f t="shared" si="68"/>
        <v>0</v>
      </c>
      <c r="BC88" s="29">
        <f t="shared" si="68"/>
        <v>4</v>
      </c>
      <c r="BD88" s="29">
        <f t="shared" si="68"/>
        <v>0</v>
      </c>
      <c r="BE88" s="29">
        <f t="shared" si="68"/>
        <v>0</v>
      </c>
      <c r="BF88" s="29">
        <f t="shared" si="68"/>
        <v>4</v>
      </c>
      <c r="BG88" s="29">
        <f t="shared" si="68"/>
        <v>0</v>
      </c>
      <c r="BH88" s="29">
        <f t="shared" si="68"/>
        <v>0</v>
      </c>
      <c r="BI88" s="29">
        <f t="shared" si="68"/>
        <v>0</v>
      </c>
      <c r="BJ88" s="29">
        <f t="shared" si="68"/>
        <v>0</v>
      </c>
      <c r="BK88" s="29">
        <f t="shared" si="68"/>
        <v>0</v>
      </c>
      <c r="BL88" s="29">
        <f t="shared" si="68"/>
        <v>0</v>
      </c>
      <c r="BM88" s="29">
        <f t="shared" si="68"/>
        <v>0</v>
      </c>
      <c r="BN88" s="29">
        <f t="shared" si="68"/>
        <v>0</v>
      </c>
      <c r="BO88" s="29">
        <f t="shared" si="68"/>
        <v>0</v>
      </c>
      <c r="BP88" s="29">
        <f t="shared" si="68"/>
        <v>0</v>
      </c>
      <c r="BQ88" s="29">
        <f t="shared" si="68"/>
        <v>0</v>
      </c>
      <c r="BR88" s="29">
        <f t="shared" si="68"/>
        <v>0</v>
      </c>
      <c r="BS88" s="29">
        <f t="shared" si="68"/>
        <v>0</v>
      </c>
      <c r="BT88" s="29">
        <f t="shared" si="68"/>
        <v>0</v>
      </c>
      <c r="BU88" s="29">
        <f t="shared" si="68"/>
        <v>0</v>
      </c>
      <c r="BV88" s="29">
        <f t="shared" si="68"/>
        <v>0</v>
      </c>
      <c r="BW88" s="29">
        <f t="shared" si="68"/>
        <v>0</v>
      </c>
      <c r="BX88" s="29">
        <f t="shared" si="68"/>
        <v>0</v>
      </c>
      <c r="BY88" s="29">
        <f t="shared" si="68"/>
        <v>0</v>
      </c>
      <c r="BZ88" s="29">
        <f t="shared" si="68"/>
        <v>0</v>
      </c>
      <c r="CA88" s="29">
        <f t="shared" si="68"/>
        <v>0</v>
      </c>
      <c r="CB88" s="29">
        <f t="shared" si="68"/>
        <v>0</v>
      </c>
      <c r="CC88" s="29">
        <f t="shared" si="68"/>
        <v>6</v>
      </c>
      <c r="CD88" s="29">
        <f t="shared" si="68"/>
        <v>0</v>
      </c>
      <c r="CE88" s="29">
        <f t="shared" si="68"/>
        <v>0</v>
      </c>
      <c r="CF88" s="29">
        <f t="shared" si="68"/>
        <v>6</v>
      </c>
      <c r="CG88" s="29">
        <f t="shared" si="68"/>
        <v>0</v>
      </c>
      <c r="CH88" s="29">
        <f t="shared" si="68"/>
        <v>0</v>
      </c>
      <c r="CI88" s="29">
        <f t="shared" si="68"/>
        <v>0</v>
      </c>
      <c r="CJ88" s="29">
        <f t="shared" si="68"/>
        <v>0</v>
      </c>
      <c r="CK88" s="29">
        <f t="shared" si="68"/>
        <v>0</v>
      </c>
      <c r="CL88" s="29">
        <f t="shared" si="68"/>
        <v>0</v>
      </c>
      <c r="CM88" s="29">
        <f t="shared" si="68"/>
        <v>0</v>
      </c>
      <c r="CN88" s="29">
        <f t="shared" si="68"/>
        <v>0</v>
      </c>
      <c r="CO88" s="29">
        <f t="shared" si="68"/>
        <v>1</v>
      </c>
      <c r="CP88" s="29">
        <f t="shared" si="68"/>
        <v>0</v>
      </c>
      <c r="CQ88" s="29">
        <f t="shared" si="68"/>
        <v>0</v>
      </c>
      <c r="CR88" s="29">
        <f t="shared" si="68"/>
        <v>0</v>
      </c>
      <c r="CS88" s="29">
        <f t="shared" si="68"/>
        <v>1</v>
      </c>
      <c r="CT88" s="29">
        <f t="shared" si="68"/>
        <v>0</v>
      </c>
      <c r="CU88" s="29">
        <f t="shared" si="68"/>
        <v>0</v>
      </c>
      <c r="CV88" s="29">
        <f t="shared" si="68"/>
        <v>0</v>
      </c>
      <c r="CW88" s="29">
        <f t="shared" si="68"/>
        <v>0</v>
      </c>
      <c r="CX88" s="29">
        <f t="shared" si="68"/>
        <v>0</v>
      </c>
      <c r="CY88" s="29">
        <f t="shared" si="68"/>
        <v>0</v>
      </c>
      <c r="CZ88" s="29">
        <f t="shared" si="68"/>
        <v>0</v>
      </c>
      <c r="DA88" s="29">
        <f t="shared" si="68"/>
        <v>0</v>
      </c>
      <c r="DB88" s="29">
        <f t="shared" si="68"/>
        <v>0</v>
      </c>
      <c r="DC88" s="29">
        <f t="shared" si="68"/>
        <v>0</v>
      </c>
      <c r="DD88" s="29">
        <f t="shared" si="68"/>
        <v>0</v>
      </c>
      <c r="DE88" s="29">
        <f t="shared" si="68"/>
        <v>0</v>
      </c>
      <c r="DF88" s="29">
        <f t="shared" si="68"/>
        <v>0</v>
      </c>
      <c r="DG88" s="29">
        <f t="shared" si="68"/>
        <v>0</v>
      </c>
      <c r="DH88" s="29">
        <f t="shared" si="68"/>
        <v>0</v>
      </c>
      <c r="DI88" s="29">
        <f t="shared" si="68"/>
        <v>0</v>
      </c>
      <c r="DJ88" s="29">
        <f t="shared" si="68"/>
        <v>0</v>
      </c>
      <c r="DK88" s="29">
        <f t="shared" si="68"/>
        <v>0</v>
      </c>
      <c r="DL88" s="29">
        <f t="shared" si="68"/>
        <v>0</v>
      </c>
      <c r="DM88" s="29">
        <f t="shared" si="68"/>
        <v>0</v>
      </c>
      <c r="DN88" s="29">
        <f t="shared" si="68"/>
        <v>0</v>
      </c>
      <c r="DO88" s="29">
        <f t="shared" si="68"/>
        <v>0</v>
      </c>
      <c r="DP88" s="29">
        <f t="shared" si="68"/>
        <v>27</v>
      </c>
    </row>
    <row r="89" ht="15.75" customHeight="1">
      <c r="A89" s="15" t="s">
        <v>684</v>
      </c>
      <c r="B89" s="16" t="s">
        <v>2827</v>
      </c>
      <c r="C89" s="17">
        <f>COUNTIFS('Prácticas_Revisiones'!$S$2:$S$282,"T075",'Prácticas_Revisiones'!$T$2:$T$282,"REQUIREMENTS &gt; Software Requirements Fundamentals")+COUNTIFS('Prácticas_Snowballing'!$AB$2:$AB$281,"T075",'Prácticas_Snowballing'!$AC$2:$AC$281,"REQUIREMENTS &gt; Software Requirements Fundamentals")</f>
        <v>0</v>
      </c>
      <c r="D89" s="17">
        <f>COUNTIFS('Prácticas_Revisiones'!$S$2:$S$282,"T075",'Prácticas_Revisiones'!$T$2:$T$282,"REQUIREMENTS &gt; Requirements Elicitation")+COUNTIFS('Prácticas_Snowballing'!$AB$2:$AB$281,"T075",'Prácticas_Snowballing'!$AC$2:$AC$281,"REQUIREMENTS &gt; Requirements Elicitation")</f>
        <v>0</v>
      </c>
      <c r="E89" s="17">
        <f>COUNTIFS('Prácticas_Revisiones'!$S$2:$S$282,"T075",'Prácticas_Revisiones'!$T$2:$T$282,"REQUIREMENTS &gt; Requirements Analysis")+COUNTIFS('Prácticas_Snowballing'!$AB$2:$AB$281,"T075",'Prácticas_Snowballing'!$AC$2:$AC$281,"REQUIREMENTS &gt; Requirements Analysis")</f>
        <v>0</v>
      </c>
      <c r="F89" s="17">
        <f>COUNTIFS('Prácticas_Revisiones'!$S$2:$S$282,"T075",'Prácticas_Revisiones'!$T$2:$T$282,"REQUIREMENTS &gt; Requirements Specification")+COUNTIFS('Prácticas_Snowballing'!$AB$2:$AB$281,"T075",'Prácticas_Snowballing'!$AC$2:$AC$281,"REQUIREMENTS &gt; Requirements Specification")</f>
        <v>0</v>
      </c>
      <c r="G89" s="17">
        <f>COUNTIFS('Prácticas_Revisiones'!$S$2:$S$282,"T075",'Prácticas_Revisiones'!$T$2:$T$282,"REQUIREMENTS &gt; Requirements Validation")+COUNTIFS('Prácticas_Snowballing'!$AB$2:$AB$281,"T075",'Prácticas_Snowballing'!$AC$2:$AC$281,"REQUIREMENTS &gt; Requirements Validation")</f>
        <v>0</v>
      </c>
      <c r="H89" s="17">
        <f>COUNTIFS('Prácticas_Revisiones'!$S$2:$S$282,"T075",'Prácticas_Revisiones'!$T$2:$T$282,"REQUIREMENTS &gt; Requirements Management Activities")+COUNTIFS('Prácticas_Snowballing'!$AB$2:$AB$281,"T075",'Prácticas_Snowballing'!$AC$2:$AC$281,"REQUIREMENTS &gt; Requirements Management Activities")</f>
        <v>0</v>
      </c>
      <c r="I89" s="17">
        <f>COUNTIFS('Prácticas_Revisiones'!$S$2:$S$282,"T075",'Prácticas_Revisiones'!$T$2:$T$282,"REQUIREMENTS &gt; Practical Considerations")+COUNTIFS('Prácticas_Snowballing'!$AB$2:$AB$281,"T075",'Prácticas_Snowballing'!$AC$2:$AC$281,"REQUIREMENTS &gt; Practical Considerations")</f>
        <v>0</v>
      </c>
      <c r="J89" s="17">
        <f>COUNTIFS('Prácticas_Revisiones'!$S$2:$S$282,"T075",'Prácticas_Revisiones'!$T$2:$T$282,"REQUIREMENTS &gt; Software Requirements Tools")+COUNTIFS('Prácticas_Snowballing'!$AB$2:$AB$281,"T075",'Prácticas_Snowballing'!$AC$2:$AC$281,"REQUIREMENTS &gt; Software Requirements Tools")</f>
        <v>0</v>
      </c>
      <c r="K89" s="17">
        <f>COUNTIFS('Prácticas_Revisiones'!$S$2:$S$282,"T075",'Prácticas_Revisiones'!$T$2:$T$282,"REQUIREMENTS &gt; Subárea no determinable")+COUNTIFS('Prácticas_Snowballing'!$AB$2:$AB$281,"T075",'Prácticas_Snowballing'!$AC$2:$AC$281,"REQUIREMENTS &gt; Subárea no determinable")</f>
        <v>0</v>
      </c>
      <c r="L89" s="29">
        <f t="shared" ref="L89:L103" si="69">SUM(C89:K89)</f>
        <v>0</v>
      </c>
      <c r="M89" s="17">
        <f>COUNTIFS('Prácticas_Revisiones'!$S$2:$S$282,"T075",'Prácticas_Revisiones'!$T$2:$T$282,"ARCHITECTURE &gt; Software Architecture Fundamentals")+COUNTIFS('Prácticas_Snowballing'!$AB$2:$AB$281,"T075",'Prácticas_Snowballing'!$AC$2:$AC$281,"ARCHITECTURE &gt; Software Architecture Fundamentals")</f>
        <v>0</v>
      </c>
      <c r="N89" s="17">
        <f>COUNTIFS('Prácticas_Revisiones'!$S$2:$S$282,"T075",'Prácticas_Revisiones'!$T$2:$T$282,"ARCHITECTURE &gt; Software Architecture Description")+COUNTIFS('Prácticas_Snowballing'!$AB$2:$AB$281,"T075",'Prácticas_Snowballing'!$AC$2:$AC$281,"ARCHITECTURE &gt; Software Architecture Description")</f>
        <v>0</v>
      </c>
      <c r="O89" s="17">
        <f>COUNTIFS('Prácticas_Revisiones'!$S$2:$S$282,"T075",'Prácticas_Revisiones'!$T$2:$T$282,"ARCHITECTURE &gt; Software Architecture Process")+COUNTIFS('Prácticas_Snowballing'!$AB$2:$AB$281,"T075",'Prácticas_Snowballing'!$AC$2:$AC$281,"ARCHITECTURE &gt; Software Architecture Process")</f>
        <v>0</v>
      </c>
      <c r="P89" s="17">
        <f>COUNTIFS('Prácticas_Revisiones'!$S$2:$S$282,"T075",'Prácticas_Revisiones'!$T$2:$T$282,"ARCHITECTURE &gt; Software Architecture Evaluation")+COUNTIFS('Prácticas_Snowballing'!$AB$2:$AB$281,"T075",'Prácticas_Snowballing'!$AC$2:$AC$281,"ARCHITECTURE &gt; Software Architecture Evaluation")</f>
        <v>0</v>
      </c>
      <c r="Q89" s="17">
        <f>COUNTIFS('Prácticas_Revisiones'!$S$2:$S$282,"T075",'Prácticas_Revisiones'!$T$2:$T$282,"ARCHITECTURE &gt; Subárea no determinable")+COUNTIFS('Prácticas_Snowballing'!$AB$2:$AB$281,"T075",'Prácticas_Snowballing'!$AC$2:$AC$281,"ARCHITECTURE &gt; Subárea no determinable")</f>
        <v>0</v>
      </c>
      <c r="R89" s="29">
        <f t="shared" ref="R89:R103" si="70">SUM(M89:Q89)</f>
        <v>0</v>
      </c>
      <c r="S89" s="17">
        <f>COUNTIFS('Prácticas_Revisiones'!$S$2:$S$282,"T075",'Prácticas_Revisiones'!$T$2:$T$282,"DESIGN &gt; Software Design Fundamentals")+COUNTIFS('Prácticas_Snowballing'!$AB$2:$AB$281,"T075",'Prácticas_Snowballing'!$AC$2:$AC$281,"DESIGN &gt; Software Design Fundamentals")</f>
        <v>0</v>
      </c>
      <c r="T89" s="17">
        <f>COUNTIFS('Prácticas_Revisiones'!$S$2:$S$282,"T075",'Prácticas_Revisiones'!$T$2:$T$282,"DESIGN &gt; Software Design Processes")+COUNTIFS('Prácticas_Snowballing'!$AB$2:$AB$281,"T075",'Prácticas_Snowballing'!$AC$2:$AC$281,"DESIGN &gt; Software Design Processes")</f>
        <v>0</v>
      </c>
      <c r="U89" s="17">
        <f>COUNTIFS('Prácticas_Revisiones'!$S$2:$S$282,"T075",'Prácticas_Revisiones'!$T$2:$T$282,"DESIGN &gt; Software Design Qualities")+COUNTIFS('Prácticas_Snowballing'!$AB$2:$AB$281,"T075",'Prácticas_Snowballing'!$AC$2:$AC$281,"DESIGN &gt; Software Design Qualities")</f>
        <v>0</v>
      </c>
      <c r="V89" s="17">
        <f>COUNTIFS('Prácticas_Revisiones'!$S$2:$S$282,"T075",'Prácticas_Revisiones'!$T$2:$T$282,"DESIGN &gt; Recording Software Design")+COUNTIFS('Prácticas_Snowballing'!$AB$2:$AB$281,"T075",'Prácticas_Snowballing'!$AC$2:$AC$281,"DESIGN &gt; Recording Software Design")</f>
        <v>0</v>
      </c>
      <c r="W89" s="17">
        <f>COUNTIFS('Prácticas_Revisiones'!$S$2:$S$282,"T075",'Prácticas_Revisiones'!$T$2:$T$282,"DESIGN &gt; Software Design Strategies and Methods")+COUNTIFS('Prácticas_Snowballing'!$AB$2:$AB$281,"T075",'Prácticas_Snowballing'!$AC$2:$AC$281,"DESIGN &gt; Software Design Strategies and Methods")</f>
        <v>0</v>
      </c>
      <c r="X89" s="17">
        <f>COUNTIFS('Prácticas_Revisiones'!$S$2:$S$282,"T075",'Prácticas_Revisiones'!$T$2:$T$282,"DESIGN &gt; Software Design Analysis and Evaluations")+COUNTIFS('Prácticas_Snowballing'!$AB$2:$AB$281,"T075",'Prácticas_Snowballing'!$AC$2:$AC$281,"DESIGN &gt; Software Design Analysis and Evaluations")</f>
        <v>0</v>
      </c>
      <c r="Y89" s="17">
        <f>COUNTIFS('Prácticas_Revisiones'!$S$2:$S$282,"T075",'Prácticas_Revisiones'!$T$2:$T$282,"DESIGN &gt; Subárea no determinable")+COUNTIFS('Prácticas_Snowballing'!$AB$2:$AB$281,"T075",'Prácticas_Snowballing'!$AC$2:$AC$281,"DESIGN &gt; Subárea no determinable")</f>
        <v>0</v>
      </c>
      <c r="Z89" s="29">
        <f t="shared" ref="Z89:Z103" si="71">SUM(S89:Y89)</f>
        <v>0</v>
      </c>
      <c r="AA89" s="17">
        <f>COUNTIFS('Prácticas_Revisiones'!$S$2:$S$282,"T075",'Prácticas_Revisiones'!$T$2:$T$282,"CONSTRUCTION &gt; Software Construction Fundamentals")+COUNTIFS('Prácticas_Snowballing'!$AB$2:$AB$281,"T075",'Prácticas_Snowballing'!$AC$2:$AC$281,"CONSTRUCTION &gt; Software Construction Fundamentals")</f>
        <v>0</v>
      </c>
      <c r="AB89" s="17">
        <f>COUNTIFS('Prácticas_Revisiones'!$S$2:$S$282,"T075",'Prácticas_Revisiones'!$T$2:$T$282,"CONSTRUCTION &gt; Managing Construction")+COUNTIFS('Prácticas_Snowballing'!$AB$2:$AB$281,"T075",'Prácticas_Snowballing'!$AC$2:$AC$281,"CONSTRUCTION &gt; Managing Construction")</f>
        <v>0</v>
      </c>
      <c r="AC89" s="17">
        <f>COUNTIFS('Prácticas_Revisiones'!$S$2:$S$282,"T075",'Prácticas_Revisiones'!$T$2:$T$282,"CONSTRUCTION &gt; Practical Considerations")+COUNTIFS('Prácticas_Snowballing'!$AB$2:$AB$281,"T075",'Prácticas_Snowballing'!$AC$2:$AC$281,"CONSTRUCTION &gt; Practical Considerations")</f>
        <v>0</v>
      </c>
      <c r="AD89" s="17">
        <f>COUNTIFS('Prácticas_Revisiones'!$S$2:$S$282,"T075",'Prácticas_Revisiones'!$T$2:$T$282,"CONSTRUCTION &gt; Construction Technologies")+COUNTIFS('Prácticas_Snowballing'!$AB$2:$AB$281,"T075",'Prácticas_Snowballing'!$AC$2:$AC$281,"CONSTRUCTION &gt; Construction Technologies")</f>
        <v>0</v>
      </c>
      <c r="AE89" s="17">
        <f>COUNTIFS('Prácticas_Revisiones'!$S$2:$S$282,"T075",'Prácticas_Revisiones'!$T$2:$T$282,"CONSTRUCTION &gt; Software Construction Tools")+COUNTIFS('Prácticas_Snowballing'!$AB$2:$AB$281,"T075",'Prácticas_Snowballing'!$AC$2:$AC$281,"CONSTRUCTION &gt; Software Construction Tools")</f>
        <v>0</v>
      </c>
      <c r="AF89" s="17">
        <f>COUNTIFS('Prácticas_Revisiones'!$S$2:$S$282,"T075",'Prácticas_Revisiones'!$T$2:$T$282,"CONSTRUCTION &gt; Subárea no determinable")+COUNTIFS('Prácticas_Snowballing'!$AB$2:$AB$281,"T075",'Prácticas_Snowballing'!$AC$2:$AC$281,"CONSTRUCTION &gt; Subárea no determinable")</f>
        <v>0</v>
      </c>
      <c r="AG89" s="29">
        <f t="shared" ref="AG89:AG103" si="72">SUM(AA89:AF89)</f>
        <v>0</v>
      </c>
      <c r="AH89" s="17">
        <f>COUNTIFS('Prácticas_Revisiones'!$S$2:$S$282,"T075",'Prácticas_Revisiones'!$T$2:$T$282,"SOFTWARE TESTING &gt; Software Testing Fundamentals")+COUNTIFS('Prácticas_Snowballing'!$AB$2:$AB$281,"T075",'Prácticas_Snowballing'!$AC$2:$AC$281,"SOFTWARE TESTING &gt; Software Testing Fundamentals")</f>
        <v>0</v>
      </c>
      <c r="AI89" s="17">
        <f>COUNTIFS('Prácticas_Revisiones'!$S$2:$S$282,"T075",'Prácticas_Revisiones'!$T$2:$T$282,"SOFTWARE TESTING &gt; Test Levels")+COUNTIFS('Prácticas_Snowballing'!$AB$2:$AB$281,"T075",'Prácticas_Snowballing'!$AC$2:$AC$281,"SOFTWARE TESTING &gt; Test Levels")</f>
        <v>0</v>
      </c>
      <c r="AJ89" s="17">
        <f>COUNTIFS('Prácticas_Revisiones'!$S$2:$S$282,"T075",'Prácticas_Revisiones'!$T$2:$T$282,"SOFTWARE TESTING &gt; Test Techniques")+COUNTIFS('Prácticas_Snowballing'!$AB$2:$AB$281,"T075",'Prácticas_Snowballing'!$AC$2:$AC$281,"SOFTWARE TESTING &gt; Test Techniques")</f>
        <v>0</v>
      </c>
      <c r="AK89" s="17">
        <f>COUNTIFS('Prácticas_Revisiones'!$S$2:$S$282,"T075",'Prácticas_Revisiones'!$T$2:$T$282,"SOFTWARE TESTING &gt; Test-Related Measures")+COUNTIFS('Prácticas_Snowballing'!$AB$2:$AB$281,"T075",'Prácticas_Snowballing'!$AC$2:$AC$281,"SOFTWARE TESTING &gt; Test-Related Measures")</f>
        <v>0</v>
      </c>
      <c r="AL89" s="17">
        <f>COUNTIFS('Prácticas_Revisiones'!$S$2:$S$282,"T075",'Prácticas_Revisiones'!$T$2:$T$282,"SOFTWARE TESTING &gt; Test Process")+COUNTIFS('Prácticas_Snowballing'!$AB$2:$AB$281,"T075",'Prácticas_Snowballing'!$AC$2:$AC$281,"SOFTWARE TESTING &gt; Test Process")</f>
        <v>0</v>
      </c>
      <c r="AM89" s="17">
        <f>COUNTIFS('Prácticas_Revisiones'!$S$2:$S$282,"T075",'Prácticas_Revisiones'!$T$2:$T$282,"SOFTWARE TESTING &gt; Software Testing in the Development Processes...")+COUNTIFS('Prácticas_Snowballing'!$AB$2:$AB$281,"T075",'Prácticas_Snowballing'!$AC$2:$AC$281,"SOFTWARE TESTING &gt; Software Testing in the Development Processes...")</f>
        <v>0</v>
      </c>
      <c r="AN89" s="17">
        <f>COUNTIFS('Prácticas_Revisiones'!$S$2:$S$282,"T075",'Prácticas_Revisiones'!$T$2:$T$282,"SOFTWARE TESTING &gt; Testing of and Testing Through Emerging Tech...")+COUNTIFS('Prácticas_Snowballing'!$AB$2:$AB$281,"T075",'Prácticas_Snowballing'!$AC$2:$AC$281,"SOFTWARE TESTING &gt; Testing of and Testing Through Emerging Tech...")</f>
        <v>0</v>
      </c>
      <c r="AO89" s="17">
        <f>COUNTIFS('Prácticas_Revisiones'!$S$2:$S$282,"T075",'Prácticas_Revisiones'!$T$2:$T$282,"SOFTWARE TESTING &gt; Software Testing Tools")+COUNTIFS('Prácticas_Snowballing'!$AB$2:$AB$281,"T075",'Prácticas_Snowballing'!$AC$2:$AC$281,"SOFTWARE TESTING &gt; Software Testing Tools")</f>
        <v>0</v>
      </c>
      <c r="AP89" s="17">
        <f>COUNTIFS('Prácticas_Revisiones'!$S$2:$S$282,"T075",'Prácticas_Revisiones'!$T$2:$T$282,"SOFTWARE TESTING &gt; Subárea no determinable")+COUNTIFS('Prácticas_Snowballing'!$AB$2:$AB$281,"T075",'Prácticas_Snowballing'!$AC$2:$AC$281,"SOFTWARE TESTING &gt; Subárea no determinable")</f>
        <v>0</v>
      </c>
      <c r="AQ89" s="29">
        <f t="shared" ref="AQ89:AQ103" si="73">SUM(AH89:AP89)</f>
        <v>0</v>
      </c>
      <c r="AR89" s="17">
        <f>COUNTIFS('Prácticas_Revisiones'!$S$2:$S$282,"T075",'Prácticas_Revisiones'!$T$2:$T$282,"SOFTWARE ENG. OPERATIONS &gt; Software Engineering Operations Fundamentals")+COUNTIFS('Prácticas_Snowballing'!$AB$2:$AB$281,"T075",'Prácticas_Snowballing'!$AC$2:$AC$281,"SOFTWARE ENG. OPERATIONS &gt; Software Engineering Operations Fundamentals")</f>
        <v>0</v>
      </c>
      <c r="AS89" s="17">
        <f>COUNTIFS('Prácticas_Revisiones'!$S$2:$S$282,"T075",'Prácticas_Revisiones'!$T$2:$T$282,"SOFTWARE ENG. OPERATIONS &gt; Software Engineering Operations Planning")+COUNTIFS('Prácticas_Snowballing'!$AB$2:$AB$281,"T075",'Prácticas_Snowballing'!$AC$2:$AC$281,"SOFTWARE ENG. OPERATIONS &gt; Software Engineering Operations Planning")</f>
        <v>0</v>
      </c>
      <c r="AT89" s="17">
        <f>COUNTIFS('Prácticas_Revisiones'!$S$2:$S$282,"T075",'Prácticas_Revisiones'!$T$2:$T$282,"SOFTWARE ENG. OPERATIONS &gt; Software Engineering Operations Delivery")+COUNTIFS('Prácticas_Snowballing'!$AB$2:$AB$281,"T075",'Prácticas_Snowballing'!$AC$2:$AC$281,"SOFTWARE ENG. OPERATIONS &gt; Software Engineering Operations Delivery")</f>
        <v>0</v>
      </c>
      <c r="AU89" s="17">
        <f>COUNTIFS('Prácticas_Revisiones'!$S$2:$S$282,"T075",'Prácticas_Revisiones'!$T$2:$T$282,"SOFTWARE ENG. OPERATIONS &gt; Software Engineering Operations Control")+COUNTIFS('Prácticas_Snowballing'!$AB$2:$AB$281,"T075",'Prácticas_Snowballing'!$AC$2:$AC$281,"SOFTWARE ENG. OPERATIONS &gt; Software Engineering Operations Control")</f>
        <v>0</v>
      </c>
      <c r="AV89" s="17">
        <f>COUNTIFS('Prácticas_Revisiones'!$S$2:$S$282,"T075",'Prácticas_Revisiones'!$T$2:$T$282,"SOFTWARE ENG. OPERATIONS &gt; Practical Considerations")+COUNTIFS('Prácticas_Snowballing'!$AB$2:$AB$281,"T075",'Prácticas_Snowballing'!$AC$2:$AC$281,"SOFTWARE ENG. OPERATIONS &gt; Practical Considerations")</f>
        <v>0</v>
      </c>
      <c r="AW89" s="17">
        <f>COUNTIFS('Prácticas_Revisiones'!$S$2:$S$282,"T075",'Prácticas_Revisiones'!$T$2:$T$282,"SOFTWARE ENG. OPERATIONS &gt; Software Engineering Operations Tools")+COUNTIFS('Prácticas_Snowballing'!$AB$2:$AB$281,"T075",'Prácticas_Snowballing'!$AC$2:$AC$281,"SOFTWARE ENG. OPERATIONS &gt; Software Engineering Operations Tools")</f>
        <v>0</v>
      </c>
      <c r="AX89" s="17">
        <f>COUNTIFS('Prácticas_Revisiones'!$S$2:$S$282,"T075",'Prácticas_Revisiones'!$T$2:$T$282,"SOFTWARE ENG. OPERATIONS &gt; Subárea no determinable")+COUNTIFS('Prácticas_Snowballing'!$AB$2:$AB$281,"T075",'Prácticas_Snowballing'!$AC$2:$AC$281,"SOFTWARE ENG. OPERATIONS &gt; Subárea no determinable")</f>
        <v>0</v>
      </c>
      <c r="AY89" s="29">
        <f t="shared" ref="AY89:AY103" si="74">SUM(AR89:AX89)</f>
        <v>0</v>
      </c>
      <c r="AZ89" s="17">
        <f>COUNTIFS('Prácticas_Revisiones'!$S$2:$S$282,"T075",'Prácticas_Revisiones'!$T$2:$T$282,"MAINTENANCE &gt; Software Maintenance Fundamentals")+COUNTIFS('Prácticas_Snowballing'!$AB$2:$AB$281,"T075",'Prácticas_Snowballing'!$AC$2:$AC$281,"MAINTENANCE &gt; Software Maintenance Fundamentals")</f>
        <v>0</v>
      </c>
      <c r="BA89" s="17">
        <f>COUNTIFS('Prácticas_Revisiones'!$S$2:$S$282,"T075",'Prácticas_Revisiones'!$T$2:$T$282,"MAINTENANCE &gt; Key Issues in Software Maintenance")+COUNTIFS('Prácticas_Snowballing'!$AB$2:$AB$281,"T075",'Prácticas_Snowballing'!$AC$2:$AC$281,"MAINTENANCE &gt; Key Issues in Software Maintenance")</f>
        <v>0</v>
      </c>
      <c r="BB89" s="17">
        <f>COUNTIFS('Prácticas_Revisiones'!$S$2:$S$282,"T075",'Prácticas_Revisiones'!$T$2:$T$282,"MAINTENANCE &gt; Software Maintenance Processes")+COUNTIFS('Prácticas_Snowballing'!$AB$2:$AB$281,"T075",'Prácticas_Snowballing'!$AC$2:$AC$281,"MAINTENANCE &gt; Software Maintenance Processes")</f>
        <v>0</v>
      </c>
      <c r="BC89" s="17">
        <f>COUNTIFS('Prácticas_Revisiones'!$S$2:$S$282,"T075",'Prácticas_Revisiones'!$T$2:$T$282,"MAINTENANCE &gt; Software Maintenance Techniques")+COUNTIFS('Prácticas_Snowballing'!$AB$2:$AB$281,"T075",'Prácticas_Snowballing'!$AC$2:$AC$281,"MAINTENANCE &gt; Software Maintenance Techniques")</f>
        <v>0</v>
      </c>
      <c r="BD89" s="17">
        <f>COUNTIFS('Prácticas_Revisiones'!$S$2:$S$282,"T075",'Prácticas_Revisiones'!$T$2:$T$282,"MAINTENANCE &gt; Software Maintenance Tools")+COUNTIFS('Prácticas_Snowballing'!$AB$2:$AB$281,"T075",'Prácticas_Snowballing'!$AC$2:$AC$281,"MAINTENANCE &gt; Software Maintenance Tools")</f>
        <v>0</v>
      </c>
      <c r="BE89" s="17">
        <f>COUNTIFS('Prácticas_Revisiones'!$S$2:$S$282,"T075",'Prácticas_Revisiones'!$T$2:$T$282,"MAINTENANCE &gt; Subárea no determinable")+COUNTIFS('Prácticas_Snowballing'!$AB$2:$AB$281,"T075",'Prácticas_Snowballing'!$AC$2:$AC$281,"MAINTENANCE &gt; Subárea no determinable")</f>
        <v>0</v>
      </c>
      <c r="BF89" s="29">
        <f t="shared" ref="BF89:BF103" si="75">SUM(AZ89:BE89)</f>
        <v>0</v>
      </c>
      <c r="BG89" s="17">
        <f>COUNTIFS('Prácticas_Revisiones'!$S$2:$S$282,"T075",'Prácticas_Revisiones'!$T$2:$T$282,"SOFTWARE CONFIG. MGMT. &gt; Management of the SCM Process")+COUNTIFS('Prácticas_Snowballing'!$AB$2:$AB$281,"T075",'Prácticas_Snowballing'!$AC$2:$AC$281,"SOFTWARE CONFIG. MGMT. &gt; Management of the SCM Process")</f>
        <v>0</v>
      </c>
      <c r="BH89" s="17">
        <f>COUNTIFS('Prácticas_Revisiones'!$S$2:$S$282,"T075",'Prácticas_Revisiones'!$T$2:$T$282,"SOFTWARE CONFIG. MGMT. &gt; Software Configuration Identification")+COUNTIFS('Prácticas_Snowballing'!$AB$2:$AB$281,"T075",'Prácticas_Snowballing'!$AC$2:$AC$281,"SOFTWARE CONFIG. MGMT. &gt; Software Configuration Identification")</f>
        <v>0</v>
      </c>
      <c r="BI89" s="17">
        <f>COUNTIFS('Prácticas_Revisiones'!$S$2:$S$282,"T075",'Prácticas_Revisiones'!$T$2:$T$282,"SOFTWARE CONFIG. MGMT. &gt; Software Configuration Change Control")+COUNTIFS('Prácticas_Snowballing'!$AB$2:$AB$281,"T075",'Prácticas_Snowballing'!$AC$2:$AC$281,"SOFTWARE CONFIG. MGMT. &gt; Software Configuration Change Control")</f>
        <v>0</v>
      </c>
      <c r="BJ89" s="17">
        <f>COUNTIFS('Prácticas_Revisiones'!$S$2:$S$282,"T075",'Prácticas_Revisiones'!$T$2:$T$282,"SOFTWARE CONFIG. MGMT. &gt; Software Configuration Status Accounting")+COUNTIFS('Prácticas_Snowballing'!$AB$2:$AB$281,"T075",'Prácticas_Snowballing'!$AC$2:$AC$281,"SOFTWARE CONFIG. MGMT. &gt; Software Configuration Status Accounting")</f>
        <v>0</v>
      </c>
      <c r="BK89" s="17">
        <f>COUNTIFS('Prácticas_Revisiones'!$S$2:$S$282,"T075",'Prácticas_Revisiones'!$T$2:$T$282,"SOFTWARE CONFIG. MGMT. &gt; Software Configuration Auditing")+COUNTIFS('Prácticas_Snowballing'!$AB$2:$AB$281,"T075",'Prácticas_Snowballing'!$AC$2:$AC$281,"SOFTWARE CONFIG. MGMT. &gt; Software Configuration Auditing")</f>
        <v>0</v>
      </c>
      <c r="BL89" s="17">
        <f>COUNTIFS('Prácticas_Revisiones'!$S$2:$S$282,"T075",'Prácticas_Revisiones'!$T$2:$T$282,"SOFTWARE CONFIG. MGMT. &gt; Software Release Management and Delivery")+COUNTIFS('Prácticas_Snowballing'!$AB$2:$AB$281,"T075",'Prácticas_Snowballing'!$AC$2:$AC$281,"SOFTWARE CONFIG. MGMT. &gt; Software Release Management and Delivery")</f>
        <v>0</v>
      </c>
      <c r="BM89" s="17">
        <f>COUNTIFS('Prácticas_Revisiones'!$S$2:$S$282,"T075",'Prácticas_Revisiones'!$T$2:$T$282,"SOFTWARE CONFIG. MGMT. &gt; Software Configuration Management Tools")+COUNTIFS('Prácticas_Snowballing'!$AB$2:$AB$281,"T075",'Prácticas_Snowballing'!$AC$2:$AC$281,"SOFTWARE CONFIG. MGMT. &gt; Software Configuration Management Tools")</f>
        <v>0</v>
      </c>
      <c r="BN89" s="17">
        <f>COUNTIFS('Prácticas_Revisiones'!$S$2:$S$282,"T075",'Prácticas_Revisiones'!$T$2:$T$282,"SOFTWARE CONFIG. MGMT. &gt; Subárea no determinable")+COUNTIFS('Prácticas_Snowballing'!$AB$2:$AB$281,"T075",'Prácticas_Snowballing'!$AC$2:$AC$281,"SOFTWARE CONFIG. MGMT. &gt; Subárea no determinable")</f>
        <v>0</v>
      </c>
      <c r="BO89" s="29">
        <f t="shared" ref="BO89:BO103" si="76">SUM(BG89:BN89)</f>
        <v>0</v>
      </c>
      <c r="BP89" s="17">
        <f>COUNTIFS('Prácticas_Revisiones'!$S$2:$S$282,"T075",'Prácticas_Revisiones'!$T$2:$T$282,"SOFTWARE ENG. PROCESS &gt; Software Engineering Process Fundamentals")+COUNTIFS('Prácticas_Snowballing'!$AB$2:$AB$281,"T075",'Prácticas_Snowballing'!$AC$2:$AC$281,"SOFTWARE ENG. PROCESS &gt; Software Engineering Process Fundamentals")</f>
        <v>0</v>
      </c>
      <c r="BQ89" s="17">
        <f>COUNTIFS('Prácticas_Revisiones'!$S$2:$S$282,"T075",'Prácticas_Revisiones'!$T$2:$T$282,"SOFTWARE ENG. PROCESS &gt; Life Cycles")+COUNTIFS('Prácticas_Snowballing'!$AB$2:$AB$281,"T075",'Prácticas_Snowballing'!$AC$2:$AC$281,"SOFTWARE ENG. PROCESS &gt; Life Cycles")</f>
        <v>0</v>
      </c>
      <c r="BR89" s="17">
        <f>COUNTIFS('Prácticas_Revisiones'!$S$2:$S$282,"T075",'Prácticas_Revisiones'!$T$2:$T$282,"SOFTWARE ENG. PROCESS &gt; Software Process Assessment and Improvement")+COUNTIFS('Prácticas_Snowballing'!$AB$2:$AB$281,"T075",'Prácticas_Snowballing'!$AC$2:$AC$281,"SOFTWARE ENG. PROCESS &gt; Software Process Assessment and Improvement")</f>
        <v>0</v>
      </c>
      <c r="BS89" s="17">
        <f>COUNTIFS('Prácticas_Revisiones'!$S$2:$S$282,"T075",'Prácticas_Revisiones'!$T$2:$T$282,"SOFTWARE ENG. PROCESS &gt; Subárea no determinable")+COUNTIFS('Prácticas_Snowballing'!$AB$2:$AB$281,"T075",'Prácticas_Snowballing'!$AC$2:$AC$281,"SOFTWARE ENG. PROCESS &gt; Subárea no determinable")</f>
        <v>0</v>
      </c>
      <c r="BT89" s="29">
        <f t="shared" ref="BT89:BT103" si="77">SUM(BP89:BS89)</f>
        <v>0</v>
      </c>
      <c r="BU89" s="17">
        <f>COUNTIFS('Prácticas_Revisiones'!$S$2:$S$282,"T075",'Prácticas_Revisiones'!$T$2:$T$282,"SOFTWARE ENG. MODELS/METH. &gt; Modeling")+COUNTIFS('Prácticas_Snowballing'!$AB$2:$AB$281,"T075",'Prácticas_Snowballing'!$AC$2:$AC$281,"SOFTWARE ENG. MODELS/METH. &gt; Modeling")</f>
        <v>0</v>
      </c>
      <c r="BV89" s="17">
        <f>COUNTIFS('Prácticas_Revisiones'!$S$2:$S$282,"T075",'Prácticas_Revisiones'!$T$2:$T$282,"SOFTWARE ENG. MODELS/METH. &gt; Types of Models")+COUNTIFS('Prácticas_Snowballing'!$AB$2:$AB$281,"T075",'Prácticas_Snowballing'!$AC$2:$AC$281,"SOFTWARE ENG. MODELS/METH. &gt; Types of Models")</f>
        <v>0</v>
      </c>
      <c r="BW89" s="17">
        <f>COUNTIFS('Prácticas_Revisiones'!$S$2:$S$282,"T075",'Prácticas_Revisiones'!$T$2:$T$282,"SOFTWARE ENG. MODELS/METH. &gt; Analysis of Models")+COUNTIFS('Prácticas_Snowballing'!$AB$2:$AB$281,"T075",'Prácticas_Snowballing'!$AC$2:$AC$281,"SOFTWARE ENG. MODELS/METH. &gt; Analysis of Models")</f>
        <v>0</v>
      </c>
      <c r="BX89" s="17">
        <f>COUNTIFS('Prácticas_Revisiones'!$S$2:$S$282,"T075",'Prácticas_Revisiones'!$T$2:$T$282,"SOFTWARE ENG. MODELS/METH. &gt; Software Engineering Methods")+COUNTIFS('Prácticas_Snowballing'!$AB$2:$AB$281,"T075",'Prácticas_Snowballing'!$AC$2:$AC$281,"SOFTWARE ENG. MODELS/METH. &gt; Software Engineering Methods")</f>
        <v>0</v>
      </c>
      <c r="BY89" s="17">
        <f>COUNTIFS('Prácticas_Revisiones'!$S$2:$S$282,"T075",'Prácticas_Revisiones'!$T$2:$T$282,"SOFTWARE ENG. MODELS/METH. &gt; Subárea no determinable")+COUNTIFS('Prácticas_Snowballing'!$AB$2:$AB$281,"T075",'Prácticas_Snowballing'!$AC$2:$AC$281,"SOFTWARE ENG. MODELS/METH. &gt; Subárea no determinable")</f>
        <v>0</v>
      </c>
      <c r="BZ89" s="29">
        <f t="shared" ref="BZ89:BZ103" si="78">SUM(BU89:BY89)</f>
        <v>0</v>
      </c>
      <c r="CA89" s="17">
        <f>COUNTIFS('Prácticas_Revisiones'!$S$2:$S$282,"T075",'Prácticas_Revisiones'!$T$2:$T$282,"SOFTWARE QUALITY &gt; Software Quality Fundamentals")+COUNTIFS('Prácticas_Snowballing'!$AB$2:$AB$281,"T075",'Prácticas_Snowballing'!$AC$2:$AC$281,"SOFTWARE QUALITY &gt; Software Quality Fundamentals")</f>
        <v>0</v>
      </c>
      <c r="CB89" s="17">
        <f>COUNTIFS('Prácticas_Revisiones'!$S$2:$S$282,"T075",'Prácticas_Revisiones'!$T$2:$T$282,"SOFTWARE QUALITY &gt; Software Quality Management Process")+COUNTIFS('Prácticas_Snowballing'!$AB$2:$AB$281,"T075",'Prácticas_Snowballing'!$AC$2:$AC$281,"SOFTWARE QUALITY &gt; Software Quality Management Process")</f>
        <v>0</v>
      </c>
      <c r="CC89" s="17">
        <f>COUNTIFS('Prácticas_Revisiones'!$S$2:$S$282,"T075",'Prácticas_Revisiones'!$T$2:$T$282,"SOFTWARE QUALITY &gt; Software Quality Assurance Process")+COUNTIFS('Prácticas_Snowballing'!$AB$2:$AB$281,"T075",'Prácticas_Snowballing'!$AC$2:$AC$281,"SOFTWARE QUALITY &gt; Software Quality Assurance Process")</f>
        <v>0</v>
      </c>
      <c r="CD89" s="17">
        <f>COUNTIFS('Prácticas_Revisiones'!$S$2:$S$282,"T075",'Prácticas_Revisiones'!$T$2:$T$282,"SOFTWARE QUALITY &gt; Software Quality Tools")+COUNTIFS('Prácticas_Snowballing'!$AB$2:$AB$281,"T075",'Prácticas_Snowballing'!$AC$2:$AC$281,"SOFTWARE QUALITY &gt; Software Quality Tools")</f>
        <v>0</v>
      </c>
      <c r="CE89" s="17">
        <f>COUNTIFS('Prácticas_Revisiones'!$S$2:$S$282,"T075",'Prácticas_Revisiones'!$T$2:$T$282,"SOFTWARE QUALITY &gt; Subárea no determinable")+COUNTIFS('Prácticas_Snowballing'!$AB$2:$AB$281,"T075",'Prácticas_Snowballing'!$AC$2:$AC$281,"SOFTWARE QUALITY &gt; Subárea no determinable")</f>
        <v>0</v>
      </c>
      <c r="CF89" s="29">
        <f t="shared" ref="CF89:CF103" si="79">SUM(CA89:CE89)</f>
        <v>0</v>
      </c>
      <c r="CG89" s="17">
        <f>COUNTIFS('Prácticas_Revisiones'!$S$2:$S$282,"T075",'Prácticas_Revisiones'!$T$2:$T$282,"SOFTWARE SECURITY &gt; Software Security Fundamentals")+COUNTIFS('Prácticas_Snowballing'!$AB$2:$AB$281,"T075",'Prácticas_Snowballing'!$AC$2:$AC$281,"SOFTWARE SECURITY &gt; Software Security Fundamentals")</f>
        <v>0</v>
      </c>
      <c r="CH89" s="17">
        <f>COUNTIFS('Prácticas_Revisiones'!$S$2:$S$282,"T075",'Prácticas_Revisiones'!$T$2:$T$282,"SOFTWARE SECURITY &gt; Security Management and Organization")+COUNTIFS('Prácticas_Snowballing'!$AB$2:$AB$281,"T075",'Prácticas_Snowballing'!$AC$2:$AC$281,"SOFTWARE SECURITY &gt; Security Management and Organization")</f>
        <v>0</v>
      </c>
      <c r="CI89" s="17">
        <f>COUNTIFS('Prácticas_Revisiones'!$S$2:$S$282,"T075",'Prácticas_Revisiones'!$T$2:$T$282,"SOFTWARE SECURITY &gt; Software Security Engineering and Process")+COUNTIFS('Prácticas_Snowballing'!$AB$2:$AB$281,"T075",'Prácticas_Snowballing'!$AC$2:$AC$281,"SOFTWARE SECURITY &gt; Software Security Engineering and Process")</f>
        <v>0</v>
      </c>
      <c r="CJ89" s="17">
        <f>COUNTIFS('Prácticas_Revisiones'!$S$2:$S$282,"T075",'Prácticas_Revisiones'!$T$2:$T$282,"SOFTWARE SECURITY &gt; Security Engineering for Software Systems")+COUNTIFS('Prácticas_Snowballing'!$AB$2:$AB$281,"T075",'Prácticas_Snowballing'!$AC$2:$AC$281,"SOFTWARE SECURITY &gt; Security Engineering for Software Systems")</f>
        <v>0</v>
      </c>
      <c r="CK89" s="17">
        <f>COUNTIFS('Prácticas_Revisiones'!$S$2:$S$282,"T075",'Prácticas_Revisiones'!$T$2:$T$282,"SOFTWARE SECURITY &gt; Software Security Tools")+COUNTIFS('Prácticas_Snowballing'!$AB$2:$AB$281,"T075",'Prácticas_Snowballing'!$AC$2:$AC$281,"SOFTWARE SECURITY &gt; Software Security Tools")</f>
        <v>0</v>
      </c>
      <c r="CL89" s="17">
        <f>COUNTIFS('Prácticas_Revisiones'!$S$2:$S$282,"T075",'Prácticas_Revisiones'!$T$2:$T$282,"SOFTWARE SECURITY &gt; Domain Specific Software Security")+COUNTIFS('Prácticas_Snowballing'!$AB$2:$AB$281,"T075",'Prácticas_Snowballing'!$AC$2:$AC$281,"SOFTWARE SECURITY &gt; Domain Specific Software Security")</f>
        <v>0</v>
      </c>
      <c r="CM89" s="17">
        <f>COUNTIFS('Prácticas_Revisiones'!$S$2:$S$282,"T075",'Prácticas_Revisiones'!$T$2:$T$282,"SOFTWARE SECURITY &gt; Subárea no determinable")+COUNTIFS('Prácticas_Snowballing'!$AB$2:$AB$281,"T075",'Prácticas_Snowballing'!$AC$2:$AC$281,"SOFTWARE SECURITY &gt; Subárea no determinable")</f>
        <v>0</v>
      </c>
      <c r="CN89" s="29">
        <f t="shared" ref="CN89:CN103" si="80">SUM(CG89:CM89)</f>
        <v>0</v>
      </c>
      <c r="CO89" s="17">
        <f>COUNTIFS('Prácticas_Revisiones'!$S$2:$S$282,"T075",'Prácticas_Revisiones'!$T$2:$T$282,"PROFESSIONAL PRACTICE &gt; Professionalism")+COUNTIFS('Prácticas_Snowballing'!$AB$2:$AB$281,"T075",'Prácticas_Snowballing'!$AC$2:$AC$281,"PROFESSIONAL PRACTICE &gt; Professionalism")</f>
        <v>0</v>
      </c>
      <c r="CP89" s="17">
        <f>COUNTIFS('Prácticas_Revisiones'!$S$2:$S$282,"T075",'Prácticas_Revisiones'!$T$2:$T$282,"PROFESSIONAL PRACTICE &gt; Group Dynamics and Psychology")+COUNTIFS('Prácticas_Snowballing'!$AB$2:$AB$281,"T075",'Prácticas_Snowballing'!$AC$2:$AC$281,"PROFESSIONAL PRACTICE &gt; Group Dynamics and Psychology")</f>
        <v>0</v>
      </c>
      <c r="CQ89" s="17">
        <f>COUNTIFS('Prácticas_Revisiones'!$S$2:$S$282,"T075",'Prácticas_Revisiones'!$T$2:$T$282,"PROFESSIONAL PRACTICE &gt; Communication Skills")+COUNTIFS('Prácticas_Snowballing'!$AB$2:$AB$281,"T075",'Prácticas_Snowballing'!$AC$2:$AC$281,"PROFESSIONAL PRACTICE &gt; Communication Skills")</f>
        <v>0</v>
      </c>
      <c r="CR89" s="17">
        <f>COUNTIFS('Prácticas_Revisiones'!$S$2:$S$282,"T075",'Prácticas_Revisiones'!$T$2:$T$282,"PROFESSIONAL PRACTICE &gt; Subárea no determinable")+COUNTIFS('Prácticas_Snowballing'!$AB$2:$AB$281,"T075",'Prácticas_Snowballing'!$AC$2:$AC$281,"PROFESSIONAL PRACTICE &gt; Subárea no determinable")</f>
        <v>0</v>
      </c>
      <c r="CS89" s="29">
        <f t="shared" ref="CS89:CS103" si="81">SUM(CO89:CR89)</f>
        <v>0</v>
      </c>
      <c r="CT89" s="17">
        <f>COUNTIFS('Prácticas_Revisiones'!$S$2:$S$282,"T075",'Prácticas_Revisiones'!$T$2:$T$282,"SOFTWARE ENG. ECONOMICS &gt; Software Engineering Economics Fundamentals")+COUNTIFS('Prácticas_Snowballing'!$AB$2:$AB$281,"T075",'Prácticas_Snowballing'!$AC$2:$AC$281,"SOFTWARE ENG. ECONOMICS &gt; Software Engineering Economics Fundamentals")</f>
        <v>0</v>
      </c>
      <c r="CU89" s="17">
        <f>COUNTIFS('Prácticas_Revisiones'!$S$2:$S$282,"T075",'Prácticas_Revisiones'!$T$2:$T$282,"SOFTWARE ENG. ECONOMICS &gt; The Engineering Decision-Making Process")+COUNTIFS('Prácticas_Snowballing'!$AB$2:$AB$281,"T075",'Prácticas_Snowballing'!$AC$2:$AC$281,"SOFTWARE ENG. ECONOMICS &gt; The Engineering Decision-Making Process")</f>
        <v>0</v>
      </c>
      <c r="CV89" s="17">
        <f>COUNTIFS('Prácticas_Revisiones'!$S$2:$S$282,"T075",'Prácticas_Revisiones'!$T$2:$T$282,"SOFTWARE ENG. ECONOMICS &gt; For-Profit Decision-Making")+COUNTIFS('Prácticas_Snowballing'!$AB$2:$AB$281,"T075",'Prácticas_Snowballing'!$AC$2:$AC$281,"SOFTWARE ENG. ECONOMICS &gt; For-Profit Decision-Making")</f>
        <v>0</v>
      </c>
      <c r="CW89" s="17">
        <f>COUNTIFS('Prácticas_Revisiones'!$S$2:$S$282,"T075",'Prácticas_Revisiones'!$T$2:$T$282,"SOFTWARE ENG. ECONOMICS &gt; Nonprofit Decision-Making")+COUNTIFS('Prácticas_Snowballing'!$AB$2:$AB$281,"T075",'Prácticas_Snowballing'!$AC$2:$AC$281,"SOFTWARE ENG. ECONOMICS &gt; Nonprofit Decision-Making")</f>
        <v>0</v>
      </c>
      <c r="CX89" s="17">
        <f>COUNTIFS('Prácticas_Revisiones'!$S$2:$S$282,"T075",'Prácticas_Revisiones'!$T$2:$T$282,"SOFTWARE ENG. ECONOMICS &gt; Present Economy Decision-Making")+COUNTIFS('Prácticas_Snowballing'!$AB$2:$AB$281,"T075",'Prácticas_Snowballing'!$AC$2:$AC$281,"SOFTWARE ENG. ECONOMICS &gt; Present Economy Decision-Making")</f>
        <v>0</v>
      </c>
      <c r="CY89" s="17">
        <f>COUNTIFS('Prácticas_Revisiones'!$S$2:$S$282,"T075",'Prácticas_Revisiones'!$T$2:$T$282,"SOFTWARE ENG. ECONOMICS &gt; Multiple-Attribute Decision-Making")+COUNTIFS('Prácticas_Snowballing'!$AB$2:$AB$281,"T075",'Prácticas_Snowballing'!$AC$2:$AC$281,"SOFTWARE ENG. ECONOMICS &gt; Multiple-Attribute Decision-Making")</f>
        <v>0</v>
      </c>
      <c r="CZ89" s="17">
        <f>COUNTIFS('Prácticas_Revisiones'!$S$2:$S$282,"T075",'Prácticas_Revisiones'!$T$2:$T$282,"SOFTWARE ENG. ECONOMICS &gt; Identifying and Characterizing Intangible Assets")+COUNTIFS('Prácticas_Snowballing'!$AB$2:$AB$281,"T075",'Prácticas_Snowballing'!$AC$2:$AC$281,"SOFTWARE ENG. ECONOMICS &gt; Identifying and Characterizing Intangible Assets")</f>
        <v>0</v>
      </c>
      <c r="DA89" s="17">
        <f>COUNTIFS('Prácticas_Revisiones'!$S$2:$S$282,"T075",'Prácticas_Revisiones'!$T$2:$T$282,"SOFTWARE ENG. ECONOMICS &gt; Estimation")+COUNTIFS('Prácticas_Snowballing'!$AB$2:$AB$281,"T075",'Prácticas_Snowballing'!$AC$2:$AC$281,"SOFTWARE ENG. ECONOMICS &gt; Estimation")</f>
        <v>0</v>
      </c>
      <c r="DB89" s="17">
        <f>COUNTIFS('Prácticas_Revisiones'!$S$2:$S$282,"T075",'Prácticas_Revisiones'!$T$2:$T$282,"SOFTWARE ENG. ECONOMICS &gt; Practical Considerations")+COUNTIFS('Prácticas_Snowballing'!$AB$2:$AB$281,"T075",'Prácticas_Snowballing'!$AC$2:$AC$281,"SOFTWARE ENG. ECONOMICS &gt; Practical Considerations")</f>
        <v>0</v>
      </c>
      <c r="DC89" s="17">
        <f>COUNTIFS('Prácticas_Revisiones'!$S$2:$S$282,"T075",'Prácticas_Revisiones'!$T$2:$T$282,"SOFTWARE ENG. ECONOMICS &gt; Related Concepts")+COUNTIFS('Prácticas_Snowballing'!$AB$2:$AB$281,"T075",'Prácticas_Snowballing'!$AC$2:$AC$281,"SOFTWARE ENG. ECONOMICS &gt; Related Concepts")</f>
        <v>0</v>
      </c>
      <c r="DD89" s="17">
        <f>COUNTIFS('Prácticas_Revisiones'!$S$2:$S$282,"T075",'Prácticas_Revisiones'!$T$2:$T$282,"SOFTWARE ENG. ECONOMICS &gt; Subárea no determinable")+COUNTIFS('Prácticas_Snowballing'!$AB$2:$AB$281,"T075",'Prácticas_Snowballing'!$AC$2:$AC$281,"SOFTWARE ENG. ECONOMICS &gt; Subárea no determinable")</f>
        <v>0</v>
      </c>
      <c r="DE89" s="29">
        <f t="shared" ref="DE89:DE103" si="82">SUM(CT89:DD89)</f>
        <v>0</v>
      </c>
      <c r="DF89" s="17">
        <f>COUNTIFS('Prácticas_Revisiones'!$S$2:$S$282,"T075",'Prácticas_Revisiones'!$T$2:$T$282,"SOFTWARE ENG. MANAGEMENT &gt; Software Engineering Management Fundamentals")+COUNTIFS('Prácticas_Snowballing'!$AB$2:$AB$281,"T075",'Prácticas_Snowballing'!$AC$2:$AC$281,"SOFTWARE ENG. MANAGEMENT &gt; Software Engineering Management Fundamentals")</f>
        <v>0</v>
      </c>
      <c r="DG89" s="17">
        <f>COUNTIFS('Prácticas_Revisiones'!$S$2:$S$282,"T075",'Prácticas_Revisiones'!$T$2:$T$282,"SOFTWARE ENG. MANAGEMENT &gt; Initiation and Scope Definition")+COUNTIFS('Prácticas_Snowballing'!$AB$2:$AB$281,"T075",'Prácticas_Snowballing'!$AC$2:$AC$281,"SOFTWARE ENG. MANAGEMENT &gt; Initiation and Scope Definition")</f>
        <v>0</v>
      </c>
      <c r="DH89" s="17">
        <f>COUNTIFS('Prácticas_Revisiones'!$S$2:$S$282,"T075",'Prácticas_Revisiones'!$T$2:$T$282,"SOFTWARE ENG. MANAGEMENT &gt; Software Project Planning")+COUNTIFS('Prácticas_Snowballing'!$AB$2:$AB$281,"T075",'Prácticas_Snowballing'!$AC$2:$AC$281,"SOFTWARE ENG. MANAGEMENT &gt; Software Project Planning")</f>
        <v>0</v>
      </c>
      <c r="DI89" s="17">
        <f>COUNTIFS('Prácticas_Revisiones'!$S$2:$S$282,"T075",'Prácticas_Revisiones'!$T$2:$T$282,"SOFTWARE ENG. MANAGEMENT &gt; Software Project Enactment")+COUNTIFS('Prácticas_Snowballing'!$AB$2:$AB$281,"T075",'Prácticas_Snowballing'!$AC$2:$AC$281,"SOFTWARE ENG. MANAGEMENT &gt; Software Project Enactment")</f>
        <v>0</v>
      </c>
      <c r="DJ89" s="17">
        <f>COUNTIFS('Prácticas_Revisiones'!$S$2:$S$282,"T075",'Prácticas_Revisiones'!$T$2:$T$282,"SOFTWARE ENG. MANAGEMENT &gt; Review and Evaluation")+COUNTIFS('Prácticas_Snowballing'!$AB$2:$AB$281,"T075",'Prácticas_Snowballing'!$AC$2:$AC$281,"SOFTWARE ENG. MANAGEMENT &gt; Review and Evaluation")</f>
        <v>0</v>
      </c>
      <c r="DK89" s="17">
        <f>COUNTIFS('Prácticas_Revisiones'!$S$2:$S$282,"T075",'Prácticas_Revisiones'!$T$2:$T$282,"SOFTWARE ENG. MANAGEMENT &gt; Closure")+COUNTIFS('Prácticas_Snowballing'!$AB$2:$AB$281,"T075",'Prácticas_Snowballing'!$AC$2:$AC$281,"SOFTWARE ENG. MANAGEMENT &gt; Closure")</f>
        <v>0</v>
      </c>
      <c r="DL89" s="17">
        <f>COUNTIFS('Prácticas_Revisiones'!$S$2:$S$282,"T075",'Prácticas_Revisiones'!$T$2:$T$282,"SOFTWARE ENG. MANAGEMENT &gt; Software Engineering Management Tools")+COUNTIFS('Prácticas_Snowballing'!$AB$2:$AB$281,"T075",'Prácticas_Snowballing'!$AC$2:$AC$281,"SOFTWARE ENG. MANAGEMENT &gt; Software Engineering Management Tools")</f>
        <v>0</v>
      </c>
      <c r="DM89" s="17">
        <f>COUNTIFS('Prácticas_Revisiones'!$S$2:$S$282,"T075",'Prácticas_Revisiones'!$T$2:$T$282,"SOFTWARE ENG. MANAGEMENT &gt; Subárea no determinable")+COUNTIFS('Prácticas_Snowballing'!$AB$2:$AB$281,"T075",'Prácticas_Snowballing'!$AC$2:$AC$281,"SOFTWARE ENG. MANAGEMENT &gt; Subárea no determinable")</f>
        <v>0</v>
      </c>
      <c r="DN89" s="29">
        <f t="shared" ref="DN89:DN103" si="83">SUM(DF89:DM89)</f>
        <v>0</v>
      </c>
      <c r="DO89" s="17">
        <f>COUNTIFS('Prácticas_Revisiones'!$S$2:$S$282,"T075",'Prácticas_Revisiones'!$T$2:$T$282,"Sin área SWEBOK")+COUNTIFS('Prácticas_Snowballing'!$AB$2:$AB$281,"T075",'Prácticas_Snowballing'!$AC$2:$AC$281,"Sin área SWEBOK")</f>
        <v>0</v>
      </c>
      <c r="DP89" s="27">
        <f t="shared" ref="DP89:DP103" si="84">SUM(C89:K89,M89:Q89,S89:Y89,AA89:AF89,AH89:AP89,AR89:AX89,AZ89:BE89,BG89:BN89,BP89:BS89,BU89:BY89,CA89:CE89,CG89:CM89,CO89:CR89,CT89:DD89,DF89:DM89,DO89)</f>
        <v>0</v>
      </c>
    </row>
    <row r="90" ht="15.75" customHeight="1">
      <c r="A90" s="28"/>
      <c r="B90" s="16" t="s">
        <v>2773</v>
      </c>
      <c r="C90" s="17">
        <f>COUNTIFS('Prácticas_Revisiones'!$S$2:$S$282,"T076",'Prácticas_Revisiones'!$T$2:$T$282,"REQUIREMENTS &gt; Software Requirements Fundamentals")+COUNTIFS('Prácticas_Snowballing'!$AB$2:$AB$281,"T076",'Prácticas_Snowballing'!$AC$2:$AC$281,"REQUIREMENTS &gt; Software Requirements Fundamentals")</f>
        <v>0</v>
      </c>
      <c r="D90" s="17">
        <f>COUNTIFS('Prácticas_Revisiones'!$S$2:$S$282,"T076",'Prácticas_Revisiones'!$T$2:$T$282,"REQUIREMENTS &gt; Requirements Elicitation")+COUNTIFS('Prácticas_Snowballing'!$AB$2:$AB$281,"T076",'Prácticas_Snowballing'!$AC$2:$AC$281,"REQUIREMENTS &gt; Requirements Elicitation")</f>
        <v>0</v>
      </c>
      <c r="E90" s="17">
        <f>COUNTIFS('Prácticas_Revisiones'!$S$2:$S$282,"T076",'Prácticas_Revisiones'!$T$2:$T$282,"REQUIREMENTS &gt; Requirements Analysis")+COUNTIFS('Prácticas_Snowballing'!$AB$2:$AB$281,"T076",'Prácticas_Snowballing'!$AC$2:$AC$281,"REQUIREMENTS &gt; Requirements Analysis")</f>
        <v>0</v>
      </c>
      <c r="F90" s="17">
        <f>COUNTIFS('Prácticas_Revisiones'!$S$2:$S$282,"T076",'Prácticas_Revisiones'!$T$2:$T$282,"REQUIREMENTS &gt; Requirements Specification")+COUNTIFS('Prácticas_Snowballing'!$AB$2:$AB$281,"T076",'Prácticas_Snowballing'!$AC$2:$AC$281,"REQUIREMENTS &gt; Requirements Specification")</f>
        <v>0</v>
      </c>
      <c r="G90" s="17">
        <f>COUNTIFS('Prácticas_Revisiones'!$S$2:$S$282,"T076",'Prácticas_Revisiones'!$T$2:$T$282,"REQUIREMENTS &gt; Requirements Validation")+COUNTIFS('Prácticas_Snowballing'!$AB$2:$AB$281,"T076",'Prácticas_Snowballing'!$AC$2:$AC$281,"REQUIREMENTS &gt; Requirements Validation")</f>
        <v>0</v>
      </c>
      <c r="H90" s="17">
        <f>COUNTIFS('Prácticas_Revisiones'!$S$2:$S$282,"T076",'Prácticas_Revisiones'!$T$2:$T$282,"REQUIREMENTS &gt; Requirements Management Activities")+COUNTIFS('Prácticas_Snowballing'!$AB$2:$AB$281,"T076",'Prácticas_Snowballing'!$AC$2:$AC$281,"REQUIREMENTS &gt; Requirements Management Activities")</f>
        <v>0</v>
      </c>
      <c r="I90" s="17">
        <f>COUNTIFS('Prácticas_Revisiones'!$S$2:$S$282,"T076",'Prácticas_Revisiones'!$T$2:$T$282,"REQUIREMENTS &gt; Practical Considerations")+COUNTIFS('Prácticas_Snowballing'!$AB$2:$AB$281,"T076",'Prácticas_Snowballing'!$AC$2:$AC$281,"REQUIREMENTS &gt; Practical Considerations")</f>
        <v>0</v>
      </c>
      <c r="J90" s="17">
        <f>COUNTIFS('Prácticas_Revisiones'!$S$2:$S$282,"T076",'Prácticas_Revisiones'!$T$2:$T$282,"REQUIREMENTS &gt; Software Requirements Tools")+COUNTIFS('Prácticas_Snowballing'!$AB$2:$AB$281,"T076",'Prácticas_Snowballing'!$AC$2:$AC$281,"REQUIREMENTS &gt; Software Requirements Tools")</f>
        <v>0</v>
      </c>
      <c r="K90" s="17">
        <f>COUNTIFS('Prácticas_Revisiones'!$S$2:$S$282,"T076",'Prácticas_Revisiones'!$T$2:$T$282,"REQUIREMENTS &gt; Subárea no determinable")+COUNTIFS('Prácticas_Snowballing'!$AB$2:$AB$281,"T076",'Prácticas_Snowballing'!$AC$2:$AC$281,"REQUIREMENTS &gt; Subárea no determinable")</f>
        <v>0</v>
      </c>
      <c r="L90" s="29">
        <f t="shared" si="69"/>
        <v>0</v>
      </c>
      <c r="M90" s="17">
        <f>COUNTIFS('Prácticas_Revisiones'!$S$2:$S$282,"T076",'Prácticas_Revisiones'!$T$2:$T$282,"ARCHITECTURE &gt; Software Architecture Fundamentals")+COUNTIFS('Prácticas_Snowballing'!$AB$2:$AB$281,"T076",'Prácticas_Snowballing'!$AC$2:$AC$281,"ARCHITECTURE &gt; Software Architecture Fundamentals")</f>
        <v>0</v>
      </c>
      <c r="N90" s="17">
        <f>COUNTIFS('Prácticas_Revisiones'!$S$2:$S$282,"T076",'Prácticas_Revisiones'!$T$2:$T$282,"ARCHITECTURE &gt; Software Architecture Description")+COUNTIFS('Prácticas_Snowballing'!$AB$2:$AB$281,"T076",'Prácticas_Snowballing'!$AC$2:$AC$281,"ARCHITECTURE &gt; Software Architecture Description")</f>
        <v>0</v>
      </c>
      <c r="O90" s="17">
        <f>COUNTIFS('Prácticas_Revisiones'!$S$2:$S$282,"T076",'Prácticas_Revisiones'!$T$2:$T$282,"ARCHITECTURE &gt; Software Architecture Process")+COUNTIFS('Prácticas_Snowballing'!$AB$2:$AB$281,"T076",'Prácticas_Snowballing'!$AC$2:$AC$281,"ARCHITECTURE &gt; Software Architecture Process")</f>
        <v>0</v>
      </c>
      <c r="P90" s="17">
        <f>COUNTIFS('Prácticas_Revisiones'!$S$2:$S$282,"T076",'Prácticas_Revisiones'!$T$2:$T$282,"ARCHITECTURE &gt; Software Architecture Evaluation")+COUNTIFS('Prácticas_Snowballing'!$AB$2:$AB$281,"T076",'Prácticas_Snowballing'!$AC$2:$AC$281,"ARCHITECTURE &gt; Software Architecture Evaluation")</f>
        <v>0</v>
      </c>
      <c r="Q90" s="17">
        <f>COUNTIFS('Prácticas_Revisiones'!$S$2:$S$282,"T076",'Prácticas_Revisiones'!$T$2:$T$282,"ARCHITECTURE &gt; Subárea no determinable")+COUNTIFS('Prácticas_Snowballing'!$AB$2:$AB$281,"T076",'Prácticas_Snowballing'!$AC$2:$AC$281,"ARCHITECTURE &gt; Subárea no determinable")</f>
        <v>0</v>
      </c>
      <c r="R90" s="29">
        <f t="shared" si="70"/>
        <v>0</v>
      </c>
      <c r="S90" s="17">
        <f>COUNTIFS('Prácticas_Revisiones'!$S$2:$S$282,"T076",'Prácticas_Revisiones'!$T$2:$T$282,"DESIGN &gt; Software Design Fundamentals")+COUNTIFS('Prácticas_Snowballing'!$AB$2:$AB$281,"T076",'Prácticas_Snowballing'!$AC$2:$AC$281,"DESIGN &gt; Software Design Fundamentals")</f>
        <v>0</v>
      </c>
      <c r="T90" s="17">
        <f>COUNTIFS('Prácticas_Revisiones'!$S$2:$S$282,"T076",'Prácticas_Revisiones'!$T$2:$T$282,"DESIGN &gt; Software Design Processes")+COUNTIFS('Prácticas_Snowballing'!$AB$2:$AB$281,"T076",'Prácticas_Snowballing'!$AC$2:$AC$281,"DESIGN &gt; Software Design Processes")</f>
        <v>0</v>
      </c>
      <c r="U90" s="17">
        <f>COUNTIFS('Prácticas_Revisiones'!$S$2:$S$282,"T076",'Prácticas_Revisiones'!$T$2:$T$282,"DESIGN &gt; Software Design Qualities")+COUNTIFS('Prácticas_Snowballing'!$AB$2:$AB$281,"T076",'Prácticas_Snowballing'!$AC$2:$AC$281,"DESIGN &gt; Software Design Qualities")</f>
        <v>0</v>
      </c>
      <c r="V90" s="17">
        <f>COUNTIFS('Prácticas_Revisiones'!$S$2:$S$282,"T076",'Prácticas_Revisiones'!$T$2:$T$282,"DESIGN &gt; Recording Software Design")+COUNTIFS('Prácticas_Snowballing'!$AB$2:$AB$281,"T076",'Prácticas_Snowballing'!$AC$2:$AC$281,"DESIGN &gt; Recording Software Design")</f>
        <v>0</v>
      </c>
      <c r="W90" s="17">
        <f>COUNTIFS('Prácticas_Revisiones'!$S$2:$S$282,"T076",'Prácticas_Revisiones'!$T$2:$T$282,"DESIGN &gt; Software Design Strategies and Methods")+COUNTIFS('Prácticas_Snowballing'!$AB$2:$AB$281,"T076",'Prácticas_Snowballing'!$AC$2:$AC$281,"DESIGN &gt; Software Design Strategies and Methods")</f>
        <v>1</v>
      </c>
      <c r="X90" s="17">
        <f>COUNTIFS('Prácticas_Revisiones'!$S$2:$S$282,"T076",'Prácticas_Revisiones'!$T$2:$T$282,"DESIGN &gt; Software Design Analysis and Evaluations")+COUNTIFS('Prácticas_Snowballing'!$AB$2:$AB$281,"T076",'Prácticas_Snowballing'!$AC$2:$AC$281,"DESIGN &gt; Software Design Analysis and Evaluations")</f>
        <v>0</v>
      </c>
      <c r="Y90" s="17">
        <f>COUNTIFS('Prácticas_Revisiones'!$S$2:$S$282,"T076",'Prácticas_Revisiones'!$T$2:$T$282,"DESIGN &gt; Subárea no determinable")+COUNTIFS('Prácticas_Snowballing'!$AB$2:$AB$281,"T076",'Prácticas_Snowballing'!$AC$2:$AC$281,"DESIGN &gt; Subárea no determinable")</f>
        <v>0</v>
      </c>
      <c r="Z90" s="29">
        <f t="shared" si="71"/>
        <v>1</v>
      </c>
      <c r="AA90" s="17">
        <f>COUNTIFS('Prácticas_Revisiones'!$S$2:$S$282,"T076",'Prácticas_Revisiones'!$T$2:$T$282,"CONSTRUCTION &gt; Software Construction Fundamentals")+COUNTIFS('Prácticas_Snowballing'!$AB$2:$AB$281,"T076",'Prácticas_Snowballing'!$AC$2:$AC$281,"CONSTRUCTION &gt; Software Construction Fundamentals")</f>
        <v>0</v>
      </c>
      <c r="AB90" s="17">
        <f>COUNTIFS('Prácticas_Revisiones'!$S$2:$S$282,"T076",'Prácticas_Revisiones'!$T$2:$T$282,"CONSTRUCTION &gt; Managing Construction")+COUNTIFS('Prácticas_Snowballing'!$AB$2:$AB$281,"T076",'Prácticas_Snowballing'!$AC$2:$AC$281,"CONSTRUCTION &gt; Managing Construction")</f>
        <v>0</v>
      </c>
      <c r="AC90" s="17">
        <f>COUNTIFS('Prácticas_Revisiones'!$S$2:$S$282,"T076",'Prácticas_Revisiones'!$T$2:$T$282,"CONSTRUCTION &gt; Practical Considerations")+COUNTIFS('Prácticas_Snowballing'!$AB$2:$AB$281,"T076",'Prácticas_Snowballing'!$AC$2:$AC$281,"CONSTRUCTION &gt; Practical Considerations")</f>
        <v>0</v>
      </c>
      <c r="AD90" s="17">
        <f>COUNTIFS('Prácticas_Revisiones'!$S$2:$S$282,"T076",'Prácticas_Revisiones'!$T$2:$T$282,"CONSTRUCTION &gt; Construction Technologies")+COUNTIFS('Prácticas_Snowballing'!$AB$2:$AB$281,"T076",'Prácticas_Snowballing'!$AC$2:$AC$281,"CONSTRUCTION &gt; Construction Technologies")</f>
        <v>0</v>
      </c>
      <c r="AE90" s="17">
        <f>COUNTIFS('Prácticas_Revisiones'!$S$2:$S$282,"T076",'Prácticas_Revisiones'!$T$2:$T$282,"CONSTRUCTION &gt; Software Construction Tools")+COUNTIFS('Prácticas_Snowballing'!$AB$2:$AB$281,"T076",'Prácticas_Snowballing'!$AC$2:$AC$281,"CONSTRUCTION &gt; Software Construction Tools")</f>
        <v>0</v>
      </c>
      <c r="AF90" s="17">
        <f>COUNTIFS('Prácticas_Revisiones'!$S$2:$S$282,"T076",'Prácticas_Revisiones'!$T$2:$T$282,"CONSTRUCTION &gt; Subárea no determinable")+COUNTIFS('Prácticas_Snowballing'!$AB$2:$AB$281,"T076",'Prácticas_Snowballing'!$AC$2:$AC$281,"CONSTRUCTION &gt; Subárea no determinable")</f>
        <v>0</v>
      </c>
      <c r="AG90" s="29">
        <f t="shared" si="72"/>
        <v>0</v>
      </c>
      <c r="AH90" s="17">
        <f>COUNTIFS('Prácticas_Revisiones'!$S$2:$S$282,"T076",'Prácticas_Revisiones'!$T$2:$T$282,"SOFTWARE TESTING &gt; Software Testing Fundamentals")+COUNTIFS('Prácticas_Snowballing'!$AB$2:$AB$281,"T076",'Prácticas_Snowballing'!$AC$2:$AC$281,"SOFTWARE TESTING &gt; Software Testing Fundamentals")</f>
        <v>0</v>
      </c>
      <c r="AI90" s="17">
        <f>COUNTIFS('Prácticas_Revisiones'!$S$2:$S$282,"T076",'Prácticas_Revisiones'!$T$2:$T$282,"SOFTWARE TESTING &gt; Test Levels")+COUNTIFS('Prácticas_Snowballing'!$AB$2:$AB$281,"T076",'Prácticas_Snowballing'!$AC$2:$AC$281,"SOFTWARE TESTING &gt; Test Levels")</f>
        <v>0</v>
      </c>
      <c r="AJ90" s="17">
        <f>COUNTIFS('Prácticas_Revisiones'!$S$2:$S$282,"T076",'Prácticas_Revisiones'!$T$2:$T$282,"SOFTWARE TESTING &gt; Test Techniques")+COUNTIFS('Prácticas_Snowballing'!$AB$2:$AB$281,"T076",'Prácticas_Snowballing'!$AC$2:$AC$281,"SOFTWARE TESTING &gt; Test Techniques")</f>
        <v>0</v>
      </c>
      <c r="AK90" s="17">
        <f>COUNTIFS('Prácticas_Revisiones'!$S$2:$S$282,"T076",'Prácticas_Revisiones'!$T$2:$T$282,"SOFTWARE TESTING &gt; Test-Related Measures")+COUNTIFS('Prácticas_Snowballing'!$AB$2:$AB$281,"T076",'Prácticas_Snowballing'!$AC$2:$AC$281,"SOFTWARE TESTING &gt; Test-Related Measures")</f>
        <v>0</v>
      </c>
      <c r="AL90" s="17">
        <f>COUNTIFS('Prácticas_Revisiones'!$S$2:$S$282,"T076",'Prácticas_Revisiones'!$T$2:$T$282,"SOFTWARE TESTING &gt; Test Process")+COUNTIFS('Prácticas_Snowballing'!$AB$2:$AB$281,"T076",'Prácticas_Snowballing'!$AC$2:$AC$281,"SOFTWARE TESTING &gt; Test Process")</f>
        <v>0</v>
      </c>
      <c r="AM90" s="17">
        <f>COUNTIFS('Prácticas_Revisiones'!$S$2:$S$282,"T076",'Prácticas_Revisiones'!$T$2:$T$282,"SOFTWARE TESTING &gt; Software Testing in the Development Processes...")+COUNTIFS('Prácticas_Snowballing'!$AB$2:$AB$281,"T076",'Prácticas_Snowballing'!$AC$2:$AC$281,"SOFTWARE TESTING &gt; Software Testing in the Development Processes...")</f>
        <v>0</v>
      </c>
      <c r="AN90" s="17">
        <f>COUNTIFS('Prácticas_Revisiones'!$S$2:$S$282,"T076",'Prácticas_Revisiones'!$T$2:$T$282,"SOFTWARE TESTING &gt; Testing of and Testing Through Emerging Tech...")+COUNTIFS('Prácticas_Snowballing'!$AB$2:$AB$281,"T076",'Prácticas_Snowballing'!$AC$2:$AC$281,"SOFTWARE TESTING &gt; Testing of and Testing Through Emerging Tech...")</f>
        <v>0</v>
      </c>
      <c r="AO90" s="17">
        <f>COUNTIFS('Prácticas_Revisiones'!$S$2:$S$282,"T076",'Prácticas_Revisiones'!$T$2:$T$282,"SOFTWARE TESTING &gt; Software Testing Tools")+COUNTIFS('Prácticas_Snowballing'!$AB$2:$AB$281,"T076",'Prácticas_Snowballing'!$AC$2:$AC$281,"SOFTWARE TESTING &gt; Software Testing Tools")</f>
        <v>0</v>
      </c>
      <c r="AP90" s="17">
        <f>COUNTIFS('Prácticas_Revisiones'!$S$2:$S$282,"T076",'Prácticas_Revisiones'!$T$2:$T$282,"SOFTWARE TESTING &gt; Subárea no determinable")+COUNTIFS('Prácticas_Snowballing'!$AB$2:$AB$281,"T076",'Prácticas_Snowballing'!$AC$2:$AC$281,"SOFTWARE TESTING &gt; Subárea no determinable")</f>
        <v>0</v>
      </c>
      <c r="AQ90" s="29">
        <f t="shared" si="73"/>
        <v>0</v>
      </c>
      <c r="AR90" s="17">
        <f>COUNTIFS('Prácticas_Revisiones'!$S$2:$S$282,"T076",'Prácticas_Revisiones'!$T$2:$T$282,"SOFTWARE ENG. OPERATIONS &gt; Software Engineering Operations Fundamentals")+COUNTIFS('Prácticas_Snowballing'!$AB$2:$AB$281,"T076",'Prácticas_Snowballing'!$AC$2:$AC$281,"SOFTWARE ENG. OPERATIONS &gt; Software Engineering Operations Fundamentals")</f>
        <v>0</v>
      </c>
      <c r="AS90" s="17">
        <f>COUNTIFS('Prácticas_Revisiones'!$S$2:$S$282,"T076",'Prácticas_Revisiones'!$T$2:$T$282,"SOFTWARE ENG. OPERATIONS &gt; Software Engineering Operations Planning")+COUNTIFS('Prácticas_Snowballing'!$AB$2:$AB$281,"T076",'Prácticas_Snowballing'!$AC$2:$AC$281,"SOFTWARE ENG. OPERATIONS &gt; Software Engineering Operations Planning")</f>
        <v>0</v>
      </c>
      <c r="AT90" s="17">
        <f>COUNTIFS('Prácticas_Revisiones'!$S$2:$S$282,"T076",'Prácticas_Revisiones'!$T$2:$T$282,"SOFTWARE ENG. OPERATIONS &gt; Software Engineering Operations Delivery")+COUNTIFS('Prácticas_Snowballing'!$AB$2:$AB$281,"T076",'Prácticas_Snowballing'!$AC$2:$AC$281,"SOFTWARE ENG. OPERATIONS &gt; Software Engineering Operations Delivery")</f>
        <v>0</v>
      </c>
      <c r="AU90" s="17">
        <f>COUNTIFS('Prácticas_Revisiones'!$S$2:$S$282,"T076",'Prácticas_Revisiones'!$T$2:$T$282,"SOFTWARE ENG. OPERATIONS &gt; Software Engineering Operations Control")+COUNTIFS('Prácticas_Snowballing'!$AB$2:$AB$281,"T076",'Prácticas_Snowballing'!$AC$2:$AC$281,"SOFTWARE ENG. OPERATIONS &gt; Software Engineering Operations Control")</f>
        <v>0</v>
      </c>
      <c r="AV90" s="17">
        <f>COUNTIFS('Prácticas_Revisiones'!$S$2:$S$282,"T076",'Prácticas_Revisiones'!$T$2:$T$282,"SOFTWARE ENG. OPERATIONS &gt; Practical Considerations")+COUNTIFS('Prácticas_Snowballing'!$AB$2:$AB$281,"T076",'Prácticas_Snowballing'!$AC$2:$AC$281,"SOFTWARE ENG. OPERATIONS &gt; Practical Considerations")</f>
        <v>0</v>
      </c>
      <c r="AW90" s="17">
        <f>COUNTIFS('Prácticas_Revisiones'!$S$2:$S$282,"T076",'Prácticas_Revisiones'!$T$2:$T$282,"SOFTWARE ENG. OPERATIONS &gt; Software Engineering Operations Tools")+COUNTIFS('Prácticas_Snowballing'!$AB$2:$AB$281,"T076",'Prácticas_Snowballing'!$AC$2:$AC$281,"SOFTWARE ENG. OPERATIONS &gt; Software Engineering Operations Tools")</f>
        <v>0</v>
      </c>
      <c r="AX90" s="17">
        <f>COUNTIFS('Prácticas_Revisiones'!$S$2:$S$282,"T076",'Prácticas_Revisiones'!$T$2:$T$282,"SOFTWARE ENG. OPERATIONS &gt; Subárea no determinable")+COUNTIFS('Prácticas_Snowballing'!$AB$2:$AB$281,"T076",'Prácticas_Snowballing'!$AC$2:$AC$281,"SOFTWARE ENG. OPERATIONS &gt; Subárea no determinable")</f>
        <v>0</v>
      </c>
      <c r="AY90" s="29">
        <f t="shared" si="74"/>
        <v>0</v>
      </c>
      <c r="AZ90" s="17">
        <f>COUNTIFS('Prácticas_Revisiones'!$S$2:$S$282,"T076",'Prácticas_Revisiones'!$T$2:$T$282,"MAINTENANCE &gt; Software Maintenance Fundamentals")+COUNTIFS('Prácticas_Snowballing'!$AB$2:$AB$281,"T076",'Prácticas_Snowballing'!$AC$2:$AC$281,"MAINTENANCE &gt; Software Maintenance Fundamentals")</f>
        <v>0</v>
      </c>
      <c r="BA90" s="17">
        <f>COUNTIFS('Prácticas_Revisiones'!$S$2:$S$282,"T076",'Prácticas_Revisiones'!$T$2:$T$282,"MAINTENANCE &gt; Key Issues in Software Maintenance")+COUNTIFS('Prácticas_Snowballing'!$AB$2:$AB$281,"T076",'Prácticas_Snowballing'!$AC$2:$AC$281,"MAINTENANCE &gt; Key Issues in Software Maintenance")</f>
        <v>0</v>
      </c>
      <c r="BB90" s="17">
        <f>COUNTIFS('Prácticas_Revisiones'!$S$2:$S$282,"T076",'Prácticas_Revisiones'!$T$2:$T$282,"MAINTENANCE &gt; Software Maintenance Processes")+COUNTIFS('Prácticas_Snowballing'!$AB$2:$AB$281,"T076",'Prácticas_Snowballing'!$AC$2:$AC$281,"MAINTENANCE &gt; Software Maintenance Processes")</f>
        <v>0</v>
      </c>
      <c r="BC90" s="17">
        <f>COUNTIFS('Prácticas_Revisiones'!$S$2:$S$282,"T076",'Prácticas_Revisiones'!$T$2:$T$282,"MAINTENANCE &gt; Software Maintenance Techniques")+COUNTIFS('Prácticas_Snowballing'!$AB$2:$AB$281,"T076",'Prácticas_Snowballing'!$AC$2:$AC$281,"MAINTENANCE &gt; Software Maintenance Techniques")</f>
        <v>0</v>
      </c>
      <c r="BD90" s="17">
        <f>COUNTIFS('Prácticas_Revisiones'!$S$2:$S$282,"T076",'Prácticas_Revisiones'!$T$2:$T$282,"MAINTENANCE &gt; Software Maintenance Tools")+COUNTIFS('Prácticas_Snowballing'!$AB$2:$AB$281,"T076",'Prácticas_Snowballing'!$AC$2:$AC$281,"MAINTENANCE &gt; Software Maintenance Tools")</f>
        <v>0</v>
      </c>
      <c r="BE90" s="17">
        <f>COUNTIFS('Prácticas_Revisiones'!$S$2:$S$282,"T076",'Prácticas_Revisiones'!$T$2:$T$282,"MAINTENANCE &gt; Subárea no determinable")+COUNTIFS('Prácticas_Snowballing'!$AB$2:$AB$281,"T076",'Prácticas_Snowballing'!$AC$2:$AC$281,"MAINTENANCE &gt; Subárea no determinable")</f>
        <v>0</v>
      </c>
      <c r="BF90" s="29">
        <f t="shared" si="75"/>
        <v>0</v>
      </c>
      <c r="BG90" s="17">
        <f>COUNTIFS('Prácticas_Revisiones'!$S$2:$S$282,"T076",'Prácticas_Revisiones'!$T$2:$T$282,"SOFTWARE CONFIG. MGMT. &gt; Management of the SCM Process")+COUNTIFS('Prácticas_Snowballing'!$AB$2:$AB$281,"T076",'Prácticas_Snowballing'!$AC$2:$AC$281,"SOFTWARE CONFIG. MGMT. &gt; Management of the SCM Process")</f>
        <v>0</v>
      </c>
      <c r="BH90" s="17">
        <f>COUNTIFS('Prácticas_Revisiones'!$S$2:$S$282,"T076",'Prácticas_Revisiones'!$T$2:$T$282,"SOFTWARE CONFIG. MGMT. &gt; Software Configuration Identification")+COUNTIFS('Prácticas_Snowballing'!$AB$2:$AB$281,"T076",'Prácticas_Snowballing'!$AC$2:$AC$281,"SOFTWARE CONFIG. MGMT. &gt; Software Configuration Identification")</f>
        <v>0</v>
      </c>
      <c r="BI90" s="17">
        <f>COUNTIFS('Prácticas_Revisiones'!$S$2:$S$282,"T076",'Prácticas_Revisiones'!$T$2:$T$282,"SOFTWARE CONFIG. MGMT. &gt; Software Configuration Change Control")+COUNTIFS('Prácticas_Snowballing'!$AB$2:$AB$281,"T076",'Prácticas_Snowballing'!$AC$2:$AC$281,"SOFTWARE CONFIG. MGMT. &gt; Software Configuration Change Control")</f>
        <v>0</v>
      </c>
      <c r="BJ90" s="17">
        <f>COUNTIFS('Prácticas_Revisiones'!$S$2:$S$282,"T076",'Prácticas_Revisiones'!$T$2:$T$282,"SOFTWARE CONFIG. MGMT. &gt; Software Configuration Status Accounting")+COUNTIFS('Prácticas_Snowballing'!$AB$2:$AB$281,"T076",'Prácticas_Snowballing'!$AC$2:$AC$281,"SOFTWARE CONFIG. MGMT. &gt; Software Configuration Status Accounting")</f>
        <v>0</v>
      </c>
      <c r="BK90" s="17">
        <f>COUNTIFS('Prácticas_Revisiones'!$S$2:$S$282,"T076",'Prácticas_Revisiones'!$T$2:$T$282,"SOFTWARE CONFIG. MGMT. &gt; Software Configuration Auditing")+COUNTIFS('Prácticas_Snowballing'!$AB$2:$AB$281,"T076",'Prácticas_Snowballing'!$AC$2:$AC$281,"SOFTWARE CONFIG. MGMT. &gt; Software Configuration Auditing")</f>
        <v>0</v>
      </c>
      <c r="BL90" s="17">
        <f>COUNTIFS('Prácticas_Revisiones'!$S$2:$S$282,"T076",'Prácticas_Revisiones'!$T$2:$T$282,"SOFTWARE CONFIG. MGMT. &gt; Software Release Management and Delivery")+COUNTIFS('Prácticas_Snowballing'!$AB$2:$AB$281,"T076",'Prácticas_Snowballing'!$AC$2:$AC$281,"SOFTWARE CONFIG. MGMT. &gt; Software Release Management and Delivery")</f>
        <v>0</v>
      </c>
      <c r="BM90" s="17">
        <f>COUNTIFS('Prácticas_Revisiones'!$S$2:$S$282,"T076",'Prácticas_Revisiones'!$T$2:$T$282,"SOFTWARE CONFIG. MGMT. &gt; Software Configuration Management Tools")+COUNTIFS('Prácticas_Snowballing'!$AB$2:$AB$281,"T076",'Prácticas_Snowballing'!$AC$2:$AC$281,"SOFTWARE CONFIG. MGMT. &gt; Software Configuration Management Tools")</f>
        <v>0</v>
      </c>
      <c r="BN90" s="17">
        <f>COUNTIFS('Prácticas_Revisiones'!$S$2:$S$282,"T076",'Prácticas_Revisiones'!$T$2:$T$282,"SOFTWARE CONFIG. MGMT. &gt; Subárea no determinable")+COUNTIFS('Prácticas_Snowballing'!$AB$2:$AB$281,"T076",'Prácticas_Snowballing'!$AC$2:$AC$281,"SOFTWARE CONFIG. MGMT. &gt; Subárea no determinable")</f>
        <v>0</v>
      </c>
      <c r="BO90" s="29">
        <f t="shared" si="76"/>
        <v>0</v>
      </c>
      <c r="BP90" s="17">
        <f>COUNTIFS('Prácticas_Revisiones'!$S$2:$S$282,"T076",'Prácticas_Revisiones'!$T$2:$T$282,"SOFTWARE ENG. PROCESS &gt; Software Engineering Process Fundamentals")+COUNTIFS('Prácticas_Snowballing'!$AB$2:$AB$281,"T076",'Prácticas_Snowballing'!$AC$2:$AC$281,"SOFTWARE ENG. PROCESS &gt; Software Engineering Process Fundamentals")</f>
        <v>0</v>
      </c>
      <c r="BQ90" s="17">
        <f>COUNTIFS('Prácticas_Revisiones'!$S$2:$S$282,"T076",'Prácticas_Revisiones'!$T$2:$T$282,"SOFTWARE ENG. PROCESS &gt; Life Cycles")+COUNTIFS('Prácticas_Snowballing'!$AB$2:$AB$281,"T076",'Prácticas_Snowballing'!$AC$2:$AC$281,"SOFTWARE ENG. PROCESS &gt; Life Cycles")</f>
        <v>0</v>
      </c>
      <c r="BR90" s="17">
        <f>COUNTIFS('Prácticas_Revisiones'!$S$2:$S$282,"T076",'Prácticas_Revisiones'!$T$2:$T$282,"SOFTWARE ENG. PROCESS &gt; Software Process Assessment and Improvement")+COUNTIFS('Prácticas_Snowballing'!$AB$2:$AB$281,"T076",'Prácticas_Snowballing'!$AC$2:$AC$281,"SOFTWARE ENG. PROCESS &gt; Software Process Assessment and Improvement")</f>
        <v>0</v>
      </c>
      <c r="BS90" s="17">
        <f>COUNTIFS('Prácticas_Revisiones'!$S$2:$S$282,"T076",'Prácticas_Revisiones'!$T$2:$T$282,"SOFTWARE ENG. PROCESS &gt; Subárea no determinable")+COUNTIFS('Prácticas_Snowballing'!$AB$2:$AB$281,"T076",'Prácticas_Snowballing'!$AC$2:$AC$281,"SOFTWARE ENG. PROCESS &gt; Subárea no determinable")</f>
        <v>0</v>
      </c>
      <c r="BT90" s="29">
        <f t="shared" si="77"/>
        <v>0</v>
      </c>
      <c r="BU90" s="17">
        <f>COUNTIFS('Prácticas_Revisiones'!$S$2:$S$282,"T076",'Prácticas_Revisiones'!$T$2:$T$282,"SOFTWARE ENG. MODELS/METH. &gt; Modeling")+COUNTIFS('Prácticas_Snowballing'!$AB$2:$AB$281,"T076",'Prácticas_Snowballing'!$AC$2:$AC$281,"SOFTWARE ENG. MODELS/METH. &gt; Modeling")</f>
        <v>0</v>
      </c>
      <c r="BV90" s="17">
        <f>COUNTIFS('Prácticas_Revisiones'!$S$2:$S$282,"T076",'Prácticas_Revisiones'!$T$2:$T$282,"SOFTWARE ENG. MODELS/METH. &gt; Types of Models")+COUNTIFS('Prácticas_Snowballing'!$AB$2:$AB$281,"T076",'Prácticas_Snowballing'!$AC$2:$AC$281,"SOFTWARE ENG. MODELS/METH. &gt; Types of Models")</f>
        <v>0</v>
      </c>
      <c r="BW90" s="17">
        <f>COUNTIFS('Prácticas_Revisiones'!$S$2:$S$282,"T076",'Prácticas_Revisiones'!$T$2:$T$282,"SOFTWARE ENG. MODELS/METH. &gt; Analysis of Models")+COUNTIFS('Prácticas_Snowballing'!$AB$2:$AB$281,"T076",'Prácticas_Snowballing'!$AC$2:$AC$281,"SOFTWARE ENG. MODELS/METH. &gt; Analysis of Models")</f>
        <v>0</v>
      </c>
      <c r="BX90" s="17">
        <f>COUNTIFS('Prácticas_Revisiones'!$S$2:$S$282,"T076",'Prácticas_Revisiones'!$T$2:$T$282,"SOFTWARE ENG. MODELS/METH. &gt; Software Engineering Methods")+COUNTIFS('Prácticas_Snowballing'!$AB$2:$AB$281,"T076",'Prácticas_Snowballing'!$AC$2:$AC$281,"SOFTWARE ENG. MODELS/METH. &gt; Software Engineering Methods")</f>
        <v>0</v>
      </c>
      <c r="BY90" s="17">
        <f>COUNTIFS('Prácticas_Revisiones'!$S$2:$S$282,"T076",'Prácticas_Revisiones'!$T$2:$T$282,"SOFTWARE ENG. MODELS/METH. &gt; Subárea no determinable")+COUNTIFS('Prácticas_Snowballing'!$AB$2:$AB$281,"T076",'Prácticas_Snowballing'!$AC$2:$AC$281,"SOFTWARE ENG. MODELS/METH. &gt; Subárea no determinable")</f>
        <v>0</v>
      </c>
      <c r="BZ90" s="29">
        <f t="shared" si="78"/>
        <v>0</v>
      </c>
      <c r="CA90" s="17">
        <f>COUNTIFS('Prácticas_Revisiones'!$S$2:$S$282,"T076",'Prácticas_Revisiones'!$T$2:$T$282,"SOFTWARE QUALITY &gt; Software Quality Fundamentals")+COUNTIFS('Prácticas_Snowballing'!$AB$2:$AB$281,"T076",'Prácticas_Snowballing'!$AC$2:$AC$281,"SOFTWARE QUALITY &gt; Software Quality Fundamentals")</f>
        <v>0</v>
      </c>
      <c r="CB90" s="17">
        <f>COUNTIFS('Prácticas_Revisiones'!$S$2:$S$282,"T076",'Prácticas_Revisiones'!$T$2:$T$282,"SOFTWARE QUALITY &gt; Software Quality Management Process")+COUNTIFS('Prácticas_Snowballing'!$AB$2:$AB$281,"T076",'Prácticas_Snowballing'!$AC$2:$AC$281,"SOFTWARE QUALITY &gt; Software Quality Management Process")</f>
        <v>0</v>
      </c>
      <c r="CC90" s="17">
        <f>COUNTIFS('Prácticas_Revisiones'!$S$2:$S$282,"T076",'Prácticas_Revisiones'!$T$2:$T$282,"SOFTWARE QUALITY &gt; Software Quality Assurance Process")+COUNTIFS('Prácticas_Snowballing'!$AB$2:$AB$281,"T076",'Prácticas_Snowballing'!$AC$2:$AC$281,"SOFTWARE QUALITY &gt; Software Quality Assurance Process")</f>
        <v>0</v>
      </c>
      <c r="CD90" s="17">
        <f>COUNTIFS('Prácticas_Revisiones'!$S$2:$S$282,"T076",'Prácticas_Revisiones'!$T$2:$T$282,"SOFTWARE QUALITY &gt; Software Quality Tools")+COUNTIFS('Prácticas_Snowballing'!$AB$2:$AB$281,"T076",'Prácticas_Snowballing'!$AC$2:$AC$281,"SOFTWARE QUALITY &gt; Software Quality Tools")</f>
        <v>0</v>
      </c>
      <c r="CE90" s="17">
        <f>COUNTIFS('Prácticas_Revisiones'!$S$2:$S$282,"T076",'Prácticas_Revisiones'!$T$2:$T$282,"SOFTWARE QUALITY &gt; Subárea no determinable")+COUNTIFS('Prácticas_Snowballing'!$AB$2:$AB$281,"T076",'Prácticas_Snowballing'!$AC$2:$AC$281,"SOFTWARE QUALITY &gt; Subárea no determinable")</f>
        <v>0</v>
      </c>
      <c r="CF90" s="29">
        <f t="shared" si="79"/>
        <v>0</v>
      </c>
      <c r="CG90" s="17">
        <f>COUNTIFS('Prácticas_Revisiones'!$S$2:$S$282,"T076",'Prácticas_Revisiones'!$T$2:$T$282,"SOFTWARE SECURITY &gt; Software Security Fundamentals")+COUNTIFS('Prácticas_Snowballing'!$AB$2:$AB$281,"T076",'Prácticas_Snowballing'!$AC$2:$AC$281,"SOFTWARE SECURITY &gt; Software Security Fundamentals")</f>
        <v>0</v>
      </c>
      <c r="CH90" s="17">
        <f>COUNTIFS('Prácticas_Revisiones'!$S$2:$S$282,"T076",'Prácticas_Revisiones'!$T$2:$T$282,"SOFTWARE SECURITY &gt; Security Management and Organization")+COUNTIFS('Prácticas_Snowballing'!$AB$2:$AB$281,"T076",'Prácticas_Snowballing'!$AC$2:$AC$281,"SOFTWARE SECURITY &gt; Security Management and Organization")</f>
        <v>0</v>
      </c>
      <c r="CI90" s="17">
        <f>COUNTIFS('Prácticas_Revisiones'!$S$2:$S$282,"T076",'Prácticas_Revisiones'!$T$2:$T$282,"SOFTWARE SECURITY &gt; Software Security Engineering and Process")+COUNTIFS('Prácticas_Snowballing'!$AB$2:$AB$281,"T076",'Prácticas_Snowballing'!$AC$2:$AC$281,"SOFTWARE SECURITY &gt; Software Security Engineering and Process")</f>
        <v>0</v>
      </c>
      <c r="CJ90" s="17">
        <f>COUNTIFS('Prácticas_Revisiones'!$S$2:$S$282,"T076",'Prácticas_Revisiones'!$T$2:$T$282,"SOFTWARE SECURITY &gt; Security Engineering for Software Systems")+COUNTIFS('Prácticas_Snowballing'!$AB$2:$AB$281,"T076",'Prácticas_Snowballing'!$AC$2:$AC$281,"SOFTWARE SECURITY &gt; Security Engineering for Software Systems")</f>
        <v>0</v>
      </c>
      <c r="CK90" s="17">
        <f>COUNTIFS('Prácticas_Revisiones'!$S$2:$S$282,"T076",'Prácticas_Revisiones'!$T$2:$T$282,"SOFTWARE SECURITY &gt; Software Security Tools")+COUNTIFS('Prácticas_Snowballing'!$AB$2:$AB$281,"T076",'Prácticas_Snowballing'!$AC$2:$AC$281,"SOFTWARE SECURITY &gt; Software Security Tools")</f>
        <v>0</v>
      </c>
      <c r="CL90" s="17">
        <f>COUNTIFS('Prácticas_Revisiones'!$S$2:$S$282,"T076",'Prácticas_Revisiones'!$T$2:$T$282,"SOFTWARE SECURITY &gt; Domain Specific Software Security")+COUNTIFS('Prácticas_Snowballing'!$AB$2:$AB$281,"T076",'Prácticas_Snowballing'!$AC$2:$AC$281,"SOFTWARE SECURITY &gt; Domain Specific Software Security")</f>
        <v>0</v>
      </c>
      <c r="CM90" s="17">
        <f>COUNTIFS('Prácticas_Revisiones'!$S$2:$S$282,"T076",'Prácticas_Revisiones'!$T$2:$T$282,"SOFTWARE SECURITY &gt; Subárea no determinable")+COUNTIFS('Prácticas_Snowballing'!$AB$2:$AB$281,"T076",'Prácticas_Snowballing'!$AC$2:$AC$281,"SOFTWARE SECURITY &gt; Subárea no determinable")</f>
        <v>0</v>
      </c>
      <c r="CN90" s="29">
        <f t="shared" si="80"/>
        <v>0</v>
      </c>
      <c r="CO90" s="17">
        <f>COUNTIFS('Prácticas_Revisiones'!$S$2:$S$282,"T076",'Prácticas_Revisiones'!$T$2:$T$282,"PROFESSIONAL PRACTICE &gt; Professionalism")+COUNTIFS('Prácticas_Snowballing'!$AB$2:$AB$281,"T076",'Prácticas_Snowballing'!$AC$2:$AC$281,"PROFESSIONAL PRACTICE &gt; Professionalism")</f>
        <v>0</v>
      </c>
      <c r="CP90" s="17">
        <f>COUNTIFS('Prácticas_Revisiones'!$S$2:$S$282,"T076",'Prácticas_Revisiones'!$T$2:$T$282,"PROFESSIONAL PRACTICE &gt; Group Dynamics and Psychology")+COUNTIFS('Prácticas_Snowballing'!$AB$2:$AB$281,"T076",'Prácticas_Snowballing'!$AC$2:$AC$281,"PROFESSIONAL PRACTICE &gt; Group Dynamics and Psychology")</f>
        <v>0</v>
      </c>
      <c r="CQ90" s="17">
        <f>COUNTIFS('Prácticas_Revisiones'!$S$2:$S$282,"T076",'Prácticas_Revisiones'!$T$2:$T$282,"PROFESSIONAL PRACTICE &gt; Communication Skills")+COUNTIFS('Prácticas_Snowballing'!$AB$2:$AB$281,"T076",'Prácticas_Snowballing'!$AC$2:$AC$281,"PROFESSIONAL PRACTICE &gt; Communication Skills")</f>
        <v>0</v>
      </c>
      <c r="CR90" s="17">
        <f>COUNTIFS('Prácticas_Revisiones'!$S$2:$S$282,"T076",'Prácticas_Revisiones'!$T$2:$T$282,"PROFESSIONAL PRACTICE &gt; Subárea no determinable")+COUNTIFS('Prácticas_Snowballing'!$AB$2:$AB$281,"T076",'Prácticas_Snowballing'!$AC$2:$AC$281,"PROFESSIONAL PRACTICE &gt; Subárea no determinable")</f>
        <v>0</v>
      </c>
      <c r="CS90" s="29">
        <f t="shared" si="81"/>
        <v>0</v>
      </c>
      <c r="CT90" s="17">
        <f>COUNTIFS('Prácticas_Revisiones'!$S$2:$S$282,"T076",'Prácticas_Revisiones'!$T$2:$T$282,"SOFTWARE ENG. ECONOMICS &gt; Software Engineering Economics Fundamentals")+COUNTIFS('Prácticas_Snowballing'!$AB$2:$AB$281,"T076",'Prácticas_Snowballing'!$AC$2:$AC$281,"SOFTWARE ENG. ECONOMICS &gt; Software Engineering Economics Fundamentals")</f>
        <v>0</v>
      </c>
      <c r="CU90" s="17">
        <f>COUNTIFS('Prácticas_Revisiones'!$S$2:$S$282,"T076",'Prácticas_Revisiones'!$T$2:$T$282,"SOFTWARE ENG. ECONOMICS &gt; The Engineering Decision-Making Process")+COUNTIFS('Prácticas_Snowballing'!$AB$2:$AB$281,"T076",'Prácticas_Snowballing'!$AC$2:$AC$281,"SOFTWARE ENG. ECONOMICS &gt; The Engineering Decision-Making Process")</f>
        <v>0</v>
      </c>
      <c r="CV90" s="17">
        <f>COUNTIFS('Prácticas_Revisiones'!$S$2:$S$282,"T076",'Prácticas_Revisiones'!$T$2:$T$282,"SOFTWARE ENG. ECONOMICS &gt; For-Profit Decision-Making")+COUNTIFS('Prácticas_Snowballing'!$AB$2:$AB$281,"T076",'Prácticas_Snowballing'!$AC$2:$AC$281,"SOFTWARE ENG. ECONOMICS &gt; For-Profit Decision-Making")</f>
        <v>0</v>
      </c>
      <c r="CW90" s="17">
        <f>COUNTIFS('Prácticas_Revisiones'!$S$2:$S$282,"T076",'Prácticas_Revisiones'!$T$2:$T$282,"SOFTWARE ENG. ECONOMICS &gt; Nonprofit Decision-Making")+COUNTIFS('Prácticas_Snowballing'!$AB$2:$AB$281,"T076",'Prácticas_Snowballing'!$AC$2:$AC$281,"SOFTWARE ENG. ECONOMICS &gt; Nonprofit Decision-Making")</f>
        <v>0</v>
      </c>
      <c r="CX90" s="17">
        <f>COUNTIFS('Prácticas_Revisiones'!$S$2:$S$282,"T076",'Prácticas_Revisiones'!$T$2:$T$282,"SOFTWARE ENG. ECONOMICS &gt; Present Economy Decision-Making")+COUNTIFS('Prácticas_Snowballing'!$AB$2:$AB$281,"T076",'Prácticas_Snowballing'!$AC$2:$AC$281,"SOFTWARE ENG. ECONOMICS &gt; Present Economy Decision-Making")</f>
        <v>0</v>
      </c>
      <c r="CY90" s="17">
        <f>COUNTIFS('Prácticas_Revisiones'!$S$2:$S$282,"T076",'Prácticas_Revisiones'!$T$2:$T$282,"SOFTWARE ENG. ECONOMICS &gt; Multiple-Attribute Decision-Making")+COUNTIFS('Prácticas_Snowballing'!$AB$2:$AB$281,"T076",'Prácticas_Snowballing'!$AC$2:$AC$281,"SOFTWARE ENG. ECONOMICS &gt; Multiple-Attribute Decision-Making")</f>
        <v>0</v>
      </c>
      <c r="CZ90" s="17">
        <f>COUNTIFS('Prácticas_Revisiones'!$S$2:$S$282,"T076",'Prácticas_Revisiones'!$T$2:$T$282,"SOFTWARE ENG. ECONOMICS &gt; Identifying and Characterizing Intangible Assets")+COUNTIFS('Prácticas_Snowballing'!$AB$2:$AB$281,"T076",'Prácticas_Snowballing'!$AC$2:$AC$281,"SOFTWARE ENG. ECONOMICS &gt; Identifying and Characterizing Intangible Assets")</f>
        <v>0</v>
      </c>
      <c r="DA90" s="17">
        <f>COUNTIFS('Prácticas_Revisiones'!$S$2:$S$282,"T076",'Prácticas_Revisiones'!$T$2:$T$282,"SOFTWARE ENG. ECONOMICS &gt; Estimation")+COUNTIFS('Prácticas_Snowballing'!$AB$2:$AB$281,"T076",'Prácticas_Snowballing'!$AC$2:$AC$281,"SOFTWARE ENG. ECONOMICS &gt; Estimation")</f>
        <v>0</v>
      </c>
      <c r="DB90" s="17">
        <f>COUNTIFS('Prácticas_Revisiones'!$S$2:$S$282,"T076",'Prácticas_Revisiones'!$T$2:$T$282,"SOFTWARE ENG. ECONOMICS &gt; Practical Considerations")+COUNTIFS('Prácticas_Snowballing'!$AB$2:$AB$281,"T076",'Prácticas_Snowballing'!$AC$2:$AC$281,"SOFTWARE ENG. ECONOMICS &gt; Practical Considerations")</f>
        <v>0</v>
      </c>
      <c r="DC90" s="17">
        <f>COUNTIFS('Prácticas_Revisiones'!$S$2:$S$282,"T076",'Prácticas_Revisiones'!$T$2:$T$282,"SOFTWARE ENG. ECONOMICS &gt; Related Concepts")+COUNTIFS('Prácticas_Snowballing'!$AB$2:$AB$281,"T076",'Prácticas_Snowballing'!$AC$2:$AC$281,"SOFTWARE ENG. ECONOMICS &gt; Related Concepts")</f>
        <v>0</v>
      </c>
      <c r="DD90" s="17">
        <f>COUNTIFS('Prácticas_Revisiones'!$S$2:$S$282,"T076",'Prácticas_Revisiones'!$T$2:$T$282,"SOFTWARE ENG. ECONOMICS &gt; Subárea no determinable")+COUNTIFS('Prácticas_Snowballing'!$AB$2:$AB$281,"T076",'Prácticas_Snowballing'!$AC$2:$AC$281,"SOFTWARE ENG. ECONOMICS &gt; Subárea no determinable")</f>
        <v>0</v>
      </c>
      <c r="DE90" s="29">
        <f t="shared" si="82"/>
        <v>0</v>
      </c>
      <c r="DF90" s="17">
        <f>COUNTIFS('Prácticas_Revisiones'!$S$2:$S$282,"T076",'Prácticas_Revisiones'!$T$2:$T$282,"SOFTWARE ENG. MANAGEMENT &gt; Software Engineering Management Fundamentals")+COUNTIFS('Prácticas_Snowballing'!$AB$2:$AB$281,"T076",'Prácticas_Snowballing'!$AC$2:$AC$281,"SOFTWARE ENG. MANAGEMENT &gt; Software Engineering Management Fundamentals")</f>
        <v>0</v>
      </c>
      <c r="DG90" s="17">
        <f>COUNTIFS('Prácticas_Revisiones'!$S$2:$S$282,"T076",'Prácticas_Revisiones'!$T$2:$T$282,"SOFTWARE ENG. MANAGEMENT &gt; Initiation and Scope Definition")+COUNTIFS('Prácticas_Snowballing'!$AB$2:$AB$281,"T076",'Prácticas_Snowballing'!$AC$2:$AC$281,"SOFTWARE ENG. MANAGEMENT &gt; Initiation and Scope Definition")</f>
        <v>0</v>
      </c>
      <c r="DH90" s="17">
        <f>COUNTIFS('Prácticas_Revisiones'!$S$2:$S$282,"T076",'Prácticas_Revisiones'!$T$2:$T$282,"SOFTWARE ENG. MANAGEMENT &gt; Software Project Planning")+COUNTIFS('Prácticas_Snowballing'!$AB$2:$AB$281,"T076",'Prácticas_Snowballing'!$AC$2:$AC$281,"SOFTWARE ENG. MANAGEMENT &gt; Software Project Planning")</f>
        <v>0</v>
      </c>
      <c r="DI90" s="17">
        <f>COUNTIFS('Prácticas_Revisiones'!$S$2:$S$282,"T076",'Prácticas_Revisiones'!$T$2:$T$282,"SOFTWARE ENG. MANAGEMENT &gt; Software Project Enactment")+COUNTIFS('Prácticas_Snowballing'!$AB$2:$AB$281,"T076",'Prácticas_Snowballing'!$AC$2:$AC$281,"SOFTWARE ENG. MANAGEMENT &gt; Software Project Enactment")</f>
        <v>0</v>
      </c>
      <c r="DJ90" s="17">
        <f>COUNTIFS('Prácticas_Revisiones'!$S$2:$S$282,"T076",'Prácticas_Revisiones'!$T$2:$T$282,"SOFTWARE ENG. MANAGEMENT &gt; Review and Evaluation")+COUNTIFS('Prácticas_Snowballing'!$AB$2:$AB$281,"T076",'Prácticas_Snowballing'!$AC$2:$AC$281,"SOFTWARE ENG. MANAGEMENT &gt; Review and Evaluation")</f>
        <v>0</v>
      </c>
      <c r="DK90" s="17">
        <f>COUNTIFS('Prácticas_Revisiones'!$S$2:$S$282,"T076",'Prácticas_Revisiones'!$T$2:$T$282,"SOFTWARE ENG. MANAGEMENT &gt; Closure")+COUNTIFS('Prácticas_Snowballing'!$AB$2:$AB$281,"T076",'Prácticas_Snowballing'!$AC$2:$AC$281,"SOFTWARE ENG. MANAGEMENT &gt; Closure")</f>
        <v>0</v>
      </c>
      <c r="DL90" s="17">
        <f>COUNTIFS('Prácticas_Revisiones'!$S$2:$S$282,"T076",'Prácticas_Revisiones'!$T$2:$T$282,"SOFTWARE ENG. MANAGEMENT &gt; Software Engineering Management Tools")+COUNTIFS('Prácticas_Snowballing'!$AB$2:$AB$281,"T076",'Prácticas_Snowballing'!$AC$2:$AC$281,"SOFTWARE ENG. MANAGEMENT &gt; Software Engineering Management Tools")</f>
        <v>0</v>
      </c>
      <c r="DM90" s="17">
        <f>COUNTIFS('Prácticas_Revisiones'!$S$2:$S$282,"T076",'Prácticas_Revisiones'!$T$2:$T$282,"SOFTWARE ENG. MANAGEMENT &gt; Subárea no determinable")+COUNTIFS('Prácticas_Snowballing'!$AB$2:$AB$281,"T076",'Prácticas_Snowballing'!$AC$2:$AC$281,"SOFTWARE ENG. MANAGEMENT &gt; Subárea no determinable")</f>
        <v>0</v>
      </c>
      <c r="DN90" s="29">
        <f t="shared" si="83"/>
        <v>0</v>
      </c>
      <c r="DO90" s="17">
        <f>COUNTIFS('Prácticas_Revisiones'!$S$2:$S$282,"T076",'Prácticas_Revisiones'!$T$2:$T$282,"Sin área SWEBOK")+COUNTIFS('Prácticas_Snowballing'!$AB$2:$AB$281,"T076",'Prácticas_Snowballing'!$AC$2:$AC$281,"Sin área SWEBOK")</f>
        <v>0</v>
      </c>
      <c r="DP90" s="27">
        <f t="shared" si="84"/>
        <v>1</v>
      </c>
    </row>
    <row r="91" ht="15.75" customHeight="1">
      <c r="A91" s="28"/>
      <c r="B91" s="16" t="s">
        <v>2824</v>
      </c>
      <c r="C91" s="17">
        <f>COUNTIFS('Prácticas_Revisiones'!$S$2:$S$282,"T077",'Prácticas_Revisiones'!$T$2:$T$282,"REQUIREMENTS &gt; Software Requirements Fundamentals")+COUNTIFS('Prácticas_Snowballing'!$AB$2:$AB$281,"T077",'Prácticas_Snowballing'!$AC$2:$AC$281,"REQUIREMENTS &gt; Software Requirements Fundamentals")</f>
        <v>0</v>
      </c>
      <c r="D91" s="17">
        <f>COUNTIFS('Prácticas_Revisiones'!$S$2:$S$282,"T077",'Prácticas_Revisiones'!$T$2:$T$282,"REQUIREMENTS &gt; Requirements Elicitation")+COUNTIFS('Prácticas_Snowballing'!$AB$2:$AB$281,"T077",'Prácticas_Snowballing'!$AC$2:$AC$281,"REQUIREMENTS &gt; Requirements Elicitation")</f>
        <v>0</v>
      </c>
      <c r="E91" s="17">
        <f>COUNTIFS('Prácticas_Revisiones'!$S$2:$S$282,"T077",'Prácticas_Revisiones'!$T$2:$T$282,"REQUIREMENTS &gt; Requirements Analysis")+COUNTIFS('Prácticas_Snowballing'!$AB$2:$AB$281,"T077",'Prácticas_Snowballing'!$AC$2:$AC$281,"REQUIREMENTS &gt; Requirements Analysis")</f>
        <v>0</v>
      </c>
      <c r="F91" s="17">
        <f>COUNTIFS('Prácticas_Revisiones'!$S$2:$S$282,"T077",'Prácticas_Revisiones'!$T$2:$T$282,"REQUIREMENTS &gt; Requirements Specification")+COUNTIFS('Prácticas_Snowballing'!$AB$2:$AB$281,"T077",'Prácticas_Snowballing'!$AC$2:$AC$281,"REQUIREMENTS &gt; Requirements Specification")</f>
        <v>0</v>
      </c>
      <c r="G91" s="17">
        <f>COUNTIFS('Prácticas_Revisiones'!$S$2:$S$282,"T077",'Prácticas_Revisiones'!$T$2:$T$282,"REQUIREMENTS &gt; Requirements Validation")+COUNTIFS('Prácticas_Snowballing'!$AB$2:$AB$281,"T077",'Prácticas_Snowballing'!$AC$2:$AC$281,"REQUIREMENTS &gt; Requirements Validation")</f>
        <v>0</v>
      </c>
      <c r="H91" s="17">
        <f>COUNTIFS('Prácticas_Revisiones'!$S$2:$S$282,"T077",'Prácticas_Revisiones'!$T$2:$T$282,"REQUIREMENTS &gt; Requirements Management Activities")+COUNTIFS('Prácticas_Snowballing'!$AB$2:$AB$281,"T077",'Prácticas_Snowballing'!$AC$2:$AC$281,"REQUIREMENTS &gt; Requirements Management Activities")</f>
        <v>0</v>
      </c>
      <c r="I91" s="17">
        <f>COUNTIFS('Prácticas_Revisiones'!$S$2:$S$282,"T077",'Prácticas_Revisiones'!$T$2:$T$282,"REQUIREMENTS &gt; Practical Considerations")+COUNTIFS('Prácticas_Snowballing'!$AB$2:$AB$281,"T077",'Prácticas_Snowballing'!$AC$2:$AC$281,"REQUIREMENTS &gt; Practical Considerations")</f>
        <v>0</v>
      </c>
      <c r="J91" s="17">
        <f>COUNTIFS('Prácticas_Revisiones'!$S$2:$S$282,"T077",'Prácticas_Revisiones'!$T$2:$T$282,"REQUIREMENTS &gt; Software Requirements Tools")+COUNTIFS('Prácticas_Snowballing'!$AB$2:$AB$281,"T077",'Prácticas_Snowballing'!$AC$2:$AC$281,"REQUIREMENTS &gt; Software Requirements Tools")</f>
        <v>0</v>
      </c>
      <c r="K91" s="17">
        <f>COUNTIFS('Prácticas_Revisiones'!$S$2:$S$282,"T077",'Prácticas_Revisiones'!$T$2:$T$282,"REQUIREMENTS &gt; Subárea no determinable")+COUNTIFS('Prácticas_Snowballing'!$AB$2:$AB$281,"T077",'Prácticas_Snowballing'!$AC$2:$AC$281,"REQUIREMENTS &gt; Subárea no determinable")</f>
        <v>0</v>
      </c>
      <c r="L91" s="29">
        <f t="shared" si="69"/>
        <v>0</v>
      </c>
      <c r="M91" s="17">
        <f>COUNTIFS('Prácticas_Revisiones'!$S$2:$S$282,"T077",'Prácticas_Revisiones'!$T$2:$T$282,"ARCHITECTURE &gt; Software Architecture Fundamentals")+COUNTIFS('Prácticas_Snowballing'!$AB$2:$AB$281,"T077",'Prácticas_Snowballing'!$AC$2:$AC$281,"ARCHITECTURE &gt; Software Architecture Fundamentals")</f>
        <v>0</v>
      </c>
      <c r="N91" s="17">
        <f>COUNTIFS('Prácticas_Revisiones'!$S$2:$S$282,"T077",'Prácticas_Revisiones'!$T$2:$T$282,"ARCHITECTURE &gt; Software Architecture Description")+COUNTIFS('Prácticas_Snowballing'!$AB$2:$AB$281,"T077",'Prácticas_Snowballing'!$AC$2:$AC$281,"ARCHITECTURE &gt; Software Architecture Description")</f>
        <v>0</v>
      </c>
      <c r="O91" s="17">
        <f>COUNTIFS('Prácticas_Revisiones'!$S$2:$S$282,"T077",'Prácticas_Revisiones'!$T$2:$T$282,"ARCHITECTURE &gt; Software Architecture Process")+COUNTIFS('Prácticas_Snowballing'!$AB$2:$AB$281,"T077",'Prácticas_Snowballing'!$AC$2:$AC$281,"ARCHITECTURE &gt; Software Architecture Process")</f>
        <v>0</v>
      </c>
      <c r="P91" s="17">
        <f>COUNTIFS('Prácticas_Revisiones'!$S$2:$S$282,"T077",'Prácticas_Revisiones'!$T$2:$T$282,"ARCHITECTURE &gt; Software Architecture Evaluation")+COUNTIFS('Prácticas_Snowballing'!$AB$2:$AB$281,"T077",'Prácticas_Snowballing'!$AC$2:$AC$281,"ARCHITECTURE &gt; Software Architecture Evaluation")</f>
        <v>0</v>
      </c>
      <c r="Q91" s="17">
        <f>COUNTIFS('Prácticas_Revisiones'!$S$2:$S$282,"T077",'Prácticas_Revisiones'!$T$2:$T$282,"ARCHITECTURE &gt; Subárea no determinable")+COUNTIFS('Prácticas_Snowballing'!$AB$2:$AB$281,"T077",'Prácticas_Snowballing'!$AC$2:$AC$281,"ARCHITECTURE &gt; Subárea no determinable")</f>
        <v>0</v>
      </c>
      <c r="R91" s="29">
        <f t="shared" si="70"/>
        <v>0</v>
      </c>
      <c r="S91" s="17">
        <f>COUNTIFS('Prácticas_Revisiones'!$S$2:$S$282,"T077",'Prácticas_Revisiones'!$T$2:$T$282,"DESIGN &gt; Software Design Fundamentals")+COUNTIFS('Prácticas_Snowballing'!$AB$2:$AB$281,"T077",'Prácticas_Snowballing'!$AC$2:$AC$281,"DESIGN &gt; Software Design Fundamentals")</f>
        <v>0</v>
      </c>
      <c r="T91" s="17">
        <f>COUNTIFS('Prácticas_Revisiones'!$S$2:$S$282,"T077",'Prácticas_Revisiones'!$T$2:$T$282,"DESIGN &gt; Software Design Processes")+COUNTIFS('Prácticas_Snowballing'!$AB$2:$AB$281,"T077",'Prácticas_Snowballing'!$AC$2:$AC$281,"DESIGN &gt; Software Design Processes")</f>
        <v>0</v>
      </c>
      <c r="U91" s="17">
        <f>COUNTIFS('Prácticas_Revisiones'!$S$2:$S$282,"T077",'Prácticas_Revisiones'!$T$2:$T$282,"DESIGN &gt; Software Design Qualities")+COUNTIFS('Prácticas_Snowballing'!$AB$2:$AB$281,"T077",'Prácticas_Snowballing'!$AC$2:$AC$281,"DESIGN &gt; Software Design Qualities")</f>
        <v>0</v>
      </c>
      <c r="V91" s="17">
        <f>COUNTIFS('Prácticas_Revisiones'!$S$2:$S$282,"T077",'Prácticas_Revisiones'!$T$2:$T$282,"DESIGN &gt; Recording Software Design")+COUNTIFS('Prácticas_Snowballing'!$AB$2:$AB$281,"T077",'Prácticas_Snowballing'!$AC$2:$AC$281,"DESIGN &gt; Recording Software Design")</f>
        <v>0</v>
      </c>
      <c r="W91" s="17">
        <f>COUNTIFS('Prácticas_Revisiones'!$S$2:$S$282,"T077",'Prácticas_Revisiones'!$T$2:$T$282,"DESIGN &gt; Software Design Strategies and Methods")+COUNTIFS('Prácticas_Snowballing'!$AB$2:$AB$281,"T077",'Prácticas_Snowballing'!$AC$2:$AC$281,"DESIGN &gt; Software Design Strategies and Methods")</f>
        <v>0</v>
      </c>
      <c r="X91" s="17">
        <f>COUNTIFS('Prácticas_Revisiones'!$S$2:$S$282,"T077",'Prácticas_Revisiones'!$T$2:$T$282,"DESIGN &gt; Software Design Analysis and Evaluations")+COUNTIFS('Prácticas_Snowballing'!$AB$2:$AB$281,"T077",'Prácticas_Snowballing'!$AC$2:$AC$281,"DESIGN &gt; Software Design Analysis and Evaluations")</f>
        <v>0</v>
      </c>
      <c r="Y91" s="17">
        <f>COUNTIFS('Prácticas_Revisiones'!$S$2:$S$282,"T077",'Prácticas_Revisiones'!$T$2:$T$282,"DESIGN &gt; Subárea no determinable")+COUNTIFS('Prácticas_Snowballing'!$AB$2:$AB$281,"T077",'Prácticas_Snowballing'!$AC$2:$AC$281,"DESIGN &gt; Subárea no determinable")</f>
        <v>0</v>
      </c>
      <c r="Z91" s="29">
        <f t="shared" si="71"/>
        <v>0</v>
      </c>
      <c r="AA91" s="17">
        <f>COUNTIFS('Prácticas_Revisiones'!$S$2:$S$282,"T077",'Prácticas_Revisiones'!$T$2:$T$282,"CONSTRUCTION &gt; Software Construction Fundamentals")+COUNTIFS('Prácticas_Snowballing'!$AB$2:$AB$281,"T077",'Prácticas_Snowballing'!$AC$2:$AC$281,"CONSTRUCTION &gt; Software Construction Fundamentals")</f>
        <v>0</v>
      </c>
      <c r="AB91" s="17">
        <f>COUNTIFS('Prácticas_Revisiones'!$S$2:$S$282,"T077",'Prácticas_Revisiones'!$T$2:$T$282,"CONSTRUCTION &gt; Managing Construction")+COUNTIFS('Prácticas_Snowballing'!$AB$2:$AB$281,"T077",'Prácticas_Snowballing'!$AC$2:$AC$281,"CONSTRUCTION &gt; Managing Construction")</f>
        <v>0</v>
      </c>
      <c r="AC91" s="17">
        <f>COUNTIFS('Prácticas_Revisiones'!$S$2:$S$282,"T077",'Prácticas_Revisiones'!$T$2:$T$282,"CONSTRUCTION &gt; Practical Considerations")+COUNTIFS('Prácticas_Snowballing'!$AB$2:$AB$281,"T077",'Prácticas_Snowballing'!$AC$2:$AC$281,"CONSTRUCTION &gt; Practical Considerations")</f>
        <v>0</v>
      </c>
      <c r="AD91" s="17">
        <f>COUNTIFS('Prácticas_Revisiones'!$S$2:$S$282,"T077",'Prácticas_Revisiones'!$T$2:$T$282,"CONSTRUCTION &gt; Construction Technologies")+COUNTIFS('Prácticas_Snowballing'!$AB$2:$AB$281,"T077",'Prácticas_Snowballing'!$AC$2:$AC$281,"CONSTRUCTION &gt; Construction Technologies")</f>
        <v>0</v>
      </c>
      <c r="AE91" s="17">
        <f>COUNTIFS('Prácticas_Revisiones'!$S$2:$S$282,"T077",'Prácticas_Revisiones'!$T$2:$T$282,"CONSTRUCTION &gt; Software Construction Tools")+COUNTIFS('Prácticas_Snowballing'!$AB$2:$AB$281,"T077",'Prácticas_Snowballing'!$AC$2:$AC$281,"CONSTRUCTION &gt; Software Construction Tools")</f>
        <v>0</v>
      </c>
      <c r="AF91" s="17">
        <f>COUNTIFS('Prácticas_Revisiones'!$S$2:$S$282,"T077",'Prácticas_Revisiones'!$T$2:$T$282,"CONSTRUCTION &gt; Subárea no determinable")+COUNTIFS('Prácticas_Snowballing'!$AB$2:$AB$281,"T077",'Prácticas_Snowballing'!$AC$2:$AC$281,"CONSTRUCTION &gt; Subárea no determinable")</f>
        <v>0</v>
      </c>
      <c r="AG91" s="29">
        <f t="shared" si="72"/>
        <v>0</v>
      </c>
      <c r="AH91" s="17">
        <f>COUNTIFS('Prácticas_Revisiones'!$S$2:$S$282,"T077",'Prácticas_Revisiones'!$T$2:$T$282,"SOFTWARE TESTING &gt; Software Testing Fundamentals")+COUNTIFS('Prácticas_Snowballing'!$AB$2:$AB$281,"T077",'Prácticas_Snowballing'!$AC$2:$AC$281,"SOFTWARE TESTING &gt; Software Testing Fundamentals")</f>
        <v>0</v>
      </c>
      <c r="AI91" s="17">
        <f>COUNTIFS('Prácticas_Revisiones'!$S$2:$S$282,"T077",'Prácticas_Revisiones'!$T$2:$T$282,"SOFTWARE TESTING &gt; Test Levels")+COUNTIFS('Prácticas_Snowballing'!$AB$2:$AB$281,"T077",'Prácticas_Snowballing'!$AC$2:$AC$281,"SOFTWARE TESTING &gt; Test Levels")</f>
        <v>0</v>
      </c>
      <c r="AJ91" s="17">
        <f>COUNTIFS('Prácticas_Revisiones'!$S$2:$S$282,"T077",'Prácticas_Revisiones'!$T$2:$T$282,"SOFTWARE TESTING &gt; Test Techniques")+COUNTIFS('Prácticas_Snowballing'!$AB$2:$AB$281,"T077",'Prácticas_Snowballing'!$AC$2:$AC$281,"SOFTWARE TESTING &gt; Test Techniques")</f>
        <v>0</v>
      </c>
      <c r="AK91" s="17">
        <f>COUNTIFS('Prácticas_Revisiones'!$S$2:$S$282,"T077",'Prácticas_Revisiones'!$T$2:$T$282,"SOFTWARE TESTING &gt; Test-Related Measures")+COUNTIFS('Prácticas_Snowballing'!$AB$2:$AB$281,"T077",'Prácticas_Snowballing'!$AC$2:$AC$281,"SOFTWARE TESTING &gt; Test-Related Measures")</f>
        <v>0</v>
      </c>
      <c r="AL91" s="17">
        <f>COUNTIFS('Prácticas_Revisiones'!$S$2:$S$282,"T077",'Prácticas_Revisiones'!$T$2:$T$282,"SOFTWARE TESTING &gt; Test Process")+COUNTIFS('Prácticas_Snowballing'!$AB$2:$AB$281,"T077",'Prácticas_Snowballing'!$AC$2:$AC$281,"SOFTWARE TESTING &gt; Test Process")</f>
        <v>0</v>
      </c>
      <c r="AM91" s="17">
        <f>COUNTIFS('Prácticas_Revisiones'!$S$2:$S$282,"T077",'Prácticas_Revisiones'!$T$2:$T$282,"SOFTWARE TESTING &gt; Software Testing in the Development Processes...")+COUNTIFS('Prácticas_Snowballing'!$AB$2:$AB$281,"T077",'Prácticas_Snowballing'!$AC$2:$AC$281,"SOFTWARE TESTING &gt; Software Testing in the Development Processes...")</f>
        <v>0</v>
      </c>
      <c r="AN91" s="17">
        <f>COUNTIFS('Prácticas_Revisiones'!$S$2:$S$282,"T077",'Prácticas_Revisiones'!$T$2:$T$282,"SOFTWARE TESTING &gt; Testing of and Testing Through Emerging Tech...")+COUNTIFS('Prácticas_Snowballing'!$AB$2:$AB$281,"T077",'Prácticas_Snowballing'!$AC$2:$AC$281,"SOFTWARE TESTING &gt; Testing of and Testing Through Emerging Tech...")</f>
        <v>0</v>
      </c>
      <c r="AO91" s="17">
        <f>COUNTIFS('Prácticas_Revisiones'!$S$2:$S$282,"T077",'Prácticas_Revisiones'!$T$2:$T$282,"SOFTWARE TESTING &gt; Software Testing Tools")+COUNTIFS('Prácticas_Snowballing'!$AB$2:$AB$281,"T077",'Prácticas_Snowballing'!$AC$2:$AC$281,"SOFTWARE TESTING &gt; Software Testing Tools")</f>
        <v>0</v>
      </c>
      <c r="AP91" s="17">
        <f>COUNTIFS('Prácticas_Revisiones'!$S$2:$S$282,"T077",'Prácticas_Revisiones'!$T$2:$T$282,"SOFTWARE TESTING &gt; Subárea no determinable")+COUNTIFS('Prácticas_Snowballing'!$AB$2:$AB$281,"T077",'Prácticas_Snowballing'!$AC$2:$AC$281,"SOFTWARE TESTING &gt; Subárea no determinable")</f>
        <v>0</v>
      </c>
      <c r="AQ91" s="29">
        <f t="shared" si="73"/>
        <v>0</v>
      </c>
      <c r="AR91" s="17">
        <f>COUNTIFS('Prácticas_Revisiones'!$S$2:$S$282,"T077",'Prácticas_Revisiones'!$T$2:$T$282,"SOFTWARE ENG. OPERATIONS &gt; Software Engineering Operations Fundamentals")+COUNTIFS('Prácticas_Snowballing'!$AB$2:$AB$281,"T077",'Prácticas_Snowballing'!$AC$2:$AC$281,"SOFTWARE ENG. OPERATIONS &gt; Software Engineering Operations Fundamentals")</f>
        <v>0</v>
      </c>
      <c r="AS91" s="17">
        <f>COUNTIFS('Prácticas_Revisiones'!$S$2:$S$282,"T077",'Prácticas_Revisiones'!$T$2:$T$282,"SOFTWARE ENG. OPERATIONS &gt; Software Engineering Operations Planning")+COUNTIFS('Prácticas_Snowballing'!$AB$2:$AB$281,"T077",'Prácticas_Snowballing'!$AC$2:$AC$281,"SOFTWARE ENG. OPERATIONS &gt; Software Engineering Operations Planning")</f>
        <v>0</v>
      </c>
      <c r="AT91" s="17">
        <f>COUNTIFS('Prácticas_Revisiones'!$S$2:$S$282,"T077",'Prácticas_Revisiones'!$T$2:$T$282,"SOFTWARE ENG. OPERATIONS &gt; Software Engineering Operations Delivery")+COUNTIFS('Prácticas_Snowballing'!$AB$2:$AB$281,"T077",'Prácticas_Snowballing'!$AC$2:$AC$281,"SOFTWARE ENG. OPERATIONS &gt; Software Engineering Operations Delivery")</f>
        <v>0</v>
      </c>
      <c r="AU91" s="17">
        <f>COUNTIFS('Prácticas_Revisiones'!$S$2:$S$282,"T077",'Prácticas_Revisiones'!$T$2:$T$282,"SOFTWARE ENG. OPERATIONS &gt; Software Engineering Operations Control")+COUNTIFS('Prácticas_Snowballing'!$AB$2:$AB$281,"T077",'Prácticas_Snowballing'!$AC$2:$AC$281,"SOFTWARE ENG. OPERATIONS &gt; Software Engineering Operations Control")</f>
        <v>0</v>
      </c>
      <c r="AV91" s="17">
        <f>COUNTIFS('Prácticas_Revisiones'!$S$2:$S$282,"T077",'Prácticas_Revisiones'!$T$2:$T$282,"SOFTWARE ENG. OPERATIONS &gt; Practical Considerations")+COUNTIFS('Prácticas_Snowballing'!$AB$2:$AB$281,"T077",'Prácticas_Snowballing'!$AC$2:$AC$281,"SOFTWARE ENG. OPERATIONS &gt; Practical Considerations")</f>
        <v>0</v>
      </c>
      <c r="AW91" s="17">
        <f>COUNTIFS('Prácticas_Revisiones'!$S$2:$S$282,"T077",'Prácticas_Revisiones'!$T$2:$T$282,"SOFTWARE ENG. OPERATIONS &gt; Software Engineering Operations Tools")+COUNTIFS('Prácticas_Snowballing'!$AB$2:$AB$281,"T077",'Prácticas_Snowballing'!$AC$2:$AC$281,"SOFTWARE ENG. OPERATIONS &gt; Software Engineering Operations Tools")</f>
        <v>0</v>
      </c>
      <c r="AX91" s="17">
        <f>COUNTIFS('Prácticas_Revisiones'!$S$2:$S$282,"T077",'Prácticas_Revisiones'!$T$2:$T$282,"SOFTWARE ENG. OPERATIONS &gt; Subárea no determinable")+COUNTIFS('Prácticas_Snowballing'!$AB$2:$AB$281,"T077",'Prácticas_Snowballing'!$AC$2:$AC$281,"SOFTWARE ENG. OPERATIONS &gt; Subárea no determinable")</f>
        <v>0</v>
      </c>
      <c r="AY91" s="29">
        <f t="shared" si="74"/>
        <v>0</v>
      </c>
      <c r="AZ91" s="17">
        <f>COUNTIFS('Prácticas_Revisiones'!$S$2:$S$282,"T077",'Prácticas_Revisiones'!$T$2:$T$282,"MAINTENANCE &gt; Software Maintenance Fundamentals")+COUNTIFS('Prácticas_Snowballing'!$AB$2:$AB$281,"T077",'Prácticas_Snowballing'!$AC$2:$AC$281,"MAINTENANCE &gt; Software Maintenance Fundamentals")</f>
        <v>0</v>
      </c>
      <c r="BA91" s="17">
        <f>COUNTIFS('Prácticas_Revisiones'!$S$2:$S$282,"T077",'Prácticas_Revisiones'!$T$2:$T$282,"MAINTENANCE &gt; Key Issues in Software Maintenance")+COUNTIFS('Prácticas_Snowballing'!$AB$2:$AB$281,"T077",'Prácticas_Snowballing'!$AC$2:$AC$281,"MAINTENANCE &gt; Key Issues in Software Maintenance")</f>
        <v>0</v>
      </c>
      <c r="BB91" s="17">
        <f>COUNTIFS('Prácticas_Revisiones'!$S$2:$S$282,"T077",'Prácticas_Revisiones'!$T$2:$T$282,"MAINTENANCE &gt; Software Maintenance Processes")+COUNTIFS('Prácticas_Snowballing'!$AB$2:$AB$281,"T077",'Prácticas_Snowballing'!$AC$2:$AC$281,"MAINTENANCE &gt; Software Maintenance Processes")</f>
        <v>0</v>
      </c>
      <c r="BC91" s="17">
        <f>COUNTIFS('Prácticas_Revisiones'!$S$2:$S$282,"T077",'Prácticas_Revisiones'!$T$2:$T$282,"MAINTENANCE &gt; Software Maintenance Techniques")+COUNTIFS('Prácticas_Snowballing'!$AB$2:$AB$281,"T077",'Prácticas_Snowballing'!$AC$2:$AC$281,"MAINTENANCE &gt; Software Maintenance Techniques")</f>
        <v>0</v>
      </c>
      <c r="BD91" s="17">
        <f>COUNTIFS('Prácticas_Revisiones'!$S$2:$S$282,"T077",'Prácticas_Revisiones'!$T$2:$T$282,"MAINTENANCE &gt; Software Maintenance Tools")+COUNTIFS('Prácticas_Snowballing'!$AB$2:$AB$281,"T077",'Prácticas_Snowballing'!$AC$2:$AC$281,"MAINTENANCE &gt; Software Maintenance Tools")</f>
        <v>0</v>
      </c>
      <c r="BE91" s="17">
        <f>COUNTIFS('Prácticas_Revisiones'!$S$2:$S$282,"T077",'Prácticas_Revisiones'!$T$2:$T$282,"MAINTENANCE &gt; Subárea no determinable")+COUNTIFS('Prácticas_Snowballing'!$AB$2:$AB$281,"T077",'Prácticas_Snowballing'!$AC$2:$AC$281,"MAINTENANCE &gt; Subárea no determinable")</f>
        <v>0</v>
      </c>
      <c r="BF91" s="29">
        <f t="shared" si="75"/>
        <v>0</v>
      </c>
      <c r="BG91" s="17">
        <f>COUNTIFS('Prácticas_Revisiones'!$S$2:$S$282,"T077",'Prácticas_Revisiones'!$T$2:$T$282,"SOFTWARE CONFIG. MGMT. &gt; Management of the SCM Process")+COUNTIFS('Prácticas_Snowballing'!$AB$2:$AB$281,"T077",'Prácticas_Snowballing'!$AC$2:$AC$281,"SOFTWARE CONFIG. MGMT. &gt; Management of the SCM Process")</f>
        <v>0</v>
      </c>
      <c r="BH91" s="17">
        <f>COUNTIFS('Prácticas_Revisiones'!$S$2:$S$282,"T077",'Prácticas_Revisiones'!$T$2:$T$282,"SOFTWARE CONFIG. MGMT. &gt; Software Configuration Identification")+COUNTIFS('Prácticas_Snowballing'!$AB$2:$AB$281,"T077",'Prácticas_Snowballing'!$AC$2:$AC$281,"SOFTWARE CONFIG. MGMT. &gt; Software Configuration Identification")</f>
        <v>0</v>
      </c>
      <c r="BI91" s="17">
        <f>COUNTIFS('Prácticas_Revisiones'!$S$2:$S$282,"T077",'Prácticas_Revisiones'!$T$2:$T$282,"SOFTWARE CONFIG. MGMT. &gt; Software Configuration Change Control")+COUNTIFS('Prácticas_Snowballing'!$AB$2:$AB$281,"T077",'Prácticas_Snowballing'!$AC$2:$AC$281,"SOFTWARE CONFIG. MGMT. &gt; Software Configuration Change Control")</f>
        <v>0</v>
      </c>
      <c r="BJ91" s="17">
        <f>COUNTIFS('Prácticas_Revisiones'!$S$2:$S$282,"T077",'Prácticas_Revisiones'!$T$2:$T$282,"SOFTWARE CONFIG. MGMT. &gt; Software Configuration Status Accounting")+COUNTIFS('Prácticas_Snowballing'!$AB$2:$AB$281,"T077",'Prácticas_Snowballing'!$AC$2:$AC$281,"SOFTWARE CONFIG. MGMT. &gt; Software Configuration Status Accounting")</f>
        <v>0</v>
      </c>
      <c r="BK91" s="17">
        <f>COUNTIFS('Prácticas_Revisiones'!$S$2:$S$282,"T077",'Prácticas_Revisiones'!$T$2:$T$282,"SOFTWARE CONFIG. MGMT. &gt; Software Configuration Auditing")+COUNTIFS('Prácticas_Snowballing'!$AB$2:$AB$281,"T077",'Prácticas_Snowballing'!$AC$2:$AC$281,"SOFTWARE CONFIG. MGMT. &gt; Software Configuration Auditing")</f>
        <v>0</v>
      </c>
      <c r="BL91" s="17">
        <f>COUNTIFS('Prácticas_Revisiones'!$S$2:$S$282,"T077",'Prácticas_Revisiones'!$T$2:$T$282,"SOFTWARE CONFIG. MGMT. &gt; Software Release Management and Delivery")+COUNTIFS('Prácticas_Snowballing'!$AB$2:$AB$281,"T077",'Prácticas_Snowballing'!$AC$2:$AC$281,"SOFTWARE CONFIG. MGMT. &gt; Software Release Management and Delivery")</f>
        <v>0</v>
      </c>
      <c r="BM91" s="17">
        <f>COUNTIFS('Prácticas_Revisiones'!$S$2:$S$282,"T077",'Prácticas_Revisiones'!$T$2:$T$282,"SOFTWARE CONFIG. MGMT. &gt; Software Configuration Management Tools")+COUNTIFS('Prácticas_Snowballing'!$AB$2:$AB$281,"T077",'Prácticas_Snowballing'!$AC$2:$AC$281,"SOFTWARE CONFIG. MGMT. &gt; Software Configuration Management Tools")</f>
        <v>0</v>
      </c>
      <c r="BN91" s="17">
        <f>COUNTIFS('Prácticas_Revisiones'!$S$2:$S$282,"T077",'Prácticas_Revisiones'!$T$2:$T$282,"SOFTWARE CONFIG. MGMT. &gt; Subárea no determinable")+COUNTIFS('Prácticas_Snowballing'!$AB$2:$AB$281,"T077",'Prácticas_Snowballing'!$AC$2:$AC$281,"SOFTWARE CONFIG. MGMT. &gt; Subárea no determinable")</f>
        <v>0</v>
      </c>
      <c r="BO91" s="29">
        <f t="shared" si="76"/>
        <v>0</v>
      </c>
      <c r="BP91" s="17">
        <f>COUNTIFS('Prácticas_Revisiones'!$S$2:$S$282,"T077",'Prácticas_Revisiones'!$T$2:$T$282,"SOFTWARE ENG. PROCESS &gt; Software Engineering Process Fundamentals")+COUNTIFS('Prácticas_Snowballing'!$AB$2:$AB$281,"T077",'Prácticas_Snowballing'!$AC$2:$AC$281,"SOFTWARE ENG. PROCESS &gt; Software Engineering Process Fundamentals")</f>
        <v>0</v>
      </c>
      <c r="BQ91" s="17">
        <f>COUNTIFS('Prácticas_Revisiones'!$S$2:$S$282,"T077",'Prácticas_Revisiones'!$T$2:$T$282,"SOFTWARE ENG. PROCESS &gt; Life Cycles")+COUNTIFS('Prácticas_Snowballing'!$AB$2:$AB$281,"T077",'Prácticas_Snowballing'!$AC$2:$AC$281,"SOFTWARE ENG. PROCESS &gt; Life Cycles")</f>
        <v>0</v>
      </c>
      <c r="BR91" s="17">
        <f>COUNTIFS('Prácticas_Revisiones'!$S$2:$S$282,"T077",'Prácticas_Revisiones'!$T$2:$T$282,"SOFTWARE ENG. PROCESS &gt; Software Process Assessment and Improvement")+COUNTIFS('Prácticas_Snowballing'!$AB$2:$AB$281,"T077",'Prácticas_Snowballing'!$AC$2:$AC$281,"SOFTWARE ENG. PROCESS &gt; Software Process Assessment and Improvement")</f>
        <v>0</v>
      </c>
      <c r="BS91" s="17">
        <f>COUNTIFS('Prácticas_Revisiones'!$S$2:$S$282,"T077",'Prácticas_Revisiones'!$T$2:$T$282,"SOFTWARE ENG. PROCESS &gt; Subárea no determinable")+COUNTIFS('Prácticas_Snowballing'!$AB$2:$AB$281,"T077",'Prácticas_Snowballing'!$AC$2:$AC$281,"SOFTWARE ENG. PROCESS &gt; Subárea no determinable")</f>
        <v>0</v>
      </c>
      <c r="BT91" s="29">
        <f t="shared" si="77"/>
        <v>0</v>
      </c>
      <c r="BU91" s="17">
        <f>COUNTIFS('Prácticas_Revisiones'!$S$2:$S$282,"T077",'Prácticas_Revisiones'!$T$2:$T$282,"SOFTWARE ENG. MODELS/METH. &gt; Modeling")+COUNTIFS('Prácticas_Snowballing'!$AB$2:$AB$281,"T077",'Prácticas_Snowballing'!$AC$2:$AC$281,"SOFTWARE ENG. MODELS/METH. &gt; Modeling")</f>
        <v>0</v>
      </c>
      <c r="BV91" s="17">
        <f>COUNTIFS('Prácticas_Revisiones'!$S$2:$S$282,"T077",'Prácticas_Revisiones'!$T$2:$T$282,"SOFTWARE ENG. MODELS/METH. &gt; Types of Models")+COUNTIFS('Prácticas_Snowballing'!$AB$2:$AB$281,"T077",'Prácticas_Snowballing'!$AC$2:$AC$281,"SOFTWARE ENG. MODELS/METH. &gt; Types of Models")</f>
        <v>0</v>
      </c>
      <c r="BW91" s="17">
        <f>COUNTIFS('Prácticas_Revisiones'!$S$2:$S$282,"T077",'Prácticas_Revisiones'!$T$2:$T$282,"SOFTWARE ENG. MODELS/METH. &gt; Analysis of Models")+COUNTIFS('Prácticas_Snowballing'!$AB$2:$AB$281,"T077",'Prácticas_Snowballing'!$AC$2:$AC$281,"SOFTWARE ENG. MODELS/METH. &gt; Analysis of Models")</f>
        <v>0</v>
      </c>
      <c r="BX91" s="17">
        <f>COUNTIFS('Prácticas_Revisiones'!$S$2:$S$282,"T077",'Prácticas_Revisiones'!$T$2:$T$282,"SOFTWARE ENG. MODELS/METH. &gt; Software Engineering Methods")+COUNTIFS('Prácticas_Snowballing'!$AB$2:$AB$281,"T077",'Prácticas_Snowballing'!$AC$2:$AC$281,"SOFTWARE ENG. MODELS/METH. &gt; Software Engineering Methods")</f>
        <v>0</v>
      </c>
      <c r="BY91" s="17">
        <f>COUNTIFS('Prácticas_Revisiones'!$S$2:$S$282,"T077",'Prácticas_Revisiones'!$T$2:$T$282,"SOFTWARE ENG. MODELS/METH. &gt; Subárea no determinable")+COUNTIFS('Prácticas_Snowballing'!$AB$2:$AB$281,"T077",'Prácticas_Snowballing'!$AC$2:$AC$281,"SOFTWARE ENG. MODELS/METH. &gt; Subárea no determinable")</f>
        <v>0</v>
      </c>
      <c r="BZ91" s="29">
        <f t="shared" si="78"/>
        <v>0</v>
      </c>
      <c r="CA91" s="17">
        <f>COUNTIFS('Prácticas_Revisiones'!$S$2:$S$282,"T077",'Prácticas_Revisiones'!$T$2:$T$282,"SOFTWARE QUALITY &gt; Software Quality Fundamentals")+COUNTIFS('Prácticas_Snowballing'!$AB$2:$AB$281,"T077",'Prácticas_Snowballing'!$AC$2:$AC$281,"SOFTWARE QUALITY &gt; Software Quality Fundamentals")</f>
        <v>0</v>
      </c>
      <c r="CB91" s="17">
        <f>COUNTIFS('Prácticas_Revisiones'!$S$2:$S$282,"T077",'Prácticas_Revisiones'!$T$2:$T$282,"SOFTWARE QUALITY &gt; Software Quality Management Process")+COUNTIFS('Prácticas_Snowballing'!$AB$2:$AB$281,"T077",'Prácticas_Snowballing'!$AC$2:$AC$281,"SOFTWARE QUALITY &gt; Software Quality Management Process")</f>
        <v>0</v>
      </c>
      <c r="CC91" s="17">
        <f>COUNTIFS('Prácticas_Revisiones'!$S$2:$S$282,"T077",'Prácticas_Revisiones'!$T$2:$T$282,"SOFTWARE QUALITY &gt; Software Quality Assurance Process")+COUNTIFS('Prácticas_Snowballing'!$AB$2:$AB$281,"T077",'Prácticas_Snowballing'!$AC$2:$AC$281,"SOFTWARE QUALITY &gt; Software Quality Assurance Process")</f>
        <v>0</v>
      </c>
      <c r="CD91" s="17">
        <f>COUNTIFS('Prácticas_Revisiones'!$S$2:$S$282,"T077",'Prácticas_Revisiones'!$T$2:$T$282,"SOFTWARE QUALITY &gt; Software Quality Tools")+COUNTIFS('Prácticas_Snowballing'!$AB$2:$AB$281,"T077",'Prácticas_Snowballing'!$AC$2:$AC$281,"SOFTWARE QUALITY &gt; Software Quality Tools")</f>
        <v>0</v>
      </c>
      <c r="CE91" s="17">
        <f>COUNTIFS('Prácticas_Revisiones'!$S$2:$S$282,"T077",'Prácticas_Revisiones'!$T$2:$T$282,"SOFTWARE QUALITY &gt; Subárea no determinable")+COUNTIFS('Prácticas_Snowballing'!$AB$2:$AB$281,"T077",'Prácticas_Snowballing'!$AC$2:$AC$281,"SOFTWARE QUALITY &gt; Subárea no determinable")</f>
        <v>0</v>
      </c>
      <c r="CF91" s="29">
        <f t="shared" si="79"/>
        <v>0</v>
      </c>
      <c r="CG91" s="17">
        <f>COUNTIFS('Prácticas_Revisiones'!$S$2:$S$282,"T077",'Prácticas_Revisiones'!$T$2:$T$282,"SOFTWARE SECURITY &gt; Software Security Fundamentals")+COUNTIFS('Prácticas_Snowballing'!$AB$2:$AB$281,"T077",'Prácticas_Snowballing'!$AC$2:$AC$281,"SOFTWARE SECURITY &gt; Software Security Fundamentals")</f>
        <v>0</v>
      </c>
      <c r="CH91" s="17">
        <f>COUNTIFS('Prácticas_Revisiones'!$S$2:$S$282,"T077",'Prácticas_Revisiones'!$T$2:$T$282,"SOFTWARE SECURITY &gt; Security Management and Organization")+COUNTIFS('Prácticas_Snowballing'!$AB$2:$AB$281,"T077",'Prácticas_Snowballing'!$AC$2:$AC$281,"SOFTWARE SECURITY &gt; Security Management and Organization")</f>
        <v>0</v>
      </c>
      <c r="CI91" s="17">
        <f>COUNTIFS('Prácticas_Revisiones'!$S$2:$S$282,"T077",'Prácticas_Revisiones'!$T$2:$T$282,"SOFTWARE SECURITY &gt; Software Security Engineering and Process")+COUNTIFS('Prácticas_Snowballing'!$AB$2:$AB$281,"T077",'Prácticas_Snowballing'!$AC$2:$AC$281,"SOFTWARE SECURITY &gt; Software Security Engineering and Process")</f>
        <v>0</v>
      </c>
      <c r="CJ91" s="17">
        <f>COUNTIFS('Prácticas_Revisiones'!$S$2:$S$282,"T077",'Prácticas_Revisiones'!$T$2:$T$282,"SOFTWARE SECURITY &gt; Security Engineering for Software Systems")+COUNTIFS('Prácticas_Snowballing'!$AB$2:$AB$281,"T077",'Prácticas_Snowballing'!$AC$2:$AC$281,"SOFTWARE SECURITY &gt; Security Engineering for Software Systems")</f>
        <v>0</v>
      </c>
      <c r="CK91" s="17">
        <f>COUNTIFS('Prácticas_Revisiones'!$S$2:$S$282,"T077",'Prácticas_Revisiones'!$T$2:$T$282,"SOFTWARE SECURITY &gt; Software Security Tools")+COUNTIFS('Prácticas_Snowballing'!$AB$2:$AB$281,"T077",'Prácticas_Snowballing'!$AC$2:$AC$281,"SOFTWARE SECURITY &gt; Software Security Tools")</f>
        <v>0</v>
      </c>
      <c r="CL91" s="17">
        <f>COUNTIFS('Prácticas_Revisiones'!$S$2:$S$282,"T077",'Prácticas_Revisiones'!$T$2:$T$282,"SOFTWARE SECURITY &gt; Domain Specific Software Security")+COUNTIFS('Prácticas_Snowballing'!$AB$2:$AB$281,"T077",'Prácticas_Snowballing'!$AC$2:$AC$281,"SOFTWARE SECURITY &gt; Domain Specific Software Security")</f>
        <v>0</v>
      </c>
      <c r="CM91" s="17">
        <f>COUNTIFS('Prácticas_Revisiones'!$S$2:$S$282,"T077",'Prácticas_Revisiones'!$T$2:$T$282,"SOFTWARE SECURITY &gt; Subárea no determinable")+COUNTIFS('Prácticas_Snowballing'!$AB$2:$AB$281,"T077",'Prácticas_Snowballing'!$AC$2:$AC$281,"SOFTWARE SECURITY &gt; Subárea no determinable")</f>
        <v>0</v>
      </c>
      <c r="CN91" s="29">
        <f t="shared" si="80"/>
        <v>0</v>
      </c>
      <c r="CO91" s="17">
        <f>COUNTIFS('Prácticas_Revisiones'!$S$2:$S$282,"T077",'Prácticas_Revisiones'!$T$2:$T$282,"PROFESSIONAL PRACTICE &gt; Professionalism")+COUNTIFS('Prácticas_Snowballing'!$AB$2:$AB$281,"T077",'Prácticas_Snowballing'!$AC$2:$AC$281,"PROFESSIONAL PRACTICE &gt; Professionalism")</f>
        <v>0</v>
      </c>
      <c r="CP91" s="17">
        <f>COUNTIFS('Prácticas_Revisiones'!$S$2:$S$282,"T077",'Prácticas_Revisiones'!$T$2:$T$282,"PROFESSIONAL PRACTICE &gt; Group Dynamics and Psychology")+COUNTIFS('Prácticas_Snowballing'!$AB$2:$AB$281,"T077",'Prácticas_Snowballing'!$AC$2:$AC$281,"PROFESSIONAL PRACTICE &gt; Group Dynamics and Psychology")</f>
        <v>0</v>
      </c>
      <c r="CQ91" s="17">
        <f>COUNTIFS('Prácticas_Revisiones'!$S$2:$S$282,"T077",'Prácticas_Revisiones'!$T$2:$T$282,"PROFESSIONAL PRACTICE &gt; Communication Skills")+COUNTIFS('Prácticas_Snowballing'!$AB$2:$AB$281,"T077",'Prácticas_Snowballing'!$AC$2:$AC$281,"PROFESSIONAL PRACTICE &gt; Communication Skills")</f>
        <v>0</v>
      </c>
      <c r="CR91" s="17">
        <f>COUNTIFS('Prácticas_Revisiones'!$S$2:$S$282,"T077",'Prácticas_Revisiones'!$T$2:$T$282,"PROFESSIONAL PRACTICE &gt; Subárea no determinable")+COUNTIFS('Prácticas_Snowballing'!$AB$2:$AB$281,"T077",'Prácticas_Snowballing'!$AC$2:$AC$281,"PROFESSIONAL PRACTICE &gt; Subárea no determinable")</f>
        <v>0</v>
      </c>
      <c r="CS91" s="29">
        <f t="shared" si="81"/>
        <v>0</v>
      </c>
      <c r="CT91" s="17">
        <f>COUNTIFS('Prácticas_Revisiones'!$S$2:$S$282,"T077",'Prácticas_Revisiones'!$T$2:$T$282,"SOFTWARE ENG. ECONOMICS &gt; Software Engineering Economics Fundamentals")+COUNTIFS('Prácticas_Snowballing'!$AB$2:$AB$281,"T077",'Prácticas_Snowballing'!$AC$2:$AC$281,"SOFTWARE ENG. ECONOMICS &gt; Software Engineering Economics Fundamentals")</f>
        <v>0</v>
      </c>
      <c r="CU91" s="17">
        <f>COUNTIFS('Prácticas_Revisiones'!$S$2:$S$282,"T077",'Prácticas_Revisiones'!$T$2:$T$282,"SOFTWARE ENG. ECONOMICS &gt; The Engineering Decision-Making Process")+COUNTIFS('Prácticas_Snowballing'!$AB$2:$AB$281,"T077",'Prácticas_Snowballing'!$AC$2:$AC$281,"SOFTWARE ENG. ECONOMICS &gt; The Engineering Decision-Making Process")</f>
        <v>0</v>
      </c>
      <c r="CV91" s="17">
        <f>COUNTIFS('Prácticas_Revisiones'!$S$2:$S$282,"T077",'Prácticas_Revisiones'!$T$2:$T$282,"SOFTWARE ENG. ECONOMICS &gt; For-Profit Decision-Making")+COUNTIFS('Prácticas_Snowballing'!$AB$2:$AB$281,"T077",'Prácticas_Snowballing'!$AC$2:$AC$281,"SOFTWARE ENG. ECONOMICS &gt; For-Profit Decision-Making")</f>
        <v>0</v>
      </c>
      <c r="CW91" s="17">
        <f>COUNTIFS('Prácticas_Revisiones'!$S$2:$S$282,"T077",'Prácticas_Revisiones'!$T$2:$T$282,"SOFTWARE ENG. ECONOMICS &gt; Nonprofit Decision-Making")+COUNTIFS('Prácticas_Snowballing'!$AB$2:$AB$281,"T077",'Prácticas_Snowballing'!$AC$2:$AC$281,"SOFTWARE ENG. ECONOMICS &gt; Nonprofit Decision-Making")</f>
        <v>0</v>
      </c>
      <c r="CX91" s="17">
        <f>COUNTIFS('Prácticas_Revisiones'!$S$2:$S$282,"T077",'Prácticas_Revisiones'!$T$2:$T$282,"SOFTWARE ENG. ECONOMICS &gt; Present Economy Decision-Making")+COUNTIFS('Prácticas_Snowballing'!$AB$2:$AB$281,"T077",'Prácticas_Snowballing'!$AC$2:$AC$281,"SOFTWARE ENG. ECONOMICS &gt; Present Economy Decision-Making")</f>
        <v>0</v>
      </c>
      <c r="CY91" s="17">
        <f>COUNTIFS('Prácticas_Revisiones'!$S$2:$S$282,"T077",'Prácticas_Revisiones'!$T$2:$T$282,"SOFTWARE ENG. ECONOMICS &gt; Multiple-Attribute Decision-Making")+COUNTIFS('Prácticas_Snowballing'!$AB$2:$AB$281,"T077",'Prácticas_Snowballing'!$AC$2:$AC$281,"SOFTWARE ENG. ECONOMICS &gt; Multiple-Attribute Decision-Making")</f>
        <v>0</v>
      </c>
      <c r="CZ91" s="17">
        <f>COUNTIFS('Prácticas_Revisiones'!$S$2:$S$282,"T077",'Prácticas_Revisiones'!$T$2:$T$282,"SOFTWARE ENG. ECONOMICS &gt; Identifying and Characterizing Intangible Assets")+COUNTIFS('Prácticas_Snowballing'!$AB$2:$AB$281,"T077",'Prácticas_Snowballing'!$AC$2:$AC$281,"SOFTWARE ENG. ECONOMICS &gt; Identifying and Characterizing Intangible Assets")</f>
        <v>0</v>
      </c>
      <c r="DA91" s="17">
        <f>COUNTIFS('Prácticas_Revisiones'!$S$2:$S$282,"T077",'Prácticas_Revisiones'!$T$2:$T$282,"SOFTWARE ENG. ECONOMICS &gt; Estimation")+COUNTIFS('Prácticas_Snowballing'!$AB$2:$AB$281,"T077",'Prácticas_Snowballing'!$AC$2:$AC$281,"SOFTWARE ENG. ECONOMICS &gt; Estimation")</f>
        <v>0</v>
      </c>
      <c r="DB91" s="17">
        <f>COUNTIFS('Prácticas_Revisiones'!$S$2:$S$282,"T077",'Prácticas_Revisiones'!$T$2:$T$282,"SOFTWARE ENG. ECONOMICS &gt; Practical Considerations")+COUNTIFS('Prácticas_Snowballing'!$AB$2:$AB$281,"T077",'Prácticas_Snowballing'!$AC$2:$AC$281,"SOFTWARE ENG. ECONOMICS &gt; Practical Considerations")</f>
        <v>0</v>
      </c>
      <c r="DC91" s="17">
        <f>COUNTIFS('Prácticas_Revisiones'!$S$2:$S$282,"T077",'Prácticas_Revisiones'!$T$2:$T$282,"SOFTWARE ENG. ECONOMICS &gt; Related Concepts")+COUNTIFS('Prácticas_Snowballing'!$AB$2:$AB$281,"T077",'Prácticas_Snowballing'!$AC$2:$AC$281,"SOFTWARE ENG. ECONOMICS &gt; Related Concepts")</f>
        <v>0</v>
      </c>
      <c r="DD91" s="17">
        <f>COUNTIFS('Prácticas_Revisiones'!$S$2:$S$282,"T077",'Prácticas_Revisiones'!$T$2:$T$282,"SOFTWARE ENG. ECONOMICS &gt; Subárea no determinable")+COUNTIFS('Prácticas_Snowballing'!$AB$2:$AB$281,"T077",'Prácticas_Snowballing'!$AC$2:$AC$281,"SOFTWARE ENG. ECONOMICS &gt; Subárea no determinable")</f>
        <v>0</v>
      </c>
      <c r="DE91" s="29">
        <f t="shared" si="82"/>
        <v>0</v>
      </c>
      <c r="DF91" s="17">
        <f>COUNTIFS('Prácticas_Revisiones'!$S$2:$S$282,"T077",'Prácticas_Revisiones'!$T$2:$T$282,"SOFTWARE ENG. MANAGEMENT &gt; Software Engineering Management Fundamentals")+COUNTIFS('Prácticas_Snowballing'!$AB$2:$AB$281,"T077",'Prácticas_Snowballing'!$AC$2:$AC$281,"SOFTWARE ENG. MANAGEMENT &gt; Software Engineering Management Fundamentals")</f>
        <v>0</v>
      </c>
      <c r="DG91" s="17">
        <f>COUNTIFS('Prácticas_Revisiones'!$S$2:$S$282,"T077",'Prácticas_Revisiones'!$T$2:$T$282,"SOFTWARE ENG. MANAGEMENT &gt; Initiation and Scope Definition")+COUNTIFS('Prácticas_Snowballing'!$AB$2:$AB$281,"T077",'Prácticas_Snowballing'!$AC$2:$AC$281,"SOFTWARE ENG. MANAGEMENT &gt; Initiation and Scope Definition")</f>
        <v>0</v>
      </c>
      <c r="DH91" s="17">
        <f>COUNTIFS('Prácticas_Revisiones'!$S$2:$S$282,"T077",'Prácticas_Revisiones'!$T$2:$T$282,"SOFTWARE ENG. MANAGEMENT &gt; Software Project Planning")+COUNTIFS('Prácticas_Snowballing'!$AB$2:$AB$281,"T077",'Prácticas_Snowballing'!$AC$2:$AC$281,"SOFTWARE ENG. MANAGEMENT &gt; Software Project Planning")</f>
        <v>0</v>
      </c>
      <c r="DI91" s="17">
        <f>COUNTIFS('Prácticas_Revisiones'!$S$2:$S$282,"T077",'Prácticas_Revisiones'!$T$2:$T$282,"SOFTWARE ENG. MANAGEMENT &gt; Software Project Enactment")+COUNTIFS('Prácticas_Snowballing'!$AB$2:$AB$281,"T077",'Prácticas_Snowballing'!$AC$2:$AC$281,"SOFTWARE ENG. MANAGEMENT &gt; Software Project Enactment")</f>
        <v>0</v>
      </c>
      <c r="DJ91" s="17">
        <f>COUNTIFS('Prácticas_Revisiones'!$S$2:$S$282,"T077",'Prácticas_Revisiones'!$T$2:$T$282,"SOFTWARE ENG. MANAGEMENT &gt; Review and Evaluation")+COUNTIFS('Prácticas_Snowballing'!$AB$2:$AB$281,"T077",'Prácticas_Snowballing'!$AC$2:$AC$281,"SOFTWARE ENG. MANAGEMENT &gt; Review and Evaluation")</f>
        <v>0</v>
      </c>
      <c r="DK91" s="17">
        <f>COUNTIFS('Prácticas_Revisiones'!$S$2:$S$282,"T077",'Prácticas_Revisiones'!$T$2:$T$282,"SOFTWARE ENG. MANAGEMENT &gt; Closure")+COUNTIFS('Prácticas_Snowballing'!$AB$2:$AB$281,"T077",'Prácticas_Snowballing'!$AC$2:$AC$281,"SOFTWARE ENG. MANAGEMENT &gt; Closure")</f>
        <v>0</v>
      </c>
      <c r="DL91" s="17">
        <f>COUNTIFS('Prácticas_Revisiones'!$S$2:$S$282,"T077",'Prácticas_Revisiones'!$T$2:$T$282,"SOFTWARE ENG. MANAGEMENT &gt; Software Engineering Management Tools")+COUNTIFS('Prácticas_Snowballing'!$AB$2:$AB$281,"T077",'Prácticas_Snowballing'!$AC$2:$AC$281,"SOFTWARE ENG. MANAGEMENT &gt; Software Engineering Management Tools")</f>
        <v>0</v>
      </c>
      <c r="DM91" s="17">
        <f>COUNTIFS('Prácticas_Revisiones'!$S$2:$S$282,"T077",'Prácticas_Revisiones'!$T$2:$T$282,"SOFTWARE ENG. MANAGEMENT &gt; Subárea no determinable")+COUNTIFS('Prácticas_Snowballing'!$AB$2:$AB$281,"T077",'Prácticas_Snowballing'!$AC$2:$AC$281,"SOFTWARE ENG. MANAGEMENT &gt; Subárea no determinable")</f>
        <v>0</v>
      </c>
      <c r="DN91" s="29">
        <f t="shared" si="83"/>
        <v>0</v>
      </c>
      <c r="DO91" s="17">
        <f>COUNTIFS('Prácticas_Revisiones'!$S$2:$S$282,"T077",'Prácticas_Revisiones'!$T$2:$T$282,"Sin área SWEBOK")+COUNTIFS('Prácticas_Snowballing'!$AB$2:$AB$281,"T077",'Prácticas_Snowballing'!$AC$2:$AC$281,"Sin área SWEBOK")</f>
        <v>0</v>
      </c>
      <c r="DP91" s="27">
        <f t="shared" si="84"/>
        <v>0</v>
      </c>
    </row>
    <row r="92" ht="15.75" customHeight="1">
      <c r="A92" s="28"/>
      <c r="B92" s="16" t="s">
        <v>2771</v>
      </c>
      <c r="C92" s="17">
        <f>COUNTIFS('Prácticas_Revisiones'!$S$2:$S$282,"T078",'Prácticas_Revisiones'!$T$2:$T$282,"REQUIREMENTS &gt; Software Requirements Fundamentals")+COUNTIFS('Prácticas_Snowballing'!$AB$2:$AB$281,"T078",'Prácticas_Snowballing'!$AC$2:$AC$281,"REQUIREMENTS &gt; Software Requirements Fundamentals")</f>
        <v>0</v>
      </c>
      <c r="D92" s="17">
        <f>COUNTIFS('Prácticas_Revisiones'!$S$2:$S$282,"T078",'Prácticas_Revisiones'!$T$2:$T$282,"REQUIREMENTS &gt; Requirements Elicitation")+COUNTIFS('Prácticas_Snowballing'!$AB$2:$AB$281,"T078",'Prácticas_Snowballing'!$AC$2:$AC$281,"REQUIREMENTS &gt; Requirements Elicitation")</f>
        <v>0</v>
      </c>
      <c r="E92" s="17">
        <f>COUNTIFS('Prácticas_Revisiones'!$S$2:$S$282,"T078",'Prácticas_Revisiones'!$T$2:$T$282,"REQUIREMENTS &gt; Requirements Analysis")+COUNTIFS('Prácticas_Snowballing'!$AB$2:$AB$281,"T078",'Prácticas_Snowballing'!$AC$2:$AC$281,"REQUIREMENTS &gt; Requirements Analysis")</f>
        <v>0</v>
      </c>
      <c r="F92" s="17">
        <f>COUNTIFS('Prácticas_Revisiones'!$S$2:$S$282,"T078",'Prácticas_Revisiones'!$T$2:$T$282,"REQUIREMENTS &gt; Requirements Specification")+COUNTIFS('Prácticas_Snowballing'!$AB$2:$AB$281,"T078",'Prácticas_Snowballing'!$AC$2:$AC$281,"REQUIREMENTS &gt; Requirements Specification")</f>
        <v>0</v>
      </c>
      <c r="G92" s="17">
        <f>COUNTIFS('Prácticas_Revisiones'!$S$2:$S$282,"T078",'Prácticas_Revisiones'!$T$2:$T$282,"REQUIREMENTS &gt; Requirements Validation")+COUNTIFS('Prácticas_Snowballing'!$AB$2:$AB$281,"T078",'Prácticas_Snowballing'!$AC$2:$AC$281,"REQUIREMENTS &gt; Requirements Validation")</f>
        <v>0</v>
      </c>
      <c r="H92" s="17">
        <f>COUNTIFS('Prácticas_Revisiones'!$S$2:$S$282,"T078",'Prácticas_Revisiones'!$T$2:$T$282,"REQUIREMENTS &gt; Requirements Management Activities")+COUNTIFS('Prácticas_Snowballing'!$AB$2:$AB$281,"T078",'Prácticas_Snowballing'!$AC$2:$AC$281,"REQUIREMENTS &gt; Requirements Management Activities")</f>
        <v>0</v>
      </c>
      <c r="I92" s="17">
        <f>COUNTIFS('Prácticas_Revisiones'!$S$2:$S$282,"T078",'Prácticas_Revisiones'!$T$2:$T$282,"REQUIREMENTS &gt; Practical Considerations")+COUNTIFS('Prácticas_Snowballing'!$AB$2:$AB$281,"T078",'Prácticas_Snowballing'!$AC$2:$AC$281,"REQUIREMENTS &gt; Practical Considerations")</f>
        <v>0</v>
      </c>
      <c r="J92" s="17">
        <f>COUNTIFS('Prácticas_Revisiones'!$S$2:$S$282,"T078",'Prácticas_Revisiones'!$T$2:$T$282,"REQUIREMENTS &gt; Software Requirements Tools")+COUNTIFS('Prácticas_Snowballing'!$AB$2:$AB$281,"T078",'Prácticas_Snowballing'!$AC$2:$AC$281,"REQUIREMENTS &gt; Software Requirements Tools")</f>
        <v>0</v>
      </c>
      <c r="K92" s="17">
        <f>COUNTIFS('Prácticas_Revisiones'!$S$2:$S$282,"T078",'Prácticas_Revisiones'!$T$2:$T$282,"REQUIREMENTS &gt; Subárea no determinable")+COUNTIFS('Prácticas_Snowballing'!$AB$2:$AB$281,"T078",'Prácticas_Snowballing'!$AC$2:$AC$281,"REQUIREMENTS &gt; Subárea no determinable")</f>
        <v>0</v>
      </c>
      <c r="L92" s="29">
        <f t="shared" si="69"/>
        <v>0</v>
      </c>
      <c r="M92" s="17">
        <f>COUNTIFS('Prácticas_Revisiones'!$S$2:$S$282,"T078",'Prácticas_Revisiones'!$T$2:$T$282,"ARCHITECTURE &gt; Software Architecture Fundamentals")+COUNTIFS('Prácticas_Snowballing'!$AB$2:$AB$281,"T078",'Prácticas_Snowballing'!$AC$2:$AC$281,"ARCHITECTURE &gt; Software Architecture Fundamentals")</f>
        <v>0</v>
      </c>
      <c r="N92" s="17">
        <f>COUNTIFS('Prácticas_Revisiones'!$S$2:$S$282,"T078",'Prácticas_Revisiones'!$T$2:$T$282,"ARCHITECTURE &gt; Software Architecture Description")+COUNTIFS('Prácticas_Snowballing'!$AB$2:$AB$281,"T078",'Prácticas_Snowballing'!$AC$2:$AC$281,"ARCHITECTURE &gt; Software Architecture Description")</f>
        <v>0</v>
      </c>
      <c r="O92" s="17">
        <f>COUNTIFS('Prácticas_Revisiones'!$S$2:$S$282,"T078",'Prácticas_Revisiones'!$T$2:$T$282,"ARCHITECTURE &gt; Software Architecture Process")+COUNTIFS('Prácticas_Snowballing'!$AB$2:$AB$281,"T078",'Prácticas_Snowballing'!$AC$2:$AC$281,"ARCHITECTURE &gt; Software Architecture Process")</f>
        <v>0</v>
      </c>
      <c r="P92" s="17">
        <f>COUNTIFS('Prácticas_Revisiones'!$S$2:$S$282,"T078",'Prácticas_Revisiones'!$T$2:$T$282,"ARCHITECTURE &gt; Software Architecture Evaluation")+COUNTIFS('Prácticas_Snowballing'!$AB$2:$AB$281,"T078",'Prácticas_Snowballing'!$AC$2:$AC$281,"ARCHITECTURE &gt; Software Architecture Evaluation")</f>
        <v>0</v>
      </c>
      <c r="Q92" s="17">
        <f>COUNTIFS('Prácticas_Revisiones'!$S$2:$S$282,"T078",'Prácticas_Revisiones'!$T$2:$T$282,"ARCHITECTURE &gt; Subárea no determinable")+COUNTIFS('Prácticas_Snowballing'!$AB$2:$AB$281,"T078",'Prácticas_Snowballing'!$AC$2:$AC$281,"ARCHITECTURE &gt; Subárea no determinable")</f>
        <v>0</v>
      </c>
      <c r="R92" s="29">
        <f t="shared" si="70"/>
        <v>0</v>
      </c>
      <c r="S92" s="17">
        <f>COUNTIFS('Prácticas_Revisiones'!$S$2:$S$282,"T078",'Prácticas_Revisiones'!$T$2:$T$282,"DESIGN &gt; Software Design Fundamentals")+COUNTIFS('Prácticas_Snowballing'!$AB$2:$AB$281,"T078",'Prácticas_Snowballing'!$AC$2:$AC$281,"DESIGN &gt; Software Design Fundamentals")</f>
        <v>0</v>
      </c>
      <c r="T92" s="17">
        <f>COUNTIFS('Prácticas_Revisiones'!$S$2:$S$282,"T078",'Prácticas_Revisiones'!$T$2:$T$282,"DESIGN &gt; Software Design Processes")+COUNTIFS('Prácticas_Snowballing'!$AB$2:$AB$281,"T078",'Prácticas_Snowballing'!$AC$2:$AC$281,"DESIGN &gt; Software Design Processes")</f>
        <v>0</v>
      </c>
      <c r="U92" s="17">
        <f>COUNTIFS('Prácticas_Revisiones'!$S$2:$S$282,"T078",'Prácticas_Revisiones'!$T$2:$T$282,"DESIGN &gt; Software Design Qualities")+COUNTIFS('Prácticas_Snowballing'!$AB$2:$AB$281,"T078",'Prácticas_Snowballing'!$AC$2:$AC$281,"DESIGN &gt; Software Design Qualities")</f>
        <v>0</v>
      </c>
      <c r="V92" s="17">
        <f>COUNTIFS('Prácticas_Revisiones'!$S$2:$S$282,"T078",'Prácticas_Revisiones'!$T$2:$T$282,"DESIGN &gt; Recording Software Design")+COUNTIFS('Prácticas_Snowballing'!$AB$2:$AB$281,"T078",'Prácticas_Snowballing'!$AC$2:$AC$281,"DESIGN &gt; Recording Software Design")</f>
        <v>1</v>
      </c>
      <c r="W92" s="17">
        <f>COUNTIFS('Prácticas_Revisiones'!$S$2:$S$282,"T078",'Prácticas_Revisiones'!$T$2:$T$282,"DESIGN &gt; Software Design Strategies and Methods")+COUNTIFS('Prácticas_Snowballing'!$AB$2:$AB$281,"T078",'Prácticas_Snowballing'!$AC$2:$AC$281,"DESIGN &gt; Software Design Strategies and Methods")</f>
        <v>0</v>
      </c>
      <c r="X92" s="17">
        <f>COUNTIFS('Prácticas_Revisiones'!$S$2:$S$282,"T078",'Prácticas_Revisiones'!$T$2:$T$282,"DESIGN &gt; Software Design Analysis and Evaluations")+COUNTIFS('Prácticas_Snowballing'!$AB$2:$AB$281,"T078",'Prácticas_Snowballing'!$AC$2:$AC$281,"DESIGN &gt; Software Design Analysis and Evaluations")</f>
        <v>0</v>
      </c>
      <c r="Y92" s="17">
        <f>COUNTIFS('Prácticas_Revisiones'!$S$2:$S$282,"T078",'Prácticas_Revisiones'!$T$2:$T$282,"DESIGN &gt; Subárea no determinable")+COUNTIFS('Prácticas_Snowballing'!$AB$2:$AB$281,"T078",'Prácticas_Snowballing'!$AC$2:$AC$281,"DESIGN &gt; Subárea no determinable")</f>
        <v>0</v>
      </c>
      <c r="Z92" s="29">
        <f t="shared" si="71"/>
        <v>1</v>
      </c>
      <c r="AA92" s="17">
        <f>COUNTIFS('Prácticas_Revisiones'!$S$2:$S$282,"T078",'Prácticas_Revisiones'!$T$2:$T$282,"CONSTRUCTION &gt; Software Construction Fundamentals")+COUNTIFS('Prácticas_Snowballing'!$AB$2:$AB$281,"T078",'Prácticas_Snowballing'!$AC$2:$AC$281,"CONSTRUCTION &gt; Software Construction Fundamentals")</f>
        <v>0</v>
      </c>
      <c r="AB92" s="17">
        <f>COUNTIFS('Prácticas_Revisiones'!$S$2:$S$282,"T078",'Prácticas_Revisiones'!$T$2:$T$282,"CONSTRUCTION &gt; Managing Construction")+COUNTIFS('Prácticas_Snowballing'!$AB$2:$AB$281,"T078",'Prácticas_Snowballing'!$AC$2:$AC$281,"CONSTRUCTION &gt; Managing Construction")</f>
        <v>0</v>
      </c>
      <c r="AC92" s="17">
        <f>COUNTIFS('Prácticas_Revisiones'!$S$2:$S$282,"T078",'Prácticas_Revisiones'!$T$2:$T$282,"CONSTRUCTION &gt; Practical Considerations")+COUNTIFS('Prácticas_Snowballing'!$AB$2:$AB$281,"T078",'Prácticas_Snowballing'!$AC$2:$AC$281,"CONSTRUCTION &gt; Practical Considerations")</f>
        <v>0</v>
      </c>
      <c r="AD92" s="17">
        <f>COUNTIFS('Prácticas_Revisiones'!$S$2:$S$282,"T078",'Prácticas_Revisiones'!$T$2:$T$282,"CONSTRUCTION &gt; Construction Technologies")+COUNTIFS('Prácticas_Snowballing'!$AB$2:$AB$281,"T078",'Prácticas_Snowballing'!$AC$2:$AC$281,"CONSTRUCTION &gt; Construction Technologies")</f>
        <v>0</v>
      </c>
      <c r="AE92" s="17">
        <f>COUNTIFS('Prácticas_Revisiones'!$S$2:$S$282,"T078",'Prácticas_Revisiones'!$T$2:$T$282,"CONSTRUCTION &gt; Software Construction Tools")+COUNTIFS('Prácticas_Snowballing'!$AB$2:$AB$281,"T078",'Prácticas_Snowballing'!$AC$2:$AC$281,"CONSTRUCTION &gt; Software Construction Tools")</f>
        <v>0</v>
      </c>
      <c r="AF92" s="17">
        <f>COUNTIFS('Prácticas_Revisiones'!$S$2:$S$282,"T078",'Prácticas_Revisiones'!$T$2:$T$282,"CONSTRUCTION &gt; Subárea no determinable")+COUNTIFS('Prácticas_Snowballing'!$AB$2:$AB$281,"T078",'Prácticas_Snowballing'!$AC$2:$AC$281,"CONSTRUCTION &gt; Subárea no determinable")</f>
        <v>0</v>
      </c>
      <c r="AG92" s="29">
        <f t="shared" si="72"/>
        <v>0</v>
      </c>
      <c r="AH92" s="17">
        <f>COUNTIFS('Prácticas_Revisiones'!$S$2:$S$282,"T078",'Prácticas_Revisiones'!$T$2:$T$282,"SOFTWARE TESTING &gt; Software Testing Fundamentals")+COUNTIFS('Prácticas_Snowballing'!$AB$2:$AB$281,"T078",'Prácticas_Snowballing'!$AC$2:$AC$281,"SOFTWARE TESTING &gt; Software Testing Fundamentals")</f>
        <v>0</v>
      </c>
      <c r="AI92" s="17">
        <f>COUNTIFS('Prácticas_Revisiones'!$S$2:$S$282,"T078",'Prácticas_Revisiones'!$T$2:$T$282,"SOFTWARE TESTING &gt; Test Levels")+COUNTIFS('Prácticas_Snowballing'!$AB$2:$AB$281,"T078",'Prácticas_Snowballing'!$AC$2:$AC$281,"SOFTWARE TESTING &gt; Test Levels")</f>
        <v>0</v>
      </c>
      <c r="AJ92" s="17">
        <f>COUNTIFS('Prácticas_Revisiones'!$S$2:$S$282,"T078",'Prácticas_Revisiones'!$T$2:$T$282,"SOFTWARE TESTING &gt; Test Techniques")+COUNTIFS('Prácticas_Snowballing'!$AB$2:$AB$281,"T078",'Prácticas_Snowballing'!$AC$2:$AC$281,"SOFTWARE TESTING &gt; Test Techniques")</f>
        <v>0</v>
      </c>
      <c r="AK92" s="17">
        <f>COUNTIFS('Prácticas_Revisiones'!$S$2:$S$282,"T078",'Prácticas_Revisiones'!$T$2:$T$282,"SOFTWARE TESTING &gt; Test-Related Measures")+COUNTIFS('Prácticas_Snowballing'!$AB$2:$AB$281,"T078",'Prácticas_Snowballing'!$AC$2:$AC$281,"SOFTWARE TESTING &gt; Test-Related Measures")</f>
        <v>0</v>
      </c>
      <c r="AL92" s="17">
        <f>COUNTIFS('Prácticas_Revisiones'!$S$2:$S$282,"T078",'Prácticas_Revisiones'!$T$2:$T$282,"SOFTWARE TESTING &gt; Test Process")+COUNTIFS('Prácticas_Snowballing'!$AB$2:$AB$281,"T078",'Prácticas_Snowballing'!$AC$2:$AC$281,"SOFTWARE TESTING &gt; Test Process")</f>
        <v>0</v>
      </c>
      <c r="AM92" s="17">
        <f>COUNTIFS('Prácticas_Revisiones'!$S$2:$S$282,"T078",'Prácticas_Revisiones'!$T$2:$T$282,"SOFTWARE TESTING &gt; Software Testing in the Development Processes...")+COUNTIFS('Prácticas_Snowballing'!$AB$2:$AB$281,"T078",'Prácticas_Snowballing'!$AC$2:$AC$281,"SOFTWARE TESTING &gt; Software Testing in the Development Processes...")</f>
        <v>0</v>
      </c>
      <c r="AN92" s="17">
        <f>COUNTIFS('Prácticas_Revisiones'!$S$2:$S$282,"T078",'Prácticas_Revisiones'!$T$2:$T$282,"SOFTWARE TESTING &gt; Testing of and Testing Through Emerging Tech...")+COUNTIFS('Prácticas_Snowballing'!$AB$2:$AB$281,"T078",'Prácticas_Snowballing'!$AC$2:$AC$281,"SOFTWARE TESTING &gt; Testing of and Testing Through Emerging Tech...")</f>
        <v>0</v>
      </c>
      <c r="AO92" s="17">
        <f>COUNTIFS('Prácticas_Revisiones'!$S$2:$S$282,"T078",'Prácticas_Revisiones'!$T$2:$T$282,"SOFTWARE TESTING &gt; Software Testing Tools")+COUNTIFS('Prácticas_Snowballing'!$AB$2:$AB$281,"T078",'Prácticas_Snowballing'!$AC$2:$AC$281,"SOFTWARE TESTING &gt; Software Testing Tools")</f>
        <v>0</v>
      </c>
      <c r="AP92" s="17">
        <f>COUNTIFS('Prácticas_Revisiones'!$S$2:$S$282,"T078",'Prácticas_Revisiones'!$T$2:$T$282,"SOFTWARE TESTING &gt; Subárea no determinable")+COUNTIFS('Prácticas_Snowballing'!$AB$2:$AB$281,"T078",'Prácticas_Snowballing'!$AC$2:$AC$281,"SOFTWARE TESTING &gt; Subárea no determinable")</f>
        <v>0</v>
      </c>
      <c r="AQ92" s="29">
        <f t="shared" si="73"/>
        <v>0</v>
      </c>
      <c r="AR92" s="17">
        <f>COUNTIFS('Prácticas_Revisiones'!$S$2:$S$282,"T078",'Prácticas_Revisiones'!$T$2:$T$282,"SOFTWARE ENG. OPERATIONS &gt; Software Engineering Operations Fundamentals")+COUNTIFS('Prácticas_Snowballing'!$AB$2:$AB$281,"T078",'Prácticas_Snowballing'!$AC$2:$AC$281,"SOFTWARE ENG. OPERATIONS &gt; Software Engineering Operations Fundamentals")</f>
        <v>0</v>
      </c>
      <c r="AS92" s="17">
        <f>COUNTIFS('Prácticas_Revisiones'!$S$2:$S$282,"T078",'Prácticas_Revisiones'!$T$2:$T$282,"SOFTWARE ENG. OPERATIONS &gt; Software Engineering Operations Planning")+COUNTIFS('Prácticas_Snowballing'!$AB$2:$AB$281,"T078",'Prácticas_Snowballing'!$AC$2:$AC$281,"SOFTWARE ENG. OPERATIONS &gt; Software Engineering Operations Planning")</f>
        <v>0</v>
      </c>
      <c r="AT92" s="17">
        <f>COUNTIFS('Prácticas_Revisiones'!$S$2:$S$282,"T078",'Prácticas_Revisiones'!$T$2:$T$282,"SOFTWARE ENG. OPERATIONS &gt; Software Engineering Operations Delivery")+COUNTIFS('Prácticas_Snowballing'!$AB$2:$AB$281,"T078",'Prácticas_Snowballing'!$AC$2:$AC$281,"SOFTWARE ENG. OPERATIONS &gt; Software Engineering Operations Delivery")</f>
        <v>0</v>
      </c>
      <c r="AU92" s="17">
        <f>COUNTIFS('Prácticas_Revisiones'!$S$2:$S$282,"T078",'Prácticas_Revisiones'!$T$2:$T$282,"SOFTWARE ENG. OPERATIONS &gt; Software Engineering Operations Control")+COUNTIFS('Prácticas_Snowballing'!$AB$2:$AB$281,"T078",'Prácticas_Snowballing'!$AC$2:$AC$281,"SOFTWARE ENG. OPERATIONS &gt; Software Engineering Operations Control")</f>
        <v>0</v>
      </c>
      <c r="AV92" s="17">
        <f>COUNTIFS('Prácticas_Revisiones'!$S$2:$S$282,"T078",'Prácticas_Revisiones'!$T$2:$T$282,"SOFTWARE ENG. OPERATIONS &gt; Practical Considerations")+COUNTIFS('Prácticas_Snowballing'!$AB$2:$AB$281,"T078",'Prácticas_Snowballing'!$AC$2:$AC$281,"SOFTWARE ENG. OPERATIONS &gt; Practical Considerations")</f>
        <v>0</v>
      </c>
      <c r="AW92" s="17">
        <f>COUNTIFS('Prácticas_Revisiones'!$S$2:$S$282,"T078",'Prácticas_Revisiones'!$T$2:$T$282,"SOFTWARE ENG. OPERATIONS &gt; Software Engineering Operations Tools")+COUNTIFS('Prácticas_Snowballing'!$AB$2:$AB$281,"T078",'Prácticas_Snowballing'!$AC$2:$AC$281,"SOFTWARE ENG. OPERATIONS &gt; Software Engineering Operations Tools")</f>
        <v>0</v>
      </c>
      <c r="AX92" s="17">
        <f>COUNTIFS('Prácticas_Revisiones'!$S$2:$S$282,"T078",'Prácticas_Revisiones'!$T$2:$T$282,"SOFTWARE ENG. OPERATIONS &gt; Subárea no determinable")+COUNTIFS('Prácticas_Snowballing'!$AB$2:$AB$281,"T078",'Prácticas_Snowballing'!$AC$2:$AC$281,"SOFTWARE ENG. OPERATIONS &gt; Subárea no determinable")</f>
        <v>0</v>
      </c>
      <c r="AY92" s="29">
        <f t="shared" si="74"/>
        <v>0</v>
      </c>
      <c r="AZ92" s="17">
        <f>COUNTIFS('Prácticas_Revisiones'!$S$2:$S$282,"T078",'Prácticas_Revisiones'!$T$2:$T$282,"MAINTENANCE &gt; Software Maintenance Fundamentals")+COUNTIFS('Prácticas_Snowballing'!$AB$2:$AB$281,"T078",'Prácticas_Snowballing'!$AC$2:$AC$281,"MAINTENANCE &gt; Software Maintenance Fundamentals")</f>
        <v>0</v>
      </c>
      <c r="BA92" s="17">
        <f>COUNTIFS('Prácticas_Revisiones'!$S$2:$S$282,"T078",'Prácticas_Revisiones'!$T$2:$T$282,"MAINTENANCE &gt; Key Issues in Software Maintenance")+COUNTIFS('Prácticas_Snowballing'!$AB$2:$AB$281,"T078",'Prácticas_Snowballing'!$AC$2:$AC$281,"MAINTENANCE &gt; Key Issues in Software Maintenance")</f>
        <v>0</v>
      </c>
      <c r="BB92" s="17">
        <f>COUNTIFS('Prácticas_Revisiones'!$S$2:$S$282,"T078",'Prácticas_Revisiones'!$T$2:$T$282,"MAINTENANCE &gt; Software Maintenance Processes")+COUNTIFS('Prácticas_Snowballing'!$AB$2:$AB$281,"T078",'Prácticas_Snowballing'!$AC$2:$AC$281,"MAINTENANCE &gt; Software Maintenance Processes")</f>
        <v>0</v>
      </c>
      <c r="BC92" s="17">
        <f>COUNTIFS('Prácticas_Revisiones'!$S$2:$S$282,"T078",'Prácticas_Revisiones'!$T$2:$T$282,"MAINTENANCE &gt; Software Maintenance Techniques")+COUNTIFS('Prácticas_Snowballing'!$AB$2:$AB$281,"T078",'Prácticas_Snowballing'!$AC$2:$AC$281,"MAINTENANCE &gt; Software Maintenance Techniques")</f>
        <v>0</v>
      </c>
      <c r="BD92" s="17">
        <f>COUNTIFS('Prácticas_Revisiones'!$S$2:$S$282,"T078",'Prácticas_Revisiones'!$T$2:$T$282,"MAINTENANCE &gt; Software Maintenance Tools")+COUNTIFS('Prácticas_Snowballing'!$AB$2:$AB$281,"T078",'Prácticas_Snowballing'!$AC$2:$AC$281,"MAINTENANCE &gt; Software Maintenance Tools")</f>
        <v>0</v>
      </c>
      <c r="BE92" s="17">
        <f>COUNTIFS('Prácticas_Revisiones'!$S$2:$S$282,"T078",'Prácticas_Revisiones'!$T$2:$T$282,"MAINTENANCE &gt; Subárea no determinable")+COUNTIFS('Prácticas_Snowballing'!$AB$2:$AB$281,"T078",'Prácticas_Snowballing'!$AC$2:$AC$281,"MAINTENANCE &gt; Subárea no determinable")</f>
        <v>0</v>
      </c>
      <c r="BF92" s="29">
        <f t="shared" si="75"/>
        <v>0</v>
      </c>
      <c r="BG92" s="17">
        <f>COUNTIFS('Prácticas_Revisiones'!$S$2:$S$282,"T078",'Prácticas_Revisiones'!$T$2:$T$282,"SOFTWARE CONFIG. MGMT. &gt; Management of the SCM Process")+COUNTIFS('Prácticas_Snowballing'!$AB$2:$AB$281,"T078",'Prácticas_Snowballing'!$AC$2:$AC$281,"SOFTWARE CONFIG. MGMT. &gt; Management of the SCM Process")</f>
        <v>0</v>
      </c>
      <c r="BH92" s="17">
        <f>COUNTIFS('Prácticas_Revisiones'!$S$2:$S$282,"T078",'Prácticas_Revisiones'!$T$2:$T$282,"SOFTWARE CONFIG. MGMT. &gt; Software Configuration Identification")+COUNTIFS('Prácticas_Snowballing'!$AB$2:$AB$281,"T078",'Prácticas_Snowballing'!$AC$2:$AC$281,"SOFTWARE CONFIG. MGMT. &gt; Software Configuration Identification")</f>
        <v>0</v>
      </c>
      <c r="BI92" s="17">
        <f>COUNTIFS('Prácticas_Revisiones'!$S$2:$S$282,"T078",'Prácticas_Revisiones'!$T$2:$T$282,"SOFTWARE CONFIG. MGMT. &gt; Software Configuration Change Control")+COUNTIFS('Prácticas_Snowballing'!$AB$2:$AB$281,"T078",'Prácticas_Snowballing'!$AC$2:$AC$281,"SOFTWARE CONFIG. MGMT. &gt; Software Configuration Change Control")</f>
        <v>0</v>
      </c>
      <c r="BJ92" s="17">
        <f>COUNTIFS('Prácticas_Revisiones'!$S$2:$S$282,"T078",'Prácticas_Revisiones'!$T$2:$T$282,"SOFTWARE CONFIG. MGMT. &gt; Software Configuration Status Accounting")+COUNTIFS('Prácticas_Snowballing'!$AB$2:$AB$281,"T078",'Prácticas_Snowballing'!$AC$2:$AC$281,"SOFTWARE CONFIG. MGMT. &gt; Software Configuration Status Accounting")</f>
        <v>0</v>
      </c>
      <c r="BK92" s="17">
        <f>COUNTIFS('Prácticas_Revisiones'!$S$2:$S$282,"T078",'Prácticas_Revisiones'!$T$2:$T$282,"SOFTWARE CONFIG. MGMT. &gt; Software Configuration Auditing")+COUNTIFS('Prácticas_Snowballing'!$AB$2:$AB$281,"T078",'Prácticas_Snowballing'!$AC$2:$AC$281,"SOFTWARE CONFIG. MGMT. &gt; Software Configuration Auditing")</f>
        <v>0</v>
      </c>
      <c r="BL92" s="17">
        <f>COUNTIFS('Prácticas_Revisiones'!$S$2:$S$282,"T078",'Prácticas_Revisiones'!$T$2:$T$282,"SOFTWARE CONFIG. MGMT. &gt; Software Release Management and Delivery")+COUNTIFS('Prácticas_Snowballing'!$AB$2:$AB$281,"T078",'Prácticas_Snowballing'!$AC$2:$AC$281,"SOFTWARE CONFIG. MGMT. &gt; Software Release Management and Delivery")</f>
        <v>0</v>
      </c>
      <c r="BM92" s="17">
        <f>COUNTIFS('Prácticas_Revisiones'!$S$2:$S$282,"T078",'Prácticas_Revisiones'!$T$2:$T$282,"SOFTWARE CONFIG. MGMT. &gt; Software Configuration Management Tools")+COUNTIFS('Prácticas_Snowballing'!$AB$2:$AB$281,"T078",'Prácticas_Snowballing'!$AC$2:$AC$281,"SOFTWARE CONFIG. MGMT. &gt; Software Configuration Management Tools")</f>
        <v>0</v>
      </c>
      <c r="BN92" s="17">
        <f>COUNTIFS('Prácticas_Revisiones'!$S$2:$S$282,"T078",'Prácticas_Revisiones'!$T$2:$T$282,"SOFTWARE CONFIG. MGMT. &gt; Subárea no determinable")+COUNTIFS('Prácticas_Snowballing'!$AB$2:$AB$281,"T078",'Prácticas_Snowballing'!$AC$2:$AC$281,"SOFTWARE CONFIG. MGMT. &gt; Subárea no determinable")</f>
        <v>0</v>
      </c>
      <c r="BO92" s="29">
        <f t="shared" si="76"/>
        <v>0</v>
      </c>
      <c r="BP92" s="17">
        <f>COUNTIFS('Prácticas_Revisiones'!$S$2:$S$282,"T078",'Prácticas_Revisiones'!$T$2:$T$282,"SOFTWARE ENG. PROCESS &gt; Software Engineering Process Fundamentals")+COUNTIFS('Prácticas_Snowballing'!$AB$2:$AB$281,"T078",'Prácticas_Snowballing'!$AC$2:$AC$281,"SOFTWARE ENG. PROCESS &gt; Software Engineering Process Fundamentals")</f>
        <v>0</v>
      </c>
      <c r="BQ92" s="17">
        <f>COUNTIFS('Prácticas_Revisiones'!$S$2:$S$282,"T078",'Prácticas_Revisiones'!$T$2:$T$282,"SOFTWARE ENG. PROCESS &gt; Life Cycles")+COUNTIFS('Prácticas_Snowballing'!$AB$2:$AB$281,"T078",'Prácticas_Snowballing'!$AC$2:$AC$281,"SOFTWARE ENG. PROCESS &gt; Life Cycles")</f>
        <v>0</v>
      </c>
      <c r="BR92" s="17">
        <f>COUNTIFS('Prácticas_Revisiones'!$S$2:$S$282,"T078",'Prácticas_Revisiones'!$T$2:$T$282,"SOFTWARE ENG. PROCESS &gt; Software Process Assessment and Improvement")+COUNTIFS('Prácticas_Snowballing'!$AB$2:$AB$281,"T078",'Prácticas_Snowballing'!$AC$2:$AC$281,"SOFTWARE ENG. PROCESS &gt; Software Process Assessment and Improvement")</f>
        <v>0</v>
      </c>
      <c r="BS92" s="17">
        <f>COUNTIFS('Prácticas_Revisiones'!$S$2:$S$282,"T078",'Prácticas_Revisiones'!$T$2:$T$282,"SOFTWARE ENG. PROCESS &gt; Subárea no determinable")+COUNTIFS('Prácticas_Snowballing'!$AB$2:$AB$281,"T078",'Prácticas_Snowballing'!$AC$2:$AC$281,"SOFTWARE ENG. PROCESS &gt; Subárea no determinable")</f>
        <v>0</v>
      </c>
      <c r="BT92" s="29">
        <f t="shared" si="77"/>
        <v>0</v>
      </c>
      <c r="BU92" s="17">
        <f>COUNTIFS('Prácticas_Revisiones'!$S$2:$S$282,"T078",'Prácticas_Revisiones'!$T$2:$T$282,"SOFTWARE ENG. MODELS/METH. &gt; Modeling")+COUNTIFS('Prácticas_Snowballing'!$AB$2:$AB$281,"T078",'Prácticas_Snowballing'!$AC$2:$AC$281,"SOFTWARE ENG. MODELS/METH. &gt; Modeling")</f>
        <v>0</v>
      </c>
      <c r="BV92" s="17">
        <f>COUNTIFS('Prácticas_Revisiones'!$S$2:$S$282,"T078",'Prácticas_Revisiones'!$T$2:$T$282,"SOFTWARE ENG. MODELS/METH. &gt; Types of Models")+COUNTIFS('Prácticas_Snowballing'!$AB$2:$AB$281,"T078",'Prácticas_Snowballing'!$AC$2:$AC$281,"SOFTWARE ENG. MODELS/METH. &gt; Types of Models")</f>
        <v>0</v>
      </c>
      <c r="BW92" s="17">
        <f>COUNTIFS('Prácticas_Revisiones'!$S$2:$S$282,"T078",'Prácticas_Revisiones'!$T$2:$T$282,"SOFTWARE ENG. MODELS/METH. &gt; Analysis of Models")+COUNTIFS('Prácticas_Snowballing'!$AB$2:$AB$281,"T078",'Prácticas_Snowballing'!$AC$2:$AC$281,"SOFTWARE ENG. MODELS/METH. &gt; Analysis of Models")</f>
        <v>0</v>
      </c>
      <c r="BX92" s="17">
        <f>COUNTIFS('Prácticas_Revisiones'!$S$2:$S$282,"T078",'Prácticas_Revisiones'!$T$2:$T$282,"SOFTWARE ENG. MODELS/METH. &gt; Software Engineering Methods")+COUNTIFS('Prácticas_Snowballing'!$AB$2:$AB$281,"T078",'Prácticas_Snowballing'!$AC$2:$AC$281,"SOFTWARE ENG. MODELS/METH. &gt; Software Engineering Methods")</f>
        <v>0</v>
      </c>
      <c r="BY92" s="17">
        <f>COUNTIFS('Prácticas_Revisiones'!$S$2:$S$282,"T078",'Prácticas_Revisiones'!$T$2:$T$282,"SOFTWARE ENG. MODELS/METH. &gt; Subárea no determinable")+COUNTIFS('Prácticas_Snowballing'!$AB$2:$AB$281,"T078",'Prácticas_Snowballing'!$AC$2:$AC$281,"SOFTWARE ENG. MODELS/METH. &gt; Subárea no determinable")</f>
        <v>0</v>
      </c>
      <c r="BZ92" s="29">
        <f t="shared" si="78"/>
        <v>0</v>
      </c>
      <c r="CA92" s="17">
        <f>COUNTIFS('Prácticas_Revisiones'!$S$2:$S$282,"T078",'Prácticas_Revisiones'!$T$2:$T$282,"SOFTWARE QUALITY &gt; Software Quality Fundamentals")+COUNTIFS('Prácticas_Snowballing'!$AB$2:$AB$281,"T078",'Prácticas_Snowballing'!$AC$2:$AC$281,"SOFTWARE QUALITY &gt; Software Quality Fundamentals")</f>
        <v>0</v>
      </c>
      <c r="CB92" s="17">
        <f>COUNTIFS('Prácticas_Revisiones'!$S$2:$S$282,"T078",'Prácticas_Revisiones'!$T$2:$T$282,"SOFTWARE QUALITY &gt; Software Quality Management Process")+COUNTIFS('Prácticas_Snowballing'!$AB$2:$AB$281,"T078",'Prácticas_Snowballing'!$AC$2:$AC$281,"SOFTWARE QUALITY &gt; Software Quality Management Process")</f>
        <v>0</v>
      </c>
      <c r="CC92" s="17">
        <f>COUNTIFS('Prácticas_Revisiones'!$S$2:$S$282,"T078",'Prácticas_Revisiones'!$T$2:$T$282,"SOFTWARE QUALITY &gt; Software Quality Assurance Process")+COUNTIFS('Prácticas_Snowballing'!$AB$2:$AB$281,"T078",'Prácticas_Snowballing'!$AC$2:$AC$281,"SOFTWARE QUALITY &gt; Software Quality Assurance Process")</f>
        <v>0</v>
      </c>
      <c r="CD92" s="17">
        <f>COUNTIFS('Prácticas_Revisiones'!$S$2:$S$282,"T078",'Prácticas_Revisiones'!$T$2:$T$282,"SOFTWARE QUALITY &gt; Software Quality Tools")+COUNTIFS('Prácticas_Snowballing'!$AB$2:$AB$281,"T078",'Prácticas_Snowballing'!$AC$2:$AC$281,"SOFTWARE QUALITY &gt; Software Quality Tools")</f>
        <v>0</v>
      </c>
      <c r="CE92" s="17">
        <f>COUNTIFS('Prácticas_Revisiones'!$S$2:$S$282,"T078",'Prácticas_Revisiones'!$T$2:$T$282,"SOFTWARE QUALITY &gt; Subárea no determinable")+COUNTIFS('Prácticas_Snowballing'!$AB$2:$AB$281,"T078",'Prácticas_Snowballing'!$AC$2:$AC$281,"SOFTWARE QUALITY &gt; Subárea no determinable")</f>
        <v>0</v>
      </c>
      <c r="CF92" s="29">
        <f t="shared" si="79"/>
        <v>0</v>
      </c>
      <c r="CG92" s="17">
        <f>COUNTIFS('Prácticas_Revisiones'!$S$2:$S$282,"T078",'Prácticas_Revisiones'!$T$2:$T$282,"SOFTWARE SECURITY &gt; Software Security Fundamentals")+COUNTIFS('Prácticas_Snowballing'!$AB$2:$AB$281,"T078",'Prácticas_Snowballing'!$AC$2:$AC$281,"SOFTWARE SECURITY &gt; Software Security Fundamentals")</f>
        <v>0</v>
      </c>
      <c r="CH92" s="17">
        <f>COUNTIFS('Prácticas_Revisiones'!$S$2:$S$282,"T078",'Prácticas_Revisiones'!$T$2:$T$282,"SOFTWARE SECURITY &gt; Security Management and Organization")+COUNTIFS('Prácticas_Snowballing'!$AB$2:$AB$281,"T078",'Prácticas_Snowballing'!$AC$2:$AC$281,"SOFTWARE SECURITY &gt; Security Management and Organization")</f>
        <v>0</v>
      </c>
      <c r="CI92" s="17">
        <f>COUNTIFS('Prácticas_Revisiones'!$S$2:$S$282,"T078",'Prácticas_Revisiones'!$T$2:$T$282,"SOFTWARE SECURITY &gt; Software Security Engineering and Process")+COUNTIFS('Prácticas_Snowballing'!$AB$2:$AB$281,"T078",'Prácticas_Snowballing'!$AC$2:$AC$281,"SOFTWARE SECURITY &gt; Software Security Engineering and Process")</f>
        <v>0</v>
      </c>
      <c r="CJ92" s="17">
        <f>COUNTIFS('Prácticas_Revisiones'!$S$2:$S$282,"T078",'Prácticas_Revisiones'!$T$2:$T$282,"SOFTWARE SECURITY &gt; Security Engineering for Software Systems")+COUNTIFS('Prácticas_Snowballing'!$AB$2:$AB$281,"T078",'Prácticas_Snowballing'!$AC$2:$AC$281,"SOFTWARE SECURITY &gt; Security Engineering for Software Systems")</f>
        <v>0</v>
      </c>
      <c r="CK92" s="17">
        <f>COUNTIFS('Prácticas_Revisiones'!$S$2:$S$282,"T078",'Prácticas_Revisiones'!$T$2:$T$282,"SOFTWARE SECURITY &gt; Software Security Tools")+COUNTIFS('Prácticas_Snowballing'!$AB$2:$AB$281,"T078",'Prácticas_Snowballing'!$AC$2:$AC$281,"SOFTWARE SECURITY &gt; Software Security Tools")</f>
        <v>0</v>
      </c>
      <c r="CL92" s="17">
        <f>COUNTIFS('Prácticas_Revisiones'!$S$2:$S$282,"T078",'Prácticas_Revisiones'!$T$2:$T$282,"SOFTWARE SECURITY &gt; Domain Specific Software Security")+COUNTIFS('Prácticas_Snowballing'!$AB$2:$AB$281,"T078",'Prácticas_Snowballing'!$AC$2:$AC$281,"SOFTWARE SECURITY &gt; Domain Specific Software Security")</f>
        <v>0</v>
      </c>
      <c r="CM92" s="17">
        <f>COUNTIFS('Prácticas_Revisiones'!$S$2:$S$282,"T078",'Prácticas_Revisiones'!$T$2:$T$282,"SOFTWARE SECURITY &gt; Subárea no determinable")+COUNTIFS('Prácticas_Snowballing'!$AB$2:$AB$281,"T078",'Prácticas_Snowballing'!$AC$2:$AC$281,"SOFTWARE SECURITY &gt; Subárea no determinable")</f>
        <v>0</v>
      </c>
      <c r="CN92" s="29">
        <f t="shared" si="80"/>
        <v>0</v>
      </c>
      <c r="CO92" s="17">
        <f>COUNTIFS('Prácticas_Revisiones'!$S$2:$S$282,"T078",'Prácticas_Revisiones'!$T$2:$T$282,"PROFESSIONAL PRACTICE &gt; Professionalism")+COUNTIFS('Prácticas_Snowballing'!$AB$2:$AB$281,"T078",'Prácticas_Snowballing'!$AC$2:$AC$281,"PROFESSIONAL PRACTICE &gt; Professionalism")</f>
        <v>0</v>
      </c>
      <c r="CP92" s="17">
        <f>COUNTIFS('Prácticas_Revisiones'!$S$2:$S$282,"T078",'Prácticas_Revisiones'!$T$2:$T$282,"PROFESSIONAL PRACTICE &gt; Group Dynamics and Psychology")+COUNTIFS('Prácticas_Snowballing'!$AB$2:$AB$281,"T078",'Prácticas_Snowballing'!$AC$2:$AC$281,"PROFESSIONAL PRACTICE &gt; Group Dynamics and Psychology")</f>
        <v>0</v>
      </c>
      <c r="CQ92" s="17">
        <f>COUNTIFS('Prácticas_Revisiones'!$S$2:$S$282,"T078",'Prácticas_Revisiones'!$T$2:$T$282,"PROFESSIONAL PRACTICE &gt; Communication Skills")+COUNTIFS('Prácticas_Snowballing'!$AB$2:$AB$281,"T078",'Prácticas_Snowballing'!$AC$2:$AC$281,"PROFESSIONAL PRACTICE &gt; Communication Skills")</f>
        <v>0</v>
      </c>
      <c r="CR92" s="17">
        <f>COUNTIFS('Prácticas_Revisiones'!$S$2:$S$282,"T078",'Prácticas_Revisiones'!$T$2:$T$282,"PROFESSIONAL PRACTICE &gt; Subárea no determinable")+COUNTIFS('Prácticas_Snowballing'!$AB$2:$AB$281,"T078",'Prácticas_Snowballing'!$AC$2:$AC$281,"PROFESSIONAL PRACTICE &gt; Subárea no determinable")</f>
        <v>0</v>
      </c>
      <c r="CS92" s="29">
        <f t="shared" si="81"/>
        <v>0</v>
      </c>
      <c r="CT92" s="17">
        <f>COUNTIFS('Prácticas_Revisiones'!$S$2:$S$282,"T078",'Prácticas_Revisiones'!$T$2:$T$282,"SOFTWARE ENG. ECONOMICS &gt; Software Engineering Economics Fundamentals")+COUNTIFS('Prácticas_Snowballing'!$AB$2:$AB$281,"T078",'Prácticas_Snowballing'!$AC$2:$AC$281,"SOFTWARE ENG. ECONOMICS &gt; Software Engineering Economics Fundamentals")</f>
        <v>0</v>
      </c>
      <c r="CU92" s="17">
        <f>COUNTIFS('Prácticas_Revisiones'!$S$2:$S$282,"T078",'Prácticas_Revisiones'!$T$2:$T$282,"SOFTWARE ENG. ECONOMICS &gt; The Engineering Decision-Making Process")+COUNTIFS('Prácticas_Snowballing'!$AB$2:$AB$281,"T078",'Prácticas_Snowballing'!$AC$2:$AC$281,"SOFTWARE ENG. ECONOMICS &gt; The Engineering Decision-Making Process")</f>
        <v>0</v>
      </c>
      <c r="CV92" s="17">
        <f>COUNTIFS('Prácticas_Revisiones'!$S$2:$S$282,"T078",'Prácticas_Revisiones'!$T$2:$T$282,"SOFTWARE ENG. ECONOMICS &gt; For-Profit Decision-Making")+COUNTIFS('Prácticas_Snowballing'!$AB$2:$AB$281,"T078",'Prácticas_Snowballing'!$AC$2:$AC$281,"SOFTWARE ENG. ECONOMICS &gt; For-Profit Decision-Making")</f>
        <v>0</v>
      </c>
      <c r="CW92" s="17">
        <f>COUNTIFS('Prácticas_Revisiones'!$S$2:$S$282,"T078",'Prácticas_Revisiones'!$T$2:$T$282,"SOFTWARE ENG. ECONOMICS &gt; Nonprofit Decision-Making")+COUNTIFS('Prácticas_Snowballing'!$AB$2:$AB$281,"T078",'Prácticas_Snowballing'!$AC$2:$AC$281,"SOFTWARE ENG. ECONOMICS &gt; Nonprofit Decision-Making")</f>
        <v>0</v>
      </c>
      <c r="CX92" s="17">
        <f>COUNTIFS('Prácticas_Revisiones'!$S$2:$S$282,"T078",'Prácticas_Revisiones'!$T$2:$T$282,"SOFTWARE ENG. ECONOMICS &gt; Present Economy Decision-Making")+COUNTIFS('Prácticas_Snowballing'!$AB$2:$AB$281,"T078",'Prácticas_Snowballing'!$AC$2:$AC$281,"SOFTWARE ENG. ECONOMICS &gt; Present Economy Decision-Making")</f>
        <v>0</v>
      </c>
      <c r="CY92" s="17">
        <f>COUNTIFS('Prácticas_Revisiones'!$S$2:$S$282,"T078",'Prácticas_Revisiones'!$T$2:$T$282,"SOFTWARE ENG. ECONOMICS &gt; Multiple-Attribute Decision-Making")+COUNTIFS('Prácticas_Snowballing'!$AB$2:$AB$281,"T078",'Prácticas_Snowballing'!$AC$2:$AC$281,"SOFTWARE ENG. ECONOMICS &gt; Multiple-Attribute Decision-Making")</f>
        <v>0</v>
      </c>
      <c r="CZ92" s="17">
        <f>COUNTIFS('Prácticas_Revisiones'!$S$2:$S$282,"T078",'Prácticas_Revisiones'!$T$2:$T$282,"SOFTWARE ENG. ECONOMICS &gt; Identifying and Characterizing Intangible Assets")+COUNTIFS('Prácticas_Snowballing'!$AB$2:$AB$281,"T078",'Prácticas_Snowballing'!$AC$2:$AC$281,"SOFTWARE ENG. ECONOMICS &gt; Identifying and Characterizing Intangible Assets")</f>
        <v>0</v>
      </c>
      <c r="DA92" s="17">
        <f>COUNTIFS('Prácticas_Revisiones'!$S$2:$S$282,"T078",'Prácticas_Revisiones'!$T$2:$T$282,"SOFTWARE ENG. ECONOMICS &gt; Estimation")+COUNTIFS('Prácticas_Snowballing'!$AB$2:$AB$281,"T078",'Prácticas_Snowballing'!$AC$2:$AC$281,"SOFTWARE ENG. ECONOMICS &gt; Estimation")</f>
        <v>0</v>
      </c>
      <c r="DB92" s="17">
        <f>COUNTIFS('Prácticas_Revisiones'!$S$2:$S$282,"T078",'Prácticas_Revisiones'!$T$2:$T$282,"SOFTWARE ENG. ECONOMICS &gt; Practical Considerations")+COUNTIFS('Prácticas_Snowballing'!$AB$2:$AB$281,"T078",'Prácticas_Snowballing'!$AC$2:$AC$281,"SOFTWARE ENG. ECONOMICS &gt; Practical Considerations")</f>
        <v>0</v>
      </c>
      <c r="DC92" s="17">
        <f>COUNTIFS('Prácticas_Revisiones'!$S$2:$S$282,"T078",'Prácticas_Revisiones'!$T$2:$T$282,"SOFTWARE ENG. ECONOMICS &gt; Related Concepts")+COUNTIFS('Prácticas_Snowballing'!$AB$2:$AB$281,"T078",'Prácticas_Snowballing'!$AC$2:$AC$281,"SOFTWARE ENG. ECONOMICS &gt; Related Concepts")</f>
        <v>0</v>
      </c>
      <c r="DD92" s="17">
        <f>COUNTIFS('Prácticas_Revisiones'!$S$2:$S$282,"T078",'Prácticas_Revisiones'!$T$2:$T$282,"SOFTWARE ENG. ECONOMICS &gt; Subárea no determinable")+COUNTIFS('Prácticas_Snowballing'!$AB$2:$AB$281,"T078",'Prácticas_Snowballing'!$AC$2:$AC$281,"SOFTWARE ENG. ECONOMICS &gt; Subárea no determinable")</f>
        <v>0</v>
      </c>
      <c r="DE92" s="29">
        <f t="shared" si="82"/>
        <v>0</v>
      </c>
      <c r="DF92" s="17">
        <f>COUNTIFS('Prácticas_Revisiones'!$S$2:$S$282,"T078",'Prácticas_Revisiones'!$T$2:$T$282,"SOFTWARE ENG. MANAGEMENT &gt; Software Engineering Management Fundamentals")+COUNTIFS('Prácticas_Snowballing'!$AB$2:$AB$281,"T078",'Prácticas_Snowballing'!$AC$2:$AC$281,"SOFTWARE ENG. MANAGEMENT &gt; Software Engineering Management Fundamentals")</f>
        <v>0</v>
      </c>
      <c r="DG92" s="17">
        <f>COUNTIFS('Prácticas_Revisiones'!$S$2:$S$282,"T078",'Prácticas_Revisiones'!$T$2:$T$282,"SOFTWARE ENG. MANAGEMENT &gt; Initiation and Scope Definition")+COUNTIFS('Prácticas_Snowballing'!$AB$2:$AB$281,"T078",'Prácticas_Snowballing'!$AC$2:$AC$281,"SOFTWARE ENG. MANAGEMENT &gt; Initiation and Scope Definition")</f>
        <v>0</v>
      </c>
      <c r="DH92" s="17">
        <f>COUNTIFS('Prácticas_Revisiones'!$S$2:$S$282,"T078",'Prácticas_Revisiones'!$T$2:$T$282,"SOFTWARE ENG. MANAGEMENT &gt; Software Project Planning")+COUNTIFS('Prácticas_Snowballing'!$AB$2:$AB$281,"T078",'Prácticas_Snowballing'!$AC$2:$AC$281,"SOFTWARE ENG. MANAGEMENT &gt; Software Project Planning")</f>
        <v>0</v>
      </c>
      <c r="DI92" s="17">
        <f>COUNTIFS('Prácticas_Revisiones'!$S$2:$S$282,"T078",'Prácticas_Revisiones'!$T$2:$T$282,"SOFTWARE ENG. MANAGEMENT &gt; Software Project Enactment")+COUNTIFS('Prácticas_Snowballing'!$AB$2:$AB$281,"T078",'Prácticas_Snowballing'!$AC$2:$AC$281,"SOFTWARE ENG. MANAGEMENT &gt; Software Project Enactment")</f>
        <v>0</v>
      </c>
      <c r="DJ92" s="17">
        <f>COUNTIFS('Prácticas_Revisiones'!$S$2:$S$282,"T078",'Prácticas_Revisiones'!$T$2:$T$282,"SOFTWARE ENG. MANAGEMENT &gt; Review and Evaluation")+COUNTIFS('Prácticas_Snowballing'!$AB$2:$AB$281,"T078",'Prácticas_Snowballing'!$AC$2:$AC$281,"SOFTWARE ENG. MANAGEMENT &gt; Review and Evaluation")</f>
        <v>0</v>
      </c>
      <c r="DK92" s="17">
        <f>COUNTIFS('Prácticas_Revisiones'!$S$2:$S$282,"T078",'Prácticas_Revisiones'!$T$2:$T$282,"SOFTWARE ENG. MANAGEMENT &gt; Closure")+COUNTIFS('Prácticas_Snowballing'!$AB$2:$AB$281,"T078",'Prácticas_Snowballing'!$AC$2:$AC$281,"SOFTWARE ENG. MANAGEMENT &gt; Closure")</f>
        <v>0</v>
      </c>
      <c r="DL92" s="17">
        <f>COUNTIFS('Prácticas_Revisiones'!$S$2:$S$282,"T078",'Prácticas_Revisiones'!$T$2:$T$282,"SOFTWARE ENG. MANAGEMENT &gt; Software Engineering Management Tools")+COUNTIFS('Prácticas_Snowballing'!$AB$2:$AB$281,"T078",'Prácticas_Snowballing'!$AC$2:$AC$281,"SOFTWARE ENG. MANAGEMENT &gt; Software Engineering Management Tools")</f>
        <v>0</v>
      </c>
      <c r="DM92" s="17">
        <f>COUNTIFS('Prácticas_Revisiones'!$S$2:$S$282,"T078",'Prácticas_Revisiones'!$T$2:$T$282,"SOFTWARE ENG. MANAGEMENT &gt; Subárea no determinable")+COUNTIFS('Prácticas_Snowballing'!$AB$2:$AB$281,"T078",'Prácticas_Snowballing'!$AC$2:$AC$281,"SOFTWARE ENG. MANAGEMENT &gt; Subárea no determinable")</f>
        <v>0</v>
      </c>
      <c r="DN92" s="29">
        <f t="shared" si="83"/>
        <v>0</v>
      </c>
      <c r="DO92" s="17">
        <f>COUNTIFS('Prácticas_Revisiones'!$S$2:$S$282,"T078",'Prácticas_Revisiones'!$T$2:$T$282,"Sin área SWEBOK")+COUNTIFS('Prácticas_Snowballing'!$AB$2:$AB$281,"T078",'Prácticas_Snowballing'!$AC$2:$AC$281,"Sin área SWEBOK")</f>
        <v>0</v>
      </c>
      <c r="DP92" s="27">
        <f t="shared" si="84"/>
        <v>1</v>
      </c>
    </row>
    <row r="93" ht="15.75" customHeight="1">
      <c r="A93" s="28"/>
      <c r="B93" s="16" t="s">
        <v>2852</v>
      </c>
      <c r="C93" s="17">
        <f>COUNTIFS('Prácticas_Revisiones'!$S$2:$S$282,"T079",'Prácticas_Revisiones'!$T$2:$T$282,"REQUIREMENTS &gt; Software Requirements Fundamentals")+COUNTIFS('Prácticas_Snowballing'!$AB$2:$AB$281,"T079",'Prácticas_Snowballing'!$AC$2:$AC$281,"REQUIREMENTS &gt; Software Requirements Fundamentals")</f>
        <v>0</v>
      </c>
      <c r="D93" s="17">
        <f>COUNTIFS('Prácticas_Revisiones'!$S$2:$S$282,"T079",'Prácticas_Revisiones'!$T$2:$T$282,"REQUIREMENTS &gt; Requirements Elicitation")+COUNTIFS('Prácticas_Snowballing'!$AB$2:$AB$281,"T079",'Prácticas_Snowballing'!$AC$2:$AC$281,"REQUIREMENTS &gt; Requirements Elicitation")</f>
        <v>0</v>
      </c>
      <c r="E93" s="17">
        <f>COUNTIFS('Prácticas_Revisiones'!$S$2:$S$282,"T079",'Prácticas_Revisiones'!$T$2:$T$282,"REQUIREMENTS &gt; Requirements Analysis")+COUNTIFS('Prácticas_Snowballing'!$AB$2:$AB$281,"T079",'Prácticas_Snowballing'!$AC$2:$AC$281,"REQUIREMENTS &gt; Requirements Analysis")</f>
        <v>0</v>
      </c>
      <c r="F93" s="17">
        <f>COUNTIFS('Prácticas_Revisiones'!$S$2:$S$282,"T079",'Prácticas_Revisiones'!$T$2:$T$282,"REQUIREMENTS &gt; Requirements Specification")+COUNTIFS('Prácticas_Snowballing'!$AB$2:$AB$281,"T079",'Prácticas_Snowballing'!$AC$2:$AC$281,"REQUIREMENTS &gt; Requirements Specification")</f>
        <v>0</v>
      </c>
      <c r="G93" s="17">
        <f>COUNTIFS('Prácticas_Revisiones'!$S$2:$S$282,"T079",'Prácticas_Revisiones'!$T$2:$T$282,"REQUIREMENTS &gt; Requirements Validation")+COUNTIFS('Prácticas_Snowballing'!$AB$2:$AB$281,"T079",'Prácticas_Snowballing'!$AC$2:$AC$281,"REQUIREMENTS &gt; Requirements Validation")</f>
        <v>0</v>
      </c>
      <c r="H93" s="17">
        <f>COUNTIFS('Prácticas_Revisiones'!$S$2:$S$282,"T079",'Prácticas_Revisiones'!$T$2:$T$282,"REQUIREMENTS &gt; Requirements Management Activities")+COUNTIFS('Prácticas_Snowballing'!$AB$2:$AB$281,"T079",'Prácticas_Snowballing'!$AC$2:$AC$281,"REQUIREMENTS &gt; Requirements Management Activities")</f>
        <v>0</v>
      </c>
      <c r="I93" s="17">
        <f>COUNTIFS('Prácticas_Revisiones'!$S$2:$S$282,"T079",'Prácticas_Revisiones'!$T$2:$T$282,"REQUIREMENTS &gt; Practical Considerations")+COUNTIFS('Prácticas_Snowballing'!$AB$2:$AB$281,"T079",'Prácticas_Snowballing'!$AC$2:$AC$281,"REQUIREMENTS &gt; Practical Considerations")</f>
        <v>0</v>
      </c>
      <c r="J93" s="17">
        <f>COUNTIFS('Prácticas_Revisiones'!$S$2:$S$282,"T079",'Prácticas_Revisiones'!$T$2:$T$282,"REQUIREMENTS &gt; Software Requirements Tools")+COUNTIFS('Prácticas_Snowballing'!$AB$2:$AB$281,"T079",'Prácticas_Snowballing'!$AC$2:$AC$281,"REQUIREMENTS &gt; Software Requirements Tools")</f>
        <v>0</v>
      </c>
      <c r="K93" s="17">
        <f>COUNTIFS('Prácticas_Revisiones'!$S$2:$S$282,"T079",'Prácticas_Revisiones'!$T$2:$T$282,"REQUIREMENTS &gt; Subárea no determinable")+COUNTIFS('Prácticas_Snowballing'!$AB$2:$AB$281,"T079",'Prácticas_Snowballing'!$AC$2:$AC$281,"REQUIREMENTS &gt; Subárea no determinable")</f>
        <v>0</v>
      </c>
      <c r="L93" s="29">
        <f t="shared" si="69"/>
        <v>0</v>
      </c>
      <c r="M93" s="17">
        <f>COUNTIFS('Prácticas_Revisiones'!$S$2:$S$282,"T079",'Prácticas_Revisiones'!$T$2:$T$282,"ARCHITECTURE &gt; Software Architecture Fundamentals")+COUNTIFS('Prácticas_Snowballing'!$AB$2:$AB$281,"T079",'Prácticas_Snowballing'!$AC$2:$AC$281,"ARCHITECTURE &gt; Software Architecture Fundamentals")</f>
        <v>0</v>
      </c>
      <c r="N93" s="17">
        <f>COUNTIFS('Prácticas_Revisiones'!$S$2:$S$282,"T079",'Prácticas_Revisiones'!$T$2:$T$282,"ARCHITECTURE &gt; Software Architecture Description")+COUNTIFS('Prácticas_Snowballing'!$AB$2:$AB$281,"T079",'Prácticas_Snowballing'!$AC$2:$AC$281,"ARCHITECTURE &gt; Software Architecture Description")</f>
        <v>0</v>
      </c>
      <c r="O93" s="17">
        <f>COUNTIFS('Prácticas_Revisiones'!$S$2:$S$282,"T079",'Prácticas_Revisiones'!$T$2:$T$282,"ARCHITECTURE &gt; Software Architecture Process")+COUNTIFS('Prácticas_Snowballing'!$AB$2:$AB$281,"T079",'Prácticas_Snowballing'!$AC$2:$AC$281,"ARCHITECTURE &gt; Software Architecture Process")</f>
        <v>0</v>
      </c>
      <c r="P93" s="17">
        <f>COUNTIFS('Prácticas_Revisiones'!$S$2:$S$282,"T079",'Prácticas_Revisiones'!$T$2:$T$282,"ARCHITECTURE &gt; Software Architecture Evaluation")+COUNTIFS('Prácticas_Snowballing'!$AB$2:$AB$281,"T079",'Prácticas_Snowballing'!$AC$2:$AC$281,"ARCHITECTURE &gt; Software Architecture Evaluation")</f>
        <v>0</v>
      </c>
      <c r="Q93" s="17">
        <f>COUNTIFS('Prácticas_Revisiones'!$S$2:$S$282,"T079",'Prácticas_Revisiones'!$T$2:$T$282,"ARCHITECTURE &gt; Subárea no determinable")+COUNTIFS('Prácticas_Snowballing'!$AB$2:$AB$281,"T079",'Prácticas_Snowballing'!$AC$2:$AC$281,"ARCHITECTURE &gt; Subárea no determinable")</f>
        <v>0</v>
      </c>
      <c r="R93" s="29">
        <f t="shared" si="70"/>
        <v>0</v>
      </c>
      <c r="S93" s="17">
        <f>COUNTIFS('Prácticas_Revisiones'!$S$2:$S$282,"T079",'Prácticas_Revisiones'!$T$2:$T$282,"DESIGN &gt; Software Design Fundamentals")+COUNTIFS('Prácticas_Snowballing'!$AB$2:$AB$281,"T079",'Prácticas_Snowballing'!$AC$2:$AC$281,"DESIGN &gt; Software Design Fundamentals")</f>
        <v>0</v>
      </c>
      <c r="T93" s="17">
        <f>COUNTIFS('Prácticas_Revisiones'!$S$2:$S$282,"T079",'Prácticas_Revisiones'!$T$2:$T$282,"DESIGN &gt; Software Design Processes")+COUNTIFS('Prácticas_Snowballing'!$AB$2:$AB$281,"T079",'Prácticas_Snowballing'!$AC$2:$AC$281,"DESIGN &gt; Software Design Processes")</f>
        <v>0</v>
      </c>
      <c r="U93" s="17">
        <f>COUNTIFS('Prácticas_Revisiones'!$S$2:$S$282,"T079",'Prácticas_Revisiones'!$T$2:$T$282,"DESIGN &gt; Software Design Qualities")+COUNTIFS('Prácticas_Snowballing'!$AB$2:$AB$281,"T079",'Prácticas_Snowballing'!$AC$2:$AC$281,"DESIGN &gt; Software Design Qualities")</f>
        <v>0</v>
      </c>
      <c r="V93" s="17">
        <f>COUNTIFS('Prácticas_Revisiones'!$S$2:$S$282,"T079",'Prácticas_Revisiones'!$T$2:$T$282,"DESIGN &gt; Recording Software Design")+COUNTIFS('Prácticas_Snowballing'!$AB$2:$AB$281,"T079",'Prácticas_Snowballing'!$AC$2:$AC$281,"DESIGN &gt; Recording Software Design")</f>
        <v>1</v>
      </c>
      <c r="W93" s="17">
        <f>COUNTIFS('Prácticas_Revisiones'!$S$2:$S$282,"T079",'Prácticas_Revisiones'!$T$2:$T$282,"DESIGN &gt; Software Design Strategies and Methods")+COUNTIFS('Prácticas_Snowballing'!$AB$2:$AB$281,"T079",'Prácticas_Snowballing'!$AC$2:$AC$281,"DESIGN &gt; Software Design Strategies and Methods")</f>
        <v>0</v>
      </c>
      <c r="X93" s="17">
        <f>COUNTIFS('Prácticas_Revisiones'!$S$2:$S$282,"T079",'Prácticas_Revisiones'!$T$2:$T$282,"DESIGN &gt; Software Design Analysis and Evaluations")+COUNTIFS('Prácticas_Snowballing'!$AB$2:$AB$281,"T079",'Prácticas_Snowballing'!$AC$2:$AC$281,"DESIGN &gt; Software Design Analysis and Evaluations")</f>
        <v>0</v>
      </c>
      <c r="Y93" s="17">
        <f>COUNTIFS('Prácticas_Revisiones'!$S$2:$S$282,"T079",'Prácticas_Revisiones'!$T$2:$T$282,"DESIGN &gt; Subárea no determinable")+COUNTIFS('Prácticas_Snowballing'!$AB$2:$AB$281,"T079",'Prácticas_Snowballing'!$AC$2:$AC$281,"DESIGN &gt; Subárea no determinable")</f>
        <v>0</v>
      </c>
      <c r="Z93" s="29">
        <f t="shared" si="71"/>
        <v>1</v>
      </c>
      <c r="AA93" s="17">
        <f>COUNTIFS('Prácticas_Revisiones'!$S$2:$S$282,"T079",'Prácticas_Revisiones'!$T$2:$T$282,"CONSTRUCTION &gt; Software Construction Fundamentals")+COUNTIFS('Prácticas_Snowballing'!$AB$2:$AB$281,"T079",'Prácticas_Snowballing'!$AC$2:$AC$281,"CONSTRUCTION &gt; Software Construction Fundamentals")</f>
        <v>0</v>
      </c>
      <c r="AB93" s="17">
        <f>COUNTIFS('Prácticas_Revisiones'!$S$2:$S$282,"T079",'Prácticas_Revisiones'!$T$2:$T$282,"CONSTRUCTION &gt; Managing Construction")+COUNTIFS('Prácticas_Snowballing'!$AB$2:$AB$281,"T079",'Prácticas_Snowballing'!$AC$2:$AC$281,"CONSTRUCTION &gt; Managing Construction")</f>
        <v>0</v>
      </c>
      <c r="AC93" s="17">
        <f>COUNTIFS('Prácticas_Revisiones'!$S$2:$S$282,"T079",'Prácticas_Revisiones'!$T$2:$T$282,"CONSTRUCTION &gt; Practical Considerations")+COUNTIFS('Prácticas_Snowballing'!$AB$2:$AB$281,"T079",'Prácticas_Snowballing'!$AC$2:$AC$281,"CONSTRUCTION &gt; Practical Considerations")</f>
        <v>0</v>
      </c>
      <c r="AD93" s="17">
        <f>COUNTIFS('Prácticas_Revisiones'!$S$2:$S$282,"T079",'Prácticas_Revisiones'!$T$2:$T$282,"CONSTRUCTION &gt; Construction Technologies")+COUNTIFS('Prácticas_Snowballing'!$AB$2:$AB$281,"T079",'Prácticas_Snowballing'!$AC$2:$AC$281,"CONSTRUCTION &gt; Construction Technologies")</f>
        <v>0</v>
      </c>
      <c r="AE93" s="17">
        <f>COUNTIFS('Prácticas_Revisiones'!$S$2:$S$282,"T079",'Prácticas_Revisiones'!$T$2:$T$282,"CONSTRUCTION &gt; Software Construction Tools")+COUNTIFS('Prácticas_Snowballing'!$AB$2:$AB$281,"T079",'Prácticas_Snowballing'!$AC$2:$AC$281,"CONSTRUCTION &gt; Software Construction Tools")</f>
        <v>0</v>
      </c>
      <c r="AF93" s="17">
        <f>COUNTIFS('Prácticas_Revisiones'!$S$2:$S$282,"T079",'Prácticas_Revisiones'!$T$2:$T$282,"CONSTRUCTION &gt; Subárea no determinable")+COUNTIFS('Prácticas_Snowballing'!$AB$2:$AB$281,"T079",'Prácticas_Snowballing'!$AC$2:$AC$281,"CONSTRUCTION &gt; Subárea no determinable")</f>
        <v>0</v>
      </c>
      <c r="AG93" s="29">
        <f t="shared" si="72"/>
        <v>0</v>
      </c>
      <c r="AH93" s="17">
        <f>COUNTIFS('Prácticas_Revisiones'!$S$2:$S$282,"T079",'Prácticas_Revisiones'!$T$2:$T$282,"SOFTWARE TESTING &gt; Software Testing Fundamentals")+COUNTIFS('Prácticas_Snowballing'!$AB$2:$AB$281,"T079",'Prácticas_Snowballing'!$AC$2:$AC$281,"SOFTWARE TESTING &gt; Software Testing Fundamentals")</f>
        <v>0</v>
      </c>
      <c r="AI93" s="17">
        <f>COUNTIFS('Prácticas_Revisiones'!$S$2:$S$282,"T079",'Prácticas_Revisiones'!$T$2:$T$282,"SOFTWARE TESTING &gt; Test Levels")+COUNTIFS('Prácticas_Snowballing'!$AB$2:$AB$281,"T079",'Prácticas_Snowballing'!$AC$2:$AC$281,"SOFTWARE TESTING &gt; Test Levels")</f>
        <v>1</v>
      </c>
      <c r="AJ93" s="17">
        <f>COUNTIFS('Prácticas_Revisiones'!$S$2:$S$282,"T079",'Prácticas_Revisiones'!$T$2:$T$282,"SOFTWARE TESTING &gt; Test Techniques")+COUNTIFS('Prácticas_Snowballing'!$AB$2:$AB$281,"T079",'Prácticas_Snowballing'!$AC$2:$AC$281,"SOFTWARE TESTING &gt; Test Techniques")</f>
        <v>0</v>
      </c>
      <c r="AK93" s="17">
        <f>COUNTIFS('Prácticas_Revisiones'!$S$2:$S$282,"T079",'Prácticas_Revisiones'!$T$2:$T$282,"SOFTWARE TESTING &gt; Test-Related Measures")+COUNTIFS('Prácticas_Snowballing'!$AB$2:$AB$281,"T079",'Prácticas_Snowballing'!$AC$2:$AC$281,"SOFTWARE TESTING &gt; Test-Related Measures")</f>
        <v>0</v>
      </c>
      <c r="AL93" s="17">
        <f>COUNTIFS('Prácticas_Revisiones'!$S$2:$S$282,"T079",'Prácticas_Revisiones'!$T$2:$T$282,"SOFTWARE TESTING &gt; Test Process")+COUNTIFS('Prácticas_Snowballing'!$AB$2:$AB$281,"T079",'Prácticas_Snowballing'!$AC$2:$AC$281,"SOFTWARE TESTING &gt; Test Process")</f>
        <v>0</v>
      </c>
      <c r="AM93" s="17">
        <f>COUNTIFS('Prácticas_Revisiones'!$S$2:$S$282,"T079",'Prácticas_Revisiones'!$T$2:$T$282,"SOFTWARE TESTING &gt; Software Testing in the Development Processes...")+COUNTIFS('Prácticas_Snowballing'!$AB$2:$AB$281,"T079",'Prácticas_Snowballing'!$AC$2:$AC$281,"SOFTWARE TESTING &gt; Software Testing in the Development Processes...")</f>
        <v>0</v>
      </c>
      <c r="AN93" s="17">
        <f>COUNTIFS('Prácticas_Revisiones'!$S$2:$S$282,"T079",'Prácticas_Revisiones'!$T$2:$T$282,"SOFTWARE TESTING &gt; Testing of and Testing Through Emerging Tech...")+COUNTIFS('Prácticas_Snowballing'!$AB$2:$AB$281,"T079",'Prácticas_Snowballing'!$AC$2:$AC$281,"SOFTWARE TESTING &gt; Testing of and Testing Through Emerging Tech...")</f>
        <v>0</v>
      </c>
      <c r="AO93" s="17">
        <f>COUNTIFS('Prácticas_Revisiones'!$S$2:$S$282,"T079",'Prácticas_Revisiones'!$T$2:$T$282,"SOFTWARE TESTING &gt; Software Testing Tools")+COUNTIFS('Prácticas_Snowballing'!$AB$2:$AB$281,"T079",'Prácticas_Snowballing'!$AC$2:$AC$281,"SOFTWARE TESTING &gt; Software Testing Tools")</f>
        <v>0</v>
      </c>
      <c r="AP93" s="17">
        <f>COUNTIFS('Prácticas_Revisiones'!$S$2:$S$282,"T079",'Prácticas_Revisiones'!$T$2:$T$282,"SOFTWARE TESTING &gt; Subárea no determinable")+COUNTIFS('Prácticas_Snowballing'!$AB$2:$AB$281,"T079",'Prácticas_Snowballing'!$AC$2:$AC$281,"SOFTWARE TESTING &gt; Subárea no determinable")</f>
        <v>0</v>
      </c>
      <c r="AQ93" s="29">
        <f t="shared" si="73"/>
        <v>1</v>
      </c>
      <c r="AR93" s="17">
        <f>COUNTIFS('Prácticas_Revisiones'!$S$2:$S$282,"T079",'Prácticas_Revisiones'!$T$2:$T$282,"SOFTWARE ENG. OPERATIONS &gt; Software Engineering Operations Fundamentals")+COUNTIFS('Prácticas_Snowballing'!$AB$2:$AB$281,"T079",'Prácticas_Snowballing'!$AC$2:$AC$281,"SOFTWARE ENG. OPERATIONS &gt; Software Engineering Operations Fundamentals")</f>
        <v>0</v>
      </c>
      <c r="AS93" s="17">
        <f>COUNTIFS('Prácticas_Revisiones'!$S$2:$S$282,"T079",'Prácticas_Revisiones'!$T$2:$T$282,"SOFTWARE ENG. OPERATIONS &gt; Software Engineering Operations Planning")+COUNTIFS('Prácticas_Snowballing'!$AB$2:$AB$281,"T079",'Prácticas_Snowballing'!$AC$2:$AC$281,"SOFTWARE ENG. OPERATIONS &gt; Software Engineering Operations Planning")</f>
        <v>0</v>
      </c>
      <c r="AT93" s="17">
        <f>COUNTIFS('Prácticas_Revisiones'!$S$2:$S$282,"T079",'Prácticas_Revisiones'!$T$2:$T$282,"SOFTWARE ENG. OPERATIONS &gt; Software Engineering Operations Delivery")+COUNTIFS('Prácticas_Snowballing'!$AB$2:$AB$281,"T079",'Prácticas_Snowballing'!$AC$2:$AC$281,"SOFTWARE ENG. OPERATIONS &gt; Software Engineering Operations Delivery")</f>
        <v>0</v>
      </c>
      <c r="AU93" s="17">
        <f>COUNTIFS('Prácticas_Revisiones'!$S$2:$S$282,"T079",'Prácticas_Revisiones'!$T$2:$T$282,"SOFTWARE ENG. OPERATIONS &gt; Software Engineering Operations Control")+COUNTIFS('Prácticas_Snowballing'!$AB$2:$AB$281,"T079",'Prácticas_Snowballing'!$AC$2:$AC$281,"SOFTWARE ENG. OPERATIONS &gt; Software Engineering Operations Control")</f>
        <v>0</v>
      </c>
      <c r="AV93" s="17">
        <f>COUNTIFS('Prácticas_Revisiones'!$S$2:$S$282,"T079",'Prácticas_Revisiones'!$T$2:$T$282,"SOFTWARE ENG. OPERATIONS &gt; Practical Considerations")+COUNTIFS('Prácticas_Snowballing'!$AB$2:$AB$281,"T079",'Prácticas_Snowballing'!$AC$2:$AC$281,"SOFTWARE ENG. OPERATIONS &gt; Practical Considerations")</f>
        <v>0</v>
      </c>
      <c r="AW93" s="17">
        <f>COUNTIFS('Prácticas_Revisiones'!$S$2:$S$282,"T079",'Prácticas_Revisiones'!$T$2:$T$282,"SOFTWARE ENG. OPERATIONS &gt; Software Engineering Operations Tools")+COUNTIFS('Prácticas_Snowballing'!$AB$2:$AB$281,"T079",'Prácticas_Snowballing'!$AC$2:$AC$281,"SOFTWARE ENG. OPERATIONS &gt; Software Engineering Operations Tools")</f>
        <v>0</v>
      </c>
      <c r="AX93" s="17">
        <f>COUNTIFS('Prácticas_Revisiones'!$S$2:$S$282,"T079",'Prácticas_Revisiones'!$T$2:$T$282,"SOFTWARE ENG. OPERATIONS &gt; Subárea no determinable")+COUNTIFS('Prácticas_Snowballing'!$AB$2:$AB$281,"T079",'Prácticas_Snowballing'!$AC$2:$AC$281,"SOFTWARE ENG. OPERATIONS &gt; Subárea no determinable")</f>
        <v>0</v>
      </c>
      <c r="AY93" s="29">
        <f t="shared" si="74"/>
        <v>0</v>
      </c>
      <c r="AZ93" s="17">
        <f>COUNTIFS('Prácticas_Revisiones'!$S$2:$S$282,"T079",'Prácticas_Revisiones'!$T$2:$T$282,"MAINTENANCE &gt; Software Maintenance Fundamentals")+COUNTIFS('Prácticas_Snowballing'!$AB$2:$AB$281,"T079",'Prácticas_Snowballing'!$AC$2:$AC$281,"MAINTENANCE &gt; Software Maintenance Fundamentals")</f>
        <v>0</v>
      </c>
      <c r="BA93" s="17">
        <f>COUNTIFS('Prácticas_Revisiones'!$S$2:$S$282,"T079",'Prácticas_Revisiones'!$T$2:$T$282,"MAINTENANCE &gt; Key Issues in Software Maintenance")+COUNTIFS('Prácticas_Snowballing'!$AB$2:$AB$281,"T079",'Prácticas_Snowballing'!$AC$2:$AC$281,"MAINTENANCE &gt; Key Issues in Software Maintenance")</f>
        <v>0</v>
      </c>
      <c r="BB93" s="17">
        <f>COUNTIFS('Prácticas_Revisiones'!$S$2:$S$282,"T079",'Prácticas_Revisiones'!$T$2:$T$282,"MAINTENANCE &gt; Software Maintenance Processes")+COUNTIFS('Prácticas_Snowballing'!$AB$2:$AB$281,"T079",'Prácticas_Snowballing'!$AC$2:$AC$281,"MAINTENANCE &gt; Software Maintenance Processes")</f>
        <v>0</v>
      </c>
      <c r="BC93" s="17">
        <f>COUNTIFS('Prácticas_Revisiones'!$S$2:$S$282,"T079",'Prácticas_Revisiones'!$T$2:$T$282,"MAINTENANCE &gt; Software Maintenance Techniques")+COUNTIFS('Prácticas_Snowballing'!$AB$2:$AB$281,"T079",'Prácticas_Snowballing'!$AC$2:$AC$281,"MAINTENANCE &gt; Software Maintenance Techniques")</f>
        <v>0</v>
      </c>
      <c r="BD93" s="17">
        <f>COUNTIFS('Prácticas_Revisiones'!$S$2:$S$282,"T079",'Prácticas_Revisiones'!$T$2:$T$282,"MAINTENANCE &gt; Software Maintenance Tools")+COUNTIFS('Prácticas_Snowballing'!$AB$2:$AB$281,"T079",'Prácticas_Snowballing'!$AC$2:$AC$281,"MAINTENANCE &gt; Software Maintenance Tools")</f>
        <v>0</v>
      </c>
      <c r="BE93" s="17">
        <f>COUNTIFS('Prácticas_Revisiones'!$S$2:$S$282,"T079",'Prácticas_Revisiones'!$T$2:$T$282,"MAINTENANCE &gt; Subárea no determinable")+COUNTIFS('Prácticas_Snowballing'!$AB$2:$AB$281,"T079",'Prácticas_Snowballing'!$AC$2:$AC$281,"MAINTENANCE &gt; Subárea no determinable")</f>
        <v>0</v>
      </c>
      <c r="BF93" s="29">
        <f t="shared" si="75"/>
        <v>0</v>
      </c>
      <c r="BG93" s="17">
        <f>COUNTIFS('Prácticas_Revisiones'!$S$2:$S$282,"T079",'Prácticas_Revisiones'!$T$2:$T$282,"SOFTWARE CONFIG. MGMT. &gt; Management of the SCM Process")+COUNTIFS('Prácticas_Snowballing'!$AB$2:$AB$281,"T079",'Prácticas_Snowballing'!$AC$2:$AC$281,"SOFTWARE CONFIG. MGMT. &gt; Management of the SCM Process")</f>
        <v>0</v>
      </c>
      <c r="BH93" s="17">
        <f>COUNTIFS('Prácticas_Revisiones'!$S$2:$S$282,"T079",'Prácticas_Revisiones'!$T$2:$T$282,"SOFTWARE CONFIG. MGMT. &gt; Software Configuration Identification")+COUNTIFS('Prácticas_Snowballing'!$AB$2:$AB$281,"T079",'Prácticas_Snowballing'!$AC$2:$AC$281,"SOFTWARE CONFIG. MGMT. &gt; Software Configuration Identification")</f>
        <v>0</v>
      </c>
      <c r="BI93" s="17">
        <f>COUNTIFS('Prácticas_Revisiones'!$S$2:$S$282,"T079",'Prácticas_Revisiones'!$T$2:$T$282,"SOFTWARE CONFIG. MGMT. &gt; Software Configuration Change Control")+COUNTIFS('Prácticas_Snowballing'!$AB$2:$AB$281,"T079",'Prácticas_Snowballing'!$AC$2:$AC$281,"SOFTWARE CONFIG. MGMT. &gt; Software Configuration Change Control")</f>
        <v>0</v>
      </c>
      <c r="BJ93" s="17">
        <f>COUNTIFS('Prácticas_Revisiones'!$S$2:$S$282,"T079",'Prácticas_Revisiones'!$T$2:$T$282,"SOFTWARE CONFIG. MGMT. &gt; Software Configuration Status Accounting")+COUNTIFS('Prácticas_Snowballing'!$AB$2:$AB$281,"T079",'Prácticas_Snowballing'!$AC$2:$AC$281,"SOFTWARE CONFIG. MGMT. &gt; Software Configuration Status Accounting")</f>
        <v>0</v>
      </c>
      <c r="BK93" s="17">
        <f>COUNTIFS('Prácticas_Revisiones'!$S$2:$S$282,"T079",'Prácticas_Revisiones'!$T$2:$T$282,"SOFTWARE CONFIG. MGMT. &gt; Software Configuration Auditing")+COUNTIFS('Prácticas_Snowballing'!$AB$2:$AB$281,"T079",'Prácticas_Snowballing'!$AC$2:$AC$281,"SOFTWARE CONFIG. MGMT. &gt; Software Configuration Auditing")</f>
        <v>0</v>
      </c>
      <c r="BL93" s="17">
        <f>COUNTIFS('Prácticas_Revisiones'!$S$2:$S$282,"T079",'Prácticas_Revisiones'!$T$2:$T$282,"SOFTWARE CONFIG. MGMT. &gt; Software Release Management and Delivery")+COUNTIFS('Prácticas_Snowballing'!$AB$2:$AB$281,"T079",'Prácticas_Snowballing'!$AC$2:$AC$281,"SOFTWARE CONFIG. MGMT. &gt; Software Release Management and Delivery")</f>
        <v>0</v>
      </c>
      <c r="BM93" s="17">
        <f>COUNTIFS('Prácticas_Revisiones'!$S$2:$S$282,"T079",'Prácticas_Revisiones'!$T$2:$T$282,"SOFTWARE CONFIG. MGMT. &gt; Software Configuration Management Tools")+COUNTIFS('Prácticas_Snowballing'!$AB$2:$AB$281,"T079",'Prácticas_Snowballing'!$AC$2:$AC$281,"SOFTWARE CONFIG. MGMT. &gt; Software Configuration Management Tools")</f>
        <v>0</v>
      </c>
      <c r="BN93" s="17">
        <f>COUNTIFS('Prácticas_Revisiones'!$S$2:$S$282,"T079",'Prácticas_Revisiones'!$T$2:$T$282,"SOFTWARE CONFIG. MGMT. &gt; Subárea no determinable")+COUNTIFS('Prácticas_Snowballing'!$AB$2:$AB$281,"T079",'Prácticas_Snowballing'!$AC$2:$AC$281,"SOFTWARE CONFIG. MGMT. &gt; Subárea no determinable")</f>
        <v>0</v>
      </c>
      <c r="BO93" s="29">
        <f t="shared" si="76"/>
        <v>0</v>
      </c>
      <c r="BP93" s="17">
        <f>COUNTIFS('Prácticas_Revisiones'!$S$2:$S$282,"T079",'Prácticas_Revisiones'!$T$2:$T$282,"SOFTWARE ENG. PROCESS &gt; Software Engineering Process Fundamentals")+COUNTIFS('Prácticas_Snowballing'!$AB$2:$AB$281,"T079",'Prácticas_Snowballing'!$AC$2:$AC$281,"SOFTWARE ENG. PROCESS &gt; Software Engineering Process Fundamentals")</f>
        <v>0</v>
      </c>
      <c r="BQ93" s="17">
        <f>COUNTIFS('Prácticas_Revisiones'!$S$2:$S$282,"T079",'Prácticas_Revisiones'!$T$2:$T$282,"SOFTWARE ENG. PROCESS &gt; Life Cycles")+COUNTIFS('Prácticas_Snowballing'!$AB$2:$AB$281,"T079",'Prácticas_Snowballing'!$AC$2:$AC$281,"SOFTWARE ENG. PROCESS &gt; Life Cycles")</f>
        <v>0</v>
      </c>
      <c r="BR93" s="17">
        <f>COUNTIFS('Prácticas_Revisiones'!$S$2:$S$282,"T079",'Prácticas_Revisiones'!$T$2:$T$282,"SOFTWARE ENG. PROCESS &gt; Software Process Assessment and Improvement")+COUNTIFS('Prácticas_Snowballing'!$AB$2:$AB$281,"T079",'Prácticas_Snowballing'!$AC$2:$AC$281,"SOFTWARE ENG. PROCESS &gt; Software Process Assessment and Improvement")</f>
        <v>0</v>
      </c>
      <c r="BS93" s="17">
        <f>COUNTIFS('Prácticas_Revisiones'!$S$2:$S$282,"T079",'Prácticas_Revisiones'!$T$2:$T$282,"SOFTWARE ENG. PROCESS &gt; Subárea no determinable")+COUNTIFS('Prácticas_Snowballing'!$AB$2:$AB$281,"T079",'Prácticas_Snowballing'!$AC$2:$AC$281,"SOFTWARE ENG. PROCESS &gt; Subárea no determinable")</f>
        <v>0</v>
      </c>
      <c r="BT93" s="29">
        <f t="shared" si="77"/>
        <v>0</v>
      </c>
      <c r="BU93" s="17">
        <f>COUNTIFS('Prácticas_Revisiones'!$S$2:$S$282,"T079",'Prácticas_Revisiones'!$T$2:$T$282,"SOFTWARE ENG. MODELS/METH. &gt; Modeling")+COUNTIFS('Prácticas_Snowballing'!$AB$2:$AB$281,"T079",'Prácticas_Snowballing'!$AC$2:$AC$281,"SOFTWARE ENG. MODELS/METH. &gt; Modeling")</f>
        <v>0</v>
      </c>
      <c r="BV93" s="17">
        <f>COUNTIFS('Prácticas_Revisiones'!$S$2:$S$282,"T079",'Prácticas_Revisiones'!$T$2:$T$282,"SOFTWARE ENG. MODELS/METH. &gt; Types of Models")+COUNTIFS('Prácticas_Snowballing'!$AB$2:$AB$281,"T079",'Prácticas_Snowballing'!$AC$2:$AC$281,"SOFTWARE ENG. MODELS/METH. &gt; Types of Models")</f>
        <v>0</v>
      </c>
      <c r="BW93" s="17">
        <f>COUNTIFS('Prácticas_Revisiones'!$S$2:$S$282,"T079",'Prácticas_Revisiones'!$T$2:$T$282,"SOFTWARE ENG. MODELS/METH. &gt; Analysis of Models")+COUNTIFS('Prácticas_Snowballing'!$AB$2:$AB$281,"T079",'Prácticas_Snowballing'!$AC$2:$AC$281,"SOFTWARE ENG. MODELS/METH. &gt; Analysis of Models")</f>
        <v>0</v>
      </c>
      <c r="BX93" s="17">
        <f>COUNTIFS('Prácticas_Revisiones'!$S$2:$S$282,"T079",'Prácticas_Revisiones'!$T$2:$T$282,"SOFTWARE ENG. MODELS/METH. &gt; Software Engineering Methods")+COUNTIFS('Prácticas_Snowballing'!$AB$2:$AB$281,"T079",'Prácticas_Snowballing'!$AC$2:$AC$281,"SOFTWARE ENG. MODELS/METH. &gt; Software Engineering Methods")</f>
        <v>0</v>
      </c>
      <c r="BY93" s="17">
        <f>COUNTIFS('Prácticas_Revisiones'!$S$2:$S$282,"T079",'Prácticas_Revisiones'!$T$2:$T$282,"SOFTWARE ENG. MODELS/METH. &gt; Subárea no determinable")+COUNTIFS('Prácticas_Snowballing'!$AB$2:$AB$281,"T079",'Prácticas_Snowballing'!$AC$2:$AC$281,"SOFTWARE ENG. MODELS/METH. &gt; Subárea no determinable")</f>
        <v>0</v>
      </c>
      <c r="BZ93" s="29">
        <f t="shared" si="78"/>
        <v>0</v>
      </c>
      <c r="CA93" s="17">
        <f>COUNTIFS('Prácticas_Revisiones'!$S$2:$S$282,"T079",'Prácticas_Revisiones'!$T$2:$T$282,"SOFTWARE QUALITY &gt; Software Quality Fundamentals")+COUNTIFS('Prácticas_Snowballing'!$AB$2:$AB$281,"T079",'Prácticas_Snowballing'!$AC$2:$AC$281,"SOFTWARE QUALITY &gt; Software Quality Fundamentals")</f>
        <v>0</v>
      </c>
      <c r="CB93" s="17">
        <f>COUNTIFS('Prácticas_Revisiones'!$S$2:$S$282,"T079",'Prácticas_Revisiones'!$T$2:$T$282,"SOFTWARE QUALITY &gt; Software Quality Management Process")+COUNTIFS('Prácticas_Snowballing'!$AB$2:$AB$281,"T079",'Prácticas_Snowballing'!$AC$2:$AC$281,"SOFTWARE QUALITY &gt; Software Quality Management Process")</f>
        <v>0</v>
      </c>
      <c r="CC93" s="17">
        <f>COUNTIFS('Prácticas_Revisiones'!$S$2:$S$282,"T079",'Prácticas_Revisiones'!$T$2:$T$282,"SOFTWARE QUALITY &gt; Software Quality Assurance Process")+COUNTIFS('Prácticas_Snowballing'!$AB$2:$AB$281,"T079",'Prácticas_Snowballing'!$AC$2:$AC$281,"SOFTWARE QUALITY &gt; Software Quality Assurance Process")</f>
        <v>0</v>
      </c>
      <c r="CD93" s="17">
        <f>COUNTIFS('Prácticas_Revisiones'!$S$2:$S$282,"T079",'Prácticas_Revisiones'!$T$2:$T$282,"SOFTWARE QUALITY &gt; Software Quality Tools")+COUNTIFS('Prácticas_Snowballing'!$AB$2:$AB$281,"T079",'Prácticas_Snowballing'!$AC$2:$AC$281,"SOFTWARE QUALITY &gt; Software Quality Tools")</f>
        <v>0</v>
      </c>
      <c r="CE93" s="17">
        <f>COUNTIFS('Prácticas_Revisiones'!$S$2:$S$282,"T079",'Prácticas_Revisiones'!$T$2:$T$282,"SOFTWARE QUALITY &gt; Subárea no determinable")+COUNTIFS('Prácticas_Snowballing'!$AB$2:$AB$281,"T079",'Prácticas_Snowballing'!$AC$2:$AC$281,"SOFTWARE QUALITY &gt; Subárea no determinable")</f>
        <v>0</v>
      </c>
      <c r="CF93" s="29">
        <f t="shared" si="79"/>
        <v>0</v>
      </c>
      <c r="CG93" s="17">
        <f>COUNTIFS('Prácticas_Revisiones'!$S$2:$S$282,"T079",'Prácticas_Revisiones'!$T$2:$T$282,"SOFTWARE SECURITY &gt; Software Security Fundamentals")+COUNTIFS('Prácticas_Snowballing'!$AB$2:$AB$281,"T079",'Prácticas_Snowballing'!$AC$2:$AC$281,"SOFTWARE SECURITY &gt; Software Security Fundamentals")</f>
        <v>0</v>
      </c>
      <c r="CH93" s="17">
        <f>COUNTIFS('Prácticas_Revisiones'!$S$2:$S$282,"T079",'Prácticas_Revisiones'!$T$2:$T$282,"SOFTWARE SECURITY &gt; Security Management and Organization")+COUNTIFS('Prácticas_Snowballing'!$AB$2:$AB$281,"T079",'Prácticas_Snowballing'!$AC$2:$AC$281,"SOFTWARE SECURITY &gt; Security Management and Organization")</f>
        <v>0</v>
      </c>
      <c r="CI93" s="17">
        <f>COUNTIFS('Prácticas_Revisiones'!$S$2:$S$282,"T079",'Prácticas_Revisiones'!$T$2:$T$282,"SOFTWARE SECURITY &gt; Software Security Engineering and Process")+COUNTIFS('Prácticas_Snowballing'!$AB$2:$AB$281,"T079",'Prácticas_Snowballing'!$AC$2:$AC$281,"SOFTWARE SECURITY &gt; Software Security Engineering and Process")</f>
        <v>0</v>
      </c>
      <c r="CJ93" s="17">
        <f>COUNTIFS('Prácticas_Revisiones'!$S$2:$S$282,"T079",'Prácticas_Revisiones'!$T$2:$T$282,"SOFTWARE SECURITY &gt; Security Engineering for Software Systems")+COUNTIFS('Prácticas_Snowballing'!$AB$2:$AB$281,"T079",'Prácticas_Snowballing'!$AC$2:$AC$281,"SOFTWARE SECURITY &gt; Security Engineering for Software Systems")</f>
        <v>0</v>
      </c>
      <c r="CK93" s="17">
        <f>COUNTIFS('Prácticas_Revisiones'!$S$2:$S$282,"T079",'Prácticas_Revisiones'!$T$2:$T$282,"SOFTWARE SECURITY &gt; Software Security Tools")+COUNTIFS('Prácticas_Snowballing'!$AB$2:$AB$281,"T079",'Prácticas_Snowballing'!$AC$2:$AC$281,"SOFTWARE SECURITY &gt; Software Security Tools")</f>
        <v>0</v>
      </c>
      <c r="CL93" s="17">
        <f>COUNTIFS('Prácticas_Revisiones'!$S$2:$S$282,"T079",'Prácticas_Revisiones'!$T$2:$T$282,"SOFTWARE SECURITY &gt; Domain Specific Software Security")+COUNTIFS('Prácticas_Snowballing'!$AB$2:$AB$281,"T079",'Prácticas_Snowballing'!$AC$2:$AC$281,"SOFTWARE SECURITY &gt; Domain Specific Software Security")</f>
        <v>0</v>
      </c>
      <c r="CM93" s="17">
        <f>COUNTIFS('Prácticas_Revisiones'!$S$2:$S$282,"T079",'Prácticas_Revisiones'!$T$2:$T$282,"SOFTWARE SECURITY &gt; Subárea no determinable")+COUNTIFS('Prácticas_Snowballing'!$AB$2:$AB$281,"T079",'Prácticas_Snowballing'!$AC$2:$AC$281,"SOFTWARE SECURITY &gt; Subárea no determinable")</f>
        <v>0</v>
      </c>
      <c r="CN93" s="29">
        <f t="shared" si="80"/>
        <v>0</v>
      </c>
      <c r="CO93" s="17">
        <f>COUNTIFS('Prácticas_Revisiones'!$S$2:$S$282,"T079",'Prácticas_Revisiones'!$T$2:$T$282,"PROFESSIONAL PRACTICE &gt; Professionalism")+COUNTIFS('Prácticas_Snowballing'!$AB$2:$AB$281,"T079",'Prácticas_Snowballing'!$AC$2:$AC$281,"PROFESSIONAL PRACTICE &gt; Professionalism")</f>
        <v>0</v>
      </c>
      <c r="CP93" s="17">
        <f>COUNTIFS('Prácticas_Revisiones'!$S$2:$S$282,"T079",'Prácticas_Revisiones'!$T$2:$T$282,"PROFESSIONAL PRACTICE &gt; Group Dynamics and Psychology")+COUNTIFS('Prácticas_Snowballing'!$AB$2:$AB$281,"T079",'Prácticas_Snowballing'!$AC$2:$AC$281,"PROFESSIONAL PRACTICE &gt; Group Dynamics and Psychology")</f>
        <v>0</v>
      </c>
      <c r="CQ93" s="17">
        <f>COUNTIFS('Prácticas_Revisiones'!$S$2:$S$282,"T079",'Prácticas_Revisiones'!$T$2:$T$282,"PROFESSIONAL PRACTICE &gt; Communication Skills")+COUNTIFS('Prácticas_Snowballing'!$AB$2:$AB$281,"T079",'Prácticas_Snowballing'!$AC$2:$AC$281,"PROFESSIONAL PRACTICE &gt; Communication Skills")</f>
        <v>0</v>
      </c>
      <c r="CR93" s="17">
        <f>COUNTIFS('Prácticas_Revisiones'!$S$2:$S$282,"T079",'Prácticas_Revisiones'!$T$2:$T$282,"PROFESSIONAL PRACTICE &gt; Subárea no determinable")+COUNTIFS('Prácticas_Snowballing'!$AB$2:$AB$281,"T079",'Prácticas_Snowballing'!$AC$2:$AC$281,"PROFESSIONAL PRACTICE &gt; Subárea no determinable")</f>
        <v>0</v>
      </c>
      <c r="CS93" s="29">
        <f t="shared" si="81"/>
        <v>0</v>
      </c>
      <c r="CT93" s="17">
        <f>COUNTIFS('Prácticas_Revisiones'!$S$2:$S$282,"T079",'Prácticas_Revisiones'!$T$2:$T$282,"SOFTWARE ENG. ECONOMICS &gt; Software Engineering Economics Fundamentals")+COUNTIFS('Prácticas_Snowballing'!$AB$2:$AB$281,"T079",'Prácticas_Snowballing'!$AC$2:$AC$281,"SOFTWARE ENG. ECONOMICS &gt; Software Engineering Economics Fundamentals")</f>
        <v>0</v>
      </c>
      <c r="CU93" s="17">
        <f>COUNTIFS('Prácticas_Revisiones'!$S$2:$S$282,"T079",'Prácticas_Revisiones'!$T$2:$T$282,"SOFTWARE ENG. ECONOMICS &gt; The Engineering Decision-Making Process")+COUNTIFS('Prácticas_Snowballing'!$AB$2:$AB$281,"T079",'Prácticas_Snowballing'!$AC$2:$AC$281,"SOFTWARE ENG. ECONOMICS &gt; The Engineering Decision-Making Process")</f>
        <v>0</v>
      </c>
      <c r="CV93" s="17">
        <f>COUNTIFS('Prácticas_Revisiones'!$S$2:$S$282,"T079",'Prácticas_Revisiones'!$T$2:$T$282,"SOFTWARE ENG. ECONOMICS &gt; For-Profit Decision-Making")+COUNTIFS('Prácticas_Snowballing'!$AB$2:$AB$281,"T079",'Prácticas_Snowballing'!$AC$2:$AC$281,"SOFTWARE ENG. ECONOMICS &gt; For-Profit Decision-Making")</f>
        <v>0</v>
      </c>
      <c r="CW93" s="17">
        <f>COUNTIFS('Prácticas_Revisiones'!$S$2:$S$282,"T079",'Prácticas_Revisiones'!$T$2:$T$282,"SOFTWARE ENG. ECONOMICS &gt; Nonprofit Decision-Making")+COUNTIFS('Prácticas_Snowballing'!$AB$2:$AB$281,"T079",'Prácticas_Snowballing'!$AC$2:$AC$281,"SOFTWARE ENG. ECONOMICS &gt; Nonprofit Decision-Making")</f>
        <v>0</v>
      </c>
      <c r="CX93" s="17">
        <f>COUNTIFS('Prácticas_Revisiones'!$S$2:$S$282,"T079",'Prácticas_Revisiones'!$T$2:$T$282,"SOFTWARE ENG. ECONOMICS &gt; Present Economy Decision-Making")+COUNTIFS('Prácticas_Snowballing'!$AB$2:$AB$281,"T079",'Prácticas_Snowballing'!$AC$2:$AC$281,"SOFTWARE ENG. ECONOMICS &gt; Present Economy Decision-Making")</f>
        <v>0</v>
      </c>
      <c r="CY93" s="17">
        <f>COUNTIFS('Prácticas_Revisiones'!$S$2:$S$282,"T079",'Prácticas_Revisiones'!$T$2:$T$282,"SOFTWARE ENG. ECONOMICS &gt; Multiple-Attribute Decision-Making")+COUNTIFS('Prácticas_Snowballing'!$AB$2:$AB$281,"T079",'Prácticas_Snowballing'!$AC$2:$AC$281,"SOFTWARE ENG. ECONOMICS &gt; Multiple-Attribute Decision-Making")</f>
        <v>0</v>
      </c>
      <c r="CZ93" s="17">
        <f>COUNTIFS('Prácticas_Revisiones'!$S$2:$S$282,"T079",'Prácticas_Revisiones'!$T$2:$T$282,"SOFTWARE ENG. ECONOMICS &gt; Identifying and Characterizing Intangible Assets")+COUNTIFS('Prácticas_Snowballing'!$AB$2:$AB$281,"T079",'Prácticas_Snowballing'!$AC$2:$AC$281,"SOFTWARE ENG. ECONOMICS &gt; Identifying and Characterizing Intangible Assets")</f>
        <v>0</v>
      </c>
      <c r="DA93" s="17">
        <f>COUNTIFS('Prácticas_Revisiones'!$S$2:$S$282,"T079",'Prácticas_Revisiones'!$T$2:$T$282,"SOFTWARE ENG. ECONOMICS &gt; Estimation")+COUNTIFS('Prácticas_Snowballing'!$AB$2:$AB$281,"T079",'Prácticas_Snowballing'!$AC$2:$AC$281,"SOFTWARE ENG. ECONOMICS &gt; Estimation")</f>
        <v>0</v>
      </c>
      <c r="DB93" s="17">
        <f>COUNTIFS('Prácticas_Revisiones'!$S$2:$S$282,"T079",'Prácticas_Revisiones'!$T$2:$T$282,"SOFTWARE ENG. ECONOMICS &gt; Practical Considerations")+COUNTIFS('Prácticas_Snowballing'!$AB$2:$AB$281,"T079",'Prácticas_Snowballing'!$AC$2:$AC$281,"SOFTWARE ENG. ECONOMICS &gt; Practical Considerations")</f>
        <v>0</v>
      </c>
      <c r="DC93" s="17">
        <f>COUNTIFS('Prácticas_Revisiones'!$S$2:$S$282,"T079",'Prácticas_Revisiones'!$T$2:$T$282,"SOFTWARE ENG. ECONOMICS &gt; Related Concepts")+COUNTIFS('Prácticas_Snowballing'!$AB$2:$AB$281,"T079",'Prácticas_Snowballing'!$AC$2:$AC$281,"SOFTWARE ENG. ECONOMICS &gt; Related Concepts")</f>
        <v>0</v>
      </c>
      <c r="DD93" s="17">
        <f>COUNTIFS('Prácticas_Revisiones'!$S$2:$S$282,"T079",'Prácticas_Revisiones'!$T$2:$T$282,"SOFTWARE ENG. ECONOMICS &gt; Subárea no determinable")+COUNTIFS('Prácticas_Snowballing'!$AB$2:$AB$281,"T079",'Prácticas_Snowballing'!$AC$2:$AC$281,"SOFTWARE ENG. ECONOMICS &gt; Subárea no determinable")</f>
        <v>0</v>
      </c>
      <c r="DE93" s="29">
        <f t="shared" si="82"/>
        <v>0</v>
      </c>
      <c r="DF93" s="17">
        <f>COUNTIFS('Prácticas_Revisiones'!$S$2:$S$282,"T079",'Prácticas_Revisiones'!$T$2:$T$282,"SOFTWARE ENG. MANAGEMENT &gt; Software Engineering Management Fundamentals")+COUNTIFS('Prácticas_Snowballing'!$AB$2:$AB$281,"T079",'Prácticas_Snowballing'!$AC$2:$AC$281,"SOFTWARE ENG. MANAGEMENT &gt; Software Engineering Management Fundamentals")</f>
        <v>0</v>
      </c>
      <c r="DG93" s="17">
        <f>COUNTIFS('Prácticas_Revisiones'!$S$2:$S$282,"T079",'Prácticas_Revisiones'!$T$2:$T$282,"SOFTWARE ENG. MANAGEMENT &gt; Initiation and Scope Definition")+COUNTIFS('Prácticas_Snowballing'!$AB$2:$AB$281,"T079",'Prácticas_Snowballing'!$AC$2:$AC$281,"SOFTWARE ENG. MANAGEMENT &gt; Initiation and Scope Definition")</f>
        <v>0</v>
      </c>
      <c r="DH93" s="17">
        <f>COUNTIFS('Prácticas_Revisiones'!$S$2:$S$282,"T079",'Prácticas_Revisiones'!$T$2:$T$282,"SOFTWARE ENG. MANAGEMENT &gt; Software Project Planning")+COUNTIFS('Prácticas_Snowballing'!$AB$2:$AB$281,"T079",'Prácticas_Snowballing'!$AC$2:$AC$281,"SOFTWARE ENG. MANAGEMENT &gt; Software Project Planning")</f>
        <v>0</v>
      </c>
      <c r="DI93" s="17">
        <f>COUNTIFS('Prácticas_Revisiones'!$S$2:$S$282,"T079",'Prácticas_Revisiones'!$T$2:$T$282,"SOFTWARE ENG. MANAGEMENT &gt; Software Project Enactment")+COUNTIFS('Prácticas_Snowballing'!$AB$2:$AB$281,"T079",'Prácticas_Snowballing'!$AC$2:$AC$281,"SOFTWARE ENG. MANAGEMENT &gt; Software Project Enactment")</f>
        <v>0</v>
      </c>
      <c r="DJ93" s="17">
        <f>COUNTIFS('Prácticas_Revisiones'!$S$2:$S$282,"T079",'Prácticas_Revisiones'!$T$2:$T$282,"SOFTWARE ENG. MANAGEMENT &gt; Review and Evaluation")+COUNTIFS('Prácticas_Snowballing'!$AB$2:$AB$281,"T079",'Prácticas_Snowballing'!$AC$2:$AC$281,"SOFTWARE ENG. MANAGEMENT &gt; Review and Evaluation")</f>
        <v>0</v>
      </c>
      <c r="DK93" s="17">
        <f>COUNTIFS('Prácticas_Revisiones'!$S$2:$S$282,"T079",'Prácticas_Revisiones'!$T$2:$T$282,"SOFTWARE ENG. MANAGEMENT &gt; Closure")+COUNTIFS('Prácticas_Snowballing'!$AB$2:$AB$281,"T079",'Prácticas_Snowballing'!$AC$2:$AC$281,"SOFTWARE ENG. MANAGEMENT &gt; Closure")</f>
        <v>0</v>
      </c>
      <c r="DL93" s="17">
        <f>COUNTIFS('Prácticas_Revisiones'!$S$2:$S$282,"T079",'Prácticas_Revisiones'!$T$2:$T$282,"SOFTWARE ENG. MANAGEMENT &gt; Software Engineering Management Tools")+COUNTIFS('Prácticas_Snowballing'!$AB$2:$AB$281,"T079",'Prácticas_Snowballing'!$AC$2:$AC$281,"SOFTWARE ENG. MANAGEMENT &gt; Software Engineering Management Tools")</f>
        <v>0</v>
      </c>
      <c r="DM93" s="17">
        <f>COUNTIFS('Prácticas_Revisiones'!$S$2:$S$282,"T079",'Prácticas_Revisiones'!$T$2:$T$282,"SOFTWARE ENG. MANAGEMENT &gt; Subárea no determinable")+COUNTIFS('Prácticas_Snowballing'!$AB$2:$AB$281,"T079",'Prácticas_Snowballing'!$AC$2:$AC$281,"SOFTWARE ENG. MANAGEMENT &gt; Subárea no determinable")</f>
        <v>0</v>
      </c>
      <c r="DN93" s="29">
        <f t="shared" si="83"/>
        <v>0</v>
      </c>
      <c r="DO93" s="17">
        <f>COUNTIFS('Prácticas_Revisiones'!$S$2:$S$282,"T079",'Prácticas_Revisiones'!$T$2:$T$282,"Sin área SWEBOK")+COUNTIFS('Prácticas_Snowballing'!$AB$2:$AB$281,"T079",'Prácticas_Snowballing'!$AC$2:$AC$281,"Sin área SWEBOK")</f>
        <v>1</v>
      </c>
      <c r="DP93" s="27">
        <f t="shared" si="84"/>
        <v>3</v>
      </c>
    </row>
    <row r="94" ht="15.75" customHeight="1">
      <c r="A94" s="28"/>
      <c r="B94" s="16" t="s">
        <v>2822</v>
      </c>
      <c r="C94" s="17">
        <f>COUNTIFS('Prácticas_Revisiones'!$S$2:$S$282,"T080",'Prácticas_Revisiones'!$T$2:$T$282,"REQUIREMENTS &gt; Software Requirements Fundamentals")+COUNTIFS('Prácticas_Snowballing'!$AB$2:$AB$281,"T080",'Prácticas_Snowballing'!$AC$2:$AC$281,"REQUIREMENTS &gt; Software Requirements Fundamentals")</f>
        <v>0</v>
      </c>
      <c r="D94" s="17">
        <f>COUNTIFS('Prácticas_Revisiones'!$S$2:$S$282,"T080",'Prácticas_Revisiones'!$T$2:$T$282,"REQUIREMENTS &gt; Requirements Elicitation")+COUNTIFS('Prácticas_Snowballing'!$AB$2:$AB$281,"T080",'Prácticas_Snowballing'!$AC$2:$AC$281,"REQUIREMENTS &gt; Requirements Elicitation")</f>
        <v>0</v>
      </c>
      <c r="E94" s="17">
        <f>COUNTIFS('Prácticas_Revisiones'!$S$2:$S$282,"T080",'Prácticas_Revisiones'!$T$2:$T$282,"REQUIREMENTS &gt; Requirements Analysis")+COUNTIFS('Prácticas_Snowballing'!$AB$2:$AB$281,"T080",'Prácticas_Snowballing'!$AC$2:$AC$281,"REQUIREMENTS &gt; Requirements Analysis")</f>
        <v>0</v>
      </c>
      <c r="F94" s="17">
        <f>COUNTIFS('Prácticas_Revisiones'!$S$2:$S$282,"T080",'Prácticas_Revisiones'!$T$2:$T$282,"REQUIREMENTS &gt; Requirements Specification")+COUNTIFS('Prácticas_Snowballing'!$AB$2:$AB$281,"T080",'Prácticas_Snowballing'!$AC$2:$AC$281,"REQUIREMENTS &gt; Requirements Specification")</f>
        <v>0</v>
      </c>
      <c r="G94" s="17">
        <f>COUNTIFS('Prácticas_Revisiones'!$S$2:$S$282,"T080",'Prácticas_Revisiones'!$T$2:$T$282,"REQUIREMENTS &gt; Requirements Validation")+COUNTIFS('Prácticas_Snowballing'!$AB$2:$AB$281,"T080",'Prácticas_Snowballing'!$AC$2:$AC$281,"REQUIREMENTS &gt; Requirements Validation")</f>
        <v>0</v>
      </c>
      <c r="H94" s="17">
        <f>COUNTIFS('Prácticas_Revisiones'!$S$2:$S$282,"T080",'Prácticas_Revisiones'!$T$2:$T$282,"REQUIREMENTS &gt; Requirements Management Activities")+COUNTIFS('Prácticas_Snowballing'!$AB$2:$AB$281,"T080",'Prácticas_Snowballing'!$AC$2:$AC$281,"REQUIREMENTS &gt; Requirements Management Activities")</f>
        <v>0</v>
      </c>
      <c r="I94" s="17">
        <f>COUNTIFS('Prácticas_Revisiones'!$S$2:$S$282,"T080",'Prácticas_Revisiones'!$T$2:$T$282,"REQUIREMENTS &gt; Practical Considerations")+COUNTIFS('Prácticas_Snowballing'!$AB$2:$AB$281,"T080",'Prácticas_Snowballing'!$AC$2:$AC$281,"REQUIREMENTS &gt; Practical Considerations")</f>
        <v>0</v>
      </c>
      <c r="J94" s="17">
        <f>COUNTIFS('Prácticas_Revisiones'!$S$2:$S$282,"T080",'Prácticas_Revisiones'!$T$2:$T$282,"REQUIREMENTS &gt; Software Requirements Tools")+COUNTIFS('Prácticas_Snowballing'!$AB$2:$AB$281,"T080",'Prácticas_Snowballing'!$AC$2:$AC$281,"REQUIREMENTS &gt; Software Requirements Tools")</f>
        <v>0</v>
      </c>
      <c r="K94" s="17">
        <f>COUNTIFS('Prácticas_Revisiones'!$S$2:$S$282,"T080",'Prácticas_Revisiones'!$T$2:$T$282,"REQUIREMENTS &gt; Subárea no determinable")+COUNTIFS('Prácticas_Snowballing'!$AB$2:$AB$281,"T080",'Prácticas_Snowballing'!$AC$2:$AC$281,"REQUIREMENTS &gt; Subárea no determinable")</f>
        <v>0</v>
      </c>
      <c r="L94" s="29">
        <f t="shared" si="69"/>
        <v>0</v>
      </c>
      <c r="M94" s="17">
        <f>COUNTIFS('Prácticas_Revisiones'!$S$2:$S$282,"T080",'Prácticas_Revisiones'!$T$2:$T$282,"ARCHITECTURE &gt; Software Architecture Fundamentals")+COUNTIFS('Prácticas_Snowballing'!$AB$2:$AB$281,"T080",'Prácticas_Snowballing'!$AC$2:$AC$281,"ARCHITECTURE &gt; Software Architecture Fundamentals")</f>
        <v>0</v>
      </c>
      <c r="N94" s="17">
        <f>COUNTIFS('Prácticas_Revisiones'!$S$2:$S$282,"T080",'Prácticas_Revisiones'!$T$2:$T$282,"ARCHITECTURE &gt; Software Architecture Description")+COUNTIFS('Prácticas_Snowballing'!$AB$2:$AB$281,"T080",'Prácticas_Snowballing'!$AC$2:$AC$281,"ARCHITECTURE &gt; Software Architecture Description")</f>
        <v>0</v>
      </c>
      <c r="O94" s="17">
        <f>COUNTIFS('Prácticas_Revisiones'!$S$2:$S$282,"T080",'Prácticas_Revisiones'!$T$2:$T$282,"ARCHITECTURE &gt; Software Architecture Process")+COUNTIFS('Prácticas_Snowballing'!$AB$2:$AB$281,"T080",'Prácticas_Snowballing'!$AC$2:$AC$281,"ARCHITECTURE &gt; Software Architecture Process")</f>
        <v>0</v>
      </c>
      <c r="P94" s="17">
        <f>COUNTIFS('Prácticas_Revisiones'!$S$2:$S$282,"T080",'Prácticas_Revisiones'!$T$2:$T$282,"ARCHITECTURE &gt; Software Architecture Evaluation")+COUNTIFS('Prácticas_Snowballing'!$AB$2:$AB$281,"T080",'Prácticas_Snowballing'!$AC$2:$AC$281,"ARCHITECTURE &gt; Software Architecture Evaluation")</f>
        <v>0</v>
      </c>
      <c r="Q94" s="17">
        <f>COUNTIFS('Prácticas_Revisiones'!$S$2:$S$282,"T080",'Prácticas_Revisiones'!$T$2:$T$282,"ARCHITECTURE &gt; Subárea no determinable")+COUNTIFS('Prácticas_Snowballing'!$AB$2:$AB$281,"T080",'Prácticas_Snowballing'!$AC$2:$AC$281,"ARCHITECTURE &gt; Subárea no determinable")</f>
        <v>0</v>
      </c>
      <c r="R94" s="29">
        <f t="shared" si="70"/>
        <v>0</v>
      </c>
      <c r="S94" s="17">
        <f>COUNTIFS('Prácticas_Revisiones'!$S$2:$S$282,"T080",'Prácticas_Revisiones'!$T$2:$T$282,"DESIGN &gt; Software Design Fundamentals")+COUNTIFS('Prácticas_Snowballing'!$AB$2:$AB$281,"T080",'Prácticas_Snowballing'!$AC$2:$AC$281,"DESIGN &gt; Software Design Fundamentals")</f>
        <v>0</v>
      </c>
      <c r="T94" s="17">
        <f>COUNTIFS('Prácticas_Revisiones'!$S$2:$S$282,"T080",'Prácticas_Revisiones'!$T$2:$T$282,"DESIGN &gt; Software Design Processes")+COUNTIFS('Prácticas_Snowballing'!$AB$2:$AB$281,"T080",'Prácticas_Snowballing'!$AC$2:$AC$281,"DESIGN &gt; Software Design Processes")</f>
        <v>0</v>
      </c>
      <c r="U94" s="17">
        <f>COUNTIFS('Prácticas_Revisiones'!$S$2:$S$282,"T080",'Prácticas_Revisiones'!$T$2:$T$282,"DESIGN &gt; Software Design Qualities")+COUNTIFS('Prácticas_Snowballing'!$AB$2:$AB$281,"T080",'Prácticas_Snowballing'!$AC$2:$AC$281,"DESIGN &gt; Software Design Qualities")</f>
        <v>0</v>
      </c>
      <c r="V94" s="17">
        <f>COUNTIFS('Prácticas_Revisiones'!$S$2:$S$282,"T080",'Prácticas_Revisiones'!$T$2:$T$282,"DESIGN &gt; Recording Software Design")+COUNTIFS('Prácticas_Snowballing'!$AB$2:$AB$281,"T080",'Prácticas_Snowballing'!$AC$2:$AC$281,"DESIGN &gt; Recording Software Design")</f>
        <v>0</v>
      </c>
      <c r="W94" s="17">
        <f>COUNTIFS('Prácticas_Revisiones'!$S$2:$S$282,"T080",'Prácticas_Revisiones'!$T$2:$T$282,"DESIGN &gt; Software Design Strategies and Methods")+COUNTIFS('Prácticas_Snowballing'!$AB$2:$AB$281,"T080",'Prácticas_Snowballing'!$AC$2:$AC$281,"DESIGN &gt; Software Design Strategies and Methods")</f>
        <v>0</v>
      </c>
      <c r="X94" s="17">
        <f>COUNTIFS('Prácticas_Revisiones'!$S$2:$S$282,"T080",'Prácticas_Revisiones'!$T$2:$T$282,"DESIGN &gt; Software Design Analysis and Evaluations")+COUNTIFS('Prácticas_Snowballing'!$AB$2:$AB$281,"T080",'Prácticas_Snowballing'!$AC$2:$AC$281,"DESIGN &gt; Software Design Analysis and Evaluations")</f>
        <v>0</v>
      </c>
      <c r="Y94" s="17">
        <f>COUNTIFS('Prácticas_Revisiones'!$S$2:$S$282,"T080",'Prácticas_Revisiones'!$T$2:$T$282,"DESIGN &gt; Subárea no determinable")+COUNTIFS('Prácticas_Snowballing'!$AB$2:$AB$281,"T080",'Prácticas_Snowballing'!$AC$2:$AC$281,"DESIGN &gt; Subárea no determinable")</f>
        <v>0</v>
      </c>
      <c r="Z94" s="29">
        <f t="shared" si="71"/>
        <v>0</v>
      </c>
      <c r="AA94" s="17">
        <f>COUNTIFS('Prácticas_Revisiones'!$S$2:$S$282,"T080",'Prácticas_Revisiones'!$T$2:$T$282,"CONSTRUCTION &gt; Software Construction Fundamentals")+COUNTIFS('Prácticas_Snowballing'!$AB$2:$AB$281,"T080",'Prácticas_Snowballing'!$AC$2:$AC$281,"CONSTRUCTION &gt; Software Construction Fundamentals")</f>
        <v>0</v>
      </c>
      <c r="AB94" s="17">
        <f>COUNTIFS('Prácticas_Revisiones'!$S$2:$S$282,"T080",'Prácticas_Revisiones'!$T$2:$T$282,"CONSTRUCTION &gt; Managing Construction")+COUNTIFS('Prácticas_Snowballing'!$AB$2:$AB$281,"T080",'Prácticas_Snowballing'!$AC$2:$AC$281,"CONSTRUCTION &gt; Managing Construction")</f>
        <v>0</v>
      </c>
      <c r="AC94" s="17">
        <f>COUNTIFS('Prácticas_Revisiones'!$S$2:$S$282,"T080",'Prácticas_Revisiones'!$T$2:$T$282,"CONSTRUCTION &gt; Practical Considerations")+COUNTIFS('Prácticas_Snowballing'!$AB$2:$AB$281,"T080",'Prácticas_Snowballing'!$AC$2:$AC$281,"CONSTRUCTION &gt; Practical Considerations")</f>
        <v>0</v>
      </c>
      <c r="AD94" s="17">
        <f>COUNTIFS('Prácticas_Revisiones'!$S$2:$S$282,"T080",'Prácticas_Revisiones'!$T$2:$T$282,"CONSTRUCTION &gt; Construction Technologies")+COUNTIFS('Prácticas_Snowballing'!$AB$2:$AB$281,"T080",'Prácticas_Snowballing'!$AC$2:$AC$281,"CONSTRUCTION &gt; Construction Technologies")</f>
        <v>0</v>
      </c>
      <c r="AE94" s="17">
        <f>COUNTIFS('Prácticas_Revisiones'!$S$2:$S$282,"T080",'Prácticas_Revisiones'!$T$2:$T$282,"CONSTRUCTION &gt; Software Construction Tools")+COUNTIFS('Prácticas_Snowballing'!$AB$2:$AB$281,"T080",'Prácticas_Snowballing'!$AC$2:$AC$281,"CONSTRUCTION &gt; Software Construction Tools")</f>
        <v>0</v>
      </c>
      <c r="AF94" s="17">
        <f>COUNTIFS('Prácticas_Revisiones'!$S$2:$S$282,"T080",'Prácticas_Revisiones'!$T$2:$T$282,"CONSTRUCTION &gt; Subárea no determinable")+COUNTIFS('Prácticas_Snowballing'!$AB$2:$AB$281,"T080",'Prácticas_Snowballing'!$AC$2:$AC$281,"CONSTRUCTION &gt; Subárea no determinable")</f>
        <v>0</v>
      </c>
      <c r="AG94" s="29">
        <f t="shared" si="72"/>
        <v>0</v>
      </c>
      <c r="AH94" s="17">
        <f>COUNTIFS('Prácticas_Revisiones'!$S$2:$S$282,"T080",'Prácticas_Revisiones'!$T$2:$T$282,"SOFTWARE TESTING &gt; Software Testing Fundamentals")+COUNTIFS('Prácticas_Snowballing'!$AB$2:$AB$281,"T080",'Prácticas_Snowballing'!$AC$2:$AC$281,"SOFTWARE TESTING &gt; Software Testing Fundamentals")</f>
        <v>0</v>
      </c>
      <c r="AI94" s="17">
        <f>COUNTIFS('Prácticas_Revisiones'!$S$2:$S$282,"T080",'Prácticas_Revisiones'!$T$2:$T$282,"SOFTWARE TESTING &gt; Test Levels")+COUNTIFS('Prácticas_Snowballing'!$AB$2:$AB$281,"T080",'Prácticas_Snowballing'!$AC$2:$AC$281,"SOFTWARE TESTING &gt; Test Levels")</f>
        <v>0</v>
      </c>
      <c r="AJ94" s="17">
        <f>COUNTIFS('Prácticas_Revisiones'!$S$2:$S$282,"T080",'Prácticas_Revisiones'!$T$2:$T$282,"SOFTWARE TESTING &gt; Test Techniques")+COUNTIFS('Prácticas_Snowballing'!$AB$2:$AB$281,"T080",'Prácticas_Snowballing'!$AC$2:$AC$281,"SOFTWARE TESTING &gt; Test Techniques")</f>
        <v>0</v>
      </c>
      <c r="AK94" s="17">
        <f>COUNTIFS('Prácticas_Revisiones'!$S$2:$S$282,"T080",'Prácticas_Revisiones'!$T$2:$T$282,"SOFTWARE TESTING &gt; Test-Related Measures")+COUNTIFS('Prácticas_Snowballing'!$AB$2:$AB$281,"T080",'Prácticas_Snowballing'!$AC$2:$AC$281,"SOFTWARE TESTING &gt; Test-Related Measures")</f>
        <v>0</v>
      </c>
      <c r="AL94" s="17">
        <f>COUNTIFS('Prácticas_Revisiones'!$S$2:$S$282,"T080",'Prácticas_Revisiones'!$T$2:$T$282,"SOFTWARE TESTING &gt; Test Process")+COUNTIFS('Prácticas_Snowballing'!$AB$2:$AB$281,"T080",'Prácticas_Snowballing'!$AC$2:$AC$281,"SOFTWARE TESTING &gt; Test Process")</f>
        <v>0</v>
      </c>
      <c r="AM94" s="17">
        <f>COUNTIFS('Prácticas_Revisiones'!$S$2:$S$282,"T080",'Prácticas_Revisiones'!$T$2:$T$282,"SOFTWARE TESTING &gt; Software Testing in the Development Processes...")+COUNTIFS('Prácticas_Snowballing'!$AB$2:$AB$281,"T080",'Prácticas_Snowballing'!$AC$2:$AC$281,"SOFTWARE TESTING &gt; Software Testing in the Development Processes...")</f>
        <v>0</v>
      </c>
      <c r="AN94" s="17">
        <f>COUNTIFS('Prácticas_Revisiones'!$S$2:$S$282,"T080",'Prácticas_Revisiones'!$T$2:$T$282,"SOFTWARE TESTING &gt; Testing of and Testing Through Emerging Tech...")+COUNTIFS('Prácticas_Snowballing'!$AB$2:$AB$281,"T080",'Prácticas_Snowballing'!$AC$2:$AC$281,"SOFTWARE TESTING &gt; Testing of and Testing Through Emerging Tech...")</f>
        <v>0</v>
      </c>
      <c r="AO94" s="17">
        <f>COUNTIFS('Prácticas_Revisiones'!$S$2:$S$282,"T080",'Prácticas_Revisiones'!$T$2:$T$282,"SOFTWARE TESTING &gt; Software Testing Tools")+COUNTIFS('Prácticas_Snowballing'!$AB$2:$AB$281,"T080",'Prácticas_Snowballing'!$AC$2:$AC$281,"SOFTWARE TESTING &gt; Software Testing Tools")</f>
        <v>0</v>
      </c>
      <c r="AP94" s="17">
        <f>COUNTIFS('Prácticas_Revisiones'!$S$2:$S$282,"T080",'Prácticas_Revisiones'!$T$2:$T$282,"SOFTWARE TESTING &gt; Subárea no determinable")+COUNTIFS('Prácticas_Snowballing'!$AB$2:$AB$281,"T080",'Prácticas_Snowballing'!$AC$2:$AC$281,"SOFTWARE TESTING &gt; Subárea no determinable")</f>
        <v>0</v>
      </c>
      <c r="AQ94" s="29">
        <f t="shared" si="73"/>
        <v>0</v>
      </c>
      <c r="AR94" s="17">
        <f>COUNTIFS('Prácticas_Revisiones'!$S$2:$S$282,"T080",'Prácticas_Revisiones'!$T$2:$T$282,"SOFTWARE ENG. OPERATIONS &gt; Software Engineering Operations Fundamentals")+COUNTIFS('Prácticas_Snowballing'!$AB$2:$AB$281,"T080",'Prácticas_Snowballing'!$AC$2:$AC$281,"SOFTWARE ENG. OPERATIONS &gt; Software Engineering Operations Fundamentals")</f>
        <v>0</v>
      </c>
      <c r="AS94" s="17">
        <f>COUNTIFS('Prácticas_Revisiones'!$S$2:$S$282,"T080",'Prácticas_Revisiones'!$T$2:$T$282,"SOFTWARE ENG. OPERATIONS &gt; Software Engineering Operations Planning")+COUNTIFS('Prácticas_Snowballing'!$AB$2:$AB$281,"T080",'Prácticas_Snowballing'!$AC$2:$AC$281,"SOFTWARE ENG. OPERATIONS &gt; Software Engineering Operations Planning")</f>
        <v>0</v>
      </c>
      <c r="AT94" s="17">
        <f>COUNTIFS('Prácticas_Revisiones'!$S$2:$S$282,"T080",'Prácticas_Revisiones'!$T$2:$T$282,"SOFTWARE ENG. OPERATIONS &gt; Software Engineering Operations Delivery")+COUNTIFS('Prácticas_Snowballing'!$AB$2:$AB$281,"T080",'Prácticas_Snowballing'!$AC$2:$AC$281,"SOFTWARE ENG. OPERATIONS &gt; Software Engineering Operations Delivery")</f>
        <v>0</v>
      </c>
      <c r="AU94" s="17">
        <f>COUNTIFS('Prácticas_Revisiones'!$S$2:$S$282,"T080",'Prácticas_Revisiones'!$T$2:$T$282,"SOFTWARE ENG. OPERATIONS &gt; Software Engineering Operations Control")+COUNTIFS('Prácticas_Snowballing'!$AB$2:$AB$281,"T080",'Prácticas_Snowballing'!$AC$2:$AC$281,"SOFTWARE ENG. OPERATIONS &gt; Software Engineering Operations Control")</f>
        <v>0</v>
      </c>
      <c r="AV94" s="17">
        <f>COUNTIFS('Prácticas_Revisiones'!$S$2:$S$282,"T080",'Prácticas_Revisiones'!$T$2:$T$282,"SOFTWARE ENG. OPERATIONS &gt; Practical Considerations")+COUNTIFS('Prácticas_Snowballing'!$AB$2:$AB$281,"T080",'Prácticas_Snowballing'!$AC$2:$AC$281,"SOFTWARE ENG. OPERATIONS &gt; Practical Considerations")</f>
        <v>0</v>
      </c>
      <c r="AW94" s="17">
        <f>COUNTIFS('Prácticas_Revisiones'!$S$2:$S$282,"T080",'Prácticas_Revisiones'!$T$2:$T$282,"SOFTWARE ENG. OPERATIONS &gt; Software Engineering Operations Tools")+COUNTIFS('Prácticas_Snowballing'!$AB$2:$AB$281,"T080",'Prácticas_Snowballing'!$AC$2:$AC$281,"SOFTWARE ENG. OPERATIONS &gt; Software Engineering Operations Tools")</f>
        <v>0</v>
      </c>
      <c r="AX94" s="17">
        <f>COUNTIFS('Prácticas_Revisiones'!$S$2:$S$282,"T080",'Prácticas_Revisiones'!$T$2:$T$282,"SOFTWARE ENG. OPERATIONS &gt; Subárea no determinable")+COUNTIFS('Prácticas_Snowballing'!$AB$2:$AB$281,"T080",'Prácticas_Snowballing'!$AC$2:$AC$281,"SOFTWARE ENG. OPERATIONS &gt; Subárea no determinable")</f>
        <v>0</v>
      </c>
      <c r="AY94" s="29">
        <f t="shared" si="74"/>
        <v>0</v>
      </c>
      <c r="AZ94" s="17">
        <f>COUNTIFS('Prácticas_Revisiones'!$S$2:$S$282,"T080",'Prácticas_Revisiones'!$T$2:$T$282,"MAINTENANCE &gt; Software Maintenance Fundamentals")+COUNTIFS('Prácticas_Snowballing'!$AB$2:$AB$281,"T080",'Prácticas_Snowballing'!$AC$2:$AC$281,"MAINTENANCE &gt; Software Maintenance Fundamentals")</f>
        <v>0</v>
      </c>
      <c r="BA94" s="17">
        <f>COUNTIFS('Prácticas_Revisiones'!$S$2:$S$282,"T080",'Prácticas_Revisiones'!$T$2:$T$282,"MAINTENANCE &gt; Key Issues in Software Maintenance")+COUNTIFS('Prácticas_Snowballing'!$AB$2:$AB$281,"T080",'Prácticas_Snowballing'!$AC$2:$AC$281,"MAINTENANCE &gt; Key Issues in Software Maintenance")</f>
        <v>0</v>
      </c>
      <c r="BB94" s="17">
        <f>COUNTIFS('Prácticas_Revisiones'!$S$2:$S$282,"T080",'Prácticas_Revisiones'!$T$2:$T$282,"MAINTENANCE &gt; Software Maintenance Processes")+COUNTIFS('Prácticas_Snowballing'!$AB$2:$AB$281,"T080",'Prácticas_Snowballing'!$AC$2:$AC$281,"MAINTENANCE &gt; Software Maintenance Processes")</f>
        <v>0</v>
      </c>
      <c r="BC94" s="17">
        <f>COUNTIFS('Prácticas_Revisiones'!$S$2:$S$282,"T080",'Prácticas_Revisiones'!$T$2:$T$282,"MAINTENANCE &gt; Software Maintenance Techniques")+COUNTIFS('Prácticas_Snowballing'!$AB$2:$AB$281,"T080",'Prácticas_Snowballing'!$AC$2:$AC$281,"MAINTENANCE &gt; Software Maintenance Techniques")</f>
        <v>0</v>
      </c>
      <c r="BD94" s="17">
        <f>COUNTIFS('Prácticas_Revisiones'!$S$2:$S$282,"T080",'Prácticas_Revisiones'!$T$2:$T$282,"MAINTENANCE &gt; Software Maintenance Tools")+COUNTIFS('Prácticas_Snowballing'!$AB$2:$AB$281,"T080",'Prácticas_Snowballing'!$AC$2:$AC$281,"MAINTENANCE &gt; Software Maintenance Tools")</f>
        <v>0</v>
      </c>
      <c r="BE94" s="17">
        <f>COUNTIFS('Prácticas_Revisiones'!$S$2:$S$282,"T080",'Prácticas_Revisiones'!$T$2:$T$282,"MAINTENANCE &gt; Subárea no determinable")+COUNTIFS('Prácticas_Snowballing'!$AB$2:$AB$281,"T080",'Prácticas_Snowballing'!$AC$2:$AC$281,"MAINTENANCE &gt; Subárea no determinable")</f>
        <v>0</v>
      </c>
      <c r="BF94" s="29">
        <f t="shared" si="75"/>
        <v>0</v>
      </c>
      <c r="BG94" s="17">
        <f>COUNTIFS('Prácticas_Revisiones'!$S$2:$S$282,"T080",'Prácticas_Revisiones'!$T$2:$T$282,"SOFTWARE CONFIG. MGMT. &gt; Management of the SCM Process")+COUNTIFS('Prácticas_Snowballing'!$AB$2:$AB$281,"T080",'Prácticas_Snowballing'!$AC$2:$AC$281,"SOFTWARE CONFIG. MGMT. &gt; Management of the SCM Process")</f>
        <v>0</v>
      </c>
      <c r="BH94" s="17">
        <f>COUNTIFS('Prácticas_Revisiones'!$S$2:$S$282,"T080",'Prácticas_Revisiones'!$T$2:$T$282,"SOFTWARE CONFIG. MGMT. &gt; Software Configuration Identification")+COUNTIFS('Prácticas_Snowballing'!$AB$2:$AB$281,"T080",'Prácticas_Snowballing'!$AC$2:$AC$281,"SOFTWARE CONFIG. MGMT. &gt; Software Configuration Identification")</f>
        <v>0</v>
      </c>
      <c r="BI94" s="17">
        <f>COUNTIFS('Prácticas_Revisiones'!$S$2:$S$282,"T080",'Prácticas_Revisiones'!$T$2:$T$282,"SOFTWARE CONFIG. MGMT. &gt; Software Configuration Change Control")+COUNTIFS('Prácticas_Snowballing'!$AB$2:$AB$281,"T080",'Prácticas_Snowballing'!$AC$2:$AC$281,"SOFTWARE CONFIG. MGMT. &gt; Software Configuration Change Control")</f>
        <v>0</v>
      </c>
      <c r="BJ94" s="17">
        <f>COUNTIFS('Prácticas_Revisiones'!$S$2:$S$282,"T080",'Prácticas_Revisiones'!$T$2:$T$282,"SOFTWARE CONFIG. MGMT. &gt; Software Configuration Status Accounting")+COUNTIFS('Prácticas_Snowballing'!$AB$2:$AB$281,"T080",'Prácticas_Snowballing'!$AC$2:$AC$281,"SOFTWARE CONFIG. MGMT. &gt; Software Configuration Status Accounting")</f>
        <v>0</v>
      </c>
      <c r="BK94" s="17">
        <f>COUNTIFS('Prácticas_Revisiones'!$S$2:$S$282,"T080",'Prácticas_Revisiones'!$T$2:$T$282,"SOFTWARE CONFIG. MGMT. &gt; Software Configuration Auditing")+COUNTIFS('Prácticas_Snowballing'!$AB$2:$AB$281,"T080",'Prácticas_Snowballing'!$AC$2:$AC$281,"SOFTWARE CONFIG. MGMT. &gt; Software Configuration Auditing")</f>
        <v>0</v>
      </c>
      <c r="BL94" s="17">
        <f>COUNTIFS('Prácticas_Revisiones'!$S$2:$S$282,"T080",'Prácticas_Revisiones'!$T$2:$T$282,"SOFTWARE CONFIG. MGMT. &gt; Software Release Management and Delivery")+COUNTIFS('Prácticas_Snowballing'!$AB$2:$AB$281,"T080",'Prácticas_Snowballing'!$AC$2:$AC$281,"SOFTWARE CONFIG. MGMT. &gt; Software Release Management and Delivery")</f>
        <v>0</v>
      </c>
      <c r="BM94" s="17">
        <f>COUNTIFS('Prácticas_Revisiones'!$S$2:$S$282,"T080",'Prácticas_Revisiones'!$T$2:$T$282,"SOFTWARE CONFIG. MGMT. &gt; Software Configuration Management Tools")+COUNTIFS('Prácticas_Snowballing'!$AB$2:$AB$281,"T080",'Prácticas_Snowballing'!$AC$2:$AC$281,"SOFTWARE CONFIG. MGMT. &gt; Software Configuration Management Tools")</f>
        <v>0</v>
      </c>
      <c r="BN94" s="17">
        <f>COUNTIFS('Prácticas_Revisiones'!$S$2:$S$282,"T080",'Prácticas_Revisiones'!$T$2:$T$282,"SOFTWARE CONFIG. MGMT. &gt; Subárea no determinable")+COUNTIFS('Prácticas_Snowballing'!$AB$2:$AB$281,"T080",'Prácticas_Snowballing'!$AC$2:$AC$281,"SOFTWARE CONFIG. MGMT. &gt; Subárea no determinable")</f>
        <v>0</v>
      </c>
      <c r="BO94" s="29">
        <f t="shared" si="76"/>
        <v>0</v>
      </c>
      <c r="BP94" s="17">
        <f>COUNTIFS('Prácticas_Revisiones'!$S$2:$S$282,"T080",'Prácticas_Revisiones'!$T$2:$T$282,"SOFTWARE ENG. PROCESS &gt; Software Engineering Process Fundamentals")+COUNTIFS('Prácticas_Snowballing'!$AB$2:$AB$281,"T080",'Prácticas_Snowballing'!$AC$2:$AC$281,"SOFTWARE ENG. PROCESS &gt; Software Engineering Process Fundamentals")</f>
        <v>0</v>
      </c>
      <c r="BQ94" s="17">
        <f>COUNTIFS('Prácticas_Revisiones'!$S$2:$S$282,"T080",'Prácticas_Revisiones'!$T$2:$T$282,"SOFTWARE ENG. PROCESS &gt; Life Cycles")+COUNTIFS('Prácticas_Snowballing'!$AB$2:$AB$281,"T080",'Prácticas_Snowballing'!$AC$2:$AC$281,"SOFTWARE ENG. PROCESS &gt; Life Cycles")</f>
        <v>0</v>
      </c>
      <c r="BR94" s="17">
        <f>COUNTIFS('Prácticas_Revisiones'!$S$2:$S$282,"T080",'Prácticas_Revisiones'!$T$2:$T$282,"SOFTWARE ENG. PROCESS &gt; Software Process Assessment and Improvement")+COUNTIFS('Prácticas_Snowballing'!$AB$2:$AB$281,"T080",'Prácticas_Snowballing'!$AC$2:$AC$281,"SOFTWARE ENG. PROCESS &gt; Software Process Assessment and Improvement")</f>
        <v>0</v>
      </c>
      <c r="BS94" s="17">
        <f>COUNTIFS('Prácticas_Revisiones'!$S$2:$S$282,"T080",'Prácticas_Revisiones'!$T$2:$T$282,"SOFTWARE ENG. PROCESS &gt; Subárea no determinable")+COUNTIFS('Prácticas_Snowballing'!$AB$2:$AB$281,"T080",'Prácticas_Snowballing'!$AC$2:$AC$281,"SOFTWARE ENG. PROCESS &gt; Subárea no determinable")</f>
        <v>0</v>
      </c>
      <c r="BT94" s="29">
        <f t="shared" si="77"/>
        <v>0</v>
      </c>
      <c r="BU94" s="17">
        <f>COUNTIFS('Prácticas_Revisiones'!$S$2:$S$282,"T080",'Prácticas_Revisiones'!$T$2:$T$282,"SOFTWARE ENG. MODELS/METH. &gt; Modeling")+COUNTIFS('Prácticas_Snowballing'!$AB$2:$AB$281,"T080",'Prácticas_Snowballing'!$AC$2:$AC$281,"SOFTWARE ENG. MODELS/METH. &gt; Modeling")</f>
        <v>0</v>
      </c>
      <c r="BV94" s="17">
        <f>COUNTIFS('Prácticas_Revisiones'!$S$2:$S$282,"T080",'Prácticas_Revisiones'!$T$2:$T$282,"SOFTWARE ENG. MODELS/METH. &gt; Types of Models")+COUNTIFS('Prácticas_Snowballing'!$AB$2:$AB$281,"T080",'Prácticas_Snowballing'!$AC$2:$AC$281,"SOFTWARE ENG. MODELS/METH. &gt; Types of Models")</f>
        <v>0</v>
      </c>
      <c r="BW94" s="17">
        <f>COUNTIFS('Prácticas_Revisiones'!$S$2:$S$282,"T080",'Prácticas_Revisiones'!$T$2:$T$282,"SOFTWARE ENG. MODELS/METH. &gt; Analysis of Models")+COUNTIFS('Prácticas_Snowballing'!$AB$2:$AB$281,"T080",'Prácticas_Snowballing'!$AC$2:$AC$281,"SOFTWARE ENG. MODELS/METH. &gt; Analysis of Models")</f>
        <v>0</v>
      </c>
      <c r="BX94" s="17">
        <f>COUNTIFS('Prácticas_Revisiones'!$S$2:$S$282,"T080",'Prácticas_Revisiones'!$T$2:$T$282,"SOFTWARE ENG. MODELS/METH. &gt; Software Engineering Methods")+COUNTIFS('Prácticas_Snowballing'!$AB$2:$AB$281,"T080",'Prácticas_Snowballing'!$AC$2:$AC$281,"SOFTWARE ENG. MODELS/METH. &gt; Software Engineering Methods")</f>
        <v>0</v>
      </c>
      <c r="BY94" s="17">
        <f>COUNTIFS('Prácticas_Revisiones'!$S$2:$S$282,"T080",'Prácticas_Revisiones'!$T$2:$T$282,"SOFTWARE ENG. MODELS/METH. &gt; Subárea no determinable")+COUNTIFS('Prácticas_Snowballing'!$AB$2:$AB$281,"T080",'Prácticas_Snowballing'!$AC$2:$AC$281,"SOFTWARE ENG. MODELS/METH. &gt; Subárea no determinable")</f>
        <v>0</v>
      </c>
      <c r="BZ94" s="29">
        <f t="shared" si="78"/>
        <v>0</v>
      </c>
      <c r="CA94" s="17">
        <f>COUNTIFS('Prácticas_Revisiones'!$S$2:$S$282,"T080",'Prácticas_Revisiones'!$T$2:$T$282,"SOFTWARE QUALITY &gt; Software Quality Fundamentals")+COUNTIFS('Prácticas_Snowballing'!$AB$2:$AB$281,"T080",'Prácticas_Snowballing'!$AC$2:$AC$281,"SOFTWARE QUALITY &gt; Software Quality Fundamentals")</f>
        <v>0</v>
      </c>
      <c r="CB94" s="17">
        <f>COUNTIFS('Prácticas_Revisiones'!$S$2:$S$282,"T080",'Prácticas_Revisiones'!$T$2:$T$282,"SOFTWARE QUALITY &gt; Software Quality Management Process")+COUNTIFS('Prácticas_Snowballing'!$AB$2:$AB$281,"T080",'Prácticas_Snowballing'!$AC$2:$AC$281,"SOFTWARE QUALITY &gt; Software Quality Management Process")</f>
        <v>0</v>
      </c>
      <c r="CC94" s="17">
        <f>COUNTIFS('Prácticas_Revisiones'!$S$2:$S$282,"T080",'Prácticas_Revisiones'!$T$2:$T$282,"SOFTWARE QUALITY &gt; Software Quality Assurance Process")+COUNTIFS('Prácticas_Snowballing'!$AB$2:$AB$281,"T080",'Prácticas_Snowballing'!$AC$2:$AC$281,"SOFTWARE QUALITY &gt; Software Quality Assurance Process")</f>
        <v>0</v>
      </c>
      <c r="CD94" s="17">
        <f>COUNTIFS('Prácticas_Revisiones'!$S$2:$S$282,"T080",'Prácticas_Revisiones'!$T$2:$T$282,"SOFTWARE QUALITY &gt; Software Quality Tools")+COUNTIFS('Prácticas_Snowballing'!$AB$2:$AB$281,"T080",'Prácticas_Snowballing'!$AC$2:$AC$281,"SOFTWARE QUALITY &gt; Software Quality Tools")</f>
        <v>0</v>
      </c>
      <c r="CE94" s="17">
        <f>COUNTIFS('Prácticas_Revisiones'!$S$2:$S$282,"T080",'Prácticas_Revisiones'!$T$2:$T$282,"SOFTWARE QUALITY &gt; Subárea no determinable")+COUNTIFS('Prácticas_Snowballing'!$AB$2:$AB$281,"T080",'Prácticas_Snowballing'!$AC$2:$AC$281,"SOFTWARE QUALITY &gt; Subárea no determinable")</f>
        <v>0</v>
      </c>
      <c r="CF94" s="29">
        <f t="shared" si="79"/>
        <v>0</v>
      </c>
      <c r="CG94" s="17">
        <f>COUNTIFS('Prácticas_Revisiones'!$S$2:$S$282,"T080",'Prácticas_Revisiones'!$T$2:$T$282,"SOFTWARE SECURITY &gt; Software Security Fundamentals")+COUNTIFS('Prácticas_Snowballing'!$AB$2:$AB$281,"T080",'Prácticas_Snowballing'!$AC$2:$AC$281,"SOFTWARE SECURITY &gt; Software Security Fundamentals")</f>
        <v>0</v>
      </c>
      <c r="CH94" s="17">
        <f>COUNTIFS('Prácticas_Revisiones'!$S$2:$S$282,"T080",'Prácticas_Revisiones'!$T$2:$T$282,"SOFTWARE SECURITY &gt; Security Management and Organization")+COUNTIFS('Prácticas_Snowballing'!$AB$2:$AB$281,"T080",'Prácticas_Snowballing'!$AC$2:$AC$281,"SOFTWARE SECURITY &gt; Security Management and Organization")</f>
        <v>0</v>
      </c>
      <c r="CI94" s="17">
        <f>COUNTIFS('Prácticas_Revisiones'!$S$2:$S$282,"T080",'Prácticas_Revisiones'!$T$2:$T$282,"SOFTWARE SECURITY &gt; Software Security Engineering and Process")+COUNTIFS('Prácticas_Snowballing'!$AB$2:$AB$281,"T080",'Prácticas_Snowballing'!$AC$2:$AC$281,"SOFTWARE SECURITY &gt; Software Security Engineering and Process")</f>
        <v>0</v>
      </c>
      <c r="CJ94" s="17">
        <f>COUNTIFS('Prácticas_Revisiones'!$S$2:$S$282,"T080",'Prácticas_Revisiones'!$T$2:$T$282,"SOFTWARE SECURITY &gt; Security Engineering for Software Systems")+COUNTIFS('Prácticas_Snowballing'!$AB$2:$AB$281,"T080",'Prácticas_Snowballing'!$AC$2:$AC$281,"SOFTWARE SECURITY &gt; Security Engineering for Software Systems")</f>
        <v>0</v>
      </c>
      <c r="CK94" s="17">
        <f>COUNTIFS('Prácticas_Revisiones'!$S$2:$S$282,"T080",'Prácticas_Revisiones'!$T$2:$T$282,"SOFTWARE SECURITY &gt; Software Security Tools")+COUNTIFS('Prácticas_Snowballing'!$AB$2:$AB$281,"T080",'Prácticas_Snowballing'!$AC$2:$AC$281,"SOFTWARE SECURITY &gt; Software Security Tools")</f>
        <v>0</v>
      </c>
      <c r="CL94" s="17">
        <f>COUNTIFS('Prácticas_Revisiones'!$S$2:$S$282,"T080",'Prácticas_Revisiones'!$T$2:$T$282,"SOFTWARE SECURITY &gt; Domain Specific Software Security")+COUNTIFS('Prácticas_Snowballing'!$AB$2:$AB$281,"T080",'Prácticas_Snowballing'!$AC$2:$AC$281,"SOFTWARE SECURITY &gt; Domain Specific Software Security")</f>
        <v>0</v>
      </c>
      <c r="CM94" s="17">
        <f>COUNTIFS('Prácticas_Revisiones'!$S$2:$S$282,"T080",'Prácticas_Revisiones'!$T$2:$T$282,"SOFTWARE SECURITY &gt; Subárea no determinable")+COUNTIFS('Prácticas_Snowballing'!$AB$2:$AB$281,"T080",'Prácticas_Snowballing'!$AC$2:$AC$281,"SOFTWARE SECURITY &gt; Subárea no determinable")</f>
        <v>0</v>
      </c>
      <c r="CN94" s="29">
        <f t="shared" si="80"/>
        <v>0</v>
      </c>
      <c r="CO94" s="17">
        <f>COUNTIFS('Prácticas_Revisiones'!$S$2:$S$282,"T080",'Prácticas_Revisiones'!$T$2:$T$282,"PROFESSIONAL PRACTICE &gt; Professionalism")+COUNTIFS('Prácticas_Snowballing'!$AB$2:$AB$281,"T080",'Prácticas_Snowballing'!$AC$2:$AC$281,"PROFESSIONAL PRACTICE &gt; Professionalism")</f>
        <v>0</v>
      </c>
      <c r="CP94" s="17">
        <f>COUNTIFS('Prácticas_Revisiones'!$S$2:$S$282,"T080",'Prácticas_Revisiones'!$T$2:$T$282,"PROFESSIONAL PRACTICE &gt; Group Dynamics and Psychology")+COUNTIFS('Prácticas_Snowballing'!$AB$2:$AB$281,"T080",'Prácticas_Snowballing'!$AC$2:$AC$281,"PROFESSIONAL PRACTICE &gt; Group Dynamics and Psychology")</f>
        <v>0</v>
      </c>
      <c r="CQ94" s="17">
        <f>COUNTIFS('Prácticas_Revisiones'!$S$2:$S$282,"T080",'Prácticas_Revisiones'!$T$2:$T$282,"PROFESSIONAL PRACTICE &gt; Communication Skills")+COUNTIFS('Prácticas_Snowballing'!$AB$2:$AB$281,"T080",'Prácticas_Snowballing'!$AC$2:$AC$281,"PROFESSIONAL PRACTICE &gt; Communication Skills")</f>
        <v>0</v>
      </c>
      <c r="CR94" s="17">
        <f>COUNTIFS('Prácticas_Revisiones'!$S$2:$S$282,"T080",'Prácticas_Revisiones'!$T$2:$T$282,"PROFESSIONAL PRACTICE &gt; Subárea no determinable")+COUNTIFS('Prácticas_Snowballing'!$AB$2:$AB$281,"T080",'Prácticas_Snowballing'!$AC$2:$AC$281,"PROFESSIONAL PRACTICE &gt; Subárea no determinable")</f>
        <v>0</v>
      </c>
      <c r="CS94" s="29">
        <f t="shared" si="81"/>
        <v>0</v>
      </c>
      <c r="CT94" s="17">
        <f>COUNTIFS('Prácticas_Revisiones'!$S$2:$S$282,"T080",'Prácticas_Revisiones'!$T$2:$T$282,"SOFTWARE ENG. ECONOMICS &gt; Software Engineering Economics Fundamentals")+COUNTIFS('Prácticas_Snowballing'!$AB$2:$AB$281,"T080",'Prácticas_Snowballing'!$AC$2:$AC$281,"SOFTWARE ENG. ECONOMICS &gt; Software Engineering Economics Fundamentals")</f>
        <v>0</v>
      </c>
      <c r="CU94" s="17">
        <f>COUNTIFS('Prácticas_Revisiones'!$S$2:$S$282,"T080",'Prácticas_Revisiones'!$T$2:$T$282,"SOFTWARE ENG. ECONOMICS &gt; The Engineering Decision-Making Process")+COUNTIFS('Prácticas_Snowballing'!$AB$2:$AB$281,"T080",'Prácticas_Snowballing'!$AC$2:$AC$281,"SOFTWARE ENG. ECONOMICS &gt; The Engineering Decision-Making Process")</f>
        <v>0</v>
      </c>
      <c r="CV94" s="17">
        <f>COUNTIFS('Prácticas_Revisiones'!$S$2:$S$282,"T080",'Prácticas_Revisiones'!$T$2:$T$282,"SOFTWARE ENG. ECONOMICS &gt; For-Profit Decision-Making")+COUNTIFS('Prácticas_Snowballing'!$AB$2:$AB$281,"T080",'Prácticas_Snowballing'!$AC$2:$AC$281,"SOFTWARE ENG. ECONOMICS &gt; For-Profit Decision-Making")</f>
        <v>0</v>
      </c>
      <c r="CW94" s="17">
        <f>COUNTIFS('Prácticas_Revisiones'!$S$2:$S$282,"T080",'Prácticas_Revisiones'!$T$2:$T$282,"SOFTWARE ENG. ECONOMICS &gt; Nonprofit Decision-Making")+COUNTIFS('Prácticas_Snowballing'!$AB$2:$AB$281,"T080",'Prácticas_Snowballing'!$AC$2:$AC$281,"SOFTWARE ENG. ECONOMICS &gt; Nonprofit Decision-Making")</f>
        <v>0</v>
      </c>
      <c r="CX94" s="17">
        <f>COUNTIFS('Prácticas_Revisiones'!$S$2:$S$282,"T080",'Prácticas_Revisiones'!$T$2:$T$282,"SOFTWARE ENG. ECONOMICS &gt; Present Economy Decision-Making")+COUNTIFS('Prácticas_Snowballing'!$AB$2:$AB$281,"T080",'Prácticas_Snowballing'!$AC$2:$AC$281,"SOFTWARE ENG. ECONOMICS &gt; Present Economy Decision-Making")</f>
        <v>0</v>
      </c>
      <c r="CY94" s="17">
        <f>COUNTIFS('Prácticas_Revisiones'!$S$2:$S$282,"T080",'Prácticas_Revisiones'!$T$2:$T$282,"SOFTWARE ENG. ECONOMICS &gt; Multiple-Attribute Decision-Making")+COUNTIFS('Prácticas_Snowballing'!$AB$2:$AB$281,"T080",'Prácticas_Snowballing'!$AC$2:$AC$281,"SOFTWARE ENG. ECONOMICS &gt; Multiple-Attribute Decision-Making")</f>
        <v>0</v>
      </c>
      <c r="CZ94" s="17">
        <f>COUNTIFS('Prácticas_Revisiones'!$S$2:$S$282,"T080",'Prácticas_Revisiones'!$T$2:$T$282,"SOFTWARE ENG. ECONOMICS &gt; Identifying and Characterizing Intangible Assets")+COUNTIFS('Prácticas_Snowballing'!$AB$2:$AB$281,"T080",'Prácticas_Snowballing'!$AC$2:$AC$281,"SOFTWARE ENG. ECONOMICS &gt; Identifying and Characterizing Intangible Assets")</f>
        <v>0</v>
      </c>
      <c r="DA94" s="17">
        <f>COUNTIFS('Prácticas_Revisiones'!$S$2:$S$282,"T080",'Prácticas_Revisiones'!$T$2:$T$282,"SOFTWARE ENG. ECONOMICS &gt; Estimation")+COUNTIFS('Prácticas_Snowballing'!$AB$2:$AB$281,"T080",'Prácticas_Snowballing'!$AC$2:$AC$281,"SOFTWARE ENG. ECONOMICS &gt; Estimation")</f>
        <v>0</v>
      </c>
      <c r="DB94" s="17">
        <f>COUNTIFS('Prácticas_Revisiones'!$S$2:$S$282,"T080",'Prácticas_Revisiones'!$T$2:$T$282,"SOFTWARE ENG. ECONOMICS &gt; Practical Considerations")+COUNTIFS('Prácticas_Snowballing'!$AB$2:$AB$281,"T080",'Prácticas_Snowballing'!$AC$2:$AC$281,"SOFTWARE ENG. ECONOMICS &gt; Practical Considerations")</f>
        <v>0</v>
      </c>
      <c r="DC94" s="17">
        <f>COUNTIFS('Prácticas_Revisiones'!$S$2:$S$282,"T080",'Prácticas_Revisiones'!$T$2:$T$282,"SOFTWARE ENG. ECONOMICS &gt; Related Concepts")+COUNTIFS('Prácticas_Snowballing'!$AB$2:$AB$281,"T080",'Prácticas_Snowballing'!$AC$2:$AC$281,"SOFTWARE ENG. ECONOMICS &gt; Related Concepts")</f>
        <v>0</v>
      </c>
      <c r="DD94" s="17">
        <f>COUNTIFS('Prácticas_Revisiones'!$S$2:$S$282,"T080",'Prácticas_Revisiones'!$T$2:$T$282,"SOFTWARE ENG. ECONOMICS &gt; Subárea no determinable")+COUNTIFS('Prácticas_Snowballing'!$AB$2:$AB$281,"T080",'Prácticas_Snowballing'!$AC$2:$AC$281,"SOFTWARE ENG. ECONOMICS &gt; Subárea no determinable")</f>
        <v>0</v>
      </c>
      <c r="DE94" s="29">
        <f t="shared" si="82"/>
        <v>0</v>
      </c>
      <c r="DF94" s="17">
        <f>COUNTIFS('Prácticas_Revisiones'!$S$2:$S$282,"T080",'Prácticas_Revisiones'!$T$2:$T$282,"SOFTWARE ENG. MANAGEMENT &gt; Software Engineering Management Fundamentals")+COUNTIFS('Prácticas_Snowballing'!$AB$2:$AB$281,"T080",'Prácticas_Snowballing'!$AC$2:$AC$281,"SOFTWARE ENG. MANAGEMENT &gt; Software Engineering Management Fundamentals")</f>
        <v>0</v>
      </c>
      <c r="DG94" s="17">
        <f>COUNTIFS('Prácticas_Revisiones'!$S$2:$S$282,"T080",'Prácticas_Revisiones'!$T$2:$T$282,"SOFTWARE ENG. MANAGEMENT &gt; Initiation and Scope Definition")+COUNTIFS('Prácticas_Snowballing'!$AB$2:$AB$281,"T080",'Prácticas_Snowballing'!$AC$2:$AC$281,"SOFTWARE ENG. MANAGEMENT &gt; Initiation and Scope Definition")</f>
        <v>0</v>
      </c>
      <c r="DH94" s="17">
        <f>COUNTIFS('Prácticas_Revisiones'!$S$2:$S$282,"T080",'Prácticas_Revisiones'!$T$2:$T$282,"SOFTWARE ENG. MANAGEMENT &gt; Software Project Planning")+COUNTIFS('Prácticas_Snowballing'!$AB$2:$AB$281,"T080",'Prácticas_Snowballing'!$AC$2:$AC$281,"SOFTWARE ENG. MANAGEMENT &gt; Software Project Planning")</f>
        <v>0</v>
      </c>
      <c r="DI94" s="17">
        <f>COUNTIFS('Prácticas_Revisiones'!$S$2:$S$282,"T080",'Prácticas_Revisiones'!$T$2:$T$282,"SOFTWARE ENG. MANAGEMENT &gt; Software Project Enactment")+COUNTIFS('Prácticas_Snowballing'!$AB$2:$AB$281,"T080",'Prácticas_Snowballing'!$AC$2:$AC$281,"SOFTWARE ENG. MANAGEMENT &gt; Software Project Enactment")</f>
        <v>0</v>
      </c>
      <c r="DJ94" s="17">
        <f>COUNTIFS('Prácticas_Revisiones'!$S$2:$S$282,"T080",'Prácticas_Revisiones'!$T$2:$T$282,"SOFTWARE ENG. MANAGEMENT &gt; Review and Evaluation")+COUNTIFS('Prácticas_Snowballing'!$AB$2:$AB$281,"T080",'Prácticas_Snowballing'!$AC$2:$AC$281,"SOFTWARE ENG. MANAGEMENT &gt; Review and Evaluation")</f>
        <v>0</v>
      </c>
      <c r="DK94" s="17">
        <f>COUNTIFS('Prácticas_Revisiones'!$S$2:$S$282,"T080",'Prácticas_Revisiones'!$T$2:$T$282,"SOFTWARE ENG. MANAGEMENT &gt; Closure")+COUNTIFS('Prácticas_Snowballing'!$AB$2:$AB$281,"T080",'Prácticas_Snowballing'!$AC$2:$AC$281,"SOFTWARE ENG. MANAGEMENT &gt; Closure")</f>
        <v>0</v>
      </c>
      <c r="DL94" s="17">
        <f>COUNTIFS('Prácticas_Revisiones'!$S$2:$S$282,"T080",'Prácticas_Revisiones'!$T$2:$T$282,"SOFTWARE ENG. MANAGEMENT &gt; Software Engineering Management Tools")+COUNTIFS('Prácticas_Snowballing'!$AB$2:$AB$281,"T080",'Prácticas_Snowballing'!$AC$2:$AC$281,"SOFTWARE ENG. MANAGEMENT &gt; Software Engineering Management Tools")</f>
        <v>0</v>
      </c>
      <c r="DM94" s="17">
        <f>COUNTIFS('Prácticas_Revisiones'!$S$2:$S$282,"T080",'Prácticas_Revisiones'!$T$2:$T$282,"SOFTWARE ENG. MANAGEMENT &gt; Subárea no determinable")+COUNTIFS('Prácticas_Snowballing'!$AB$2:$AB$281,"T080",'Prácticas_Snowballing'!$AC$2:$AC$281,"SOFTWARE ENG. MANAGEMENT &gt; Subárea no determinable")</f>
        <v>0</v>
      </c>
      <c r="DN94" s="29">
        <f t="shared" si="83"/>
        <v>0</v>
      </c>
      <c r="DO94" s="17">
        <f>COUNTIFS('Prácticas_Revisiones'!$S$2:$S$282,"T080",'Prácticas_Revisiones'!$T$2:$T$282,"Sin área SWEBOK")+COUNTIFS('Prácticas_Snowballing'!$AB$2:$AB$281,"T080",'Prácticas_Snowballing'!$AC$2:$AC$281,"Sin área SWEBOK")</f>
        <v>0</v>
      </c>
      <c r="DP94" s="27">
        <f t="shared" si="84"/>
        <v>0</v>
      </c>
    </row>
    <row r="95" ht="15.75" customHeight="1">
      <c r="A95" s="28"/>
      <c r="B95" s="16" t="s">
        <v>2769</v>
      </c>
      <c r="C95" s="17">
        <f>COUNTIFS('Prácticas_Revisiones'!$S$2:$S$282,"T081",'Prácticas_Revisiones'!$T$2:$T$282,"REQUIREMENTS &gt; Software Requirements Fundamentals")+COUNTIFS('Prácticas_Snowballing'!$AB$2:$AB$281,"T081",'Prácticas_Snowballing'!$AC$2:$AC$281,"REQUIREMENTS &gt; Software Requirements Fundamentals")</f>
        <v>0</v>
      </c>
      <c r="D95" s="17">
        <f>COUNTIFS('Prácticas_Revisiones'!$S$2:$S$282,"T081",'Prácticas_Revisiones'!$T$2:$T$282,"REQUIREMENTS &gt; Requirements Elicitation")+COUNTIFS('Prácticas_Snowballing'!$AB$2:$AB$281,"T081",'Prácticas_Snowballing'!$AC$2:$AC$281,"REQUIREMENTS &gt; Requirements Elicitation")</f>
        <v>0</v>
      </c>
      <c r="E95" s="17">
        <f>COUNTIFS('Prácticas_Revisiones'!$S$2:$S$282,"T081",'Prácticas_Revisiones'!$T$2:$T$282,"REQUIREMENTS &gt; Requirements Analysis")+COUNTIFS('Prácticas_Snowballing'!$AB$2:$AB$281,"T081",'Prácticas_Snowballing'!$AC$2:$AC$281,"REQUIREMENTS &gt; Requirements Analysis")</f>
        <v>0</v>
      </c>
      <c r="F95" s="17">
        <f>COUNTIFS('Prácticas_Revisiones'!$S$2:$S$282,"T081",'Prácticas_Revisiones'!$T$2:$T$282,"REQUIREMENTS &gt; Requirements Specification")+COUNTIFS('Prácticas_Snowballing'!$AB$2:$AB$281,"T081",'Prácticas_Snowballing'!$AC$2:$AC$281,"REQUIREMENTS &gt; Requirements Specification")</f>
        <v>0</v>
      </c>
      <c r="G95" s="17">
        <f>COUNTIFS('Prácticas_Revisiones'!$S$2:$S$282,"T081",'Prácticas_Revisiones'!$T$2:$T$282,"REQUIREMENTS &gt; Requirements Validation")+COUNTIFS('Prácticas_Snowballing'!$AB$2:$AB$281,"T081",'Prácticas_Snowballing'!$AC$2:$AC$281,"REQUIREMENTS &gt; Requirements Validation")</f>
        <v>0</v>
      </c>
      <c r="H95" s="17">
        <f>COUNTIFS('Prácticas_Revisiones'!$S$2:$S$282,"T081",'Prácticas_Revisiones'!$T$2:$T$282,"REQUIREMENTS &gt; Requirements Management Activities")+COUNTIFS('Prácticas_Snowballing'!$AB$2:$AB$281,"T081",'Prácticas_Snowballing'!$AC$2:$AC$281,"REQUIREMENTS &gt; Requirements Management Activities")</f>
        <v>0</v>
      </c>
      <c r="I95" s="17">
        <f>COUNTIFS('Prácticas_Revisiones'!$S$2:$S$282,"T081",'Prácticas_Revisiones'!$T$2:$T$282,"REQUIREMENTS &gt; Practical Considerations")+COUNTIFS('Prácticas_Snowballing'!$AB$2:$AB$281,"T081",'Prácticas_Snowballing'!$AC$2:$AC$281,"REQUIREMENTS &gt; Practical Considerations")</f>
        <v>0</v>
      </c>
      <c r="J95" s="17">
        <f>COUNTIFS('Prácticas_Revisiones'!$S$2:$S$282,"T081",'Prácticas_Revisiones'!$T$2:$T$282,"REQUIREMENTS &gt; Software Requirements Tools")+COUNTIFS('Prácticas_Snowballing'!$AB$2:$AB$281,"T081",'Prácticas_Snowballing'!$AC$2:$AC$281,"REQUIREMENTS &gt; Software Requirements Tools")</f>
        <v>0</v>
      </c>
      <c r="K95" s="17">
        <f>COUNTIFS('Prácticas_Revisiones'!$S$2:$S$282,"T081",'Prácticas_Revisiones'!$T$2:$T$282,"REQUIREMENTS &gt; Subárea no determinable")+COUNTIFS('Prácticas_Snowballing'!$AB$2:$AB$281,"T081",'Prácticas_Snowballing'!$AC$2:$AC$281,"REQUIREMENTS &gt; Subárea no determinable")</f>
        <v>0</v>
      </c>
      <c r="L95" s="29">
        <f t="shared" si="69"/>
        <v>0</v>
      </c>
      <c r="M95" s="17">
        <f>COUNTIFS('Prácticas_Revisiones'!$S$2:$S$282,"T081",'Prácticas_Revisiones'!$T$2:$T$282,"ARCHITECTURE &gt; Software Architecture Fundamentals")+COUNTIFS('Prácticas_Snowballing'!$AB$2:$AB$281,"T081",'Prácticas_Snowballing'!$AC$2:$AC$281,"ARCHITECTURE &gt; Software Architecture Fundamentals")</f>
        <v>0</v>
      </c>
      <c r="N95" s="17">
        <f>COUNTIFS('Prácticas_Revisiones'!$S$2:$S$282,"T081",'Prácticas_Revisiones'!$T$2:$T$282,"ARCHITECTURE &gt; Software Architecture Description")+COUNTIFS('Prácticas_Snowballing'!$AB$2:$AB$281,"T081",'Prácticas_Snowballing'!$AC$2:$AC$281,"ARCHITECTURE &gt; Software Architecture Description")</f>
        <v>0</v>
      </c>
      <c r="O95" s="17">
        <f>COUNTIFS('Prácticas_Revisiones'!$S$2:$S$282,"T081",'Prácticas_Revisiones'!$T$2:$T$282,"ARCHITECTURE &gt; Software Architecture Process")+COUNTIFS('Prácticas_Snowballing'!$AB$2:$AB$281,"T081",'Prácticas_Snowballing'!$AC$2:$AC$281,"ARCHITECTURE &gt; Software Architecture Process")</f>
        <v>0</v>
      </c>
      <c r="P95" s="17">
        <f>COUNTIFS('Prácticas_Revisiones'!$S$2:$S$282,"T081",'Prácticas_Revisiones'!$T$2:$T$282,"ARCHITECTURE &gt; Software Architecture Evaluation")+COUNTIFS('Prácticas_Snowballing'!$AB$2:$AB$281,"T081",'Prácticas_Snowballing'!$AC$2:$AC$281,"ARCHITECTURE &gt; Software Architecture Evaluation")</f>
        <v>0</v>
      </c>
      <c r="Q95" s="17">
        <f>COUNTIFS('Prácticas_Revisiones'!$S$2:$S$282,"T081",'Prácticas_Revisiones'!$T$2:$T$282,"ARCHITECTURE &gt; Subárea no determinable")+COUNTIFS('Prácticas_Snowballing'!$AB$2:$AB$281,"T081",'Prácticas_Snowballing'!$AC$2:$AC$281,"ARCHITECTURE &gt; Subárea no determinable")</f>
        <v>0</v>
      </c>
      <c r="R95" s="29">
        <f t="shared" si="70"/>
        <v>0</v>
      </c>
      <c r="S95" s="17">
        <f>COUNTIFS('Prácticas_Revisiones'!$S$2:$S$282,"T081",'Prácticas_Revisiones'!$T$2:$T$282,"DESIGN &gt; Software Design Fundamentals")+COUNTIFS('Prácticas_Snowballing'!$AB$2:$AB$281,"T081",'Prácticas_Snowballing'!$AC$2:$AC$281,"DESIGN &gt; Software Design Fundamentals")</f>
        <v>0</v>
      </c>
      <c r="T95" s="17">
        <f>COUNTIFS('Prácticas_Revisiones'!$S$2:$S$282,"T081",'Prácticas_Revisiones'!$T$2:$T$282,"DESIGN &gt; Software Design Processes")+COUNTIFS('Prácticas_Snowballing'!$AB$2:$AB$281,"T081",'Prácticas_Snowballing'!$AC$2:$AC$281,"DESIGN &gt; Software Design Processes")</f>
        <v>0</v>
      </c>
      <c r="U95" s="17">
        <f>COUNTIFS('Prácticas_Revisiones'!$S$2:$S$282,"T081",'Prácticas_Revisiones'!$T$2:$T$282,"DESIGN &gt; Software Design Qualities")+COUNTIFS('Prácticas_Snowballing'!$AB$2:$AB$281,"T081",'Prácticas_Snowballing'!$AC$2:$AC$281,"DESIGN &gt; Software Design Qualities")</f>
        <v>0</v>
      </c>
      <c r="V95" s="17">
        <f>COUNTIFS('Prácticas_Revisiones'!$S$2:$S$282,"T081",'Prácticas_Revisiones'!$T$2:$T$282,"DESIGN &gt; Recording Software Design")+COUNTIFS('Prácticas_Snowballing'!$AB$2:$AB$281,"T081",'Prácticas_Snowballing'!$AC$2:$AC$281,"DESIGN &gt; Recording Software Design")</f>
        <v>1</v>
      </c>
      <c r="W95" s="17">
        <f>COUNTIFS('Prácticas_Revisiones'!$S$2:$S$282,"T081",'Prácticas_Revisiones'!$T$2:$T$282,"DESIGN &gt; Software Design Strategies and Methods")+COUNTIFS('Prácticas_Snowballing'!$AB$2:$AB$281,"T081",'Prácticas_Snowballing'!$AC$2:$AC$281,"DESIGN &gt; Software Design Strategies and Methods")</f>
        <v>0</v>
      </c>
      <c r="X95" s="17">
        <f>COUNTIFS('Prácticas_Revisiones'!$S$2:$S$282,"T081",'Prácticas_Revisiones'!$T$2:$T$282,"DESIGN &gt; Software Design Analysis and Evaluations")+COUNTIFS('Prácticas_Snowballing'!$AB$2:$AB$281,"T081",'Prácticas_Snowballing'!$AC$2:$AC$281,"DESIGN &gt; Software Design Analysis and Evaluations")</f>
        <v>0</v>
      </c>
      <c r="Y95" s="17">
        <f>COUNTIFS('Prácticas_Revisiones'!$S$2:$S$282,"T081",'Prácticas_Revisiones'!$T$2:$T$282,"DESIGN &gt; Subárea no determinable")+COUNTIFS('Prácticas_Snowballing'!$AB$2:$AB$281,"T081",'Prácticas_Snowballing'!$AC$2:$AC$281,"DESIGN &gt; Subárea no determinable")</f>
        <v>0</v>
      </c>
      <c r="Z95" s="29">
        <f t="shared" si="71"/>
        <v>1</v>
      </c>
      <c r="AA95" s="17">
        <f>COUNTIFS('Prácticas_Revisiones'!$S$2:$S$282,"T081",'Prácticas_Revisiones'!$T$2:$T$282,"CONSTRUCTION &gt; Software Construction Fundamentals")+COUNTIFS('Prácticas_Snowballing'!$AB$2:$AB$281,"T081",'Prácticas_Snowballing'!$AC$2:$AC$281,"CONSTRUCTION &gt; Software Construction Fundamentals")</f>
        <v>0</v>
      </c>
      <c r="AB95" s="17">
        <f>COUNTIFS('Prácticas_Revisiones'!$S$2:$S$282,"T081",'Prácticas_Revisiones'!$T$2:$T$282,"CONSTRUCTION &gt; Managing Construction")+COUNTIFS('Prácticas_Snowballing'!$AB$2:$AB$281,"T081",'Prácticas_Snowballing'!$AC$2:$AC$281,"CONSTRUCTION &gt; Managing Construction")</f>
        <v>0</v>
      </c>
      <c r="AC95" s="17">
        <f>COUNTIFS('Prácticas_Revisiones'!$S$2:$S$282,"T081",'Prácticas_Revisiones'!$T$2:$T$282,"CONSTRUCTION &gt; Practical Considerations")+COUNTIFS('Prácticas_Snowballing'!$AB$2:$AB$281,"T081",'Prácticas_Snowballing'!$AC$2:$AC$281,"CONSTRUCTION &gt; Practical Considerations")</f>
        <v>0</v>
      </c>
      <c r="AD95" s="17">
        <f>COUNTIFS('Prácticas_Revisiones'!$S$2:$S$282,"T081",'Prácticas_Revisiones'!$T$2:$T$282,"CONSTRUCTION &gt; Construction Technologies")+COUNTIFS('Prácticas_Snowballing'!$AB$2:$AB$281,"T081",'Prácticas_Snowballing'!$AC$2:$AC$281,"CONSTRUCTION &gt; Construction Technologies")</f>
        <v>0</v>
      </c>
      <c r="AE95" s="17">
        <f>COUNTIFS('Prácticas_Revisiones'!$S$2:$S$282,"T081",'Prácticas_Revisiones'!$T$2:$T$282,"CONSTRUCTION &gt; Software Construction Tools")+COUNTIFS('Prácticas_Snowballing'!$AB$2:$AB$281,"T081",'Prácticas_Snowballing'!$AC$2:$AC$281,"CONSTRUCTION &gt; Software Construction Tools")</f>
        <v>0</v>
      </c>
      <c r="AF95" s="17">
        <f>COUNTIFS('Prácticas_Revisiones'!$S$2:$S$282,"T081",'Prácticas_Revisiones'!$T$2:$T$282,"CONSTRUCTION &gt; Subárea no determinable")+COUNTIFS('Prácticas_Snowballing'!$AB$2:$AB$281,"T081",'Prácticas_Snowballing'!$AC$2:$AC$281,"CONSTRUCTION &gt; Subárea no determinable")</f>
        <v>0</v>
      </c>
      <c r="AG95" s="29">
        <f t="shared" si="72"/>
        <v>0</v>
      </c>
      <c r="AH95" s="17">
        <f>COUNTIFS('Prácticas_Revisiones'!$S$2:$S$282,"T081",'Prácticas_Revisiones'!$T$2:$T$282,"SOFTWARE TESTING &gt; Software Testing Fundamentals")+COUNTIFS('Prácticas_Snowballing'!$AB$2:$AB$281,"T081",'Prácticas_Snowballing'!$AC$2:$AC$281,"SOFTWARE TESTING &gt; Software Testing Fundamentals")</f>
        <v>0</v>
      </c>
      <c r="AI95" s="17">
        <f>COUNTIFS('Prácticas_Revisiones'!$S$2:$S$282,"T081",'Prácticas_Revisiones'!$T$2:$T$282,"SOFTWARE TESTING &gt; Test Levels")+COUNTIFS('Prácticas_Snowballing'!$AB$2:$AB$281,"T081",'Prácticas_Snowballing'!$AC$2:$AC$281,"SOFTWARE TESTING &gt; Test Levels")</f>
        <v>0</v>
      </c>
      <c r="AJ95" s="17">
        <f>COUNTIFS('Prácticas_Revisiones'!$S$2:$S$282,"T081",'Prácticas_Revisiones'!$T$2:$T$282,"SOFTWARE TESTING &gt; Test Techniques")+COUNTIFS('Prácticas_Snowballing'!$AB$2:$AB$281,"T081",'Prácticas_Snowballing'!$AC$2:$AC$281,"SOFTWARE TESTING &gt; Test Techniques")</f>
        <v>0</v>
      </c>
      <c r="AK95" s="17">
        <f>COUNTIFS('Prácticas_Revisiones'!$S$2:$S$282,"T081",'Prácticas_Revisiones'!$T$2:$T$282,"SOFTWARE TESTING &gt; Test-Related Measures")+COUNTIFS('Prácticas_Snowballing'!$AB$2:$AB$281,"T081",'Prácticas_Snowballing'!$AC$2:$AC$281,"SOFTWARE TESTING &gt; Test-Related Measures")</f>
        <v>0</v>
      </c>
      <c r="AL95" s="17">
        <f>COUNTIFS('Prácticas_Revisiones'!$S$2:$S$282,"T081",'Prácticas_Revisiones'!$T$2:$T$282,"SOFTWARE TESTING &gt; Test Process")+COUNTIFS('Prácticas_Snowballing'!$AB$2:$AB$281,"T081",'Prácticas_Snowballing'!$AC$2:$AC$281,"SOFTWARE TESTING &gt; Test Process")</f>
        <v>0</v>
      </c>
      <c r="AM95" s="17">
        <f>COUNTIFS('Prácticas_Revisiones'!$S$2:$S$282,"T081",'Prácticas_Revisiones'!$T$2:$T$282,"SOFTWARE TESTING &gt; Software Testing in the Development Processes...")+COUNTIFS('Prácticas_Snowballing'!$AB$2:$AB$281,"T081",'Prácticas_Snowballing'!$AC$2:$AC$281,"SOFTWARE TESTING &gt; Software Testing in the Development Processes...")</f>
        <v>0</v>
      </c>
      <c r="AN95" s="17">
        <f>COUNTIFS('Prácticas_Revisiones'!$S$2:$S$282,"T081",'Prácticas_Revisiones'!$T$2:$T$282,"SOFTWARE TESTING &gt; Testing of and Testing Through Emerging Tech...")+COUNTIFS('Prácticas_Snowballing'!$AB$2:$AB$281,"T081",'Prácticas_Snowballing'!$AC$2:$AC$281,"SOFTWARE TESTING &gt; Testing of and Testing Through Emerging Tech...")</f>
        <v>0</v>
      </c>
      <c r="AO95" s="17">
        <f>COUNTIFS('Prácticas_Revisiones'!$S$2:$S$282,"T081",'Prácticas_Revisiones'!$T$2:$T$282,"SOFTWARE TESTING &gt; Software Testing Tools")+COUNTIFS('Prácticas_Snowballing'!$AB$2:$AB$281,"T081",'Prácticas_Snowballing'!$AC$2:$AC$281,"SOFTWARE TESTING &gt; Software Testing Tools")</f>
        <v>0</v>
      </c>
      <c r="AP95" s="17">
        <f>COUNTIFS('Prácticas_Revisiones'!$S$2:$S$282,"T081",'Prácticas_Revisiones'!$T$2:$T$282,"SOFTWARE TESTING &gt; Subárea no determinable")+COUNTIFS('Prácticas_Snowballing'!$AB$2:$AB$281,"T081",'Prácticas_Snowballing'!$AC$2:$AC$281,"SOFTWARE TESTING &gt; Subárea no determinable")</f>
        <v>0</v>
      </c>
      <c r="AQ95" s="29">
        <f t="shared" si="73"/>
        <v>0</v>
      </c>
      <c r="AR95" s="17">
        <f>COUNTIFS('Prácticas_Revisiones'!$S$2:$S$282,"T081",'Prácticas_Revisiones'!$T$2:$T$282,"SOFTWARE ENG. OPERATIONS &gt; Software Engineering Operations Fundamentals")+COUNTIFS('Prácticas_Snowballing'!$AB$2:$AB$281,"T081",'Prácticas_Snowballing'!$AC$2:$AC$281,"SOFTWARE ENG. OPERATIONS &gt; Software Engineering Operations Fundamentals")</f>
        <v>0</v>
      </c>
      <c r="AS95" s="17">
        <f>COUNTIFS('Prácticas_Revisiones'!$S$2:$S$282,"T081",'Prácticas_Revisiones'!$T$2:$T$282,"SOFTWARE ENG. OPERATIONS &gt; Software Engineering Operations Planning")+COUNTIFS('Prácticas_Snowballing'!$AB$2:$AB$281,"T081",'Prácticas_Snowballing'!$AC$2:$AC$281,"SOFTWARE ENG. OPERATIONS &gt; Software Engineering Operations Planning")</f>
        <v>0</v>
      </c>
      <c r="AT95" s="17">
        <f>COUNTIFS('Prácticas_Revisiones'!$S$2:$S$282,"T081",'Prácticas_Revisiones'!$T$2:$T$282,"SOFTWARE ENG. OPERATIONS &gt; Software Engineering Operations Delivery")+COUNTIFS('Prácticas_Snowballing'!$AB$2:$AB$281,"T081",'Prácticas_Snowballing'!$AC$2:$AC$281,"SOFTWARE ENG. OPERATIONS &gt; Software Engineering Operations Delivery")</f>
        <v>0</v>
      </c>
      <c r="AU95" s="17">
        <f>COUNTIFS('Prácticas_Revisiones'!$S$2:$S$282,"T081",'Prácticas_Revisiones'!$T$2:$T$282,"SOFTWARE ENG. OPERATIONS &gt; Software Engineering Operations Control")+COUNTIFS('Prácticas_Snowballing'!$AB$2:$AB$281,"T081",'Prácticas_Snowballing'!$AC$2:$AC$281,"SOFTWARE ENG. OPERATIONS &gt; Software Engineering Operations Control")</f>
        <v>0</v>
      </c>
      <c r="AV95" s="17">
        <f>COUNTIFS('Prácticas_Revisiones'!$S$2:$S$282,"T081",'Prácticas_Revisiones'!$T$2:$T$282,"SOFTWARE ENG. OPERATIONS &gt; Practical Considerations")+COUNTIFS('Prácticas_Snowballing'!$AB$2:$AB$281,"T081",'Prácticas_Snowballing'!$AC$2:$AC$281,"SOFTWARE ENG. OPERATIONS &gt; Practical Considerations")</f>
        <v>0</v>
      </c>
      <c r="AW95" s="17">
        <f>COUNTIFS('Prácticas_Revisiones'!$S$2:$S$282,"T081",'Prácticas_Revisiones'!$T$2:$T$282,"SOFTWARE ENG. OPERATIONS &gt; Software Engineering Operations Tools")+COUNTIFS('Prácticas_Snowballing'!$AB$2:$AB$281,"T081",'Prácticas_Snowballing'!$AC$2:$AC$281,"SOFTWARE ENG. OPERATIONS &gt; Software Engineering Operations Tools")</f>
        <v>0</v>
      </c>
      <c r="AX95" s="17">
        <f>COUNTIFS('Prácticas_Revisiones'!$S$2:$S$282,"T081",'Prácticas_Revisiones'!$T$2:$T$282,"SOFTWARE ENG. OPERATIONS &gt; Subárea no determinable")+COUNTIFS('Prácticas_Snowballing'!$AB$2:$AB$281,"T081",'Prácticas_Snowballing'!$AC$2:$AC$281,"SOFTWARE ENG. OPERATIONS &gt; Subárea no determinable")</f>
        <v>0</v>
      </c>
      <c r="AY95" s="29">
        <f t="shared" si="74"/>
        <v>0</v>
      </c>
      <c r="AZ95" s="17">
        <f>COUNTIFS('Prácticas_Revisiones'!$S$2:$S$282,"T081",'Prácticas_Revisiones'!$T$2:$T$282,"MAINTENANCE &gt; Software Maintenance Fundamentals")+COUNTIFS('Prácticas_Snowballing'!$AB$2:$AB$281,"T081",'Prácticas_Snowballing'!$AC$2:$AC$281,"MAINTENANCE &gt; Software Maintenance Fundamentals")</f>
        <v>0</v>
      </c>
      <c r="BA95" s="17">
        <f>COUNTIFS('Prácticas_Revisiones'!$S$2:$S$282,"T081",'Prácticas_Revisiones'!$T$2:$T$282,"MAINTENANCE &gt; Key Issues in Software Maintenance")+COUNTIFS('Prácticas_Snowballing'!$AB$2:$AB$281,"T081",'Prácticas_Snowballing'!$AC$2:$AC$281,"MAINTENANCE &gt; Key Issues in Software Maintenance")</f>
        <v>0</v>
      </c>
      <c r="BB95" s="17">
        <f>COUNTIFS('Prácticas_Revisiones'!$S$2:$S$282,"T081",'Prácticas_Revisiones'!$T$2:$T$282,"MAINTENANCE &gt; Software Maintenance Processes")+COUNTIFS('Prácticas_Snowballing'!$AB$2:$AB$281,"T081",'Prácticas_Snowballing'!$AC$2:$AC$281,"MAINTENANCE &gt; Software Maintenance Processes")</f>
        <v>0</v>
      </c>
      <c r="BC95" s="17">
        <f>COUNTIFS('Prácticas_Revisiones'!$S$2:$S$282,"T081",'Prácticas_Revisiones'!$T$2:$T$282,"MAINTENANCE &gt; Software Maintenance Techniques")+COUNTIFS('Prácticas_Snowballing'!$AB$2:$AB$281,"T081",'Prácticas_Snowballing'!$AC$2:$AC$281,"MAINTENANCE &gt; Software Maintenance Techniques")</f>
        <v>0</v>
      </c>
      <c r="BD95" s="17">
        <f>COUNTIFS('Prácticas_Revisiones'!$S$2:$S$282,"T081",'Prácticas_Revisiones'!$T$2:$T$282,"MAINTENANCE &gt; Software Maintenance Tools")+COUNTIFS('Prácticas_Snowballing'!$AB$2:$AB$281,"T081",'Prácticas_Snowballing'!$AC$2:$AC$281,"MAINTENANCE &gt; Software Maintenance Tools")</f>
        <v>0</v>
      </c>
      <c r="BE95" s="17">
        <f>COUNTIFS('Prácticas_Revisiones'!$S$2:$S$282,"T081",'Prácticas_Revisiones'!$T$2:$T$282,"MAINTENANCE &gt; Subárea no determinable")+COUNTIFS('Prácticas_Snowballing'!$AB$2:$AB$281,"T081",'Prácticas_Snowballing'!$AC$2:$AC$281,"MAINTENANCE &gt; Subárea no determinable")</f>
        <v>0</v>
      </c>
      <c r="BF95" s="29">
        <f t="shared" si="75"/>
        <v>0</v>
      </c>
      <c r="BG95" s="17">
        <f>COUNTIFS('Prácticas_Revisiones'!$S$2:$S$282,"T081",'Prácticas_Revisiones'!$T$2:$T$282,"SOFTWARE CONFIG. MGMT. &gt; Management of the SCM Process")+COUNTIFS('Prácticas_Snowballing'!$AB$2:$AB$281,"T081",'Prácticas_Snowballing'!$AC$2:$AC$281,"SOFTWARE CONFIG. MGMT. &gt; Management of the SCM Process")</f>
        <v>0</v>
      </c>
      <c r="BH95" s="17">
        <f>COUNTIFS('Prácticas_Revisiones'!$S$2:$S$282,"T081",'Prácticas_Revisiones'!$T$2:$T$282,"SOFTWARE CONFIG. MGMT. &gt; Software Configuration Identification")+COUNTIFS('Prácticas_Snowballing'!$AB$2:$AB$281,"T081",'Prácticas_Snowballing'!$AC$2:$AC$281,"SOFTWARE CONFIG. MGMT. &gt; Software Configuration Identification")</f>
        <v>0</v>
      </c>
      <c r="BI95" s="17">
        <f>COUNTIFS('Prácticas_Revisiones'!$S$2:$S$282,"T081",'Prácticas_Revisiones'!$T$2:$T$282,"SOFTWARE CONFIG. MGMT. &gt; Software Configuration Change Control")+COUNTIFS('Prácticas_Snowballing'!$AB$2:$AB$281,"T081",'Prácticas_Snowballing'!$AC$2:$AC$281,"SOFTWARE CONFIG. MGMT. &gt; Software Configuration Change Control")</f>
        <v>0</v>
      </c>
      <c r="BJ95" s="17">
        <f>COUNTIFS('Prácticas_Revisiones'!$S$2:$S$282,"T081",'Prácticas_Revisiones'!$T$2:$T$282,"SOFTWARE CONFIG. MGMT. &gt; Software Configuration Status Accounting")+COUNTIFS('Prácticas_Snowballing'!$AB$2:$AB$281,"T081",'Prácticas_Snowballing'!$AC$2:$AC$281,"SOFTWARE CONFIG. MGMT. &gt; Software Configuration Status Accounting")</f>
        <v>0</v>
      </c>
      <c r="BK95" s="17">
        <f>COUNTIFS('Prácticas_Revisiones'!$S$2:$S$282,"T081",'Prácticas_Revisiones'!$T$2:$T$282,"SOFTWARE CONFIG. MGMT. &gt; Software Configuration Auditing")+COUNTIFS('Prácticas_Snowballing'!$AB$2:$AB$281,"T081",'Prácticas_Snowballing'!$AC$2:$AC$281,"SOFTWARE CONFIG. MGMT. &gt; Software Configuration Auditing")</f>
        <v>0</v>
      </c>
      <c r="BL95" s="17">
        <f>COUNTIFS('Prácticas_Revisiones'!$S$2:$S$282,"T081",'Prácticas_Revisiones'!$T$2:$T$282,"SOFTWARE CONFIG. MGMT. &gt; Software Release Management and Delivery")+COUNTIFS('Prácticas_Snowballing'!$AB$2:$AB$281,"T081",'Prácticas_Snowballing'!$AC$2:$AC$281,"SOFTWARE CONFIG. MGMT. &gt; Software Release Management and Delivery")</f>
        <v>0</v>
      </c>
      <c r="BM95" s="17">
        <f>COUNTIFS('Prácticas_Revisiones'!$S$2:$S$282,"T081",'Prácticas_Revisiones'!$T$2:$T$282,"SOFTWARE CONFIG. MGMT. &gt; Software Configuration Management Tools")+COUNTIFS('Prácticas_Snowballing'!$AB$2:$AB$281,"T081",'Prácticas_Snowballing'!$AC$2:$AC$281,"SOFTWARE CONFIG. MGMT. &gt; Software Configuration Management Tools")</f>
        <v>0</v>
      </c>
      <c r="BN95" s="17">
        <f>COUNTIFS('Prácticas_Revisiones'!$S$2:$S$282,"T081",'Prácticas_Revisiones'!$T$2:$T$282,"SOFTWARE CONFIG. MGMT. &gt; Subárea no determinable")+COUNTIFS('Prácticas_Snowballing'!$AB$2:$AB$281,"T081",'Prácticas_Snowballing'!$AC$2:$AC$281,"SOFTWARE CONFIG. MGMT. &gt; Subárea no determinable")</f>
        <v>0</v>
      </c>
      <c r="BO95" s="29">
        <f t="shared" si="76"/>
        <v>0</v>
      </c>
      <c r="BP95" s="17">
        <f>COUNTIFS('Prácticas_Revisiones'!$S$2:$S$282,"T081",'Prácticas_Revisiones'!$T$2:$T$282,"SOFTWARE ENG. PROCESS &gt; Software Engineering Process Fundamentals")+COUNTIFS('Prácticas_Snowballing'!$AB$2:$AB$281,"T081",'Prácticas_Snowballing'!$AC$2:$AC$281,"SOFTWARE ENG. PROCESS &gt; Software Engineering Process Fundamentals")</f>
        <v>0</v>
      </c>
      <c r="BQ95" s="17">
        <f>COUNTIFS('Prácticas_Revisiones'!$S$2:$S$282,"T081",'Prácticas_Revisiones'!$T$2:$T$282,"SOFTWARE ENG. PROCESS &gt; Life Cycles")+COUNTIFS('Prácticas_Snowballing'!$AB$2:$AB$281,"T081",'Prácticas_Snowballing'!$AC$2:$AC$281,"SOFTWARE ENG. PROCESS &gt; Life Cycles")</f>
        <v>0</v>
      </c>
      <c r="BR95" s="17">
        <f>COUNTIFS('Prácticas_Revisiones'!$S$2:$S$282,"T081",'Prácticas_Revisiones'!$T$2:$T$282,"SOFTWARE ENG. PROCESS &gt; Software Process Assessment and Improvement")+COUNTIFS('Prácticas_Snowballing'!$AB$2:$AB$281,"T081",'Prácticas_Snowballing'!$AC$2:$AC$281,"SOFTWARE ENG. PROCESS &gt; Software Process Assessment and Improvement")</f>
        <v>0</v>
      </c>
      <c r="BS95" s="17">
        <f>COUNTIFS('Prácticas_Revisiones'!$S$2:$S$282,"T081",'Prácticas_Revisiones'!$T$2:$T$282,"SOFTWARE ENG. PROCESS &gt; Subárea no determinable")+COUNTIFS('Prácticas_Snowballing'!$AB$2:$AB$281,"T081",'Prácticas_Snowballing'!$AC$2:$AC$281,"SOFTWARE ENG. PROCESS &gt; Subárea no determinable")</f>
        <v>0</v>
      </c>
      <c r="BT95" s="29">
        <f t="shared" si="77"/>
        <v>0</v>
      </c>
      <c r="BU95" s="17">
        <f>COUNTIFS('Prácticas_Revisiones'!$S$2:$S$282,"T081",'Prácticas_Revisiones'!$T$2:$T$282,"SOFTWARE ENG. MODELS/METH. &gt; Modeling")+COUNTIFS('Prácticas_Snowballing'!$AB$2:$AB$281,"T081",'Prácticas_Snowballing'!$AC$2:$AC$281,"SOFTWARE ENG. MODELS/METH. &gt; Modeling")</f>
        <v>0</v>
      </c>
      <c r="BV95" s="17">
        <f>COUNTIFS('Prácticas_Revisiones'!$S$2:$S$282,"T081",'Prácticas_Revisiones'!$T$2:$T$282,"SOFTWARE ENG. MODELS/METH. &gt; Types of Models")+COUNTIFS('Prácticas_Snowballing'!$AB$2:$AB$281,"T081",'Prácticas_Snowballing'!$AC$2:$AC$281,"SOFTWARE ENG. MODELS/METH. &gt; Types of Models")</f>
        <v>0</v>
      </c>
      <c r="BW95" s="17">
        <f>COUNTIFS('Prácticas_Revisiones'!$S$2:$S$282,"T081",'Prácticas_Revisiones'!$T$2:$T$282,"SOFTWARE ENG. MODELS/METH. &gt; Analysis of Models")+COUNTIFS('Prácticas_Snowballing'!$AB$2:$AB$281,"T081",'Prácticas_Snowballing'!$AC$2:$AC$281,"SOFTWARE ENG. MODELS/METH. &gt; Analysis of Models")</f>
        <v>0</v>
      </c>
      <c r="BX95" s="17">
        <f>COUNTIFS('Prácticas_Revisiones'!$S$2:$S$282,"T081",'Prácticas_Revisiones'!$T$2:$T$282,"SOFTWARE ENG. MODELS/METH. &gt; Software Engineering Methods")+COUNTIFS('Prácticas_Snowballing'!$AB$2:$AB$281,"T081",'Prácticas_Snowballing'!$AC$2:$AC$281,"SOFTWARE ENG. MODELS/METH. &gt; Software Engineering Methods")</f>
        <v>0</v>
      </c>
      <c r="BY95" s="17">
        <f>COUNTIFS('Prácticas_Revisiones'!$S$2:$S$282,"T081",'Prácticas_Revisiones'!$T$2:$T$282,"SOFTWARE ENG. MODELS/METH. &gt; Subárea no determinable")+COUNTIFS('Prácticas_Snowballing'!$AB$2:$AB$281,"T081",'Prácticas_Snowballing'!$AC$2:$AC$281,"SOFTWARE ENG. MODELS/METH. &gt; Subárea no determinable")</f>
        <v>0</v>
      </c>
      <c r="BZ95" s="29">
        <f t="shared" si="78"/>
        <v>0</v>
      </c>
      <c r="CA95" s="17">
        <f>COUNTIFS('Prácticas_Revisiones'!$S$2:$S$282,"T081",'Prácticas_Revisiones'!$T$2:$T$282,"SOFTWARE QUALITY &gt; Software Quality Fundamentals")+COUNTIFS('Prácticas_Snowballing'!$AB$2:$AB$281,"T081",'Prácticas_Snowballing'!$AC$2:$AC$281,"SOFTWARE QUALITY &gt; Software Quality Fundamentals")</f>
        <v>0</v>
      </c>
      <c r="CB95" s="17">
        <f>COUNTIFS('Prácticas_Revisiones'!$S$2:$S$282,"T081",'Prácticas_Revisiones'!$T$2:$T$282,"SOFTWARE QUALITY &gt; Software Quality Management Process")+COUNTIFS('Prácticas_Snowballing'!$AB$2:$AB$281,"T081",'Prácticas_Snowballing'!$AC$2:$AC$281,"SOFTWARE QUALITY &gt; Software Quality Management Process")</f>
        <v>0</v>
      </c>
      <c r="CC95" s="17">
        <f>COUNTIFS('Prácticas_Revisiones'!$S$2:$S$282,"T081",'Prácticas_Revisiones'!$T$2:$T$282,"SOFTWARE QUALITY &gt; Software Quality Assurance Process")+COUNTIFS('Prácticas_Snowballing'!$AB$2:$AB$281,"T081",'Prácticas_Snowballing'!$AC$2:$AC$281,"SOFTWARE QUALITY &gt; Software Quality Assurance Process")</f>
        <v>0</v>
      </c>
      <c r="CD95" s="17">
        <f>COUNTIFS('Prácticas_Revisiones'!$S$2:$S$282,"T081",'Prácticas_Revisiones'!$T$2:$T$282,"SOFTWARE QUALITY &gt; Software Quality Tools")+COUNTIFS('Prácticas_Snowballing'!$AB$2:$AB$281,"T081",'Prácticas_Snowballing'!$AC$2:$AC$281,"SOFTWARE QUALITY &gt; Software Quality Tools")</f>
        <v>0</v>
      </c>
      <c r="CE95" s="17">
        <f>COUNTIFS('Prácticas_Revisiones'!$S$2:$S$282,"T081",'Prácticas_Revisiones'!$T$2:$T$282,"SOFTWARE QUALITY &gt; Subárea no determinable")+COUNTIFS('Prácticas_Snowballing'!$AB$2:$AB$281,"T081",'Prácticas_Snowballing'!$AC$2:$AC$281,"SOFTWARE QUALITY &gt; Subárea no determinable")</f>
        <v>0</v>
      </c>
      <c r="CF95" s="29">
        <f t="shared" si="79"/>
        <v>0</v>
      </c>
      <c r="CG95" s="17">
        <f>COUNTIFS('Prácticas_Revisiones'!$S$2:$S$282,"T081",'Prácticas_Revisiones'!$T$2:$T$282,"SOFTWARE SECURITY &gt; Software Security Fundamentals")+COUNTIFS('Prácticas_Snowballing'!$AB$2:$AB$281,"T081",'Prácticas_Snowballing'!$AC$2:$AC$281,"SOFTWARE SECURITY &gt; Software Security Fundamentals")</f>
        <v>0</v>
      </c>
      <c r="CH95" s="17">
        <f>COUNTIFS('Prácticas_Revisiones'!$S$2:$S$282,"T081",'Prácticas_Revisiones'!$T$2:$T$282,"SOFTWARE SECURITY &gt; Security Management and Organization")+COUNTIFS('Prácticas_Snowballing'!$AB$2:$AB$281,"T081",'Prácticas_Snowballing'!$AC$2:$AC$281,"SOFTWARE SECURITY &gt; Security Management and Organization")</f>
        <v>0</v>
      </c>
      <c r="CI95" s="17">
        <f>COUNTIFS('Prácticas_Revisiones'!$S$2:$S$282,"T081",'Prácticas_Revisiones'!$T$2:$T$282,"SOFTWARE SECURITY &gt; Software Security Engineering and Process")+COUNTIFS('Prácticas_Snowballing'!$AB$2:$AB$281,"T081",'Prácticas_Snowballing'!$AC$2:$AC$281,"SOFTWARE SECURITY &gt; Software Security Engineering and Process")</f>
        <v>0</v>
      </c>
      <c r="CJ95" s="17">
        <f>COUNTIFS('Prácticas_Revisiones'!$S$2:$S$282,"T081",'Prácticas_Revisiones'!$T$2:$T$282,"SOFTWARE SECURITY &gt; Security Engineering for Software Systems")+COUNTIFS('Prácticas_Snowballing'!$AB$2:$AB$281,"T081",'Prácticas_Snowballing'!$AC$2:$AC$281,"SOFTWARE SECURITY &gt; Security Engineering for Software Systems")</f>
        <v>0</v>
      </c>
      <c r="CK95" s="17">
        <f>COUNTIFS('Prácticas_Revisiones'!$S$2:$S$282,"T081",'Prácticas_Revisiones'!$T$2:$T$282,"SOFTWARE SECURITY &gt; Software Security Tools")+COUNTIFS('Prácticas_Snowballing'!$AB$2:$AB$281,"T081",'Prácticas_Snowballing'!$AC$2:$AC$281,"SOFTWARE SECURITY &gt; Software Security Tools")</f>
        <v>0</v>
      </c>
      <c r="CL95" s="17">
        <f>COUNTIFS('Prácticas_Revisiones'!$S$2:$S$282,"T081",'Prácticas_Revisiones'!$T$2:$T$282,"SOFTWARE SECURITY &gt; Domain Specific Software Security")+COUNTIFS('Prácticas_Snowballing'!$AB$2:$AB$281,"T081",'Prácticas_Snowballing'!$AC$2:$AC$281,"SOFTWARE SECURITY &gt; Domain Specific Software Security")</f>
        <v>0</v>
      </c>
      <c r="CM95" s="17">
        <f>COUNTIFS('Prácticas_Revisiones'!$S$2:$S$282,"T081",'Prácticas_Revisiones'!$T$2:$T$282,"SOFTWARE SECURITY &gt; Subárea no determinable")+COUNTIFS('Prácticas_Snowballing'!$AB$2:$AB$281,"T081",'Prácticas_Snowballing'!$AC$2:$AC$281,"SOFTWARE SECURITY &gt; Subárea no determinable")</f>
        <v>0</v>
      </c>
      <c r="CN95" s="29">
        <f t="shared" si="80"/>
        <v>0</v>
      </c>
      <c r="CO95" s="17">
        <f>COUNTIFS('Prácticas_Revisiones'!$S$2:$S$282,"T081",'Prácticas_Revisiones'!$T$2:$T$282,"PROFESSIONAL PRACTICE &gt; Professionalism")+COUNTIFS('Prácticas_Snowballing'!$AB$2:$AB$281,"T081",'Prácticas_Snowballing'!$AC$2:$AC$281,"PROFESSIONAL PRACTICE &gt; Professionalism")</f>
        <v>0</v>
      </c>
      <c r="CP95" s="17">
        <f>COUNTIFS('Prácticas_Revisiones'!$S$2:$S$282,"T081",'Prácticas_Revisiones'!$T$2:$T$282,"PROFESSIONAL PRACTICE &gt; Group Dynamics and Psychology")+COUNTIFS('Prácticas_Snowballing'!$AB$2:$AB$281,"T081",'Prácticas_Snowballing'!$AC$2:$AC$281,"PROFESSIONAL PRACTICE &gt; Group Dynamics and Psychology")</f>
        <v>0</v>
      </c>
      <c r="CQ95" s="17">
        <f>COUNTIFS('Prácticas_Revisiones'!$S$2:$S$282,"T081",'Prácticas_Revisiones'!$T$2:$T$282,"PROFESSIONAL PRACTICE &gt; Communication Skills")+COUNTIFS('Prácticas_Snowballing'!$AB$2:$AB$281,"T081",'Prácticas_Snowballing'!$AC$2:$AC$281,"PROFESSIONAL PRACTICE &gt; Communication Skills")</f>
        <v>0</v>
      </c>
      <c r="CR95" s="17">
        <f>COUNTIFS('Prácticas_Revisiones'!$S$2:$S$282,"T081",'Prácticas_Revisiones'!$T$2:$T$282,"PROFESSIONAL PRACTICE &gt; Subárea no determinable")+COUNTIFS('Prácticas_Snowballing'!$AB$2:$AB$281,"T081",'Prácticas_Snowballing'!$AC$2:$AC$281,"PROFESSIONAL PRACTICE &gt; Subárea no determinable")</f>
        <v>0</v>
      </c>
      <c r="CS95" s="29">
        <f t="shared" si="81"/>
        <v>0</v>
      </c>
      <c r="CT95" s="17">
        <f>COUNTIFS('Prácticas_Revisiones'!$S$2:$S$282,"T081",'Prácticas_Revisiones'!$T$2:$T$282,"SOFTWARE ENG. ECONOMICS &gt; Software Engineering Economics Fundamentals")+COUNTIFS('Prácticas_Snowballing'!$AB$2:$AB$281,"T081",'Prácticas_Snowballing'!$AC$2:$AC$281,"SOFTWARE ENG. ECONOMICS &gt; Software Engineering Economics Fundamentals")</f>
        <v>0</v>
      </c>
      <c r="CU95" s="17">
        <f>COUNTIFS('Prácticas_Revisiones'!$S$2:$S$282,"T081",'Prácticas_Revisiones'!$T$2:$T$282,"SOFTWARE ENG. ECONOMICS &gt; The Engineering Decision-Making Process")+COUNTIFS('Prácticas_Snowballing'!$AB$2:$AB$281,"T081",'Prácticas_Snowballing'!$AC$2:$AC$281,"SOFTWARE ENG. ECONOMICS &gt; The Engineering Decision-Making Process")</f>
        <v>0</v>
      </c>
      <c r="CV95" s="17">
        <f>COUNTIFS('Prácticas_Revisiones'!$S$2:$S$282,"T081",'Prácticas_Revisiones'!$T$2:$T$282,"SOFTWARE ENG. ECONOMICS &gt; For-Profit Decision-Making")+COUNTIFS('Prácticas_Snowballing'!$AB$2:$AB$281,"T081",'Prácticas_Snowballing'!$AC$2:$AC$281,"SOFTWARE ENG. ECONOMICS &gt; For-Profit Decision-Making")</f>
        <v>0</v>
      </c>
      <c r="CW95" s="17">
        <f>COUNTIFS('Prácticas_Revisiones'!$S$2:$S$282,"T081",'Prácticas_Revisiones'!$T$2:$T$282,"SOFTWARE ENG. ECONOMICS &gt; Nonprofit Decision-Making")+COUNTIFS('Prácticas_Snowballing'!$AB$2:$AB$281,"T081",'Prácticas_Snowballing'!$AC$2:$AC$281,"SOFTWARE ENG. ECONOMICS &gt; Nonprofit Decision-Making")</f>
        <v>0</v>
      </c>
      <c r="CX95" s="17">
        <f>COUNTIFS('Prácticas_Revisiones'!$S$2:$S$282,"T081",'Prácticas_Revisiones'!$T$2:$T$282,"SOFTWARE ENG. ECONOMICS &gt; Present Economy Decision-Making")+COUNTIFS('Prácticas_Snowballing'!$AB$2:$AB$281,"T081",'Prácticas_Snowballing'!$AC$2:$AC$281,"SOFTWARE ENG. ECONOMICS &gt; Present Economy Decision-Making")</f>
        <v>0</v>
      </c>
      <c r="CY95" s="17">
        <f>COUNTIFS('Prácticas_Revisiones'!$S$2:$S$282,"T081",'Prácticas_Revisiones'!$T$2:$T$282,"SOFTWARE ENG. ECONOMICS &gt; Multiple-Attribute Decision-Making")+COUNTIFS('Prácticas_Snowballing'!$AB$2:$AB$281,"T081",'Prácticas_Snowballing'!$AC$2:$AC$281,"SOFTWARE ENG. ECONOMICS &gt; Multiple-Attribute Decision-Making")</f>
        <v>0</v>
      </c>
      <c r="CZ95" s="17">
        <f>COUNTIFS('Prácticas_Revisiones'!$S$2:$S$282,"T081",'Prácticas_Revisiones'!$T$2:$T$282,"SOFTWARE ENG. ECONOMICS &gt; Identifying and Characterizing Intangible Assets")+COUNTIFS('Prácticas_Snowballing'!$AB$2:$AB$281,"T081",'Prácticas_Snowballing'!$AC$2:$AC$281,"SOFTWARE ENG. ECONOMICS &gt; Identifying and Characterizing Intangible Assets")</f>
        <v>0</v>
      </c>
      <c r="DA95" s="17">
        <f>COUNTIFS('Prácticas_Revisiones'!$S$2:$S$282,"T081",'Prácticas_Revisiones'!$T$2:$T$282,"SOFTWARE ENG. ECONOMICS &gt; Estimation")+COUNTIFS('Prácticas_Snowballing'!$AB$2:$AB$281,"T081",'Prácticas_Snowballing'!$AC$2:$AC$281,"SOFTWARE ENG. ECONOMICS &gt; Estimation")</f>
        <v>0</v>
      </c>
      <c r="DB95" s="17">
        <f>COUNTIFS('Prácticas_Revisiones'!$S$2:$S$282,"T081",'Prácticas_Revisiones'!$T$2:$T$282,"SOFTWARE ENG. ECONOMICS &gt; Practical Considerations")+COUNTIFS('Prácticas_Snowballing'!$AB$2:$AB$281,"T081",'Prácticas_Snowballing'!$AC$2:$AC$281,"SOFTWARE ENG. ECONOMICS &gt; Practical Considerations")</f>
        <v>0</v>
      </c>
      <c r="DC95" s="17">
        <f>COUNTIFS('Prácticas_Revisiones'!$S$2:$S$282,"T081",'Prácticas_Revisiones'!$T$2:$T$282,"SOFTWARE ENG. ECONOMICS &gt; Related Concepts")+COUNTIFS('Prácticas_Snowballing'!$AB$2:$AB$281,"T081",'Prácticas_Snowballing'!$AC$2:$AC$281,"SOFTWARE ENG. ECONOMICS &gt; Related Concepts")</f>
        <v>0</v>
      </c>
      <c r="DD95" s="17">
        <f>COUNTIFS('Prácticas_Revisiones'!$S$2:$S$282,"T081",'Prácticas_Revisiones'!$T$2:$T$282,"SOFTWARE ENG. ECONOMICS &gt; Subárea no determinable")+COUNTIFS('Prácticas_Snowballing'!$AB$2:$AB$281,"T081",'Prácticas_Snowballing'!$AC$2:$AC$281,"SOFTWARE ENG. ECONOMICS &gt; Subárea no determinable")</f>
        <v>0</v>
      </c>
      <c r="DE95" s="29">
        <f t="shared" si="82"/>
        <v>0</v>
      </c>
      <c r="DF95" s="17">
        <f>COUNTIFS('Prácticas_Revisiones'!$S$2:$S$282,"T081",'Prácticas_Revisiones'!$T$2:$T$282,"SOFTWARE ENG. MANAGEMENT &gt; Software Engineering Management Fundamentals")+COUNTIFS('Prácticas_Snowballing'!$AB$2:$AB$281,"T081",'Prácticas_Snowballing'!$AC$2:$AC$281,"SOFTWARE ENG. MANAGEMENT &gt; Software Engineering Management Fundamentals")</f>
        <v>0</v>
      </c>
      <c r="DG95" s="17">
        <f>COUNTIFS('Prácticas_Revisiones'!$S$2:$S$282,"T081",'Prácticas_Revisiones'!$T$2:$T$282,"SOFTWARE ENG. MANAGEMENT &gt; Initiation and Scope Definition")+COUNTIFS('Prácticas_Snowballing'!$AB$2:$AB$281,"T081",'Prácticas_Snowballing'!$AC$2:$AC$281,"SOFTWARE ENG. MANAGEMENT &gt; Initiation and Scope Definition")</f>
        <v>0</v>
      </c>
      <c r="DH95" s="17">
        <f>COUNTIFS('Prácticas_Revisiones'!$S$2:$S$282,"T081",'Prácticas_Revisiones'!$T$2:$T$282,"SOFTWARE ENG. MANAGEMENT &gt; Software Project Planning")+COUNTIFS('Prácticas_Snowballing'!$AB$2:$AB$281,"T081",'Prácticas_Snowballing'!$AC$2:$AC$281,"SOFTWARE ENG. MANAGEMENT &gt; Software Project Planning")</f>
        <v>0</v>
      </c>
      <c r="DI95" s="17">
        <f>COUNTIFS('Prácticas_Revisiones'!$S$2:$S$282,"T081",'Prácticas_Revisiones'!$T$2:$T$282,"SOFTWARE ENG. MANAGEMENT &gt; Software Project Enactment")+COUNTIFS('Prácticas_Snowballing'!$AB$2:$AB$281,"T081",'Prácticas_Snowballing'!$AC$2:$AC$281,"SOFTWARE ENG. MANAGEMENT &gt; Software Project Enactment")</f>
        <v>0</v>
      </c>
      <c r="DJ95" s="17">
        <f>COUNTIFS('Prácticas_Revisiones'!$S$2:$S$282,"T081",'Prácticas_Revisiones'!$T$2:$T$282,"SOFTWARE ENG. MANAGEMENT &gt; Review and Evaluation")+COUNTIFS('Prácticas_Snowballing'!$AB$2:$AB$281,"T081",'Prácticas_Snowballing'!$AC$2:$AC$281,"SOFTWARE ENG. MANAGEMENT &gt; Review and Evaluation")</f>
        <v>0</v>
      </c>
      <c r="DK95" s="17">
        <f>COUNTIFS('Prácticas_Revisiones'!$S$2:$S$282,"T081",'Prácticas_Revisiones'!$T$2:$T$282,"SOFTWARE ENG. MANAGEMENT &gt; Closure")+COUNTIFS('Prácticas_Snowballing'!$AB$2:$AB$281,"T081",'Prácticas_Snowballing'!$AC$2:$AC$281,"SOFTWARE ENG. MANAGEMENT &gt; Closure")</f>
        <v>0</v>
      </c>
      <c r="DL95" s="17">
        <f>COUNTIFS('Prácticas_Revisiones'!$S$2:$S$282,"T081",'Prácticas_Revisiones'!$T$2:$T$282,"SOFTWARE ENG. MANAGEMENT &gt; Software Engineering Management Tools")+COUNTIFS('Prácticas_Snowballing'!$AB$2:$AB$281,"T081",'Prácticas_Snowballing'!$AC$2:$AC$281,"SOFTWARE ENG. MANAGEMENT &gt; Software Engineering Management Tools")</f>
        <v>0</v>
      </c>
      <c r="DM95" s="17">
        <f>COUNTIFS('Prácticas_Revisiones'!$S$2:$S$282,"T081",'Prácticas_Revisiones'!$T$2:$T$282,"SOFTWARE ENG. MANAGEMENT &gt; Subárea no determinable")+COUNTIFS('Prácticas_Snowballing'!$AB$2:$AB$281,"T081",'Prácticas_Snowballing'!$AC$2:$AC$281,"SOFTWARE ENG. MANAGEMENT &gt; Subárea no determinable")</f>
        <v>0</v>
      </c>
      <c r="DN95" s="29">
        <f t="shared" si="83"/>
        <v>0</v>
      </c>
      <c r="DO95" s="17">
        <f>COUNTIFS('Prácticas_Revisiones'!$S$2:$S$282,"T081",'Prácticas_Revisiones'!$T$2:$T$282,"Sin área SWEBOK")+COUNTIFS('Prácticas_Snowballing'!$AB$2:$AB$281,"T081",'Prácticas_Snowballing'!$AC$2:$AC$281,"Sin área SWEBOK")</f>
        <v>0</v>
      </c>
      <c r="DP95" s="27">
        <f t="shared" si="84"/>
        <v>1</v>
      </c>
    </row>
    <row r="96" ht="15.75" customHeight="1">
      <c r="A96" s="28"/>
      <c r="B96" s="16" t="s">
        <v>2820</v>
      </c>
      <c r="C96" s="17">
        <f>COUNTIFS('Prácticas_Revisiones'!$S$2:$S$282,"T082",'Prácticas_Revisiones'!$T$2:$T$282,"REQUIREMENTS &gt; Software Requirements Fundamentals")+COUNTIFS('Prácticas_Snowballing'!$AB$2:$AB$281,"T082",'Prácticas_Snowballing'!$AC$2:$AC$281,"REQUIREMENTS &gt; Software Requirements Fundamentals")</f>
        <v>0</v>
      </c>
      <c r="D96" s="17">
        <f>COUNTIFS('Prácticas_Revisiones'!$S$2:$S$282,"T082",'Prácticas_Revisiones'!$T$2:$T$282,"REQUIREMENTS &gt; Requirements Elicitation")+COUNTIFS('Prácticas_Snowballing'!$AB$2:$AB$281,"T082",'Prácticas_Snowballing'!$AC$2:$AC$281,"REQUIREMENTS &gt; Requirements Elicitation")</f>
        <v>0</v>
      </c>
      <c r="E96" s="17">
        <f>COUNTIFS('Prácticas_Revisiones'!$S$2:$S$282,"T082",'Prácticas_Revisiones'!$T$2:$T$282,"REQUIREMENTS &gt; Requirements Analysis")+COUNTIFS('Prácticas_Snowballing'!$AB$2:$AB$281,"T082",'Prácticas_Snowballing'!$AC$2:$AC$281,"REQUIREMENTS &gt; Requirements Analysis")</f>
        <v>0</v>
      </c>
      <c r="F96" s="17">
        <f>COUNTIFS('Prácticas_Revisiones'!$S$2:$S$282,"T082",'Prácticas_Revisiones'!$T$2:$T$282,"REQUIREMENTS &gt; Requirements Specification")+COUNTIFS('Prácticas_Snowballing'!$AB$2:$AB$281,"T082",'Prácticas_Snowballing'!$AC$2:$AC$281,"REQUIREMENTS &gt; Requirements Specification")</f>
        <v>0</v>
      </c>
      <c r="G96" s="17">
        <f>COUNTIFS('Prácticas_Revisiones'!$S$2:$S$282,"T082",'Prácticas_Revisiones'!$T$2:$T$282,"REQUIREMENTS &gt; Requirements Validation")+COUNTIFS('Prácticas_Snowballing'!$AB$2:$AB$281,"T082",'Prácticas_Snowballing'!$AC$2:$AC$281,"REQUIREMENTS &gt; Requirements Validation")</f>
        <v>0</v>
      </c>
      <c r="H96" s="17">
        <f>COUNTIFS('Prácticas_Revisiones'!$S$2:$S$282,"T082",'Prácticas_Revisiones'!$T$2:$T$282,"REQUIREMENTS &gt; Requirements Management Activities")+COUNTIFS('Prácticas_Snowballing'!$AB$2:$AB$281,"T082",'Prácticas_Snowballing'!$AC$2:$AC$281,"REQUIREMENTS &gt; Requirements Management Activities")</f>
        <v>0</v>
      </c>
      <c r="I96" s="17">
        <f>COUNTIFS('Prácticas_Revisiones'!$S$2:$S$282,"T082",'Prácticas_Revisiones'!$T$2:$T$282,"REQUIREMENTS &gt; Practical Considerations")+COUNTIFS('Prácticas_Snowballing'!$AB$2:$AB$281,"T082",'Prácticas_Snowballing'!$AC$2:$AC$281,"REQUIREMENTS &gt; Practical Considerations")</f>
        <v>0</v>
      </c>
      <c r="J96" s="17">
        <f>COUNTIFS('Prácticas_Revisiones'!$S$2:$S$282,"T082",'Prácticas_Revisiones'!$T$2:$T$282,"REQUIREMENTS &gt; Software Requirements Tools")+COUNTIFS('Prácticas_Snowballing'!$AB$2:$AB$281,"T082",'Prácticas_Snowballing'!$AC$2:$AC$281,"REQUIREMENTS &gt; Software Requirements Tools")</f>
        <v>0</v>
      </c>
      <c r="K96" s="17">
        <f>COUNTIFS('Prácticas_Revisiones'!$S$2:$S$282,"T082",'Prácticas_Revisiones'!$T$2:$T$282,"REQUIREMENTS &gt; Subárea no determinable")+COUNTIFS('Prácticas_Snowballing'!$AB$2:$AB$281,"T082",'Prácticas_Snowballing'!$AC$2:$AC$281,"REQUIREMENTS &gt; Subárea no determinable")</f>
        <v>0</v>
      </c>
      <c r="L96" s="29">
        <f t="shared" si="69"/>
        <v>0</v>
      </c>
      <c r="M96" s="17">
        <f>COUNTIFS('Prácticas_Revisiones'!$S$2:$S$282,"T082",'Prácticas_Revisiones'!$T$2:$T$282,"ARCHITECTURE &gt; Software Architecture Fundamentals")+COUNTIFS('Prácticas_Snowballing'!$AB$2:$AB$281,"T082",'Prácticas_Snowballing'!$AC$2:$AC$281,"ARCHITECTURE &gt; Software Architecture Fundamentals")</f>
        <v>0</v>
      </c>
      <c r="N96" s="17">
        <f>COUNTIFS('Prácticas_Revisiones'!$S$2:$S$282,"T082",'Prácticas_Revisiones'!$T$2:$T$282,"ARCHITECTURE &gt; Software Architecture Description")+COUNTIFS('Prácticas_Snowballing'!$AB$2:$AB$281,"T082",'Prácticas_Snowballing'!$AC$2:$AC$281,"ARCHITECTURE &gt; Software Architecture Description")</f>
        <v>0</v>
      </c>
      <c r="O96" s="17">
        <f>COUNTIFS('Prácticas_Revisiones'!$S$2:$S$282,"T082",'Prácticas_Revisiones'!$T$2:$T$282,"ARCHITECTURE &gt; Software Architecture Process")+COUNTIFS('Prácticas_Snowballing'!$AB$2:$AB$281,"T082",'Prácticas_Snowballing'!$AC$2:$AC$281,"ARCHITECTURE &gt; Software Architecture Process")</f>
        <v>0</v>
      </c>
      <c r="P96" s="17">
        <f>COUNTIFS('Prácticas_Revisiones'!$S$2:$S$282,"T082",'Prácticas_Revisiones'!$T$2:$T$282,"ARCHITECTURE &gt; Software Architecture Evaluation")+COUNTIFS('Prácticas_Snowballing'!$AB$2:$AB$281,"T082",'Prácticas_Snowballing'!$AC$2:$AC$281,"ARCHITECTURE &gt; Software Architecture Evaluation")</f>
        <v>0</v>
      </c>
      <c r="Q96" s="17">
        <f>COUNTIFS('Prácticas_Revisiones'!$S$2:$S$282,"T082",'Prácticas_Revisiones'!$T$2:$T$282,"ARCHITECTURE &gt; Subárea no determinable")+COUNTIFS('Prácticas_Snowballing'!$AB$2:$AB$281,"T082",'Prácticas_Snowballing'!$AC$2:$AC$281,"ARCHITECTURE &gt; Subárea no determinable")</f>
        <v>0</v>
      </c>
      <c r="R96" s="29">
        <f t="shared" si="70"/>
        <v>0</v>
      </c>
      <c r="S96" s="17">
        <f>COUNTIFS('Prácticas_Revisiones'!$S$2:$S$282,"T082",'Prácticas_Revisiones'!$T$2:$T$282,"DESIGN &gt; Software Design Fundamentals")+COUNTIFS('Prácticas_Snowballing'!$AB$2:$AB$281,"T082",'Prácticas_Snowballing'!$AC$2:$AC$281,"DESIGN &gt; Software Design Fundamentals")</f>
        <v>0</v>
      </c>
      <c r="T96" s="17">
        <f>COUNTIFS('Prácticas_Revisiones'!$S$2:$S$282,"T082",'Prácticas_Revisiones'!$T$2:$T$282,"DESIGN &gt; Software Design Processes")+COUNTIFS('Prácticas_Snowballing'!$AB$2:$AB$281,"T082",'Prácticas_Snowballing'!$AC$2:$AC$281,"DESIGN &gt; Software Design Processes")</f>
        <v>0</v>
      </c>
      <c r="U96" s="17">
        <f>COUNTIFS('Prácticas_Revisiones'!$S$2:$S$282,"T082",'Prácticas_Revisiones'!$T$2:$T$282,"DESIGN &gt; Software Design Qualities")+COUNTIFS('Prácticas_Snowballing'!$AB$2:$AB$281,"T082",'Prácticas_Snowballing'!$AC$2:$AC$281,"DESIGN &gt; Software Design Qualities")</f>
        <v>0</v>
      </c>
      <c r="V96" s="17">
        <f>COUNTIFS('Prácticas_Revisiones'!$S$2:$S$282,"T082",'Prácticas_Revisiones'!$T$2:$T$282,"DESIGN &gt; Recording Software Design")+COUNTIFS('Prácticas_Snowballing'!$AB$2:$AB$281,"T082",'Prácticas_Snowballing'!$AC$2:$AC$281,"DESIGN &gt; Recording Software Design")</f>
        <v>0</v>
      </c>
      <c r="W96" s="17">
        <f>COUNTIFS('Prácticas_Revisiones'!$S$2:$S$282,"T082",'Prácticas_Revisiones'!$T$2:$T$282,"DESIGN &gt; Software Design Strategies and Methods")+COUNTIFS('Prácticas_Snowballing'!$AB$2:$AB$281,"T082",'Prácticas_Snowballing'!$AC$2:$AC$281,"DESIGN &gt; Software Design Strategies and Methods")</f>
        <v>0</v>
      </c>
      <c r="X96" s="17">
        <f>COUNTIFS('Prácticas_Revisiones'!$S$2:$S$282,"T082",'Prácticas_Revisiones'!$T$2:$T$282,"DESIGN &gt; Software Design Analysis and Evaluations")+COUNTIFS('Prácticas_Snowballing'!$AB$2:$AB$281,"T082",'Prácticas_Snowballing'!$AC$2:$AC$281,"DESIGN &gt; Software Design Analysis and Evaluations")</f>
        <v>0</v>
      </c>
      <c r="Y96" s="17">
        <f>COUNTIFS('Prácticas_Revisiones'!$S$2:$S$282,"T082",'Prácticas_Revisiones'!$T$2:$T$282,"DESIGN &gt; Subárea no determinable")+COUNTIFS('Prácticas_Snowballing'!$AB$2:$AB$281,"T082",'Prácticas_Snowballing'!$AC$2:$AC$281,"DESIGN &gt; Subárea no determinable")</f>
        <v>0</v>
      </c>
      <c r="Z96" s="29">
        <f t="shared" si="71"/>
        <v>0</v>
      </c>
      <c r="AA96" s="17">
        <f>COUNTIFS('Prácticas_Revisiones'!$S$2:$S$282,"T082",'Prácticas_Revisiones'!$T$2:$T$282,"CONSTRUCTION &gt; Software Construction Fundamentals")+COUNTIFS('Prácticas_Snowballing'!$AB$2:$AB$281,"T082",'Prácticas_Snowballing'!$AC$2:$AC$281,"CONSTRUCTION &gt; Software Construction Fundamentals")</f>
        <v>0</v>
      </c>
      <c r="AB96" s="17">
        <f>COUNTIFS('Prácticas_Revisiones'!$S$2:$S$282,"T082",'Prácticas_Revisiones'!$T$2:$T$282,"CONSTRUCTION &gt; Managing Construction")+COUNTIFS('Prácticas_Snowballing'!$AB$2:$AB$281,"T082",'Prácticas_Snowballing'!$AC$2:$AC$281,"CONSTRUCTION &gt; Managing Construction")</f>
        <v>0</v>
      </c>
      <c r="AC96" s="17">
        <f>COUNTIFS('Prácticas_Revisiones'!$S$2:$S$282,"T082",'Prácticas_Revisiones'!$T$2:$T$282,"CONSTRUCTION &gt; Practical Considerations")+COUNTIFS('Prácticas_Snowballing'!$AB$2:$AB$281,"T082",'Prácticas_Snowballing'!$AC$2:$AC$281,"CONSTRUCTION &gt; Practical Considerations")</f>
        <v>0</v>
      </c>
      <c r="AD96" s="17">
        <f>COUNTIFS('Prácticas_Revisiones'!$S$2:$S$282,"T082",'Prácticas_Revisiones'!$T$2:$T$282,"CONSTRUCTION &gt; Construction Technologies")+COUNTIFS('Prácticas_Snowballing'!$AB$2:$AB$281,"T082",'Prácticas_Snowballing'!$AC$2:$AC$281,"CONSTRUCTION &gt; Construction Technologies")</f>
        <v>0</v>
      </c>
      <c r="AE96" s="17">
        <f>COUNTIFS('Prácticas_Revisiones'!$S$2:$S$282,"T082",'Prácticas_Revisiones'!$T$2:$T$282,"CONSTRUCTION &gt; Software Construction Tools")+COUNTIFS('Prácticas_Snowballing'!$AB$2:$AB$281,"T082",'Prácticas_Snowballing'!$AC$2:$AC$281,"CONSTRUCTION &gt; Software Construction Tools")</f>
        <v>0</v>
      </c>
      <c r="AF96" s="17">
        <f>COUNTIFS('Prácticas_Revisiones'!$S$2:$S$282,"T082",'Prácticas_Revisiones'!$T$2:$T$282,"CONSTRUCTION &gt; Subárea no determinable")+COUNTIFS('Prácticas_Snowballing'!$AB$2:$AB$281,"T082",'Prácticas_Snowballing'!$AC$2:$AC$281,"CONSTRUCTION &gt; Subárea no determinable")</f>
        <v>0</v>
      </c>
      <c r="AG96" s="29">
        <f t="shared" si="72"/>
        <v>0</v>
      </c>
      <c r="AH96" s="17">
        <f>COUNTIFS('Prácticas_Revisiones'!$S$2:$S$282,"T082",'Prácticas_Revisiones'!$T$2:$T$282,"SOFTWARE TESTING &gt; Software Testing Fundamentals")+COUNTIFS('Prácticas_Snowballing'!$AB$2:$AB$281,"T082",'Prácticas_Snowballing'!$AC$2:$AC$281,"SOFTWARE TESTING &gt; Software Testing Fundamentals")</f>
        <v>0</v>
      </c>
      <c r="AI96" s="17">
        <f>COUNTIFS('Prácticas_Revisiones'!$S$2:$S$282,"T082",'Prácticas_Revisiones'!$T$2:$T$282,"SOFTWARE TESTING &gt; Test Levels")+COUNTIFS('Prácticas_Snowballing'!$AB$2:$AB$281,"T082",'Prácticas_Snowballing'!$AC$2:$AC$281,"SOFTWARE TESTING &gt; Test Levels")</f>
        <v>0</v>
      </c>
      <c r="AJ96" s="17">
        <f>COUNTIFS('Prácticas_Revisiones'!$S$2:$S$282,"T082",'Prácticas_Revisiones'!$T$2:$T$282,"SOFTWARE TESTING &gt; Test Techniques")+COUNTIFS('Prácticas_Snowballing'!$AB$2:$AB$281,"T082",'Prácticas_Snowballing'!$AC$2:$AC$281,"SOFTWARE TESTING &gt; Test Techniques")</f>
        <v>0</v>
      </c>
      <c r="AK96" s="17">
        <f>COUNTIFS('Prácticas_Revisiones'!$S$2:$S$282,"T082",'Prácticas_Revisiones'!$T$2:$T$282,"SOFTWARE TESTING &gt; Test-Related Measures")+COUNTIFS('Prácticas_Snowballing'!$AB$2:$AB$281,"T082",'Prácticas_Snowballing'!$AC$2:$AC$281,"SOFTWARE TESTING &gt; Test-Related Measures")</f>
        <v>0</v>
      </c>
      <c r="AL96" s="17">
        <f>COUNTIFS('Prácticas_Revisiones'!$S$2:$S$282,"T082",'Prácticas_Revisiones'!$T$2:$T$282,"SOFTWARE TESTING &gt; Test Process")+COUNTIFS('Prácticas_Snowballing'!$AB$2:$AB$281,"T082",'Prácticas_Snowballing'!$AC$2:$AC$281,"SOFTWARE TESTING &gt; Test Process")</f>
        <v>0</v>
      </c>
      <c r="AM96" s="17">
        <f>COUNTIFS('Prácticas_Revisiones'!$S$2:$S$282,"T082",'Prácticas_Revisiones'!$T$2:$T$282,"SOFTWARE TESTING &gt; Software Testing in the Development Processes...")+COUNTIFS('Prácticas_Snowballing'!$AB$2:$AB$281,"T082",'Prácticas_Snowballing'!$AC$2:$AC$281,"SOFTWARE TESTING &gt; Software Testing in the Development Processes...")</f>
        <v>0</v>
      </c>
      <c r="AN96" s="17">
        <f>COUNTIFS('Prácticas_Revisiones'!$S$2:$S$282,"T082",'Prácticas_Revisiones'!$T$2:$T$282,"SOFTWARE TESTING &gt; Testing of and Testing Through Emerging Tech...")+COUNTIFS('Prácticas_Snowballing'!$AB$2:$AB$281,"T082",'Prácticas_Snowballing'!$AC$2:$AC$281,"SOFTWARE TESTING &gt; Testing of and Testing Through Emerging Tech...")</f>
        <v>0</v>
      </c>
      <c r="AO96" s="17">
        <f>COUNTIFS('Prácticas_Revisiones'!$S$2:$S$282,"T082",'Prácticas_Revisiones'!$T$2:$T$282,"SOFTWARE TESTING &gt; Software Testing Tools")+COUNTIFS('Prácticas_Snowballing'!$AB$2:$AB$281,"T082",'Prácticas_Snowballing'!$AC$2:$AC$281,"SOFTWARE TESTING &gt; Software Testing Tools")</f>
        <v>0</v>
      </c>
      <c r="AP96" s="17">
        <f>COUNTIFS('Prácticas_Revisiones'!$S$2:$S$282,"T082",'Prácticas_Revisiones'!$T$2:$T$282,"SOFTWARE TESTING &gt; Subárea no determinable")+COUNTIFS('Prácticas_Snowballing'!$AB$2:$AB$281,"T082",'Prácticas_Snowballing'!$AC$2:$AC$281,"SOFTWARE TESTING &gt; Subárea no determinable")</f>
        <v>0</v>
      </c>
      <c r="AQ96" s="29">
        <f t="shared" si="73"/>
        <v>0</v>
      </c>
      <c r="AR96" s="17">
        <f>COUNTIFS('Prácticas_Revisiones'!$S$2:$S$282,"T082",'Prácticas_Revisiones'!$T$2:$T$282,"SOFTWARE ENG. OPERATIONS &gt; Software Engineering Operations Fundamentals")+COUNTIFS('Prácticas_Snowballing'!$AB$2:$AB$281,"T082",'Prácticas_Snowballing'!$AC$2:$AC$281,"SOFTWARE ENG. OPERATIONS &gt; Software Engineering Operations Fundamentals")</f>
        <v>0</v>
      </c>
      <c r="AS96" s="17">
        <f>COUNTIFS('Prácticas_Revisiones'!$S$2:$S$282,"T082",'Prácticas_Revisiones'!$T$2:$T$282,"SOFTWARE ENG. OPERATIONS &gt; Software Engineering Operations Planning")+COUNTIFS('Prácticas_Snowballing'!$AB$2:$AB$281,"T082",'Prácticas_Snowballing'!$AC$2:$AC$281,"SOFTWARE ENG. OPERATIONS &gt; Software Engineering Operations Planning")</f>
        <v>0</v>
      </c>
      <c r="AT96" s="17">
        <f>COUNTIFS('Prácticas_Revisiones'!$S$2:$S$282,"T082",'Prácticas_Revisiones'!$T$2:$T$282,"SOFTWARE ENG. OPERATIONS &gt; Software Engineering Operations Delivery")+COUNTIFS('Prácticas_Snowballing'!$AB$2:$AB$281,"T082",'Prácticas_Snowballing'!$AC$2:$AC$281,"SOFTWARE ENG. OPERATIONS &gt; Software Engineering Operations Delivery")</f>
        <v>0</v>
      </c>
      <c r="AU96" s="17">
        <f>COUNTIFS('Prácticas_Revisiones'!$S$2:$S$282,"T082",'Prácticas_Revisiones'!$T$2:$T$282,"SOFTWARE ENG. OPERATIONS &gt; Software Engineering Operations Control")+COUNTIFS('Prácticas_Snowballing'!$AB$2:$AB$281,"T082",'Prácticas_Snowballing'!$AC$2:$AC$281,"SOFTWARE ENG. OPERATIONS &gt; Software Engineering Operations Control")</f>
        <v>0</v>
      </c>
      <c r="AV96" s="17">
        <f>COUNTIFS('Prácticas_Revisiones'!$S$2:$S$282,"T082",'Prácticas_Revisiones'!$T$2:$T$282,"SOFTWARE ENG. OPERATIONS &gt; Practical Considerations")+COUNTIFS('Prácticas_Snowballing'!$AB$2:$AB$281,"T082",'Prácticas_Snowballing'!$AC$2:$AC$281,"SOFTWARE ENG. OPERATIONS &gt; Practical Considerations")</f>
        <v>0</v>
      </c>
      <c r="AW96" s="17">
        <f>COUNTIFS('Prácticas_Revisiones'!$S$2:$S$282,"T082",'Prácticas_Revisiones'!$T$2:$T$282,"SOFTWARE ENG. OPERATIONS &gt; Software Engineering Operations Tools")+COUNTIFS('Prácticas_Snowballing'!$AB$2:$AB$281,"T082",'Prácticas_Snowballing'!$AC$2:$AC$281,"SOFTWARE ENG. OPERATIONS &gt; Software Engineering Operations Tools")</f>
        <v>0</v>
      </c>
      <c r="AX96" s="17">
        <f>COUNTIFS('Prácticas_Revisiones'!$S$2:$S$282,"T082",'Prácticas_Revisiones'!$T$2:$T$282,"SOFTWARE ENG. OPERATIONS &gt; Subárea no determinable")+COUNTIFS('Prácticas_Snowballing'!$AB$2:$AB$281,"T082",'Prácticas_Snowballing'!$AC$2:$AC$281,"SOFTWARE ENG. OPERATIONS &gt; Subárea no determinable")</f>
        <v>0</v>
      </c>
      <c r="AY96" s="29">
        <f t="shared" si="74"/>
        <v>0</v>
      </c>
      <c r="AZ96" s="17">
        <f>COUNTIFS('Prácticas_Revisiones'!$S$2:$S$282,"T082",'Prácticas_Revisiones'!$T$2:$T$282,"MAINTENANCE &gt; Software Maintenance Fundamentals")+COUNTIFS('Prácticas_Snowballing'!$AB$2:$AB$281,"T082",'Prácticas_Snowballing'!$AC$2:$AC$281,"MAINTENANCE &gt; Software Maintenance Fundamentals")</f>
        <v>0</v>
      </c>
      <c r="BA96" s="17">
        <f>COUNTIFS('Prácticas_Revisiones'!$S$2:$S$282,"T082",'Prácticas_Revisiones'!$T$2:$T$282,"MAINTENANCE &gt; Key Issues in Software Maintenance")+COUNTIFS('Prácticas_Snowballing'!$AB$2:$AB$281,"T082",'Prácticas_Snowballing'!$AC$2:$AC$281,"MAINTENANCE &gt; Key Issues in Software Maintenance")</f>
        <v>0</v>
      </c>
      <c r="BB96" s="17">
        <f>COUNTIFS('Prácticas_Revisiones'!$S$2:$S$282,"T082",'Prácticas_Revisiones'!$T$2:$T$282,"MAINTENANCE &gt; Software Maintenance Processes")+COUNTIFS('Prácticas_Snowballing'!$AB$2:$AB$281,"T082",'Prácticas_Snowballing'!$AC$2:$AC$281,"MAINTENANCE &gt; Software Maintenance Processes")</f>
        <v>0</v>
      </c>
      <c r="BC96" s="17">
        <f>COUNTIFS('Prácticas_Revisiones'!$S$2:$S$282,"T082",'Prácticas_Revisiones'!$T$2:$T$282,"MAINTENANCE &gt; Software Maintenance Techniques")+COUNTIFS('Prácticas_Snowballing'!$AB$2:$AB$281,"T082",'Prácticas_Snowballing'!$AC$2:$AC$281,"MAINTENANCE &gt; Software Maintenance Techniques")</f>
        <v>0</v>
      </c>
      <c r="BD96" s="17">
        <f>COUNTIFS('Prácticas_Revisiones'!$S$2:$S$282,"T082",'Prácticas_Revisiones'!$T$2:$T$282,"MAINTENANCE &gt; Software Maintenance Tools")+COUNTIFS('Prácticas_Snowballing'!$AB$2:$AB$281,"T082",'Prácticas_Snowballing'!$AC$2:$AC$281,"MAINTENANCE &gt; Software Maintenance Tools")</f>
        <v>0</v>
      </c>
      <c r="BE96" s="17">
        <f>COUNTIFS('Prácticas_Revisiones'!$S$2:$S$282,"T082",'Prácticas_Revisiones'!$T$2:$T$282,"MAINTENANCE &gt; Subárea no determinable")+COUNTIFS('Prácticas_Snowballing'!$AB$2:$AB$281,"T082",'Prácticas_Snowballing'!$AC$2:$AC$281,"MAINTENANCE &gt; Subárea no determinable")</f>
        <v>0</v>
      </c>
      <c r="BF96" s="29">
        <f t="shared" si="75"/>
        <v>0</v>
      </c>
      <c r="BG96" s="17">
        <f>COUNTIFS('Prácticas_Revisiones'!$S$2:$S$282,"T082",'Prácticas_Revisiones'!$T$2:$T$282,"SOFTWARE CONFIG. MGMT. &gt; Management of the SCM Process")+COUNTIFS('Prácticas_Snowballing'!$AB$2:$AB$281,"T082",'Prácticas_Snowballing'!$AC$2:$AC$281,"SOFTWARE CONFIG. MGMT. &gt; Management of the SCM Process")</f>
        <v>0</v>
      </c>
      <c r="BH96" s="17">
        <f>COUNTIFS('Prácticas_Revisiones'!$S$2:$S$282,"T082",'Prácticas_Revisiones'!$T$2:$T$282,"SOFTWARE CONFIG. MGMT. &gt; Software Configuration Identification")+COUNTIFS('Prácticas_Snowballing'!$AB$2:$AB$281,"T082",'Prácticas_Snowballing'!$AC$2:$AC$281,"SOFTWARE CONFIG. MGMT. &gt; Software Configuration Identification")</f>
        <v>0</v>
      </c>
      <c r="BI96" s="17">
        <f>COUNTIFS('Prácticas_Revisiones'!$S$2:$S$282,"T082",'Prácticas_Revisiones'!$T$2:$T$282,"SOFTWARE CONFIG. MGMT. &gt; Software Configuration Change Control")+COUNTIFS('Prácticas_Snowballing'!$AB$2:$AB$281,"T082",'Prácticas_Snowballing'!$AC$2:$AC$281,"SOFTWARE CONFIG. MGMT. &gt; Software Configuration Change Control")</f>
        <v>0</v>
      </c>
      <c r="BJ96" s="17">
        <f>COUNTIFS('Prácticas_Revisiones'!$S$2:$S$282,"T082",'Prácticas_Revisiones'!$T$2:$T$282,"SOFTWARE CONFIG. MGMT. &gt; Software Configuration Status Accounting")+COUNTIFS('Prácticas_Snowballing'!$AB$2:$AB$281,"T082",'Prácticas_Snowballing'!$AC$2:$AC$281,"SOFTWARE CONFIG. MGMT. &gt; Software Configuration Status Accounting")</f>
        <v>0</v>
      </c>
      <c r="BK96" s="17">
        <f>COUNTIFS('Prácticas_Revisiones'!$S$2:$S$282,"T082",'Prácticas_Revisiones'!$T$2:$T$282,"SOFTWARE CONFIG. MGMT. &gt; Software Configuration Auditing")+COUNTIFS('Prácticas_Snowballing'!$AB$2:$AB$281,"T082",'Prácticas_Snowballing'!$AC$2:$AC$281,"SOFTWARE CONFIG. MGMT. &gt; Software Configuration Auditing")</f>
        <v>0</v>
      </c>
      <c r="BL96" s="17">
        <f>COUNTIFS('Prácticas_Revisiones'!$S$2:$S$282,"T082",'Prácticas_Revisiones'!$T$2:$T$282,"SOFTWARE CONFIG. MGMT. &gt; Software Release Management and Delivery")+COUNTIFS('Prácticas_Snowballing'!$AB$2:$AB$281,"T082",'Prácticas_Snowballing'!$AC$2:$AC$281,"SOFTWARE CONFIG. MGMT. &gt; Software Release Management and Delivery")</f>
        <v>0</v>
      </c>
      <c r="BM96" s="17">
        <f>COUNTIFS('Prácticas_Revisiones'!$S$2:$S$282,"T082",'Prácticas_Revisiones'!$T$2:$T$282,"SOFTWARE CONFIG. MGMT. &gt; Software Configuration Management Tools")+COUNTIFS('Prácticas_Snowballing'!$AB$2:$AB$281,"T082",'Prácticas_Snowballing'!$AC$2:$AC$281,"SOFTWARE CONFIG. MGMT. &gt; Software Configuration Management Tools")</f>
        <v>0</v>
      </c>
      <c r="BN96" s="17">
        <f>COUNTIFS('Prácticas_Revisiones'!$S$2:$S$282,"T082",'Prácticas_Revisiones'!$T$2:$T$282,"SOFTWARE CONFIG. MGMT. &gt; Subárea no determinable")+COUNTIFS('Prácticas_Snowballing'!$AB$2:$AB$281,"T082",'Prácticas_Snowballing'!$AC$2:$AC$281,"SOFTWARE CONFIG. MGMT. &gt; Subárea no determinable")</f>
        <v>0</v>
      </c>
      <c r="BO96" s="29">
        <f t="shared" si="76"/>
        <v>0</v>
      </c>
      <c r="BP96" s="17">
        <f>COUNTIFS('Prácticas_Revisiones'!$S$2:$S$282,"T082",'Prácticas_Revisiones'!$T$2:$T$282,"SOFTWARE ENG. PROCESS &gt; Software Engineering Process Fundamentals")+COUNTIFS('Prácticas_Snowballing'!$AB$2:$AB$281,"T082",'Prácticas_Snowballing'!$AC$2:$AC$281,"SOFTWARE ENG. PROCESS &gt; Software Engineering Process Fundamentals")</f>
        <v>0</v>
      </c>
      <c r="BQ96" s="17">
        <f>COUNTIFS('Prácticas_Revisiones'!$S$2:$S$282,"T082",'Prácticas_Revisiones'!$T$2:$T$282,"SOFTWARE ENG. PROCESS &gt; Life Cycles")+COUNTIFS('Prácticas_Snowballing'!$AB$2:$AB$281,"T082",'Prácticas_Snowballing'!$AC$2:$AC$281,"SOFTWARE ENG. PROCESS &gt; Life Cycles")</f>
        <v>0</v>
      </c>
      <c r="BR96" s="17">
        <f>COUNTIFS('Prácticas_Revisiones'!$S$2:$S$282,"T082",'Prácticas_Revisiones'!$T$2:$T$282,"SOFTWARE ENG. PROCESS &gt; Software Process Assessment and Improvement")+COUNTIFS('Prácticas_Snowballing'!$AB$2:$AB$281,"T082",'Prácticas_Snowballing'!$AC$2:$AC$281,"SOFTWARE ENG. PROCESS &gt; Software Process Assessment and Improvement")</f>
        <v>0</v>
      </c>
      <c r="BS96" s="17">
        <f>COUNTIFS('Prácticas_Revisiones'!$S$2:$S$282,"T082",'Prácticas_Revisiones'!$T$2:$T$282,"SOFTWARE ENG. PROCESS &gt; Subárea no determinable")+COUNTIFS('Prácticas_Snowballing'!$AB$2:$AB$281,"T082",'Prácticas_Snowballing'!$AC$2:$AC$281,"SOFTWARE ENG. PROCESS &gt; Subárea no determinable")</f>
        <v>0</v>
      </c>
      <c r="BT96" s="29">
        <f t="shared" si="77"/>
        <v>0</v>
      </c>
      <c r="BU96" s="17">
        <f>COUNTIFS('Prácticas_Revisiones'!$S$2:$S$282,"T082",'Prácticas_Revisiones'!$T$2:$T$282,"SOFTWARE ENG. MODELS/METH. &gt; Modeling")+COUNTIFS('Prácticas_Snowballing'!$AB$2:$AB$281,"T082",'Prácticas_Snowballing'!$AC$2:$AC$281,"SOFTWARE ENG. MODELS/METH. &gt; Modeling")</f>
        <v>0</v>
      </c>
      <c r="BV96" s="17">
        <f>COUNTIFS('Prácticas_Revisiones'!$S$2:$S$282,"T082",'Prácticas_Revisiones'!$T$2:$T$282,"SOFTWARE ENG. MODELS/METH. &gt; Types of Models")+COUNTIFS('Prácticas_Snowballing'!$AB$2:$AB$281,"T082",'Prácticas_Snowballing'!$AC$2:$AC$281,"SOFTWARE ENG. MODELS/METH. &gt; Types of Models")</f>
        <v>0</v>
      </c>
      <c r="BW96" s="17">
        <f>COUNTIFS('Prácticas_Revisiones'!$S$2:$S$282,"T082",'Prácticas_Revisiones'!$T$2:$T$282,"SOFTWARE ENG. MODELS/METH. &gt; Analysis of Models")+COUNTIFS('Prácticas_Snowballing'!$AB$2:$AB$281,"T082",'Prácticas_Snowballing'!$AC$2:$AC$281,"SOFTWARE ENG. MODELS/METH. &gt; Analysis of Models")</f>
        <v>0</v>
      </c>
      <c r="BX96" s="17">
        <f>COUNTIFS('Prácticas_Revisiones'!$S$2:$S$282,"T082",'Prácticas_Revisiones'!$T$2:$T$282,"SOFTWARE ENG. MODELS/METH. &gt; Software Engineering Methods")+COUNTIFS('Prácticas_Snowballing'!$AB$2:$AB$281,"T082",'Prácticas_Snowballing'!$AC$2:$AC$281,"SOFTWARE ENG. MODELS/METH. &gt; Software Engineering Methods")</f>
        <v>0</v>
      </c>
      <c r="BY96" s="17">
        <f>COUNTIFS('Prácticas_Revisiones'!$S$2:$S$282,"T082",'Prácticas_Revisiones'!$T$2:$T$282,"SOFTWARE ENG. MODELS/METH. &gt; Subárea no determinable")+COUNTIFS('Prácticas_Snowballing'!$AB$2:$AB$281,"T082",'Prácticas_Snowballing'!$AC$2:$AC$281,"SOFTWARE ENG. MODELS/METH. &gt; Subárea no determinable")</f>
        <v>0</v>
      </c>
      <c r="BZ96" s="29">
        <f t="shared" si="78"/>
        <v>0</v>
      </c>
      <c r="CA96" s="17">
        <f>COUNTIFS('Prácticas_Revisiones'!$S$2:$S$282,"T082",'Prácticas_Revisiones'!$T$2:$T$282,"SOFTWARE QUALITY &gt; Software Quality Fundamentals")+COUNTIFS('Prácticas_Snowballing'!$AB$2:$AB$281,"T082",'Prácticas_Snowballing'!$AC$2:$AC$281,"SOFTWARE QUALITY &gt; Software Quality Fundamentals")</f>
        <v>0</v>
      </c>
      <c r="CB96" s="17">
        <f>COUNTIFS('Prácticas_Revisiones'!$S$2:$S$282,"T082",'Prácticas_Revisiones'!$T$2:$T$282,"SOFTWARE QUALITY &gt; Software Quality Management Process")+COUNTIFS('Prácticas_Snowballing'!$AB$2:$AB$281,"T082",'Prácticas_Snowballing'!$AC$2:$AC$281,"SOFTWARE QUALITY &gt; Software Quality Management Process")</f>
        <v>0</v>
      </c>
      <c r="CC96" s="17">
        <f>COUNTIFS('Prácticas_Revisiones'!$S$2:$S$282,"T082",'Prácticas_Revisiones'!$T$2:$T$282,"SOFTWARE QUALITY &gt; Software Quality Assurance Process")+COUNTIFS('Prácticas_Snowballing'!$AB$2:$AB$281,"T082",'Prácticas_Snowballing'!$AC$2:$AC$281,"SOFTWARE QUALITY &gt; Software Quality Assurance Process")</f>
        <v>0</v>
      </c>
      <c r="CD96" s="17">
        <f>COUNTIFS('Prácticas_Revisiones'!$S$2:$S$282,"T082",'Prácticas_Revisiones'!$T$2:$T$282,"SOFTWARE QUALITY &gt; Software Quality Tools")+COUNTIFS('Prácticas_Snowballing'!$AB$2:$AB$281,"T082",'Prácticas_Snowballing'!$AC$2:$AC$281,"SOFTWARE QUALITY &gt; Software Quality Tools")</f>
        <v>0</v>
      </c>
      <c r="CE96" s="17">
        <f>COUNTIFS('Prácticas_Revisiones'!$S$2:$S$282,"T082",'Prácticas_Revisiones'!$T$2:$T$282,"SOFTWARE QUALITY &gt; Subárea no determinable")+COUNTIFS('Prácticas_Snowballing'!$AB$2:$AB$281,"T082",'Prácticas_Snowballing'!$AC$2:$AC$281,"SOFTWARE QUALITY &gt; Subárea no determinable")</f>
        <v>0</v>
      </c>
      <c r="CF96" s="29">
        <f t="shared" si="79"/>
        <v>0</v>
      </c>
      <c r="CG96" s="17">
        <f>COUNTIFS('Prácticas_Revisiones'!$S$2:$S$282,"T082",'Prácticas_Revisiones'!$T$2:$T$282,"SOFTWARE SECURITY &gt; Software Security Fundamentals")+COUNTIFS('Prácticas_Snowballing'!$AB$2:$AB$281,"T082",'Prácticas_Snowballing'!$AC$2:$AC$281,"SOFTWARE SECURITY &gt; Software Security Fundamentals")</f>
        <v>0</v>
      </c>
      <c r="CH96" s="17">
        <f>COUNTIFS('Prácticas_Revisiones'!$S$2:$S$282,"T082",'Prácticas_Revisiones'!$T$2:$T$282,"SOFTWARE SECURITY &gt; Security Management and Organization")+COUNTIFS('Prácticas_Snowballing'!$AB$2:$AB$281,"T082",'Prácticas_Snowballing'!$AC$2:$AC$281,"SOFTWARE SECURITY &gt; Security Management and Organization")</f>
        <v>0</v>
      </c>
      <c r="CI96" s="17">
        <f>COUNTIFS('Prácticas_Revisiones'!$S$2:$S$282,"T082",'Prácticas_Revisiones'!$T$2:$T$282,"SOFTWARE SECURITY &gt; Software Security Engineering and Process")+COUNTIFS('Prácticas_Snowballing'!$AB$2:$AB$281,"T082",'Prácticas_Snowballing'!$AC$2:$AC$281,"SOFTWARE SECURITY &gt; Software Security Engineering and Process")</f>
        <v>0</v>
      </c>
      <c r="CJ96" s="17">
        <f>COUNTIFS('Prácticas_Revisiones'!$S$2:$S$282,"T082",'Prácticas_Revisiones'!$T$2:$T$282,"SOFTWARE SECURITY &gt; Security Engineering for Software Systems")+COUNTIFS('Prácticas_Snowballing'!$AB$2:$AB$281,"T082",'Prácticas_Snowballing'!$AC$2:$AC$281,"SOFTWARE SECURITY &gt; Security Engineering for Software Systems")</f>
        <v>0</v>
      </c>
      <c r="CK96" s="17">
        <f>COUNTIFS('Prácticas_Revisiones'!$S$2:$S$282,"T082",'Prácticas_Revisiones'!$T$2:$T$282,"SOFTWARE SECURITY &gt; Software Security Tools")+COUNTIFS('Prácticas_Snowballing'!$AB$2:$AB$281,"T082",'Prácticas_Snowballing'!$AC$2:$AC$281,"SOFTWARE SECURITY &gt; Software Security Tools")</f>
        <v>0</v>
      </c>
      <c r="CL96" s="17">
        <f>COUNTIFS('Prácticas_Revisiones'!$S$2:$S$282,"T082",'Prácticas_Revisiones'!$T$2:$T$282,"SOFTWARE SECURITY &gt; Domain Specific Software Security")+COUNTIFS('Prácticas_Snowballing'!$AB$2:$AB$281,"T082",'Prácticas_Snowballing'!$AC$2:$AC$281,"SOFTWARE SECURITY &gt; Domain Specific Software Security")</f>
        <v>0</v>
      </c>
      <c r="CM96" s="17">
        <f>COUNTIFS('Prácticas_Revisiones'!$S$2:$S$282,"T082",'Prácticas_Revisiones'!$T$2:$T$282,"SOFTWARE SECURITY &gt; Subárea no determinable")+COUNTIFS('Prácticas_Snowballing'!$AB$2:$AB$281,"T082",'Prácticas_Snowballing'!$AC$2:$AC$281,"SOFTWARE SECURITY &gt; Subárea no determinable")</f>
        <v>0</v>
      </c>
      <c r="CN96" s="29">
        <f t="shared" si="80"/>
        <v>0</v>
      </c>
      <c r="CO96" s="17">
        <f>COUNTIFS('Prácticas_Revisiones'!$S$2:$S$282,"T082",'Prácticas_Revisiones'!$T$2:$T$282,"PROFESSIONAL PRACTICE &gt; Professionalism")+COUNTIFS('Prácticas_Snowballing'!$AB$2:$AB$281,"T082",'Prácticas_Snowballing'!$AC$2:$AC$281,"PROFESSIONAL PRACTICE &gt; Professionalism")</f>
        <v>0</v>
      </c>
      <c r="CP96" s="17">
        <f>COUNTIFS('Prácticas_Revisiones'!$S$2:$S$282,"T082",'Prácticas_Revisiones'!$T$2:$T$282,"PROFESSIONAL PRACTICE &gt; Group Dynamics and Psychology")+COUNTIFS('Prácticas_Snowballing'!$AB$2:$AB$281,"T082",'Prácticas_Snowballing'!$AC$2:$AC$281,"PROFESSIONAL PRACTICE &gt; Group Dynamics and Psychology")</f>
        <v>0</v>
      </c>
      <c r="CQ96" s="17">
        <f>COUNTIFS('Prácticas_Revisiones'!$S$2:$S$282,"T082",'Prácticas_Revisiones'!$T$2:$T$282,"PROFESSIONAL PRACTICE &gt; Communication Skills")+COUNTIFS('Prácticas_Snowballing'!$AB$2:$AB$281,"T082",'Prácticas_Snowballing'!$AC$2:$AC$281,"PROFESSIONAL PRACTICE &gt; Communication Skills")</f>
        <v>0</v>
      </c>
      <c r="CR96" s="17">
        <f>COUNTIFS('Prácticas_Revisiones'!$S$2:$S$282,"T082",'Prácticas_Revisiones'!$T$2:$T$282,"PROFESSIONAL PRACTICE &gt; Subárea no determinable")+COUNTIFS('Prácticas_Snowballing'!$AB$2:$AB$281,"T082",'Prácticas_Snowballing'!$AC$2:$AC$281,"PROFESSIONAL PRACTICE &gt; Subárea no determinable")</f>
        <v>0</v>
      </c>
      <c r="CS96" s="29">
        <f t="shared" si="81"/>
        <v>0</v>
      </c>
      <c r="CT96" s="17">
        <f>COUNTIFS('Prácticas_Revisiones'!$S$2:$S$282,"T082",'Prácticas_Revisiones'!$T$2:$T$282,"SOFTWARE ENG. ECONOMICS &gt; Software Engineering Economics Fundamentals")+COUNTIFS('Prácticas_Snowballing'!$AB$2:$AB$281,"T082",'Prácticas_Snowballing'!$AC$2:$AC$281,"SOFTWARE ENG. ECONOMICS &gt; Software Engineering Economics Fundamentals")</f>
        <v>0</v>
      </c>
      <c r="CU96" s="17">
        <f>COUNTIFS('Prácticas_Revisiones'!$S$2:$S$282,"T082",'Prácticas_Revisiones'!$T$2:$T$282,"SOFTWARE ENG. ECONOMICS &gt; The Engineering Decision-Making Process")+COUNTIFS('Prácticas_Snowballing'!$AB$2:$AB$281,"T082",'Prácticas_Snowballing'!$AC$2:$AC$281,"SOFTWARE ENG. ECONOMICS &gt; The Engineering Decision-Making Process")</f>
        <v>0</v>
      </c>
      <c r="CV96" s="17">
        <f>COUNTIFS('Prácticas_Revisiones'!$S$2:$S$282,"T082",'Prácticas_Revisiones'!$T$2:$T$282,"SOFTWARE ENG. ECONOMICS &gt; For-Profit Decision-Making")+COUNTIFS('Prácticas_Snowballing'!$AB$2:$AB$281,"T082",'Prácticas_Snowballing'!$AC$2:$AC$281,"SOFTWARE ENG. ECONOMICS &gt; For-Profit Decision-Making")</f>
        <v>0</v>
      </c>
      <c r="CW96" s="17">
        <f>COUNTIFS('Prácticas_Revisiones'!$S$2:$S$282,"T082",'Prácticas_Revisiones'!$T$2:$T$282,"SOFTWARE ENG. ECONOMICS &gt; Nonprofit Decision-Making")+COUNTIFS('Prácticas_Snowballing'!$AB$2:$AB$281,"T082",'Prácticas_Snowballing'!$AC$2:$AC$281,"SOFTWARE ENG. ECONOMICS &gt; Nonprofit Decision-Making")</f>
        <v>0</v>
      </c>
      <c r="CX96" s="17">
        <f>COUNTIFS('Prácticas_Revisiones'!$S$2:$S$282,"T082",'Prácticas_Revisiones'!$T$2:$T$282,"SOFTWARE ENG. ECONOMICS &gt; Present Economy Decision-Making")+COUNTIFS('Prácticas_Snowballing'!$AB$2:$AB$281,"T082",'Prácticas_Snowballing'!$AC$2:$AC$281,"SOFTWARE ENG. ECONOMICS &gt; Present Economy Decision-Making")</f>
        <v>0</v>
      </c>
      <c r="CY96" s="17">
        <f>COUNTIFS('Prácticas_Revisiones'!$S$2:$S$282,"T082",'Prácticas_Revisiones'!$T$2:$T$282,"SOFTWARE ENG. ECONOMICS &gt; Multiple-Attribute Decision-Making")+COUNTIFS('Prácticas_Snowballing'!$AB$2:$AB$281,"T082",'Prácticas_Snowballing'!$AC$2:$AC$281,"SOFTWARE ENG. ECONOMICS &gt; Multiple-Attribute Decision-Making")</f>
        <v>0</v>
      </c>
      <c r="CZ96" s="17">
        <f>COUNTIFS('Prácticas_Revisiones'!$S$2:$S$282,"T082",'Prácticas_Revisiones'!$T$2:$T$282,"SOFTWARE ENG. ECONOMICS &gt; Identifying and Characterizing Intangible Assets")+COUNTIFS('Prácticas_Snowballing'!$AB$2:$AB$281,"T082",'Prácticas_Snowballing'!$AC$2:$AC$281,"SOFTWARE ENG. ECONOMICS &gt; Identifying and Characterizing Intangible Assets")</f>
        <v>0</v>
      </c>
      <c r="DA96" s="17">
        <f>COUNTIFS('Prácticas_Revisiones'!$S$2:$S$282,"T082",'Prácticas_Revisiones'!$T$2:$T$282,"SOFTWARE ENG. ECONOMICS &gt; Estimation")+COUNTIFS('Prácticas_Snowballing'!$AB$2:$AB$281,"T082",'Prácticas_Snowballing'!$AC$2:$AC$281,"SOFTWARE ENG. ECONOMICS &gt; Estimation")</f>
        <v>0</v>
      </c>
      <c r="DB96" s="17">
        <f>COUNTIFS('Prácticas_Revisiones'!$S$2:$S$282,"T082",'Prácticas_Revisiones'!$T$2:$T$282,"SOFTWARE ENG. ECONOMICS &gt; Practical Considerations")+COUNTIFS('Prácticas_Snowballing'!$AB$2:$AB$281,"T082",'Prácticas_Snowballing'!$AC$2:$AC$281,"SOFTWARE ENG. ECONOMICS &gt; Practical Considerations")</f>
        <v>0</v>
      </c>
      <c r="DC96" s="17">
        <f>COUNTIFS('Prácticas_Revisiones'!$S$2:$S$282,"T082",'Prácticas_Revisiones'!$T$2:$T$282,"SOFTWARE ENG. ECONOMICS &gt; Related Concepts")+COUNTIFS('Prácticas_Snowballing'!$AB$2:$AB$281,"T082",'Prácticas_Snowballing'!$AC$2:$AC$281,"SOFTWARE ENG. ECONOMICS &gt; Related Concepts")</f>
        <v>0</v>
      </c>
      <c r="DD96" s="17">
        <f>COUNTIFS('Prácticas_Revisiones'!$S$2:$S$282,"T082",'Prácticas_Revisiones'!$T$2:$T$282,"SOFTWARE ENG. ECONOMICS &gt; Subárea no determinable")+COUNTIFS('Prácticas_Snowballing'!$AB$2:$AB$281,"T082",'Prácticas_Snowballing'!$AC$2:$AC$281,"SOFTWARE ENG. ECONOMICS &gt; Subárea no determinable")</f>
        <v>0</v>
      </c>
      <c r="DE96" s="29">
        <f t="shared" si="82"/>
        <v>0</v>
      </c>
      <c r="DF96" s="17">
        <f>COUNTIFS('Prácticas_Revisiones'!$S$2:$S$282,"T082",'Prácticas_Revisiones'!$T$2:$T$282,"SOFTWARE ENG. MANAGEMENT &gt; Software Engineering Management Fundamentals")+COUNTIFS('Prácticas_Snowballing'!$AB$2:$AB$281,"T082",'Prácticas_Snowballing'!$AC$2:$AC$281,"SOFTWARE ENG. MANAGEMENT &gt; Software Engineering Management Fundamentals")</f>
        <v>0</v>
      </c>
      <c r="DG96" s="17">
        <f>COUNTIFS('Prácticas_Revisiones'!$S$2:$S$282,"T082",'Prácticas_Revisiones'!$T$2:$T$282,"SOFTWARE ENG. MANAGEMENT &gt; Initiation and Scope Definition")+COUNTIFS('Prácticas_Snowballing'!$AB$2:$AB$281,"T082",'Prácticas_Snowballing'!$AC$2:$AC$281,"SOFTWARE ENG. MANAGEMENT &gt; Initiation and Scope Definition")</f>
        <v>0</v>
      </c>
      <c r="DH96" s="17">
        <f>COUNTIFS('Prácticas_Revisiones'!$S$2:$S$282,"T082",'Prácticas_Revisiones'!$T$2:$T$282,"SOFTWARE ENG. MANAGEMENT &gt; Software Project Planning")+COUNTIFS('Prácticas_Snowballing'!$AB$2:$AB$281,"T082",'Prácticas_Snowballing'!$AC$2:$AC$281,"SOFTWARE ENG. MANAGEMENT &gt; Software Project Planning")</f>
        <v>0</v>
      </c>
      <c r="DI96" s="17">
        <f>COUNTIFS('Prácticas_Revisiones'!$S$2:$S$282,"T082",'Prácticas_Revisiones'!$T$2:$T$282,"SOFTWARE ENG. MANAGEMENT &gt; Software Project Enactment")+COUNTIFS('Prácticas_Snowballing'!$AB$2:$AB$281,"T082",'Prácticas_Snowballing'!$AC$2:$AC$281,"SOFTWARE ENG. MANAGEMENT &gt; Software Project Enactment")</f>
        <v>0</v>
      </c>
      <c r="DJ96" s="17">
        <f>COUNTIFS('Prácticas_Revisiones'!$S$2:$S$282,"T082",'Prácticas_Revisiones'!$T$2:$T$282,"SOFTWARE ENG. MANAGEMENT &gt; Review and Evaluation")+COUNTIFS('Prácticas_Snowballing'!$AB$2:$AB$281,"T082",'Prácticas_Snowballing'!$AC$2:$AC$281,"SOFTWARE ENG. MANAGEMENT &gt; Review and Evaluation")</f>
        <v>0</v>
      </c>
      <c r="DK96" s="17">
        <f>COUNTIFS('Prácticas_Revisiones'!$S$2:$S$282,"T082",'Prácticas_Revisiones'!$T$2:$T$282,"SOFTWARE ENG. MANAGEMENT &gt; Closure")+COUNTIFS('Prácticas_Snowballing'!$AB$2:$AB$281,"T082",'Prácticas_Snowballing'!$AC$2:$AC$281,"SOFTWARE ENG. MANAGEMENT &gt; Closure")</f>
        <v>0</v>
      </c>
      <c r="DL96" s="17">
        <f>COUNTIFS('Prácticas_Revisiones'!$S$2:$S$282,"T082",'Prácticas_Revisiones'!$T$2:$T$282,"SOFTWARE ENG. MANAGEMENT &gt; Software Engineering Management Tools")+COUNTIFS('Prácticas_Snowballing'!$AB$2:$AB$281,"T082",'Prácticas_Snowballing'!$AC$2:$AC$281,"SOFTWARE ENG. MANAGEMENT &gt; Software Engineering Management Tools")</f>
        <v>0</v>
      </c>
      <c r="DM96" s="17">
        <f>COUNTIFS('Prácticas_Revisiones'!$S$2:$S$282,"T082",'Prácticas_Revisiones'!$T$2:$T$282,"SOFTWARE ENG. MANAGEMENT &gt; Subárea no determinable")+COUNTIFS('Prácticas_Snowballing'!$AB$2:$AB$281,"T082",'Prácticas_Snowballing'!$AC$2:$AC$281,"SOFTWARE ENG. MANAGEMENT &gt; Subárea no determinable")</f>
        <v>0</v>
      </c>
      <c r="DN96" s="29">
        <f t="shared" si="83"/>
        <v>0</v>
      </c>
      <c r="DO96" s="17">
        <f>COUNTIFS('Prácticas_Revisiones'!$S$2:$S$282,"T082",'Prácticas_Revisiones'!$T$2:$T$282,"Sin área SWEBOK")+COUNTIFS('Prácticas_Snowballing'!$AB$2:$AB$281,"T082",'Prácticas_Snowballing'!$AC$2:$AC$281,"Sin área SWEBOK")</f>
        <v>0</v>
      </c>
      <c r="DP96" s="27">
        <f t="shared" si="84"/>
        <v>0</v>
      </c>
    </row>
    <row r="97" ht="15.75" customHeight="1">
      <c r="A97" s="28"/>
      <c r="B97" s="16" t="s">
        <v>2818</v>
      </c>
      <c r="C97" s="17">
        <f>COUNTIFS('Prácticas_Revisiones'!$S$2:$S$282,"T083",'Prácticas_Revisiones'!$T$2:$T$282,"REQUIREMENTS &gt; Software Requirements Fundamentals")+COUNTIFS('Prácticas_Snowballing'!$AB$2:$AB$281,"T083",'Prácticas_Snowballing'!$AC$2:$AC$281,"REQUIREMENTS &gt; Software Requirements Fundamentals")</f>
        <v>0</v>
      </c>
      <c r="D97" s="17">
        <f>COUNTIFS('Prácticas_Revisiones'!$S$2:$S$282,"T083",'Prácticas_Revisiones'!$T$2:$T$282,"REQUIREMENTS &gt; Requirements Elicitation")+COUNTIFS('Prácticas_Snowballing'!$AB$2:$AB$281,"T083",'Prácticas_Snowballing'!$AC$2:$AC$281,"REQUIREMENTS &gt; Requirements Elicitation")</f>
        <v>0</v>
      </c>
      <c r="E97" s="17">
        <f>COUNTIFS('Prácticas_Revisiones'!$S$2:$S$282,"T083",'Prácticas_Revisiones'!$T$2:$T$282,"REQUIREMENTS &gt; Requirements Analysis")+COUNTIFS('Prácticas_Snowballing'!$AB$2:$AB$281,"T083",'Prácticas_Snowballing'!$AC$2:$AC$281,"REQUIREMENTS &gt; Requirements Analysis")</f>
        <v>0</v>
      </c>
      <c r="F97" s="17">
        <f>COUNTIFS('Prácticas_Revisiones'!$S$2:$S$282,"T083",'Prácticas_Revisiones'!$T$2:$T$282,"REQUIREMENTS &gt; Requirements Specification")+COUNTIFS('Prácticas_Snowballing'!$AB$2:$AB$281,"T083",'Prácticas_Snowballing'!$AC$2:$AC$281,"REQUIREMENTS &gt; Requirements Specification")</f>
        <v>0</v>
      </c>
      <c r="G97" s="17">
        <f>COUNTIFS('Prácticas_Revisiones'!$S$2:$S$282,"T083",'Prácticas_Revisiones'!$T$2:$T$282,"REQUIREMENTS &gt; Requirements Validation")+COUNTIFS('Prácticas_Snowballing'!$AB$2:$AB$281,"T083",'Prácticas_Snowballing'!$AC$2:$AC$281,"REQUIREMENTS &gt; Requirements Validation")</f>
        <v>0</v>
      </c>
      <c r="H97" s="17">
        <f>COUNTIFS('Prácticas_Revisiones'!$S$2:$S$282,"T083",'Prácticas_Revisiones'!$T$2:$T$282,"REQUIREMENTS &gt; Requirements Management Activities")+COUNTIFS('Prácticas_Snowballing'!$AB$2:$AB$281,"T083",'Prácticas_Snowballing'!$AC$2:$AC$281,"REQUIREMENTS &gt; Requirements Management Activities")</f>
        <v>0</v>
      </c>
      <c r="I97" s="17">
        <f>COUNTIFS('Prácticas_Revisiones'!$S$2:$S$282,"T083",'Prácticas_Revisiones'!$T$2:$T$282,"REQUIREMENTS &gt; Practical Considerations")+COUNTIFS('Prácticas_Snowballing'!$AB$2:$AB$281,"T083",'Prácticas_Snowballing'!$AC$2:$AC$281,"REQUIREMENTS &gt; Practical Considerations")</f>
        <v>0</v>
      </c>
      <c r="J97" s="17">
        <f>COUNTIFS('Prácticas_Revisiones'!$S$2:$S$282,"T083",'Prácticas_Revisiones'!$T$2:$T$282,"REQUIREMENTS &gt; Software Requirements Tools")+COUNTIFS('Prácticas_Snowballing'!$AB$2:$AB$281,"T083",'Prácticas_Snowballing'!$AC$2:$AC$281,"REQUIREMENTS &gt; Software Requirements Tools")</f>
        <v>0</v>
      </c>
      <c r="K97" s="17">
        <f>COUNTIFS('Prácticas_Revisiones'!$S$2:$S$282,"T083",'Prácticas_Revisiones'!$T$2:$T$282,"REQUIREMENTS &gt; Subárea no determinable")+COUNTIFS('Prácticas_Snowballing'!$AB$2:$AB$281,"T083",'Prácticas_Snowballing'!$AC$2:$AC$281,"REQUIREMENTS &gt; Subárea no determinable")</f>
        <v>0</v>
      </c>
      <c r="L97" s="29">
        <f t="shared" si="69"/>
        <v>0</v>
      </c>
      <c r="M97" s="17">
        <f>COUNTIFS('Prácticas_Revisiones'!$S$2:$S$282,"T083",'Prácticas_Revisiones'!$T$2:$T$282,"ARCHITECTURE &gt; Software Architecture Fundamentals")+COUNTIFS('Prácticas_Snowballing'!$AB$2:$AB$281,"T083",'Prácticas_Snowballing'!$AC$2:$AC$281,"ARCHITECTURE &gt; Software Architecture Fundamentals")</f>
        <v>0</v>
      </c>
      <c r="N97" s="17">
        <f>COUNTIFS('Prácticas_Revisiones'!$S$2:$S$282,"T083",'Prácticas_Revisiones'!$T$2:$T$282,"ARCHITECTURE &gt; Software Architecture Description")+COUNTIFS('Prácticas_Snowballing'!$AB$2:$AB$281,"T083",'Prácticas_Snowballing'!$AC$2:$AC$281,"ARCHITECTURE &gt; Software Architecture Description")</f>
        <v>0</v>
      </c>
      <c r="O97" s="17">
        <f>COUNTIFS('Prácticas_Revisiones'!$S$2:$S$282,"T083",'Prácticas_Revisiones'!$T$2:$T$282,"ARCHITECTURE &gt; Software Architecture Process")+COUNTIFS('Prácticas_Snowballing'!$AB$2:$AB$281,"T083",'Prácticas_Snowballing'!$AC$2:$AC$281,"ARCHITECTURE &gt; Software Architecture Process")</f>
        <v>0</v>
      </c>
      <c r="P97" s="17">
        <f>COUNTIFS('Prácticas_Revisiones'!$S$2:$S$282,"T083",'Prácticas_Revisiones'!$T$2:$T$282,"ARCHITECTURE &gt; Software Architecture Evaluation")+COUNTIFS('Prácticas_Snowballing'!$AB$2:$AB$281,"T083",'Prácticas_Snowballing'!$AC$2:$AC$281,"ARCHITECTURE &gt; Software Architecture Evaluation")</f>
        <v>0</v>
      </c>
      <c r="Q97" s="17">
        <f>COUNTIFS('Prácticas_Revisiones'!$S$2:$S$282,"T083",'Prácticas_Revisiones'!$T$2:$T$282,"ARCHITECTURE &gt; Subárea no determinable")+COUNTIFS('Prácticas_Snowballing'!$AB$2:$AB$281,"T083",'Prácticas_Snowballing'!$AC$2:$AC$281,"ARCHITECTURE &gt; Subárea no determinable")</f>
        <v>0</v>
      </c>
      <c r="R97" s="29">
        <f t="shared" si="70"/>
        <v>0</v>
      </c>
      <c r="S97" s="17">
        <f>COUNTIFS('Prácticas_Revisiones'!$S$2:$S$282,"T083",'Prácticas_Revisiones'!$T$2:$T$282,"DESIGN &gt; Software Design Fundamentals")+COUNTIFS('Prácticas_Snowballing'!$AB$2:$AB$281,"T083",'Prácticas_Snowballing'!$AC$2:$AC$281,"DESIGN &gt; Software Design Fundamentals")</f>
        <v>0</v>
      </c>
      <c r="T97" s="17">
        <f>COUNTIFS('Prácticas_Revisiones'!$S$2:$S$282,"T083",'Prácticas_Revisiones'!$T$2:$T$282,"DESIGN &gt; Software Design Processes")+COUNTIFS('Prácticas_Snowballing'!$AB$2:$AB$281,"T083",'Prácticas_Snowballing'!$AC$2:$AC$281,"DESIGN &gt; Software Design Processes")</f>
        <v>0</v>
      </c>
      <c r="U97" s="17">
        <f>COUNTIFS('Prácticas_Revisiones'!$S$2:$S$282,"T083",'Prácticas_Revisiones'!$T$2:$T$282,"DESIGN &gt; Software Design Qualities")+COUNTIFS('Prácticas_Snowballing'!$AB$2:$AB$281,"T083",'Prácticas_Snowballing'!$AC$2:$AC$281,"DESIGN &gt; Software Design Qualities")</f>
        <v>0</v>
      </c>
      <c r="V97" s="17">
        <f>COUNTIFS('Prácticas_Revisiones'!$S$2:$S$282,"T083",'Prácticas_Revisiones'!$T$2:$T$282,"DESIGN &gt; Recording Software Design")+COUNTIFS('Prácticas_Snowballing'!$AB$2:$AB$281,"T083",'Prácticas_Snowballing'!$AC$2:$AC$281,"DESIGN &gt; Recording Software Design")</f>
        <v>0</v>
      </c>
      <c r="W97" s="17">
        <f>COUNTIFS('Prácticas_Revisiones'!$S$2:$S$282,"T083",'Prácticas_Revisiones'!$T$2:$T$282,"DESIGN &gt; Software Design Strategies and Methods")+COUNTIFS('Prácticas_Snowballing'!$AB$2:$AB$281,"T083",'Prácticas_Snowballing'!$AC$2:$AC$281,"DESIGN &gt; Software Design Strategies and Methods")</f>
        <v>0</v>
      </c>
      <c r="X97" s="17">
        <f>COUNTIFS('Prácticas_Revisiones'!$S$2:$S$282,"T083",'Prácticas_Revisiones'!$T$2:$T$282,"DESIGN &gt; Software Design Analysis and Evaluations")+COUNTIFS('Prácticas_Snowballing'!$AB$2:$AB$281,"T083",'Prácticas_Snowballing'!$AC$2:$AC$281,"DESIGN &gt; Software Design Analysis and Evaluations")</f>
        <v>0</v>
      </c>
      <c r="Y97" s="17">
        <f>COUNTIFS('Prácticas_Revisiones'!$S$2:$S$282,"T083",'Prácticas_Revisiones'!$T$2:$T$282,"DESIGN &gt; Subárea no determinable")+COUNTIFS('Prácticas_Snowballing'!$AB$2:$AB$281,"T083",'Prácticas_Snowballing'!$AC$2:$AC$281,"DESIGN &gt; Subárea no determinable")</f>
        <v>0</v>
      </c>
      <c r="Z97" s="29">
        <f t="shared" si="71"/>
        <v>0</v>
      </c>
      <c r="AA97" s="17">
        <f>COUNTIFS('Prácticas_Revisiones'!$S$2:$S$282,"T083",'Prácticas_Revisiones'!$T$2:$T$282,"CONSTRUCTION &gt; Software Construction Fundamentals")+COUNTIFS('Prácticas_Snowballing'!$AB$2:$AB$281,"T083",'Prácticas_Snowballing'!$AC$2:$AC$281,"CONSTRUCTION &gt; Software Construction Fundamentals")</f>
        <v>0</v>
      </c>
      <c r="AB97" s="17">
        <f>COUNTIFS('Prácticas_Revisiones'!$S$2:$S$282,"T083",'Prácticas_Revisiones'!$T$2:$T$282,"CONSTRUCTION &gt; Managing Construction")+COUNTIFS('Prácticas_Snowballing'!$AB$2:$AB$281,"T083",'Prácticas_Snowballing'!$AC$2:$AC$281,"CONSTRUCTION &gt; Managing Construction")</f>
        <v>0</v>
      </c>
      <c r="AC97" s="17">
        <f>COUNTIFS('Prácticas_Revisiones'!$S$2:$S$282,"T083",'Prácticas_Revisiones'!$T$2:$T$282,"CONSTRUCTION &gt; Practical Considerations")+COUNTIFS('Prácticas_Snowballing'!$AB$2:$AB$281,"T083",'Prácticas_Snowballing'!$AC$2:$AC$281,"CONSTRUCTION &gt; Practical Considerations")</f>
        <v>0</v>
      </c>
      <c r="AD97" s="17">
        <f>COUNTIFS('Prácticas_Revisiones'!$S$2:$S$282,"T083",'Prácticas_Revisiones'!$T$2:$T$282,"CONSTRUCTION &gt; Construction Technologies")+COUNTIFS('Prácticas_Snowballing'!$AB$2:$AB$281,"T083",'Prácticas_Snowballing'!$AC$2:$AC$281,"CONSTRUCTION &gt; Construction Technologies")</f>
        <v>0</v>
      </c>
      <c r="AE97" s="17">
        <f>COUNTIFS('Prácticas_Revisiones'!$S$2:$S$282,"T083",'Prácticas_Revisiones'!$T$2:$T$282,"CONSTRUCTION &gt; Software Construction Tools")+COUNTIFS('Prácticas_Snowballing'!$AB$2:$AB$281,"T083",'Prácticas_Snowballing'!$AC$2:$AC$281,"CONSTRUCTION &gt; Software Construction Tools")</f>
        <v>0</v>
      </c>
      <c r="AF97" s="17">
        <f>COUNTIFS('Prácticas_Revisiones'!$S$2:$S$282,"T083",'Prácticas_Revisiones'!$T$2:$T$282,"CONSTRUCTION &gt; Subárea no determinable")+COUNTIFS('Prácticas_Snowballing'!$AB$2:$AB$281,"T083",'Prácticas_Snowballing'!$AC$2:$AC$281,"CONSTRUCTION &gt; Subárea no determinable")</f>
        <v>0</v>
      </c>
      <c r="AG97" s="29">
        <f t="shared" si="72"/>
        <v>0</v>
      </c>
      <c r="AH97" s="17">
        <f>COUNTIFS('Prácticas_Revisiones'!$S$2:$S$282,"T083",'Prácticas_Revisiones'!$T$2:$T$282,"SOFTWARE TESTING &gt; Software Testing Fundamentals")+COUNTIFS('Prácticas_Snowballing'!$AB$2:$AB$281,"T083",'Prácticas_Snowballing'!$AC$2:$AC$281,"SOFTWARE TESTING &gt; Software Testing Fundamentals")</f>
        <v>0</v>
      </c>
      <c r="AI97" s="17">
        <f>COUNTIFS('Prácticas_Revisiones'!$S$2:$S$282,"T083",'Prácticas_Revisiones'!$T$2:$T$282,"SOFTWARE TESTING &gt; Test Levels")+COUNTIFS('Prácticas_Snowballing'!$AB$2:$AB$281,"T083",'Prácticas_Snowballing'!$AC$2:$AC$281,"SOFTWARE TESTING &gt; Test Levels")</f>
        <v>0</v>
      </c>
      <c r="AJ97" s="17">
        <f>COUNTIFS('Prácticas_Revisiones'!$S$2:$S$282,"T083",'Prácticas_Revisiones'!$T$2:$T$282,"SOFTWARE TESTING &gt; Test Techniques")+COUNTIFS('Prácticas_Snowballing'!$AB$2:$AB$281,"T083",'Prácticas_Snowballing'!$AC$2:$AC$281,"SOFTWARE TESTING &gt; Test Techniques")</f>
        <v>0</v>
      </c>
      <c r="AK97" s="17">
        <f>COUNTIFS('Prácticas_Revisiones'!$S$2:$S$282,"T083",'Prácticas_Revisiones'!$T$2:$T$282,"SOFTWARE TESTING &gt; Test-Related Measures")+COUNTIFS('Prácticas_Snowballing'!$AB$2:$AB$281,"T083",'Prácticas_Snowballing'!$AC$2:$AC$281,"SOFTWARE TESTING &gt; Test-Related Measures")</f>
        <v>0</v>
      </c>
      <c r="AL97" s="17">
        <f>COUNTIFS('Prácticas_Revisiones'!$S$2:$S$282,"T083",'Prácticas_Revisiones'!$T$2:$T$282,"SOFTWARE TESTING &gt; Test Process")+COUNTIFS('Prácticas_Snowballing'!$AB$2:$AB$281,"T083",'Prácticas_Snowballing'!$AC$2:$AC$281,"SOFTWARE TESTING &gt; Test Process")</f>
        <v>0</v>
      </c>
      <c r="AM97" s="17">
        <f>COUNTIFS('Prácticas_Revisiones'!$S$2:$S$282,"T083",'Prácticas_Revisiones'!$T$2:$T$282,"SOFTWARE TESTING &gt; Software Testing in the Development Processes...")+COUNTIFS('Prácticas_Snowballing'!$AB$2:$AB$281,"T083",'Prácticas_Snowballing'!$AC$2:$AC$281,"SOFTWARE TESTING &gt; Software Testing in the Development Processes...")</f>
        <v>0</v>
      </c>
      <c r="AN97" s="17">
        <f>COUNTIFS('Prácticas_Revisiones'!$S$2:$S$282,"T083",'Prácticas_Revisiones'!$T$2:$T$282,"SOFTWARE TESTING &gt; Testing of and Testing Through Emerging Tech...")+COUNTIFS('Prácticas_Snowballing'!$AB$2:$AB$281,"T083",'Prácticas_Snowballing'!$AC$2:$AC$281,"SOFTWARE TESTING &gt; Testing of and Testing Through Emerging Tech...")</f>
        <v>0</v>
      </c>
      <c r="AO97" s="17">
        <f>COUNTIFS('Prácticas_Revisiones'!$S$2:$S$282,"T083",'Prácticas_Revisiones'!$T$2:$T$282,"SOFTWARE TESTING &gt; Software Testing Tools")+COUNTIFS('Prácticas_Snowballing'!$AB$2:$AB$281,"T083",'Prácticas_Snowballing'!$AC$2:$AC$281,"SOFTWARE TESTING &gt; Software Testing Tools")</f>
        <v>0</v>
      </c>
      <c r="AP97" s="17">
        <f>COUNTIFS('Prácticas_Revisiones'!$S$2:$S$282,"T083",'Prácticas_Revisiones'!$T$2:$T$282,"SOFTWARE TESTING &gt; Subárea no determinable")+COUNTIFS('Prácticas_Snowballing'!$AB$2:$AB$281,"T083",'Prácticas_Snowballing'!$AC$2:$AC$281,"SOFTWARE TESTING &gt; Subárea no determinable")</f>
        <v>0</v>
      </c>
      <c r="AQ97" s="29">
        <f t="shared" si="73"/>
        <v>0</v>
      </c>
      <c r="AR97" s="17">
        <f>COUNTIFS('Prácticas_Revisiones'!$S$2:$S$282,"T083",'Prácticas_Revisiones'!$T$2:$T$282,"SOFTWARE ENG. OPERATIONS &gt; Software Engineering Operations Fundamentals")+COUNTIFS('Prácticas_Snowballing'!$AB$2:$AB$281,"T083",'Prácticas_Snowballing'!$AC$2:$AC$281,"SOFTWARE ENG. OPERATIONS &gt; Software Engineering Operations Fundamentals")</f>
        <v>0</v>
      </c>
      <c r="AS97" s="17">
        <f>COUNTIFS('Prácticas_Revisiones'!$S$2:$S$282,"T083",'Prácticas_Revisiones'!$T$2:$T$282,"SOFTWARE ENG. OPERATIONS &gt; Software Engineering Operations Planning")+COUNTIFS('Prácticas_Snowballing'!$AB$2:$AB$281,"T083",'Prácticas_Snowballing'!$AC$2:$AC$281,"SOFTWARE ENG. OPERATIONS &gt; Software Engineering Operations Planning")</f>
        <v>0</v>
      </c>
      <c r="AT97" s="17">
        <f>COUNTIFS('Prácticas_Revisiones'!$S$2:$S$282,"T083",'Prácticas_Revisiones'!$T$2:$T$282,"SOFTWARE ENG. OPERATIONS &gt; Software Engineering Operations Delivery")+COUNTIFS('Prácticas_Snowballing'!$AB$2:$AB$281,"T083",'Prácticas_Snowballing'!$AC$2:$AC$281,"SOFTWARE ENG. OPERATIONS &gt; Software Engineering Operations Delivery")</f>
        <v>0</v>
      </c>
      <c r="AU97" s="17">
        <f>COUNTIFS('Prácticas_Revisiones'!$S$2:$S$282,"T083",'Prácticas_Revisiones'!$T$2:$T$282,"SOFTWARE ENG. OPERATIONS &gt; Software Engineering Operations Control")+COUNTIFS('Prácticas_Snowballing'!$AB$2:$AB$281,"T083",'Prácticas_Snowballing'!$AC$2:$AC$281,"SOFTWARE ENG. OPERATIONS &gt; Software Engineering Operations Control")</f>
        <v>0</v>
      </c>
      <c r="AV97" s="17">
        <f>COUNTIFS('Prácticas_Revisiones'!$S$2:$S$282,"T083",'Prácticas_Revisiones'!$T$2:$T$282,"SOFTWARE ENG. OPERATIONS &gt; Practical Considerations")+COUNTIFS('Prácticas_Snowballing'!$AB$2:$AB$281,"T083",'Prácticas_Snowballing'!$AC$2:$AC$281,"SOFTWARE ENG. OPERATIONS &gt; Practical Considerations")</f>
        <v>0</v>
      </c>
      <c r="AW97" s="17">
        <f>COUNTIFS('Prácticas_Revisiones'!$S$2:$S$282,"T083",'Prácticas_Revisiones'!$T$2:$T$282,"SOFTWARE ENG. OPERATIONS &gt; Software Engineering Operations Tools")+COUNTIFS('Prácticas_Snowballing'!$AB$2:$AB$281,"T083",'Prácticas_Snowballing'!$AC$2:$AC$281,"SOFTWARE ENG. OPERATIONS &gt; Software Engineering Operations Tools")</f>
        <v>0</v>
      </c>
      <c r="AX97" s="17">
        <f>COUNTIFS('Prácticas_Revisiones'!$S$2:$S$282,"T083",'Prácticas_Revisiones'!$T$2:$T$282,"SOFTWARE ENG. OPERATIONS &gt; Subárea no determinable")+COUNTIFS('Prácticas_Snowballing'!$AB$2:$AB$281,"T083",'Prácticas_Snowballing'!$AC$2:$AC$281,"SOFTWARE ENG. OPERATIONS &gt; Subárea no determinable")</f>
        <v>0</v>
      </c>
      <c r="AY97" s="29">
        <f t="shared" si="74"/>
        <v>0</v>
      </c>
      <c r="AZ97" s="17">
        <f>COUNTIFS('Prácticas_Revisiones'!$S$2:$S$282,"T083",'Prácticas_Revisiones'!$T$2:$T$282,"MAINTENANCE &gt; Software Maintenance Fundamentals")+COUNTIFS('Prácticas_Snowballing'!$AB$2:$AB$281,"T083",'Prácticas_Snowballing'!$AC$2:$AC$281,"MAINTENANCE &gt; Software Maintenance Fundamentals")</f>
        <v>0</v>
      </c>
      <c r="BA97" s="17">
        <f>COUNTIFS('Prácticas_Revisiones'!$S$2:$S$282,"T083",'Prácticas_Revisiones'!$T$2:$T$282,"MAINTENANCE &gt; Key Issues in Software Maintenance")+COUNTIFS('Prácticas_Snowballing'!$AB$2:$AB$281,"T083",'Prácticas_Snowballing'!$AC$2:$AC$281,"MAINTENANCE &gt; Key Issues in Software Maintenance")</f>
        <v>0</v>
      </c>
      <c r="BB97" s="17">
        <f>COUNTIFS('Prácticas_Revisiones'!$S$2:$S$282,"T083",'Prácticas_Revisiones'!$T$2:$T$282,"MAINTENANCE &gt; Software Maintenance Processes")+COUNTIFS('Prácticas_Snowballing'!$AB$2:$AB$281,"T083",'Prácticas_Snowballing'!$AC$2:$AC$281,"MAINTENANCE &gt; Software Maintenance Processes")</f>
        <v>0</v>
      </c>
      <c r="BC97" s="17">
        <f>COUNTIFS('Prácticas_Revisiones'!$S$2:$S$282,"T083",'Prácticas_Revisiones'!$T$2:$T$282,"MAINTENANCE &gt; Software Maintenance Techniques")+COUNTIFS('Prácticas_Snowballing'!$AB$2:$AB$281,"T083",'Prácticas_Snowballing'!$AC$2:$AC$281,"MAINTENANCE &gt; Software Maintenance Techniques")</f>
        <v>0</v>
      </c>
      <c r="BD97" s="17">
        <f>COUNTIFS('Prácticas_Revisiones'!$S$2:$S$282,"T083",'Prácticas_Revisiones'!$T$2:$T$282,"MAINTENANCE &gt; Software Maintenance Tools")+COUNTIFS('Prácticas_Snowballing'!$AB$2:$AB$281,"T083",'Prácticas_Snowballing'!$AC$2:$AC$281,"MAINTENANCE &gt; Software Maintenance Tools")</f>
        <v>0</v>
      </c>
      <c r="BE97" s="17">
        <f>COUNTIFS('Prácticas_Revisiones'!$S$2:$S$282,"T083",'Prácticas_Revisiones'!$T$2:$T$282,"MAINTENANCE &gt; Subárea no determinable")+COUNTIFS('Prácticas_Snowballing'!$AB$2:$AB$281,"T083",'Prácticas_Snowballing'!$AC$2:$AC$281,"MAINTENANCE &gt; Subárea no determinable")</f>
        <v>0</v>
      </c>
      <c r="BF97" s="29">
        <f t="shared" si="75"/>
        <v>0</v>
      </c>
      <c r="BG97" s="17">
        <f>COUNTIFS('Prácticas_Revisiones'!$S$2:$S$282,"T083",'Prácticas_Revisiones'!$T$2:$T$282,"SOFTWARE CONFIG. MGMT. &gt; Management of the SCM Process")+COUNTIFS('Prácticas_Snowballing'!$AB$2:$AB$281,"T083",'Prácticas_Snowballing'!$AC$2:$AC$281,"SOFTWARE CONFIG. MGMT. &gt; Management of the SCM Process")</f>
        <v>0</v>
      </c>
      <c r="BH97" s="17">
        <f>COUNTIFS('Prácticas_Revisiones'!$S$2:$S$282,"T083",'Prácticas_Revisiones'!$T$2:$T$282,"SOFTWARE CONFIG. MGMT. &gt; Software Configuration Identification")+COUNTIFS('Prácticas_Snowballing'!$AB$2:$AB$281,"T083",'Prácticas_Snowballing'!$AC$2:$AC$281,"SOFTWARE CONFIG. MGMT. &gt; Software Configuration Identification")</f>
        <v>0</v>
      </c>
      <c r="BI97" s="17">
        <f>COUNTIFS('Prácticas_Revisiones'!$S$2:$S$282,"T083",'Prácticas_Revisiones'!$T$2:$T$282,"SOFTWARE CONFIG. MGMT. &gt; Software Configuration Change Control")+COUNTIFS('Prácticas_Snowballing'!$AB$2:$AB$281,"T083",'Prácticas_Snowballing'!$AC$2:$AC$281,"SOFTWARE CONFIG. MGMT. &gt; Software Configuration Change Control")</f>
        <v>0</v>
      </c>
      <c r="BJ97" s="17">
        <f>COUNTIFS('Prácticas_Revisiones'!$S$2:$S$282,"T083",'Prácticas_Revisiones'!$T$2:$T$282,"SOFTWARE CONFIG. MGMT. &gt; Software Configuration Status Accounting")+COUNTIFS('Prácticas_Snowballing'!$AB$2:$AB$281,"T083",'Prácticas_Snowballing'!$AC$2:$AC$281,"SOFTWARE CONFIG. MGMT. &gt; Software Configuration Status Accounting")</f>
        <v>0</v>
      </c>
      <c r="BK97" s="17">
        <f>COUNTIFS('Prácticas_Revisiones'!$S$2:$S$282,"T083",'Prácticas_Revisiones'!$T$2:$T$282,"SOFTWARE CONFIG. MGMT. &gt; Software Configuration Auditing")+COUNTIFS('Prácticas_Snowballing'!$AB$2:$AB$281,"T083",'Prácticas_Snowballing'!$AC$2:$AC$281,"SOFTWARE CONFIG. MGMT. &gt; Software Configuration Auditing")</f>
        <v>0</v>
      </c>
      <c r="BL97" s="17">
        <f>COUNTIFS('Prácticas_Revisiones'!$S$2:$S$282,"T083",'Prácticas_Revisiones'!$T$2:$T$282,"SOFTWARE CONFIG. MGMT. &gt; Software Release Management and Delivery")+COUNTIFS('Prácticas_Snowballing'!$AB$2:$AB$281,"T083",'Prácticas_Snowballing'!$AC$2:$AC$281,"SOFTWARE CONFIG. MGMT. &gt; Software Release Management and Delivery")</f>
        <v>0</v>
      </c>
      <c r="BM97" s="17">
        <f>COUNTIFS('Prácticas_Revisiones'!$S$2:$S$282,"T083",'Prácticas_Revisiones'!$T$2:$T$282,"SOFTWARE CONFIG. MGMT. &gt; Software Configuration Management Tools")+COUNTIFS('Prácticas_Snowballing'!$AB$2:$AB$281,"T083",'Prácticas_Snowballing'!$AC$2:$AC$281,"SOFTWARE CONFIG. MGMT. &gt; Software Configuration Management Tools")</f>
        <v>0</v>
      </c>
      <c r="BN97" s="17">
        <f>COUNTIFS('Prácticas_Revisiones'!$S$2:$S$282,"T083",'Prácticas_Revisiones'!$T$2:$T$282,"SOFTWARE CONFIG. MGMT. &gt; Subárea no determinable")+COUNTIFS('Prácticas_Snowballing'!$AB$2:$AB$281,"T083",'Prácticas_Snowballing'!$AC$2:$AC$281,"SOFTWARE CONFIG. MGMT. &gt; Subárea no determinable")</f>
        <v>0</v>
      </c>
      <c r="BO97" s="29">
        <f t="shared" si="76"/>
        <v>0</v>
      </c>
      <c r="BP97" s="17">
        <f>COUNTIFS('Prácticas_Revisiones'!$S$2:$S$282,"T083",'Prácticas_Revisiones'!$T$2:$T$282,"SOFTWARE ENG. PROCESS &gt; Software Engineering Process Fundamentals")+COUNTIFS('Prácticas_Snowballing'!$AB$2:$AB$281,"T083",'Prácticas_Snowballing'!$AC$2:$AC$281,"SOFTWARE ENG. PROCESS &gt; Software Engineering Process Fundamentals")</f>
        <v>0</v>
      </c>
      <c r="BQ97" s="17">
        <f>COUNTIFS('Prácticas_Revisiones'!$S$2:$S$282,"T083",'Prácticas_Revisiones'!$T$2:$T$282,"SOFTWARE ENG. PROCESS &gt; Life Cycles")+COUNTIFS('Prácticas_Snowballing'!$AB$2:$AB$281,"T083",'Prácticas_Snowballing'!$AC$2:$AC$281,"SOFTWARE ENG. PROCESS &gt; Life Cycles")</f>
        <v>0</v>
      </c>
      <c r="BR97" s="17">
        <f>COUNTIFS('Prácticas_Revisiones'!$S$2:$S$282,"T083",'Prácticas_Revisiones'!$T$2:$T$282,"SOFTWARE ENG. PROCESS &gt; Software Process Assessment and Improvement")+COUNTIFS('Prácticas_Snowballing'!$AB$2:$AB$281,"T083",'Prácticas_Snowballing'!$AC$2:$AC$281,"SOFTWARE ENG. PROCESS &gt; Software Process Assessment and Improvement")</f>
        <v>0</v>
      </c>
      <c r="BS97" s="17">
        <f>COUNTIFS('Prácticas_Revisiones'!$S$2:$S$282,"T083",'Prácticas_Revisiones'!$T$2:$T$282,"SOFTWARE ENG. PROCESS &gt; Subárea no determinable")+COUNTIFS('Prácticas_Snowballing'!$AB$2:$AB$281,"T083",'Prácticas_Snowballing'!$AC$2:$AC$281,"SOFTWARE ENG. PROCESS &gt; Subárea no determinable")</f>
        <v>0</v>
      </c>
      <c r="BT97" s="29">
        <f t="shared" si="77"/>
        <v>0</v>
      </c>
      <c r="BU97" s="17">
        <f>COUNTIFS('Prácticas_Revisiones'!$S$2:$S$282,"T083",'Prácticas_Revisiones'!$T$2:$T$282,"SOFTWARE ENG. MODELS/METH. &gt; Modeling")+COUNTIFS('Prácticas_Snowballing'!$AB$2:$AB$281,"T083",'Prácticas_Snowballing'!$AC$2:$AC$281,"SOFTWARE ENG. MODELS/METH. &gt; Modeling")</f>
        <v>0</v>
      </c>
      <c r="BV97" s="17">
        <f>COUNTIFS('Prácticas_Revisiones'!$S$2:$S$282,"T083",'Prácticas_Revisiones'!$T$2:$T$282,"SOFTWARE ENG. MODELS/METH. &gt; Types of Models")+COUNTIFS('Prácticas_Snowballing'!$AB$2:$AB$281,"T083",'Prácticas_Snowballing'!$AC$2:$AC$281,"SOFTWARE ENG. MODELS/METH. &gt; Types of Models")</f>
        <v>0</v>
      </c>
      <c r="BW97" s="17">
        <f>COUNTIFS('Prácticas_Revisiones'!$S$2:$S$282,"T083",'Prácticas_Revisiones'!$T$2:$T$282,"SOFTWARE ENG. MODELS/METH. &gt; Analysis of Models")+COUNTIFS('Prácticas_Snowballing'!$AB$2:$AB$281,"T083",'Prácticas_Snowballing'!$AC$2:$AC$281,"SOFTWARE ENG. MODELS/METH. &gt; Analysis of Models")</f>
        <v>0</v>
      </c>
      <c r="BX97" s="17">
        <f>COUNTIFS('Prácticas_Revisiones'!$S$2:$S$282,"T083",'Prácticas_Revisiones'!$T$2:$T$282,"SOFTWARE ENG. MODELS/METH. &gt; Software Engineering Methods")+COUNTIFS('Prácticas_Snowballing'!$AB$2:$AB$281,"T083",'Prácticas_Snowballing'!$AC$2:$AC$281,"SOFTWARE ENG. MODELS/METH. &gt; Software Engineering Methods")</f>
        <v>0</v>
      </c>
      <c r="BY97" s="17">
        <f>COUNTIFS('Prácticas_Revisiones'!$S$2:$S$282,"T083",'Prácticas_Revisiones'!$T$2:$T$282,"SOFTWARE ENG. MODELS/METH. &gt; Subárea no determinable")+COUNTIFS('Prácticas_Snowballing'!$AB$2:$AB$281,"T083",'Prácticas_Snowballing'!$AC$2:$AC$281,"SOFTWARE ENG. MODELS/METH. &gt; Subárea no determinable")</f>
        <v>0</v>
      </c>
      <c r="BZ97" s="29">
        <f t="shared" si="78"/>
        <v>0</v>
      </c>
      <c r="CA97" s="17">
        <f>COUNTIFS('Prácticas_Revisiones'!$S$2:$S$282,"T083",'Prácticas_Revisiones'!$T$2:$T$282,"SOFTWARE QUALITY &gt; Software Quality Fundamentals")+COUNTIFS('Prácticas_Snowballing'!$AB$2:$AB$281,"T083",'Prácticas_Snowballing'!$AC$2:$AC$281,"SOFTWARE QUALITY &gt; Software Quality Fundamentals")</f>
        <v>0</v>
      </c>
      <c r="CB97" s="17">
        <f>COUNTIFS('Prácticas_Revisiones'!$S$2:$S$282,"T083",'Prácticas_Revisiones'!$T$2:$T$282,"SOFTWARE QUALITY &gt; Software Quality Management Process")+COUNTIFS('Prácticas_Snowballing'!$AB$2:$AB$281,"T083",'Prácticas_Snowballing'!$AC$2:$AC$281,"SOFTWARE QUALITY &gt; Software Quality Management Process")</f>
        <v>0</v>
      </c>
      <c r="CC97" s="17">
        <f>COUNTIFS('Prácticas_Revisiones'!$S$2:$S$282,"T083",'Prácticas_Revisiones'!$T$2:$T$282,"SOFTWARE QUALITY &gt; Software Quality Assurance Process")+COUNTIFS('Prácticas_Snowballing'!$AB$2:$AB$281,"T083",'Prácticas_Snowballing'!$AC$2:$AC$281,"SOFTWARE QUALITY &gt; Software Quality Assurance Process")</f>
        <v>0</v>
      </c>
      <c r="CD97" s="17">
        <f>COUNTIFS('Prácticas_Revisiones'!$S$2:$S$282,"T083",'Prácticas_Revisiones'!$T$2:$T$282,"SOFTWARE QUALITY &gt; Software Quality Tools")+COUNTIFS('Prácticas_Snowballing'!$AB$2:$AB$281,"T083",'Prácticas_Snowballing'!$AC$2:$AC$281,"SOFTWARE QUALITY &gt; Software Quality Tools")</f>
        <v>0</v>
      </c>
      <c r="CE97" s="17">
        <f>COUNTIFS('Prácticas_Revisiones'!$S$2:$S$282,"T083",'Prácticas_Revisiones'!$T$2:$T$282,"SOFTWARE QUALITY &gt; Subárea no determinable")+COUNTIFS('Prácticas_Snowballing'!$AB$2:$AB$281,"T083",'Prácticas_Snowballing'!$AC$2:$AC$281,"SOFTWARE QUALITY &gt; Subárea no determinable")</f>
        <v>0</v>
      </c>
      <c r="CF97" s="29">
        <f t="shared" si="79"/>
        <v>0</v>
      </c>
      <c r="CG97" s="17">
        <f>COUNTIFS('Prácticas_Revisiones'!$S$2:$S$282,"T083",'Prácticas_Revisiones'!$T$2:$T$282,"SOFTWARE SECURITY &gt; Software Security Fundamentals")+COUNTIFS('Prácticas_Snowballing'!$AB$2:$AB$281,"T083",'Prácticas_Snowballing'!$AC$2:$AC$281,"SOFTWARE SECURITY &gt; Software Security Fundamentals")</f>
        <v>0</v>
      </c>
      <c r="CH97" s="17">
        <f>COUNTIFS('Prácticas_Revisiones'!$S$2:$S$282,"T083",'Prácticas_Revisiones'!$T$2:$T$282,"SOFTWARE SECURITY &gt; Security Management and Organization")+COUNTIFS('Prácticas_Snowballing'!$AB$2:$AB$281,"T083",'Prácticas_Snowballing'!$AC$2:$AC$281,"SOFTWARE SECURITY &gt; Security Management and Organization")</f>
        <v>0</v>
      </c>
      <c r="CI97" s="17">
        <f>COUNTIFS('Prácticas_Revisiones'!$S$2:$S$282,"T083",'Prácticas_Revisiones'!$T$2:$T$282,"SOFTWARE SECURITY &gt; Software Security Engineering and Process")+COUNTIFS('Prácticas_Snowballing'!$AB$2:$AB$281,"T083",'Prácticas_Snowballing'!$AC$2:$AC$281,"SOFTWARE SECURITY &gt; Software Security Engineering and Process")</f>
        <v>0</v>
      </c>
      <c r="CJ97" s="17">
        <f>COUNTIFS('Prácticas_Revisiones'!$S$2:$S$282,"T083",'Prácticas_Revisiones'!$T$2:$T$282,"SOFTWARE SECURITY &gt; Security Engineering for Software Systems")+COUNTIFS('Prácticas_Snowballing'!$AB$2:$AB$281,"T083",'Prácticas_Snowballing'!$AC$2:$AC$281,"SOFTWARE SECURITY &gt; Security Engineering for Software Systems")</f>
        <v>0</v>
      </c>
      <c r="CK97" s="17">
        <f>COUNTIFS('Prácticas_Revisiones'!$S$2:$S$282,"T083",'Prácticas_Revisiones'!$T$2:$T$282,"SOFTWARE SECURITY &gt; Software Security Tools")+COUNTIFS('Prácticas_Snowballing'!$AB$2:$AB$281,"T083",'Prácticas_Snowballing'!$AC$2:$AC$281,"SOFTWARE SECURITY &gt; Software Security Tools")</f>
        <v>0</v>
      </c>
      <c r="CL97" s="17">
        <f>COUNTIFS('Prácticas_Revisiones'!$S$2:$S$282,"T083",'Prácticas_Revisiones'!$T$2:$T$282,"SOFTWARE SECURITY &gt; Domain Specific Software Security")+COUNTIFS('Prácticas_Snowballing'!$AB$2:$AB$281,"T083",'Prácticas_Snowballing'!$AC$2:$AC$281,"SOFTWARE SECURITY &gt; Domain Specific Software Security")</f>
        <v>0</v>
      </c>
      <c r="CM97" s="17">
        <f>COUNTIFS('Prácticas_Revisiones'!$S$2:$S$282,"T083",'Prácticas_Revisiones'!$T$2:$T$282,"SOFTWARE SECURITY &gt; Subárea no determinable")+COUNTIFS('Prácticas_Snowballing'!$AB$2:$AB$281,"T083",'Prácticas_Snowballing'!$AC$2:$AC$281,"SOFTWARE SECURITY &gt; Subárea no determinable")</f>
        <v>0</v>
      </c>
      <c r="CN97" s="29">
        <f t="shared" si="80"/>
        <v>0</v>
      </c>
      <c r="CO97" s="17">
        <f>COUNTIFS('Prácticas_Revisiones'!$S$2:$S$282,"T083",'Prácticas_Revisiones'!$T$2:$T$282,"PROFESSIONAL PRACTICE &gt; Professionalism")+COUNTIFS('Prácticas_Snowballing'!$AB$2:$AB$281,"T083",'Prácticas_Snowballing'!$AC$2:$AC$281,"PROFESSIONAL PRACTICE &gt; Professionalism")</f>
        <v>0</v>
      </c>
      <c r="CP97" s="17">
        <f>COUNTIFS('Prácticas_Revisiones'!$S$2:$S$282,"T083",'Prácticas_Revisiones'!$T$2:$T$282,"PROFESSIONAL PRACTICE &gt; Group Dynamics and Psychology")+COUNTIFS('Prácticas_Snowballing'!$AB$2:$AB$281,"T083",'Prácticas_Snowballing'!$AC$2:$AC$281,"PROFESSIONAL PRACTICE &gt; Group Dynamics and Psychology")</f>
        <v>0</v>
      </c>
      <c r="CQ97" s="17">
        <f>COUNTIFS('Prácticas_Revisiones'!$S$2:$S$282,"T083",'Prácticas_Revisiones'!$T$2:$T$282,"PROFESSIONAL PRACTICE &gt; Communication Skills")+COUNTIFS('Prácticas_Snowballing'!$AB$2:$AB$281,"T083",'Prácticas_Snowballing'!$AC$2:$AC$281,"PROFESSIONAL PRACTICE &gt; Communication Skills")</f>
        <v>0</v>
      </c>
      <c r="CR97" s="17">
        <f>COUNTIFS('Prácticas_Revisiones'!$S$2:$S$282,"T083",'Prácticas_Revisiones'!$T$2:$T$282,"PROFESSIONAL PRACTICE &gt; Subárea no determinable")+COUNTIFS('Prácticas_Snowballing'!$AB$2:$AB$281,"T083",'Prácticas_Snowballing'!$AC$2:$AC$281,"PROFESSIONAL PRACTICE &gt; Subárea no determinable")</f>
        <v>0</v>
      </c>
      <c r="CS97" s="29">
        <f t="shared" si="81"/>
        <v>0</v>
      </c>
      <c r="CT97" s="17">
        <f>COUNTIFS('Prácticas_Revisiones'!$S$2:$S$282,"T083",'Prácticas_Revisiones'!$T$2:$T$282,"SOFTWARE ENG. ECONOMICS &gt; Software Engineering Economics Fundamentals")+COUNTIFS('Prácticas_Snowballing'!$AB$2:$AB$281,"T083",'Prácticas_Snowballing'!$AC$2:$AC$281,"SOFTWARE ENG. ECONOMICS &gt; Software Engineering Economics Fundamentals")</f>
        <v>0</v>
      </c>
      <c r="CU97" s="17">
        <f>COUNTIFS('Prácticas_Revisiones'!$S$2:$S$282,"T083",'Prácticas_Revisiones'!$T$2:$T$282,"SOFTWARE ENG. ECONOMICS &gt; The Engineering Decision-Making Process")+COUNTIFS('Prácticas_Snowballing'!$AB$2:$AB$281,"T083",'Prácticas_Snowballing'!$AC$2:$AC$281,"SOFTWARE ENG. ECONOMICS &gt; The Engineering Decision-Making Process")</f>
        <v>0</v>
      </c>
      <c r="CV97" s="17">
        <f>COUNTIFS('Prácticas_Revisiones'!$S$2:$S$282,"T083",'Prácticas_Revisiones'!$T$2:$T$282,"SOFTWARE ENG. ECONOMICS &gt; For-Profit Decision-Making")+COUNTIFS('Prácticas_Snowballing'!$AB$2:$AB$281,"T083",'Prácticas_Snowballing'!$AC$2:$AC$281,"SOFTWARE ENG. ECONOMICS &gt; For-Profit Decision-Making")</f>
        <v>0</v>
      </c>
      <c r="CW97" s="17">
        <f>COUNTIFS('Prácticas_Revisiones'!$S$2:$S$282,"T083",'Prácticas_Revisiones'!$T$2:$T$282,"SOFTWARE ENG. ECONOMICS &gt; Nonprofit Decision-Making")+COUNTIFS('Prácticas_Snowballing'!$AB$2:$AB$281,"T083",'Prácticas_Snowballing'!$AC$2:$AC$281,"SOFTWARE ENG. ECONOMICS &gt; Nonprofit Decision-Making")</f>
        <v>0</v>
      </c>
      <c r="CX97" s="17">
        <f>COUNTIFS('Prácticas_Revisiones'!$S$2:$S$282,"T083",'Prácticas_Revisiones'!$T$2:$T$282,"SOFTWARE ENG. ECONOMICS &gt; Present Economy Decision-Making")+COUNTIFS('Prácticas_Snowballing'!$AB$2:$AB$281,"T083",'Prácticas_Snowballing'!$AC$2:$AC$281,"SOFTWARE ENG. ECONOMICS &gt; Present Economy Decision-Making")</f>
        <v>0</v>
      </c>
      <c r="CY97" s="17">
        <f>COUNTIFS('Prácticas_Revisiones'!$S$2:$S$282,"T083",'Prácticas_Revisiones'!$T$2:$T$282,"SOFTWARE ENG. ECONOMICS &gt; Multiple-Attribute Decision-Making")+COUNTIFS('Prácticas_Snowballing'!$AB$2:$AB$281,"T083",'Prácticas_Snowballing'!$AC$2:$AC$281,"SOFTWARE ENG. ECONOMICS &gt; Multiple-Attribute Decision-Making")</f>
        <v>0</v>
      </c>
      <c r="CZ97" s="17">
        <f>COUNTIFS('Prácticas_Revisiones'!$S$2:$S$282,"T083",'Prácticas_Revisiones'!$T$2:$T$282,"SOFTWARE ENG. ECONOMICS &gt; Identifying and Characterizing Intangible Assets")+COUNTIFS('Prácticas_Snowballing'!$AB$2:$AB$281,"T083",'Prácticas_Snowballing'!$AC$2:$AC$281,"SOFTWARE ENG. ECONOMICS &gt; Identifying and Characterizing Intangible Assets")</f>
        <v>0</v>
      </c>
      <c r="DA97" s="17">
        <f>COUNTIFS('Prácticas_Revisiones'!$S$2:$S$282,"T083",'Prácticas_Revisiones'!$T$2:$T$282,"SOFTWARE ENG. ECONOMICS &gt; Estimation")+COUNTIFS('Prácticas_Snowballing'!$AB$2:$AB$281,"T083",'Prácticas_Snowballing'!$AC$2:$AC$281,"SOFTWARE ENG. ECONOMICS &gt; Estimation")</f>
        <v>0</v>
      </c>
      <c r="DB97" s="17">
        <f>COUNTIFS('Prácticas_Revisiones'!$S$2:$S$282,"T083",'Prácticas_Revisiones'!$T$2:$T$282,"SOFTWARE ENG. ECONOMICS &gt; Practical Considerations")+COUNTIFS('Prácticas_Snowballing'!$AB$2:$AB$281,"T083",'Prácticas_Snowballing'!$AC$2:$AC$281,"SOFTWARE ENG. ECONOMICS &gt; Practical Considerations")</f>
        <v>0</v>
      </c>
      <c r="DC97" s="17">
        <f>COUNTIFS('Prácticas_Revisiones'!$S$2:$S$282,"T083",'Prácticas_Revisiones'!$T$2:$T$282,"SOFTWARE ENG. ECONOMICS &gt; Related Concepts")+COUNTIFS('Prácticas_Snowballing'!$AB$2:$AB$281,"T083",'Prácticas_Snowballing'!$AC$2:$AC$281,"SOFTWARE ENG. ECONOMICS &gt; Related Concepts")</f>
        <v>0</v>
      </c>
      <c r="DD97" s="17">
        <f>COUNTIFS('Prácticas_Revisiones'!$S$2:$S$282,"T083",'Prácticas_Revisiones'!$T$2:$T$282,"SOFTWARE ENG. ECONOMICS &gt; Subárea no determinable")+COUNTIFS('Prácticas_Snowballing'!$AB$2:$AB$281,"T083",'Prácticas_Snowballing'!$AC$2:$AC$281,"SOFTWARE ENG. ECONOMICS &gt; Subárea no determinable")</f>
        <v>0</v>
      </c>
      <c r="DE97" s="29">
        <f t="shared" si="82"/>
        <v>0</v>
      </c>
      <c r="DF97" s="17">
        <f>COUNTIFS('Prácticas_Revisiones'!$S$2:$S$282,"T083",'Prácticas_Revisiones'!$T$2:$T$282,"SOFTWARE ENG. MANAGEMENT &gt; Software Engineering Management Fundamentals")+COUNTIFS('Prácticas_Snowballing'!$AB$2:$AB$281,"T083",'Prácticas_Snowballing'!$AC$2:$AC$281,"SOFTWARE ENG. MANAGEMENT &gt; Software Engineering Management Fundamentals")</f>
        <v>0</v>
      </c>
      <c r="DG97" s="17">
        <f>COUNTIFS('Prácticas_Revisiones'!$S$2:$S$282,"T083",'Prácticas_Revisiones'!$T$2:$T$282,"SOFTWARE ENG. MANAGEMENT &gt; Initiation and Scope Definition")+COUNTIFS('Prácticas_Snowballing'!$AB$2:$AB$281,"T083",'Prácticas_Snowballing'!$AC$2:$AC$281,"SOFTWARE ENG. MANAGEMENT &gt; Initiation and Scope Definition")</f>
        <v>0</v>
      </c>
      <c r="DH97" s="17">
        <f>COUNTIFS('Prácticas_Revisiones'!$S$2:$S$282,"T083",'Prácticas_Revisiones'!$T$2:$T$282,"SOFTWARE ENG. MANAGEMENT &gt; Software Project Planning")+COUNTIFS('Prácticas_Snowballing'!$AB$2:$AB$281,"T083",'Prácticas_Snowballing'!$AC$2:$AC$281,"SOFTWARE ENG. MANAGEMENT &gt; Software Project Planning")</f>
        <v>0</v>
      </c>
      <c r="DI97" s="17">
        <f>COUNTIFS('Prácticas_Revisiones'!$S$2:$S$282,"T083",'Prácticas_Revisiones'!$T$2:$T$282,"SOFTWARE ENG. MANAGEMENT &gt; Software Project Enactment")+COUNTIFS('Prácticas_Snowballing'!$AB$2:$AB$281,"T083",'Prácticas_Snowballing'!$AC$2:$AC$281,"SOFTWARE ENG. MANAGEMENT &gt; Software Project Enactment")</f>
        <v>0</v>
      </c>
      <c r="DJ97" s="17">
        <f>COUNTIFS('Prácticas_Revisiones'!$S$2:$S$282,"T083",'Prácticas_Revisiones'!$T$2:$T$282,"SOFTWARE ENG. MANAGEMENT &gt; Review and Evaluation")+COUNTIFS('Prácticas_Snowballing'!$AB$2:$AB$281,"T083",'Prácticas_Snowballing'!$AC$2:$AC$281,"SOFTWARE ENG. MANAGEMENT &gt; Review and Evaluation")</f>
        <v>0</v>
      </c>
      <c r="DK97" s="17">
        <f>COUNTIFS('Prácticas_Revisiones'!$S$2:$S$282,"T083",'Prácticas_Revisiones'!$T$2:$T$282,"SOFTWARE ENG. MANAGEMENT &gt; Closure")+COUNTIFS('Prácticas_Snowballing'!$AB$2:$AB$281,"T083",'Prácticas_Snowballing'!$AC$2:$AC$281,"SOFTWARE ENG. MANAGEMENT &gt; Closure")</f>
        <v>0</v>
      </c>
      <c r="DL97" s="17">
        <f>COUNTIFS('Prácticas_Revisiones'!$S$2:$S$282,"T083",'Prácticas_Revisiones'!$T$2:$T$282,"SOFTWARE ENG. MANAGEMENT &gt; Software Engineering Management Tools")+COUNTIFS('Prácticas_Snowballing'!$AB$2:$AB$281,"T083",'Prácticas_Snowballing'!$AC$2:$AC$281,"SOFTWARE ENG. MANAGEMENT &gt; Software Engineering Management Tools")</f>
        <v>0</v>
      </c>
      <c r="DM97" s="17">
        <f>COUNTIFS('Prácticas_Revisiones'!$S$2:$S$282,"T083",'Prácticas_Revisiones'!$T$2:$T$282,"SOFTWARE ENG. MANAGEMENT &gt; Subárea no determinable")+COUNTIFS('Prácticas_Snowballing'!$AB$2:$AB$281,"T083",'Prácticas_Snowballing'!$AC$2:$AC$281,"SOFTWARE ENG. MANAGEMENT &gt; Subárea no determinable")</f>
        <v>0</v>
      </c>
      <c r="DN97" s="29">
        <f t="shared" si="83"/>
        <v>0</v>
      </c>
      <c r="DO97" s="17">
        <f>COUNTIFS('Prácticas_Revisiones'!$S$2:$S$282,"T083",'Prácticas_Revisiones'!$T$2:$T$282,"Sin área SWEBOK")+COUNTIFS('Prácticas_Snowballing'!$AB$2:$AB$281,"T083",'Prácticas_Snowballing'!$AC$2:$AC$281,"Sin área SWEBOK")</f>
        <v>0</v>
      </c>
      <c r="DP97" s="27">
        <f t="shared" si="84"/>
        <v>0</v>
      </c>
    </row>
    <row r="98" ht="15.75" customHeight="1">
      <c r="A98" s="28"/>
      <c r="B98" s="16" t="s">
        <v>2815</v>
      </c>
      <c r="C98" s="17">
        <f>COUNTIFS('Prácticas_Revisiones'!$S$2:$S$282,"T084",'Prácticas_Revisiones'!$T$2:$T$282,"REQUIREMENTS &gt; Software Requirements Fundamentals")+COUNTIFS('Prácticas_Snowballing'!$AB$2:$AB$281,"T084",'Prácticas_Snowballing'!$AC$2:$AC$281,"REQUIREMENTS &gt; Software Requirements Fundamentals")</f>
        <v>0</v>
      </c>
      <c r="D98" s="17">
        <f>COUNTIFS('Prácticas_Revisiones'!$S$2:$S$282,"T084",'Prácticas_Revisiones'!$T$2:$T$282,"REQUIREMENTS &gt; Requirements Elicitation")+COUNTIFS('Prácticas_Snowballing'!$AB$2:$AB$281,"T084",'Prácticas_Snowballing'!$AC$2:$AC$281,"REQUIREMENTS &gt; Requirements Elicitation")</f>
        <v>0</v>
      </c>
      <c r="E98" s="17">
        <f>COUNTIFS('Prácticas_Revisiones'!$S$2:$S$282,"T084",'Prácticas_Revisiones'!$T$2:$T$282,"REQUIREMENTS &gt; Requirements Analysis")+COUNTIFS('Prácticas_Snowballing'!$AB$2:$AB$281,"T084",'Prácticas_Snowballing'!$AC$2:$AC$281,"REQUIREMENTS &gt; Requirements Analysis")</f>
        <v>0</v>
      </c>
      <c r="F98" s="17">
        <f>COUNTIFS('Prácticas_Revisiones'!$S$2:$S$282,"T084",'Prácticas_Revisiones'!$T$2:$T$282,"REQUIREMENTS &gt; Requirements Specification")+COUNTIFS('Prácticas_Snowballing'!$AB$2:$AB$281,"T084",'Prácticas_Snowballing'!$AC$2:$AC$281,"REQUIREMENTS &gt; Requirements Specification")</f>
        <v>0</v>
      </c>
      <c r="G98" s="17">
        <f>COUNTIFS('Prácticas_Revisiones'!$S$2:$S$282,"T084",'Prácticas_Revisiones'!$T$2:$T$282,"REQUIREMENTS &gt; Requirements Validation")+COUNTIFS('Prácticas_Snowballing'!$AB$2:$AB$281,"T084",'Prácticas_Snowballing'!$AC$2:$AC$281,"REQUIREMENTS &gt; Requirements Validation")</f>
        <v>0</v>
      </c>
      <c r="H98" s="17">
        <f>COUNTIFS('Prácticas_Revisiones'!$S$2:$S$282,"T084",'Prácticas_Revisiones'!$T$2:$T$282,"REQUIREMENTS &gt; Requirements Management Activities")+COUNTIFS('Prácticas_Snowballing'!$AB$2:$AB$281,"T084",'Prácticas_Snowballing'!$AC$2:$AC$281,"REQUIREMENTS &gt; Requirements Management Activities")</f>
        <v>0</v>
      </c>
      <c r="I98" s="17">
        <f>COUNTIFS('Prácticas_Revisiones'!$S$2:$S$282,"T084",'Prácticas_Revisiones'!$T$2:$T$282,"REQUIREMENTS &gt; Practical Considerations")+COUNTIFS('Prácticas_Snowballing'!$AB$2:$AB$281,"T084",'Prácticas_Snowballing'!$AC$2:$AC$281,"REQUIREMENTS &gt; Practical Considerations")</f>
        <v>0</v>
      </c>
      <c r="J98" s="17">
        <f>COUNTIFS('Prácticas_Revisiones'!$S$2:$S$282,"T084",'Prácticas_Revisiones'!$T$2:$T$282,"REQUIREMENTS &gt; Software Requirements Tools")+COUNTIFS('Prácticas_Snowballing'!$AB$2:$AB$281,"T084",'Prácticas_Snowballing'!$AC$2:$AC$281,"REQUIREMENTS &gt; Software Requirements Tools")</f>
        <v>0</v>
      </c>
      <c r="K98" s="17">
        <f>COUNTIFS('Prácticas_Revisiones'!$S$2:$S$282,"T084",'Prácticas_Revisiones'!$T$2:$T$282,"REQUIREMENTS &gt; Subárea no determinable")+COUNTIFS('Prácticas_Snowballing'!$AB$2:$AB$281,"T084",'Prácticas_Snowballing'!$AC$2:$AC$281,"REQUIREMENTS &gt; Subárea no determinable")</f>
        <v>0</v>
      </c>
      <c r="L98" s="29">
        <f t="shared" si="69"/>
        <v>0</v>
      </c>
      <c r="M98" s="17">
        <f>COUNTIFS('Prácticas_Revisiones'!$S$2:$S$282,"T084",'Prácticas_Revisiones'!$T$2:$T$282,"ARCHITECTURE &gt; Software Architecture Fundamentals")+COUNTIFS('Prácticas_Snowballing'!$AB$2:$AB$281,"T084",'Prácticas_Snowballing'!$AC$2:$AC$281,"ARCHITECTURE &gt; Software Architecture Fundamentals")</f>
        <v>0</v>
      </c>
      <c r="N98" s="17">
        <f>COUNTIFS('Prácticas_Revisiones'!$S$2:$S$282,"T084",'Prácticas_Revisiones'!$T$2:$T$282,"ARCHITECTURE &gt; Software Architecture Description")+COUNTIFS('Prácticas_Snowballing'!$AB$2:$AB$281,"T084",'Prácticas_Snowballing'!$AC$2:$AC$281,"ARCHITECTURE &gt; Software Architecture Description")</f>
        <v>0</v>
      </c>
      <c r="O98" s="17">
        <f>COUNTIFS('Prácticas_Revisiones'!$S$2:$S$282,"T084",'Prácticas_Revisiones'!$T$2:$T$282,"ARCHITECTURE &gt; Software Architecture Process")+COUNTIFS('Prácticas_Snowballing'!$AB$2:$AB$281,"T084",'Prácticas_Snowballing'!$AC$2:$AC$281,"ARCHITECTURE &gt; Software Architecture Process")</f>
        <v>0</v>
      </c>
      <c r="P98" s="17">
        <f>COUNTIFS('Prácticas_Revisiones'!$S$2:$S$282,"T084",'Prácticas_Revisiones'!$T$2:$T$282,"ARCHITECTURE &gt; Software Architecture Evaluation")+COUNTIFS('Prácticas_Snowballing'!$AB$2:$AB$281,"T084",'Prácticas_Snowballing'!$AC$2:$AC$281,"ARCHITECTURE &gt; Software Architecture Evaluation")</f>
        <v>0</v>
      </c>
      <c r="Q98" s="17">
        <f>COUNTIFS('Prácticas_Revisiones'!$S$2:$S$282,"T084",'Prácticas_Revisiones'!$T$2:$T$282,"ARCHITECTURE &gt; Subárea no determinable")+COUNTIFS('Prácticas_Snowballing'!$AB$2:$AB$281,"T084",'Prácticas_Snowballing'!$AC$2:$AC$281,"ARCHITECTURE &gt; Subárea no determinable")</f>
        <v>0</v>
      </c>
      <c r="R98" s="29">
        <f t="shared" si="70"/>
        <v>0</v>
      </c>
      <c r="S98" s="17">
        <f>COUNTIFS('Prácticas_Revisiones'!$S$2:$S$282,"T084",'Prácticas_Revisiones'!$T$2:$T$282,"DESIGN &gt; Software Design Fundamentals")+COUNTIFS('Prácticas_Snowballing'!$AB$2:$AB$281,"T084",'Prácticas_Snowballing'!$AC$2:$AC$281,"DESIGN &gt; Software Design Fundamentals")</f>
        <v>0</v>
      </c>
      <c r="T98" s="17">
        <f>COUNTIFS('Prácticas_Revisiones'!$S$2:$S$282,"T084",'Prácticas_Revisiones'!$T$2:$T$282,"DESIGN &gt; Software Design Processes")+COUNTIFS('Prácticas_Snowballing'!$AB$2:$AB$281,"T084",'Prácticas_Snowballing'!$AC$2:$AC$281,"DESIGN &gt; Software Design Processes")</f>
        <v>0</v>
      </c>
      <c r="U98" s="17">
        <f>COUNTIFS('Prácticas_Revisiones'!$S$2:$S$282,"T084",'Prácticas_Revisiones'!$T$2:$T$282,"DESIGN &gt; Software Design Qualities")+COUNTIFS('Prácticas_Snowballing'!$AB$2:$AB$281,"T084",'Prácticas_Snowballing'!$AC$2:$AC$281,"DESIGN &gt; Software Design Qualities")</f>
        <v>0</v>
      </c>
      <c r="V98" s="17">
        <f>COUNTIFS('Prácticas_Revisiones'!$S$2:$S$282,"T084",'Prácticas_Revisiones'!$T$2:$T$282,"DESIGN &gt; Recording Software Design")+COUNTIFS('Prácticas_Snowballing'!$AB$2:$AB$281,"T084",'Prácticas_Snowballing'!$AC$2:$AC$281,"DESIGN &gt; Recording Software Design")</f>
        <v>0</v>
      </c>
      <c r="W98" s="17">
        <f>COUNTIFS('Prácticas_Revisiones'!$S$2:$S$282,"T084",'Prácticas_Revisiones'!$T$2:$T$282,"DESIGN &gt; Software Design Strategies and Methods")+COUNTIFS('Prácticas_Snowballing'!$AB$2:$AB$281,"T084",'Prácticas_Snowballing'!$AC$2:$AC$281,"DESIGN &gt; Software Design Strategies and Methods")</f>
        <v>0</v>
      </c>
      <c r="X98" s="17">
        <f>COUNTIFS('Prácticas_Revisiones'!$S$2:$S$282,"T084",'Prácticas_Revisiones'!$T$2:$T$282,"DESIGN &gt; Software Design Analysis and Evaluations")+COUNTIFS('Prácticas_Snowballing'!$AB$2:$AB$281,"T084",'Prácticas_Snowballing'!$AC$2:$AC$281,"DESIGN &gt; Software Design Analysis and Evaluations")</f>
        <v>0</v>
      </c>
      <c r="Y98" s="17">
        <f>COUNTIFS('Prácticas_Revisiones'!$S$2:$S$282,"T084",'Prácticas_Revisiones'!$T$2:$T$282,"DESIGN &gt; Subárea no determinable")+COUNTIFS('Prácticas_Snowballing'!$AB$2:$AB$281,"T084",'Prácticas_Snowballing'!$AC$2:$AC$281,"DESIGN &gt; Subárea no determinable")</f>
        <v>0</v>
      </c>
      <c r="Z98" s="29">
        <f t="shared" si="71"/>
        <v>0</v>
      </c>
      <c r="AA98" s="17">
        <f>COUNTIFS('Prácticas_Revisiones'!$S$2:$S$282,"T084",'Prácticas_Revisiones'!$T$2:$T$282,"CONSTRUCTION &gt; Software Construction Fundamentals")+COUNTIFS('Prácticas_Snowballing'!$AB$2:$AB$281,"T084",'Prácticas_Snowballing'!$AC$2:$AC$281,"CONSTRUCTION &gt; Software Construction Fundamentals")</f>
        <v>0</v>
      </c>
      <c r="AB98" s="17">
        <f>COUNTIFS('Prácticas_Revisiones'!$S$2:$S$282,"T084",'Prácticas_Revisiones'!$T$2:$T$282,"CONSTRUCTION &gt; Managing Construction")+COUNTIFS('Prácticas_Snowballing'!$AB$2:$AB$281,"T084",'Prácticas_Snowballing'!$AC$2:$AC$281,"CONSTRUCTION &gt; Managing Construction")</f>
        <v>0</v>
      </c>
      <c r="AC98" s="17">
        <f>COUNTIFS('Prácticas_Revisiones'!$S$2:$S$282,"T084",'Prácticas_Revisiones'!$T$2:$T$282,"CONSTRUCTION &gt; Practical Considerations")+COUNTIFS('Prácticas_Snowballing'!$AB$2:$AB$281,"T084",'Prácticas_Snowballing'!$AC$2:$AC$281,"CONSTRUCTION &gt; Practical Considerations")</f>
        <v>0</v>
      </c>
      <c r="AD98" s="17">
        <f>COUNTIFS('Prácticas_Revisiones'!$S$2:$S$282,"T084",'Prácticas_Revisiones'!$T$2:$T$282,"CONSTRUCTION &gt; Construction Technologies")+COUNTIFS('Prácticas_Snowballing'!$AB$2:$AB$281,"T084",'Prácticas_Snowballing'!$AC$2:$AC$281,"CONSTRUCTION &gt; Construction Technologies")</f>
        <v>0</v>
      </c>
      <c r="AE98" s="17">
        <f>COUNTIFS('Prácticas_Revisiones'!$S$2:$S$282,"T084",'Prácticas_Revisiones'!$T$2:$T$282,"CONSTRUCTION &gt; Software Construction Tools")+COUNTIFS('Prácticas_Snowballing'!$AB$2:$AB$281,"T084",'Prácticas_Snowballing'!$AC$2:$AC$281,"CONSTRUCTION &gt; Software Construction Tools")</f>
        <v>0</v>
      </c>
      <c r="AF98" s="17">
        <f>COUNTIFS('Prácticas_Revisiones'!$S$2:$S$282,"T084",'Prácticas_Revisiones'!$T$2:$T$282,"CONSTRUCTION &gt; Subárea no determinable")+COUNTIFS('Prácticas_Snowballing'!$AB$2:$AB$281,"T084",'Prácticas_Snowballing'!$AC$2:$AC$281,"CONSTRUCTION &gt; Subárea no determinable")</f>
        <v>0</v>
      </c>
      <c r="AG98" s="29">
        <f t="shared" si="72"/>
        <v>0</v>
      </c>
      <c r="AH98" s="17">
        <f>COUNTIFS('Prácticas_Revisiones'!$S$2:$S$282,"T084",'Prácticas_Revisiones'!$T$2:$T$282,"SOFTWARE TESTING &gt; Software Testing Fundamentals")+COUNTIFS('Prácticas_Snowballing'!$AB$2:$AB$281,"T084",'Prácticas_Snowballing'!$AC$2:$AC$281,"SOFTWARE TESTING &gt; Software Testing Fundamentals")</f>
        <v>0</v>
      </c>
      <c r="AI98" s="17">
        <f>COUNTIFS('Prácticas_Revisiones'!$S$2:$S$282,"T084",'Prácticas_Revisiones'!$T$2:$T$282,"SOFTWARE TESTING &gt; Test Levels")+COUNTIFS('Prácticas_Snowballing'!$AB$2:$AB$281,"T084",'Prácticas_Snowballing'!$AC$2:$AC$281,"SOFTWARE TESTING &gt; Test Levels")</f>
        <v>0</v>
      </c>
      <c r="AJ98" s="17">
        <f>COUNTIFS('Prácticas_Revisiones'!$S$2:$S$282,"T084",'Prácticas_Revisiones'!$T$2:$T$282,"SOFTWARE TESTING &gt; Test Techniques")+COUNTIFS('Prácticas_Snowballing'!$AB$2:$AB$281,"T084",'Prácticas_Snowballing'!$AC$2:$AC$281,"SOFTWARE TESTING &gt; Test Techniques")</f>
        <v>0</v>
      </c>
      <c r="AK98" s="17">
        <f>COUNTIFS('Prácticas_Revisiones'!$S$2:$S$282,"T084",'Prácticas_Revisiones'!$T$2:$T$282,"SOFTWARE TESTING &gt; Test-Related Measures")+COUNTIFS('Prácticas_Snowballing'!$AB$2:$AB$281,"T084",'Prácticas_Snowballing'!$AC$2:$AC$281,"SOFTWARE TESTING &gt; Test-Related Measures")</f>
        <v>0</v>
      </c>
      <c r="AL98" s="17">
        <f>COUNTIFS('Prácticas_Revisiones'!$S$2:$S$282,"T084",'Prácticas_Revisiones'!$T$2:$T$282,"SOFTWARE TESTING &gt; Test Process")+COUNTIFS('Prácticas_Snowballing'!$AB$2:$AB$281,"T084",'Prácticas_Snowballing'!$AC$2:$AC$281,"SOFTWARE TESTING &gt; Test Process")</f>
        <v>0</v>
      </c>
      <c r="AM98" s="17">
        <f>COUNTIFS('Prácticas_Revisiones'!$S$2:$S$282,"T084",'Prácticas_Revisiones'!$T$2:$T$282,"SOFTWARE TESTING &gt; Software Testing in the Development Processes...")+COUNTIFS('Prácticas_Snowballing'!$AB$2:$AB$281,"T084",'Prácticas_Snowballing'!$AC$2:$AC$281,"SOFTWARE TESTING &gt; Software Testing in the Development Processes...")</f>
        <v>0</v>
      </c>
      <c r="AN98" s="17">
        <f>COUNTIFS('Prácticas_Revisiones'!$S$2:$S$282,"T084",'Prácticas_Revisiones'!$T$2:$T$282,"SOFTWARE TESTING &gt; Testing of and Testing Through Emerging Tech...")+COUNTIFS('Prácticas_Snowballing'!$AB$2:$AB$281,"T084",'Prácticas_Snowballing'!$AC$2:$AC$281,"SOFTWARE TESTING &gt; Testing of and Testing Through Emerging Tech...")</f>
        <v>0</v>
      </c>
      <c r="AO98" s="17">
        <f>COUNTIFS('Prácticas_Revisiones'!$S$2:$S$282,"T084",'Prácticas_Revisiones'!$T$2:$T$282,"SOFTWARE TESTING &gt; Software Testing Tools")+COUNTIFS('Prácticas_Snowballing'!$AB$2:$AB$281,"T084",'Prácticas_Snowballing'!$AC$2:$AC$281,"SOFTWARE TESTING &gt; Software Testing Tools")</f>
        <v>0</v>
      </c>
      <c r="AP98" s="17">
        <f>COUNTIFS('Prácticas_Revisiones'!$S$2:$S$282,"T084",'Prácticas_Revisiones'!$T$2:$T$282,"SOFTWARE TESTING &gt; Subárea no determinable")+COUNTIFS('Prácticas_Snowballing'!$AB$2:$AB$281,"T084",'Prácticas_Snowballing'!$AC$2:$AC$281,"SOFTWARE TESTING &gt; Subárea no determinable")</f>
        <v>0</v>
      </c>
      <c r="AQ98" s="29">
        <f t="shared" si="73"/>
        <v>0</v>
      </c>
      <c r="AR98" s="17">
        <f>COUNTIFS('Prácticas_Revisiones'!$S$2:$S$282,"T084",'Prácticas_Revisiones'!$T$2:$T$282,"SOFTWARE ENG. OPERATIONS &gt; Software Engineering Operations Fundamentals")+COUNTIFS('Prácticas_Snowballing'!$AB$2:$AB$281,"T084",'Prácticas_Snowballing'!$AC$2:$AC$281,"SOFTWARE ENG. OPERATIONS &gt; Software Engineering Operations Fundamentals")</f>
        <v>0</v>
      </c>
      <c r="AS98" s="17">
        <f>COUNTIFS('Prácticas_Revisiones'!$S$2:$S$282,"T084",'Prácticas_Revisiones'!$T$2:$T$282,"SOFTWARE ENG. OPERATIONS &gt; Software Engineering Operations Planning")+COUNTIFS('Prácticas_Snowballing'!$AB$2:$AB$281,"T084",'Prácticas_Snowballing'!$AC$2:$AC$281,"SOFTWARE ENG. OPERATIONS &gt; Software Engineering Operations Planning")</f>
        <v>0</v>
      </c>
      <c r="AT98" s="17">
        <f>COUNTIFS('Prácticas_Revisiones'!$S$2:$S$282,"T084",'Prácticas_Revisiones'!$T$2:$T$282,"SOFTWARE ENG. OPERATIONS &gt; Software Engineering Operations Delivery")+COUNTIFS('Prácticas_Snowballing'!$AB$2:$AB$281,"T084",'Prácticas_Snowballing'!$AC$2:$AC$281,"SOFTWARE ENG. OPERATIONS &gt; Software Engineering Operations Delivery")</f>
        <v>0</v>
      </c>
      <c r="AU98" s="17">
        <f>COUNTIFS('Prácticas_Revisiones'!$S$2:$S$282,"T084",'Prácticas_Revisiones'!$T$2:$T$282,"SOFTWARE ENG. OPERATIONS &gt; Software Engineering Operations Control")+COUNTIFS('Prácticas_Snowballing'!$AB$2:$AB$281,"T084",'Prácticas_Snowballing'!$AC$2:$AC$281,"SOFTWARE ENG. OPERATIONS &gt; Software Engineering Operations Control")</f>
        <v>0</v>
      </c>
      <c r="AV98" s="17">
        <f>COUNTIFS('Prácticas_Revisiones'!$S$2:$S$282,"T084",'Prácticas_Revisiones'!$T$2:$T$282,"SOFTWARE ENG. OPERATIONS &gt; Practical Considerations")+COUNTIFS('Prácticas_Snowballing'!$AB$2:$AB$281,"T084",'Prácticas_Snowballing'!$AC$2:$AC$281,"SOFTWARE ENG. OPERATIONS &gt; Practical Considerations")</f>
        <v>0</v>
      </c>
      <c r="AW98" s="17">
        <f>COUNTIFS('Prácticas_Revisiones'!$S$2:$S$282,"T084",'Prácticas_Revisiones'!$T$2:$T$282,"SOFTWARE ENG. OPERATIONS &gt; Software Engineering Operations Tools")+COUNTIFS('Prácticas_Snowballing'!$AB$2:$AB$281,"T084",'Prácticas_Snowballing'!$AC$2:$AC$281,"SOFTWARE ENG. OPERATIONS &gt; Software Engineering Operations Tools")</f>
        <v>0</v>
      </c>
      <c r="AX98" s="17">
        <f>COUNTIFS('Prácticas_Revisiones'!$S$2:$S$282,"T084",'Prácticas_Revisiones'!$T$2:$T$282,"SOFTWARE ENG. OPERATIONS &gt; Subárea no determinable")+COUNTIFS('Prácticas_Snowballing'!$AB$2:$AB$281,"T084",'Prácticas_Snowballing'!$AC$2:$AC$281,"SOFTWARE ENG. OPERATIONS &gt; Subárea no determinable")</f>
        <v>0</v>
      </c>
      <c r="AY98" s="29">
        <f t="shared" si="74"/>
        <v>0</v>
      </c>
      <c r="AZ98" s="17">
        <f>COUNTIFS('Prácticas_Revisiones'!$S$2:$S$282,"T084",'Prácticas_Revisiones'!$T$2:$T$282,"MAINTENANCE &gt; Software Maintenance Fundamentals")+COUNTIFS('Prácticas_Snowballing'!$AB$2:$AB$281,"T084",'Prácticas_Snowballing'!$AC$2:$AC$281,"MAINTENANCE &gt; Software Maintenance Fundamentals")</f>
        <v>0</v>
      </c>
      <c r="BA98" s="17">
        <f>COUNTIFS('Prácticas_Revisiones'!$S$2:$S$282,"T084",'Prácticas_Revisiones'!$T$2:$T$282,"MAINTENANCE &gt; Key Issues in Software Maintenance")+COUNTIFS('Prácticas_Snowballing'!$AB$2:$AB$281,"T084",'Prácticas_Snowballing'!$AC$2:$AC$281,"MAINTENANCE &gt; Key Issues in Software Maintenance")</f>
        <v>0</v>
      </c>
      <c r="BB98" s="17">
        <f>COUNTIFS('Prácticas_Revisiones'!$S$2:$S$282,"T084",'Prácticas_Revisiones'!$T$2:$T$282,"MAINTENANCE &gt; Software Maintenance Processes")+COUNTIFS('Prácticas_Snowballing'!$AB$2:$AB$281,"T084",'Prácticas_Snowballing'!$AC$2:$AC$281,"MAINTENANCE &gt; Software Maintenance Processes")</f>
        <v>0</v>
      </c>
      <c r="BC98" s="17">
        <f>COUNTIFS('Prácticas_Revisiones'!$S$2:$S$282,"T084",'Prácticas_Revisiones'!$T$2:$T$282,"MAINTENANCE &gt; Software Maintenance Techniques")+COUNTIFS('Prácticas_Snowballing'!$AB$2:$AB$281,"T084",'Prácticas_Snowballing'!$AC$2:$AC$281,"MAINTENANCE &gt; Software Maintenance Techniques")</f>
        <v>0</v>
      </c>
      <c r="BD98" s="17">
        <f>COUNTIFS('Prácticas_Revisiones'!$S$2:$S$282,"T084",'Prácticas_Revisiones'!$T$2:$T$282,"MAINTENANCE &gt; Software Maintenance Tools")+COUNTIFS('Prácticas_Snowballing'!$AB$2:$AB$281,"T084",'Prácticas_Snowballing'!$AC$2:$AC$281,"MAINTENANCE &gt; Software Maintenance Tools")</f>
        <v>0</v>
      </c>
      <c r="BE98" s="17">
        <f>COUNTIFS('Prácticas_Revisiones'!$S$2:$S$282,"T084",'Prácticas_Revisiones'!$T$2:$T$282,"MAINTENANCE &gt; Subárea no determinable")+COUNTIFS('Prácticas_Snowballing'!$AB$2:$AB$281,"T084",'Prácticas_Snowballing'!$AC$2:$AC$281,"MAINTENANCE &gt; Subárea no determinable")</f>
        <v>0</v>
      </c>
      <c r="BF98" s="29">
        <f t="shared" si="75"/>
        <v>0</v>
      </c>
      <c r="BG98" s="17">
        <f>COUNTIFS('Prácticas_Revisiones'!$S$2:$S$282,"T084",'Prácticas_Revisiones'!$T$2:$T$282,"SOFTWARE CONFIG. MGMT. &gt; Management of the SCM Process")+COUNTIFS('Prácticas_Snowballing'!$AB$2:$AB$281,"T084",'Prácticas_Snowballing'!$AC$2:$AC$281,"SOFTWARE CONFIG. MGMT. &gt; Management of the SCM Process")</f>
        <v>0</v>
      </c>
      <c r="BH98" s="17">
        <f>COUNTIFS('Prácticas_Revisiones'!$S$2:$S$282,"T084",'Prácticas_Revisiones'!$T$2:$T$282,"SOFTWARE CONFIG. MGMT. &gt; Software Configuration Identification")+COUNTIFS('Prácticas_Snowballing'!$AB$2:$AB$281,"T084",'Prácticas_Snowballing'!$AC$2:$AC$281,"SOFTWARE CONFIG. MGMT. &gt; Software Configuration Identification")</f>
        <v>0</v>
      </c>
      <c r="BI98" s="17">
        <f>COUNTIFS('Prácticas_Revisiones'!$S$2:$S$282,"T084",'Prácticas_Revisiones'!$T$2:$T$282,"SOFTWARE CONFIG. MGMT. &gt; Software Configuration Change Control")+COUNTIFS('Prácticas_Snowballing'!$AB$2:$AB$281,"T084",'Prácticas_Snowballing'!$AC$2:$AC$281,"SOFTWARE CONFIG. MGMT. &gt; Software Configuration Change Control")</f>
        <v>0</v>
      </c>
      <c r="BJ98" s="17">
        <f>COUNTIFS('Prácticas_Revisiones'!$S$2:$S$282,"T084",'Prácticas_Revisiones'!$T$2:$T$282,"SOFTWARE CONFIG. MGMT. &gt; Software Configuration Status Accounting")+COUNTIFS('Prácticas_Snowballing'!$AB$2:$AB$281,"T084",'Prácticas_Snowballing'!$AC$2:$AC$281,"SOFTWARE CONFIG. MGMT. &gt; Software Configuration Status Accounting")</f>
        <v>0</v>
      </c>
      <c r="BK98" s="17">
        <f>COUNTIFS('Prácticas_Revisiones'!$S$2:$S$282,"T084",'Prácticas_Revisiones'!$T$2:$T$282,"SOFTWARE CONFIG. MGMT. &gt; Software Configuration Auditing")+COUNTIFS('Prácticas_Snowballing'!$AB$2:$AB$281,"T084",'Prácticas_Snowballing'!$AC$2:$AC$281,"SOFTWARE CONFIG. MGMT. &gt; Software Configuration Auditing")</f>
        <v>0</v>
      </c>
      <c r="BL98" s="17">
        <f>COUNTIFS('Prácticas_Revisiones'!$S$2:$S$282,"T084",'Prácticas_Revisiones'!$T$2:$T$282,"SOFTWARE CONFIG. MGMT. &gt; Software Release Management and Delivery")+COUNTIFS('Prácticas_Snowballing'!$AB$2:$AB$281,"T084",'Prácticas_Snowballing'!$AC$2:$AC$281,"SOFTWARE CONFIG. MGMT. &gt; Software Release Management and Delivery")</f>
        <v>0</v>
      </c>
      <c r="BM98" s="17">
        <f>COUNTIFS('Prácticas_Revisiones'!$S$2:$S$282,"T084",'Prácticas_Revisiones'!$T$2:$T$282,"SOFTWARE CONFIG. MGMT. &gt; Software Configuration Management Tools")+COUNTIFS('Prácticas_Snowballing'!$AB$2:$AB$281,"T084",'Prácticas_Snowballing'!$AC$2:$AC$281,"SOFTWARE CONFIG. MGMT. &gt; Software Configuration Management Tools")</f>
        <v>0</v>
      </c>
      <c r="BN98" s="17">
        <f>COUNTIFS('Prácticas_Revisiones'!$S$2:$S$282,"T084",'Prácticas_Revisiones'!$T$2:$T$282,"SOFTWARE CONFIG. MGMT. &gt; Subárea no determinable")+COUNTIFS('Prácticas_Snowballing'!$AB$2:$AB$281,"T084",'Prácticas_Snowballing'!$AC$2:$AC$281,"SOFTWARE CONFIG. MGMT. &gt; Subárea no determinable")</f>
        <v>0</v>
      </c>
      <c r="BO98" s="29">
        <f t="shared" si="76"/>
        <v>0</v>
      </c>
      <c r="BP98" s="17">
        <f>COUNTIFS('Prácticas_Revisiones'!$S$2:$S$282,"T084",'Prácticas_Revisiones'!$T$2:$T$282,"SOFTWARE ENG. PROCESS &gt; Software Engineering Process Fundamentals")+COUNTIFS('Prácticas_Snowballing'!$AB$2:$AB$281,"T084",'Prácticas_Snowballing'!$AC$2:$AC$281,"SOFTWARE ENG. PROCESS &gt; Software Engineering Process Fundamentals")</f>
        <v>0</v>
      </c>
      <c r="BQ98" s="17">
        <f>COUNTIFS('Prácticas_Revisiones'!$S$2:$S$282,"T084",'Prácticas_Revisiones'!$T$2:$T$282,"SOFTWARE ENG. PROCESS &gt; Life Cycles")+COUNTIFS('Prácticas_Snowballing'!$AB$2:$AB$281,"T084",'Prácticas_Snowballing'!$AC$2:$AC$281,"SOFTWARE ENG. PROCESS &gt; Life Cycles")</f>
        <v>0</v>
      </c>
      <c r="BR98" s="17">
        <f>COUNTIFS('Prácticas_Revisiones'!$S$2:$S$282,"T084",'Prácticas_Revisiones'!$T$2:$T$282,"SOFTWARE ENG. PROCESS &gt; Software Process Assessment and Improvement")+COUNTIFS('Prácticas_Snowballing'!$AB$2:$AB$281,"T084",'Prácticas_Snowballing'!$AC$2:$AC$281,"SOFTWARE ENG. PROCESS &gt; Software Process Assessment and Improvement")</f>
        <v>0</v>
      </c>
      <c r="BS98" s="17">
        <f>COUNTIFS('Prácticas_Revisiones'!$S$2:$S$282,"T084",'Prácticas_Revisiones'!$T$2:$T$282,"SOFTWARE ENG. PROCESS &gt; Subárea no determinable")+COUNTIFS('Prácticas_Snowballing'!$AB$2:$AB$281,"T084",'Prácticas_Snowballing'!$AC$2:$AC$281,"SOFTWARE ENG. PROCESS &gt; Subárea no determinable")</f>
        <v>0</v>
      </c>
      <c r="BT98" s="29">
        <f t="shared" si="77"/>
        <v>0</v>
      </c>
      <c r="BU98" s="17">
        <f>COUNTIFS('Prácticas_Revisiones'!$S$2:$S$282,"T084",'Prácticas_Revisiones'!$T$2:$T$282,"SOFTWARE ENG. MODELS/METH. &gt; Modeling")+COUNTIFS('Prácticas_Snowballing'!$AB$2:$AB$281,"T084",'Prácticas_Snowballing'!$AC$2:$AC$281,"SOFTWARE ENG. MODELS/METH. &gt; Modeling")</f>
        <v>0</v>
      </c>
      <c r="BV98" s="17">
        <f>COUNTIFS('Prácticas_Revisiones'!$S$2:$S$282,"T084",'Prácticas_Revisiones'!$T$2:$T$282,"SOFTWARE ENG. MODELS/METH. &gt; Types of Models")+COUNTIFS('Prácticas_Snowballing'!$AB$2:$AB$281,"T084",'Prácticas_Snowballing'!$AC$2:$AC$281,"SOFTWARE ENG. MODELS/METH. &gt; Types of Models")</f>
        <v>0</v>
      </c>
      <c r="BW98" s="17">
        <f>COUNTIFS('Prácticas_Revisiones'!$S$2:$S$282,"T084",'Prácticas_Revisiones'!$T$2:$T$282,"SOFTWARE ENG. MODELS/METH. &gt; Analysis of Models")+COUNTIFS('Prácticas_Snowballing'!$AB$2:$AB$281,"T084",'Prácticas_Snowballing'!$AC$2:$AC$281,"SOFTWARE ENG. MODELS/METH. &gt; Analysis of Models")</f>
        <v>0</v>
      </c>
      <c r="BX98" s="17">
        <f>COUNTIFS('Prácticas_Revisiones'!$S$2:$S$282,"T084",'Prácticas_Revisiones'!$T$2:$T$282,"SOFTWARE ENG. MODELS/METH. &gt; Software Engineering Methods")+COUNTIFS('Prácticas_Snowballing'!$AB$2:$AB$281,"T084",'Prácticas_Snowballing'!$AC$2:$AC$281,"SOFTWARE ENG. MODELS/METH. &gt; Software Engineering Methods")</f>
        <v>0</v>
      </c>
      <c r="BY98" s="17">
        <f>COUNTIFS('Prácticas_Revisiones'!$S$2:$S$282,"T084",'Prácticas_Revisiones'!$T$2:$T$282,"SOFTWARE ENG. MODELS/METH. &gt; Subárea no determinable")+COUNTIFS('Prácticas_Snowballing'!$AB$2:$AB$281,"T084",'Prácticas_Snowballing'!$AC$2:$AC$281,"SOFTWARE ENG. MODELS/METH. &gt; Subárea no determinable")</f>
        <v>0</v>
      </c>
      <c r="BZ98" s="29">
        <f t="shared" si="78"/>
        <v>0</v>
      </c>
      <c r="CA98" s="17">
        <f>COUNTIFS('Prácticas_Revisiones'!$S$2:$S$282,"T084",'Prácticas_Revisiones'!$T$2:$T$282,"SOFTWARE QUALITY &gt; Software Quality Fundamentals")+COUNTIFS('Prácticas_Snowballing'!$AB$2:$AB$281,"T084",'Prácticas_Snowballing'!$AC$2:$AC$281,"SOFTWARE QUALITY &gt; Software Quality Fundamentals")</f>
        <v>0</v>
      </c>
      <c r="CB98" s="17">
        <f>COUNTIFS('Prácticas_Revisiones'!$S$2:$S$282,"T084",'Prácticas_Revisiones'!$T$2:$T$282,"SOFTWARE QUALITY &gt; Software Quality Management Process")+COUNTIFS('Prácticas_Snowballing'!$AB$2:$AB$281,"T084",'Prácticas_Snowballing'!$AC$2:$AC$281,"SOFTWARE QUALITY &gt; Software Quality Management Process")</f>
        <v>0</v>
      </c>
      <c r="CC98" s="17">
        <f>COUNTIFS('Prácticas_Revisiones'!$S$2:$S$282,"T084",'Prácticas_Revisiones'!$T$2:$T$282,"SOFTWARE QUALITY &gt; Software Quality Assurance Process")+COUNTIFS('Prácticas_Snowballing'!$AB$2:$AB$281,"T084",'Prácticas_Snowballing'!$AC$2:$AC$281,"SOFTWARE QUALITY &gt; Software Quality Assurance Process")</f>
        <v>0</v>
      </c>
      <c r="CD98" s="17">
        <f>COUNTIFS('Prácticas_Revisiones'!$S$2:$S$282,"T084",'Prácticas_Revisiones'!$T$2:$T$282,"SOFTWARE QUALITY &gt; Software Quality Tools")+COUNTIFS('Prácticas_Snowballing'!$AB$2:$AB$281,"T084",'Prácticas_Snowballing'!$AC$2:$AC$281,"SOFTWARE QUALITY &gt; Software Quality Tools")</f>
        <v>0</v>
      </c>
      <c r="CE98" s="17">
        <f>COUNTIFS('Prácticas_Revisiones'!$S$2:$S$282,"T084",'Prácticas_Revisiones'!$T$2:$T$282,"SOFTWARE QUALITY &gt; Subárea no determinable")+COUNTIFS('Prácticas_Snowballing'!$AB$2:$AB$281,"T084",'Prácticas_Snowballing'!$AC$2:$AC$281,"SOFTWARE QUALITY &gt; Subárea no determinable")</f>
        <v>0</v>
      </c>
      <c r="CF98" s="29">
        <f t="shared" si="79"/>
        <v>0</v>
      </c>
      <c r="CG98" s="17">
        <f>COUNTIFS('Prácticas_Revisiones'!$S$2:$S$282,"T084",'Prácticas_Revisiones'!$T$2:$T$282,"SOFTWARE SECURITY &gt; Software Security Fundamentals")+COUNTIFS('Prácticas_Snowballing'!$AB$2:$AB$281,"T084",'Prácticas_Snowballing'!$AC$2:$AC$281,"SOFTWARE SECURITY &gt; Software Security Fundamentals")</f>
        <v>0</v>
      </c>
      <c r="CH98" s="17">
        <f>COUNTIFS('Prácticas_Revisiones'!$S$2:$S$282,"T084",'Prácticas_Revisiones'!$T$2:$T$282,"SOFTWARE SECURITY &gt; Security Management and Organization")+COUNTIFS('Prácticas_Snowballing'!$AB$2:$AB$281,"T084",'Prácticas_Snowballing'!$AC$2:$AC$281,"SOFTWARE SECURITY &gt; Security Management and Organization")</f>
        <v>0</v>
      </c>
      <c r="CI98" s="17">
        <f>COUNTIFS('Prácticas_Revisiones'!$S$2:$S$282,"T084",'Prácticas_Revisiones'!$T$2:$T$282,"SOFTWARE SECURITY &gt; Software Security Engineering and Process")+COUNTIFS('Prácticas_Snowballing'!$AB$2:$AB$281,"T084",'Prácticas_Snowballing'!$AC$2:$AC$281,"SOFTWARE SECURITY &gt; Software Security Engineering and Process")</f>
        <v>0</v>
      </c>
      <c r="CJ98" s="17">
        <f>COUNTIFS('Prácticas_Revisiones'!$S$2:$S$282,"T084",'Prácticas_Revisiones'!$T$2:$T$282,"SOFTWARE SECURITY &gt; Security Engineering for Software Systems")+COUNTIFS('Prácticas_Snowballing'!$AB$2:$AB$281,"T084",'Prácticas_Snowballing'!$AC$2:$AC$281,"SOFTWARE SECURITY &gt; Security Engineering for Software Systems")</f>
        <v>0</v>
      </c>
      <c r="CK98" s="17">
        <f>COUNTIFS('Prácticas_Revisiones'!$S$2:$S$282,"T084",'Prácticas_Revisiones'!$T$2:$T$282,"SOFTWARE SECURITY &gt; Software Security Tools")+COUNTIFS('Prácticas_Snowballing'!$AB$2:$AB$281,"T084",'Prácticas_Snowballing'!$AC$2:$AC$281,"SOFTWARE SECURITY &gt; Software Security Tools")</f>
        <v>0</v>
      </c>
      <c r="CL98" s="17">
        <f>COUNTIFS('Prácticas_Revisiones'!$S$2:$S$282,"T084",'Prácticas_Revisiones'!$T$2:$T$282,"SOFTWARE SECURITY &gt; Domain Specific Software Security")+COUNTIFS('Prácticas_Snowballing'!$AB$2:$AB$281,"T084",'Prácticas_Snowballing'!$AC$2:$AC$281,"SOFTWARE SECURITY &gt; Domain Specific Software Security")</f>
        <v>0</v>
      </c>
      <c r="CM98" s="17">
        <f>COUNTIFS('Prácticas_Revisiones'!$S$2:$S$282,"T084",'Prácticas_Revisiones'!$T$2:$T$282,"SOFTWARE SECURITY &gt; Subárea no determinable")+COUNTIFS('Prácticas_Snowballing'!$AB$2:$AB$281,"T084",'Prácticas_Snowballing'!$AC$2:$AC$281,"SOFTWARE SECURITY &gt; Subárea no determinable")</f>
        <v>0</v>
      </c>
      <c r="CN98" s="29">
        <f t="shared" si="80"/>
        <v>0</v>
      </c>
      <c r="CO98" s="17">
        <f>COUNTIFS('Prácticas_Revisiones'!$S$2:$S$282,"T084",'Prácticas_Revisiones'!$T$2:$T$282,"PROFESSIONAL PRACTICE &gt; Professionalism")+COUNTIFS('Prácticas_Snowballing'!$AB$2:$AB$281,"T084",'Prácticas_Snowballing'!$AC$2:$AC$281,"PROFESSIONAL PRACTICE &gt; Professionalism")</f>
        <v>0</v>
      </c>
      <c r="CP98" s="17">
        <f>COUNTIFS('Prácticas_Revisiones'!$S$2:$S$282,"T084",'Prácticas_Revisiones'!$T$2:$T$282,"PROFESSIONAL PRACTICE &gt; Group Dynamics and Psychology")+COUNTIFS('Prácticas_Snowballing'!$AB$2:$AB$281,"T084",'Prácticas_Snowballing'!$AC$2:$AC$281,"PROFESSIONAL PRACTICE &gt; Group Dynamics and Psychology")</f>
        <v>0</v>
      </c>
      <c r="CQ98" s="17">
        <f>COUNTIFS('Prácticas_Revisiones'!$S$2:$S$282,"T084",'Prácticas_Revisiones'!$T$2:$T$282,"PROFESSIONAL PRACTICE &gt; Communication Skills")+COUNTIFS('Prácticas_Snowballing'!$AB$2:$AB$281,"T084",'Prácticas_Snowballing'!$AC$2:$AC$281,"PROFESSIONAL PRACTICE &gt; Communication Skills")</f>
        <v>0</v>
      </c>
      <c r="CR98" s="17">
        <f>COUNTIFS('Prácticas_Revisiones'!$S$2:$S$282,"T084",'Prácticas_Revisiones'!$T$2:$T$282,"PROFESSIONAL PRACTICE &gt; Subárea no determinable")+COUNTIFS('Prácticas_Snowballing'!$AB$2:$AB$281,"T084",'Prácticas_Snowballing'!$AC$2:$AC$281,"PROFESSIONAL PRACTICE &gt; Subárea no determinable")</f>
        <v>0</v>
      </c>
      <c r="CS98" s="29">
        <f t="shared" si="81"/>
        <v>0</v>
      </c>
      <c r="CT98" s="17">
        <f>COUNTIFS('Prácticas_Revisiones'!$S$2:$S$282,"T084",'Prácticas_Revisiones'!$T$2:$T$282,"SOFTWARE ENG. ECONOMICS &gt; Software Engineering Economics Fundamentals")+COUNTIFS('Prácticas_Snowballing'!$AB$2:$AB$281,"T084",'Prácticas_Snowballing'!$AC$2:$AC$281,"SOFTWARE ENG. ECONOMICS &gt; Software Engineering Economics Fundamentals")</f>
        <v>0</v>
      </c>
      <c r="CU98" s="17">
        <f>COUNTIFS('Prácticas_Revisiones'!$S$2:$S$282,"T084",'Prácticas_Revisiones'!$T$2:$T$282,"SOFTWARE ENG. ECONOMICS &gt; The Engineering Decision-Making Process")+COUNTIFS('Prácticas_Snowballing'!$AB$2:$AB$281,"T084",'Prácticas_Snowballing'!$AC$2:$AC$281,"SOFTWARE ENG. ECONOMICS &gt; The Engineering Decision-Making Process")</f>
        <v>0</v>
      </c>
      <c r="CV98" s="17">
        <f>COUNTIFS('Prácticas_Revisiones'!$S$2:$S$282,"T084",'Prácticas_Revisiones'!$T$2:$T$282,"SOFTWARE ENG. ECONOMICS &gt; For-Profit Decision-Making")+COUNTIFS('Prácticas_Snowballing'!$AB$2:$AB$281,"T084",'Prácticas_Snowballing'!$AC$2:$AC$281,"SOFTWARE ENG. ECONOMICS &gt; For-Profit Decision-Making")</f>
        <v>0</v>
      </c>
      <c r="CW98" s="17">
        <f>COUNTIFS('Prácticas_Revisiones'!$S$2:$S$282,"T084",'Prácticas_Revisiones'!$T$2:$T$282,"SOFTWARE ENG. ECONOMICS &gt; Nonprofit Decision-Making")+COUNTIFS('Prácticas_Snowballing'!$AB$2:$AB$281,"T084",'Prácticas_Snowballing'!$AC$2:$AC$281,"SOFTWARE ENG. ECONOMICS &gt; Nonprofit Decision-Making")</f>
        <v>0</v>
      </c>
      <c r="CX98" s="17">
        <f>COUNTIFS('Prácticas_Revisiones'!$S$2:$S$282,"T084",'Prácticas_Revisiones'!$T$2:$T$282,"SOFTWARE ENG. ECONOMICS &gt; Present Economy Decision-Making")+COUNTIFS('Prácticas_Snowballing'!$AB$2:$AB$281,"T084",'Prácticas_Snowballing'!$AC$2:$AC$281,"SOFTWARE ENG. ECONOMICS &gt; Present Economy Decision-Making")</f>
        <v>0</v>
      </c>
      <c r="CY98" s="17">
        <f>COUNTIFS('Prácticas_Revisiones'!$S$2:$S$282,"T084",'Prácticas_Revisiones'!$T$2:$T$282,"SOFTWARE ENG. ECONOMICS &gt; Multiple-Attribute Decision-Making")+COUNTIFS('Prácticas_Snowballing'!$AB$2:$AB$281,"T084",'Prácticas_Snowballing'!$AC$2:$AC$281,"SOFTWARE ENG. ECONOMICS &gt; Multiple-Attribute Decision-Making")</f>
        <v>0</v>
      </c>
      <c r="CZ98" s="17">
        <f>COUNTIFS('Prácticas_Revisiones'!$S$2:$S$282,"T084",'Prácticas_Revisiones'!$T$2:$T$282,"SOFTWARE ENG. ECONOMICS &gt; Identifying and Characterizing Intangible Assets")+COUNTIFS('Prácticas_Snowballing'!$AB$2:$AB$281,"T084",'Prácticas_Snowballing'!$AC$2:$AC$281,"SOFTWARE ENG. ECONOMICS &gt; Identifying and Characterizing Intangible Assets")</f>
        <v>0</v>
      </c>
      <c r="DA98" s="17">
        <f>COUNTIFS('Prácticas_Revisiones'!$S$2:$S$282,"T084",'Prácticas_Revisiones'!$T$2:$T$282,"SOFTWARE ENG. ECONOMICS &gt; Estimation")+COUNTIFS('Prácticas_Snowballing'!$AB$2:$AB$281,"T084",'Prácticas_Snowballing'!$AC$2:$AC$281,"SOFTWARE ENG. ECONOMICS &gt; Estimation")</f>
        <v>0</v>
      </c>
      <c r="DB98" s="17">
        <f>COUNTIFS('Prácticas_Revisiones'!$S$2:$S$282,"T084",'Prácticas_Revisiones'!$T$2:$T$282,"SOFTWARE ENG. ECONOMICS &gt; Practical Considerations")+COUNTIFS('Prácticas_Snowballing'!$AB$2:$AB$281,"T084",'Prácticas_Snowballing'!$AC$2:$AC$281,"SOFTWARE ENG. ECONOMICS &gt; Practical Considerations")</f>
        <v>0</v>
      </c>
      <c r="DC98" s="17">
        <f>COUNTIFS('Prácticas_Revisiones'!$S$2:$S$282,"T084",'Prácticas_Revisiones'!$T$2:$T$282,"SOFTWARE ENG. ECONOMICS &gt; Related Concepts")+COUNTIFS('Prácticas_Snowballing'!$AB$2:$AB$281,"T084",'Prácticas_Snowballing'!$AC$2:$AC$281,"SOFTWARE ENG. ECONOMICS &gt; Related Concepts")</f>
        <v>0</v>
      </c>
      <c r="DD98" s="17">
        <f>COUNTIFS('Prácticas_Revisiones'!$S$2:$S$282,"T084",'Prácticas_Revisiones'!$T$2:$T$282,"SOFTWARE ENG. ECONOMICS &gt; Subárea no determinable")+COUNTIFS('Prácticas_Snowballing'!$AB$2:$AB$281,"T084",'Prácticas_Snowballing'!$AC$2:$AC$281,"SOFTWARE ENG. ECONOMICS &gt; Subárea no determinable")</f>
        <v>0</v>
      </c>
      <c r="DE98" s="29">
        <f t="shared" si="82"/>
        <v>0</v>
      </c>
      <c r="DF98" s="17">
        <f>COUNTIFS('Prácticas_Revisiones'!$S$2:$S$282,"T084",'Prácticas_Revisiones'!$T$2:$T$282,"SOFTWARE ENG. MANAGEMENT &gt; Software Engineering Management Fundamentals")+COUNTIFS('Prácticas_Snowballing'!$AB$2:$AB$281,"T084",'Prácticas_Snowballing'!$AC$2:$AC$281,"SOFTWARE ENG. MANAGEMENT &gt; Software Engineering Management Fundamentals")</f>
        <v>0</v>
      </c>
      <c r="DG98" s="17">
        <f>COUNTIFS('Prácticas_Revisiones'!$S$2:$S$282,"T084",'Prácticas_Revisiones'!$T$2:$T$282,"SOFTWARE ENG. MANAGEMENT &gt; Initiation and Scope Definition")+COUNTIFS('Prácticas_Snowballing'!$AB$2:$AB$281,"T084",'Prácticas_Snowballing'!$AC$2:$AC$281,"SOFTWARE ENG. MANAGEMENT &gt; Initiation and Scope Definition")</f>
        <v>0</v>
      </c>
      <c r="DH98" s="17">
        <f>COUNTIFS('Prácticas_Revisiones'!$S$2:$S$282,"T084",'Prácticas_Revisiones'!$T$2:$T$282,"SOFTWARE ENG. MANAGEMENT &gt; Software Project Planning")+COUNTIFS('Prácticas_Snowballing'!$AB$2:$AB$281,"T084",'Prácticas_Snowballing'!$AC$2:$AC$281,"SOFTWARE ENG. MANAGEMENT &gt; Software Project Planning")</f>
        <v>0</v>
      </c>
      <c r="DI98" s="17">
        <f>COUNTIFS('Prácticas_Revisiones'!$S$2:$S$282,"T084",'Prácticas_Revisiones'!$T$2:$T$282,"SOFTWARE ENG. MANAGEMENT &gt; Software Project Enactment")+COUNTIFS('Prácticas_Snowballing'!$AB$2:$AB$281,"T084",'Prácticas_Snowballing'!$AC$2:$AC$281,"SOFTWARE ENG. MANAGEMENT &gt; Software Project Enactment")</f>
        <v>0</v>
      </c>
      <c r="DJ98" s="17">
        <f>COUNTIFS('Prácticas_Revisiones'!$S$2:$S$282,"T084",'Prácticas_Revisiones'!$T$2:$T$282,"SOFTWARE ENG. MANAGEMENT &gt; Review and Evaluation")+COUNTIFS('Prácticas_Snowballing'!$AB$2:$AB$281,"T084",'Prácticas_Snowballing'!$AC$2:$AC$281,"SOFTWARE ENG. MANAGEMENT &gt; Review and Evaluation")</f>
        <v>0</v>
      </c>
      <c r="DK98" s="17">
        <f>COUNTIFS('Prácticas_Revisiones'!$S$2:$S$282,"T084",'Prácticas_Revisiones'!$T$2:$T$282,"SOFTWARE ENG. MANAGEMENT &gt; Closure")+COUNTIFS('Prácticas_Snowballing'!$AB$2:$AB$281,"T084",'Prácticas_Snowballing'!$AC$2:$AC$281,"SOFTWARE ENG. MANAGEMENT &gt; Closure")</f>
        <v>0</v>
      </c>
      <c r="DL98" s="17">
        <f>COUNTIFS('Prácticas_Revisiones'!$S$2:$S$282,"T084",'Prácticas_Revisiones'!$T$2:$T$282,"SOFTWARE ENG. MANAGEMENT &gt; Software Engineering Management Tools")+COUNTIFS('Prácticas_Snowballing'!$AB$2:$AB$281,"T084",'Prácticas_Snowballing'!$AC$2:$AC$281,"SOFTWARE ENG. MANAGEMENT &gt; Software Engineering Management Tools")</f>
        <v>0</v>
      </c>
      <c r="DM98" s="17">
        <f>COUNTIFS('Prácticas_Revisiones'!$S$2:$S$282,"T084",'Prácticas_Revisiones'!$T$2:$T$282,"SOFTWARE ENG. MANAGEMENT &gt; Subárea no determinable")+COUNTIFS('Prácticas_Snowballing'!$AB$2:$AB$281,"T084",'Prácticas_Snowballing'!$AC$2:$AC$281,"SOFTWARE ENG. MANAGEMENT &gt; Subárea no determinable")</f>
        <v>0</v>
      </c>
      <c r="DN98" s="29">
        <f t="shared" si="83"/>
        <v>0</v>
      </c>
      <c r="DO98" s="17">
        <f>COUNTIFS('Prácticas_Revisiones'!$S$2:$S$282,"T084",'Prácticas_Revisiones'!$T$2:$T$282,"Sin área SWEBOK")+COUNTIFS('Prácticas_Snowballing'!$AB$2:$AB$281,"T084",'Prácticas_Snowballing'!$AC$2:$AC$281,"Sin área SWEBOK")</f>
        <v>0</v>
      </c>
      <c r="DP98" s="27">
        <f t="shared" si="84"/>
        <v>0</v>
      </c>
    </row>
    <row r="99" ht="15.75" customHeight="1">
      <c r="A99" s="28"/>
      <c r="B99" s="16" t="s">
        <v>2813</v>
      </c>
      <c r="C99" s="17">
        <f>COUNTIFS('Prácticas_Revisiones'!$S$2:$S$282,"T085",'Prácticas_Revisiones'!$T$2:$T$282,"REQUIREMENTS &gt; Software Requirements Fundamentals")+COUNTIFS('Prácticas_Snowballing'!$AB$2:$AB$281,"T085",'Prácticas_Snowballing'!$AC$2:$AC$281,"REQUIREMENTS &gt; Software Requirements Fundamentals")</f>
        <v>0</v>
      </c>
      <c r="D99" s="17">
        <f>COUNTIFS('Prácticas_Revisiones'!$S$2:$S$282,"T085",'Prácticas_Revisiones'!$T$2:$T$282,"REQUIREMENTS &gt; Requirements Elicitation")+COUNTIFS('Prácticas_Snowballing'!$AB$2:$AB$281,"T085",'Prácticas_Snowballing'!$AC$2:$AC$281,"REQUIREMENTS &gt; Requirements Elicitation")</f>
        <v>0</v>
      </c>
      <c r="E99" s="17">
        <f>COUNTIFS('Prácticas_Revisiones'!$S$2:$S$282,"T085",'Prácticas_Revisiones'!$T$2:$T$282,"REQUIREMENTS &gt; Requirements Analysis")+COUNTIFS('Prácticas_Snowballing'!$AB$2:$AB$281,"T085",'Prácticas_Snowballing'!$AC$2:$AC$281,"REQUIREMENTS &gt; Requirements Analysis")</f>
        <v>0</v>
      </c>
      <c r="F99" s="17">
        <f>COUNTIFS('Prácticas_Revisiones'!$S$2:$S$282,"T085",'Prácticas_Revisiones'!$T$2:$T$282,"REQUIREMENTS &gt; Requirements Specification")+COUNTIFS('Prácticas_Snowballing'!$AB$2:$AB$281,"T085",'Prácticas_Snowballing'!$AC$2:$AC$281,"REQUIREMENTS &gt; Requirements Specification")</f>
        <v>0</v>
      </c>
      <c r="G99" s="17">
        <f>COUNTIFS('Prácticas_Revisiones'!$S$2:$S$282,"T085",'Prácticas_Revisiones'!$T$2:$T$282,"REQUIREMENTS &gt; Requirements Validation")+COUNTIFS('Prácticas_Snowballing'!$AB$2:$AB$281,"T085",'Prácticas_Snowballing'!$AC$2:$AC$281,"REQUIREMENTS &gt; Requirements Validation")</f>
        <v>0</v>
      </c>
      <c r="H99" s="17">
        <f>COUNTIFS('Prácticas_Revisiones'!$S$2:$S$282,"T085",'Prácticas_Revisiones'!$T$2:$T$282,"REQUIREMENTS &gt; Requirements Management Activities")+COUNTIFS('Prácticas_Snowballing'!$AB$2:$AB$281,"T085",'Prácticas_Snowballing'!$AC$2:$AC$281,"REQUIREMENTS &gt; Requirements Management Activities")</f>
        <v>0</v>
      </c>
      <c r="I99" s="17">
        <f>COUNTIFS('Prácticas_Revisiones'!$S$2:$S$282,"T085",'Prácticas_Revisiones'!$T$2:$T$282,"REQUIREMENTS &gt; Practical Considerations")+COUNTIFS('Prácticas_Snowballing'!$AB$2:$AB$281,"T085",'Prácticas_Snowballing'!$AC$2:$AC$281,"REQUIREMENTS &gt; Practical Considerations")</f>
        <v>0</v>
      </c>
      <c r="J99" s="17">
        <f>COUNTIFS('Prácticas_Revisiones'!$S$2:$S$282,"T085",'Prácticas_Revisiones'!$T$2:$T$282,"REQUIREMENTS &gt; Software Requirements Tools")+COUNTIFS('Prácticas_Snowballing'!$AB$2:$AB$281,"T085",'Prácticas_Snowballing'!$AC$2:$AC$281,"REQUIREMENTS &gt; Software Requirements Tools")</f>
        <v>0</v>
      </c>
      <c r="K99" s="17">
        <f>COUNTIFS('Prácticas_Revisiones'!$S$2:$S$282,"T085",'Prácticas_Revisiones'!$T$2:$T$282,"REQUIREMENTS &gt; Subárea no determinable")+COUNTIFS('Prácticas_Snowballing'!$AB$2:$AB$281,"T085",'Prácticas_Snowballing'!$AC$2:$AC$281,"REQUIREMENTS &gt; Subárea no determinable")</f>
        <v>0</v>
      </c>
      <c r="L99" s="29">
        <f t="shared" si="69"/>
        <v>0</v>
      </c>
      <c r="M99" s="17">
        <f>COUNTIFS('Prácticas_Revisiones'!$S$2:$S$282,"T085",'Prácticas_Revisiones'!$T$2:$T$282,"ARCHITECTURE &gt; Software Architecture Fundamentals")+COUNTIFS('Prácticas_Snowballing'!$AB$2:$AB$281,"T085",'Prácticas_Snowballing'!$AC$2:$AC$281,"ARCHITECTURE &gt; Software Architecture Fundamentals")</f>
        <v>0</v>
      </c>
      <c r="N99" s="17">
        <f>COUNTIFS('Prácticas_Revisiones'!$S$2:$S$282,"T085",'Prácticas_Revisiones'!$T$2:$T$282,"ARCHITECTURE &gt; Software Architecture Description")+COUNTIFS('Prácticas_Snowballing'!$AB$2:$AB$281,"T085",'Prácticas_Snowballing'!$AC$2:$AC$281,"ARCHITECTURE &gt; Software Architecture Description")</f>
        <v>0</v>
      </c>
      <c r="O99" s="17">
        <f>COUNTIFS('Prácticas_Revisiones'!$S$2:$S$282,"T085",'Prácticas_Revisiones'!$T$2:$T$282,"ARCHITECTURE &gt; Software Architecture Process")+COUNTIFS('Prácticas_Snowballing'!$AB$2:$AB$281,"T085",'Prácticas_Snowballing'!$AC$2:$AC$281,"ARCHITECTURE &gt; Software Architecture Process")</f>
        <v>0</v>
      </c>
      <c r="P99" s="17">
        <f>COUNTIFS('Prácticas_Revisiones'!$S$2:$S$282,"T085",'Prácticas_Revisiones'!$T$2:$T$282,"ARCHITECTURE &gt; Software Architecture Evaluation")+COUNTIFS('Prácticas_Snowballing'!$AB$2:$AB$281,"T085",'Prácticas_Snowballing'!$AC$2:$AC$281,"ARCHITECTURE &gt; Software Architecture Evaluation")</f>
        <v>0</v>
      </c>
      <c r="Q99" s="17">
        <f>COUNTIFS('Prácticas_Revisiones'!$S$2:$S$282,"T085",'Prácticas_Revisiones'!$T$2:$T$282,"ARCHITECTURE &gt; Subárea no determinable")+COUNTIFS('Prácticas_Snowballing'!$AB$2:$AB$281,"T085",'Prácticas_Snowballing'!$AC$2:$AC$281,"ARCHITECTURE &gt; Subárea no determinable")</f>
        <v>0</v>
      </c>
      <c r="R99" s="29">
        <f t="shared" si="70"/>
        <v>0</v>
      </c>
      <c r="S99" s="17">
        <f>COUNTIFS('Prácticas_Revisiones'!$S$2:$S$282,"T085",'Prácticas_Revisiones'!$T$2:$T$282,"DESIGN &gt; Software Design Fundamentals")+COUNTIFS('Prácticas_Snowballing'!$AB$2:$AB$281,"T085",'Prácticas_Snowballing'!$AC$2:$AC$281,"DESIGN &gt; Software Design Fundamentals")</f>
        <v>0</v>
      </c>
      <c r="T99" s="17">
        <f>COUNTIFS('Prácticas_Revisiones'!$S$2:$S$282,"T085",'Prácticas_Revisiones'!$T$2:$T$282,"DESIGN &gt; Software Design Processes")+COUNTIFS('Prácticas_Snowballing'!$AB$2:$AB$281,"T085",'Prácticas_Snowballing'!$AC$2:$AC$281,"DESIGN &gt; Software Design Processes")</f>
        <v>0</v>
      </c>
      <c r="U99" s="17">
        <f>COUNTIFS('Prácticas_Revisiones'!$S$2:$S$282,"T085",'Prácticas_Revisiones'!$T$2:$T$282,"DESIGN &gt; Software Design Qualities")+COUNTIFS('Prácticas_Snowballing'!$AB$2:$AB$281,"T085",'Prácticas_Snowballing'!$AC$2:$AC$281,"DESIGN &gt; Software Design Qualities")</f>
        <v>0</v>
      </c>
      <c r="V99" s="17">
        <f>COUNTIFS('Prácticas_Revisiones'!$S$2:$S$282,"T085",'Prácticas_Revisiones'!$T$2:$T$282,"DESIGN &gt; Recording Software Design")+COUNTIFS('Prácticas_Snowballing'!$AB$2:$AB$281,"T085",'Prácticas_Snowballing'!$AC$2:$AC$281,"DESIGN &gt; Recording Software Design")</f>
        <v>0</v>
      </c>
      <c r="W99" s="17">
        <f>COUNTIFS('Prácticas_Revisiones'!$S$2:$S$282,"T085",'Prácticas_Revisiones'!$T$2:$T$282,"DESIGN &gt; Software Design Strategies and Methods")+COUNTIFS('Prácticas_Snowballing'!$AB$2:$AB$281,"T085",'Prácticas_Snowballing'!$AC$2:$AC$281,"DESIGN &gt; Software Design Strategies and Methods")</f>
        <v>0</v>
      </c>
      <c r="X99" s="17">
        <f>COUNTIFS('Prácticas_Revisiones'!$S$2:$S$282,"T085",'Prácticas_Revisiones'!$T$2:$T$282,"DESIGN &gt; Software Design Analysis and Evaluations")+COUNTIFS('Prácticas_Snowballing'!$AB$2:$AB$281,"T085",'Prácticas_Snowballing'!$AC$2:$AC$281,"DESIGN &gt; Software Design Analysis and Evaluations")</f>
        <v>0</v>
      </c>
      <c r="Y99" s="17">
        <f>COUNTIFS('Prácticas_Revisiones'!$S$2:$S$282,"T085",'Prácticas_Revisiones'!$T$2:$T$282,"DESIGN &gt; Subárea no determinable")+COUNTIFS('Prácticas_Snowballing'!$AB$2:$AB$281,"T085",'Prácticas_Snowballing'!$AC$2:$AC$281,"DESIGN &gt; Subárea no determinable")</f>
        <v>0</v>
      </c>
      <c r="Z99" s="29">
        <f t="shared" si="71"/>
        <v>0</v>
      </c>
      <c r="AA99" s="17">
        <f>COUNTIFS('Prácticas_Revisiones'!$S$2:$S$282,"T085",'Prácticas_Revisiones'!$T$2:$T$282,"CONSTRUCTION &gt; Software Construction Fundamentals")+COUNTIFS('Prácticas_Snowballing'!$AB$2:$AB$281,"T085",'Prácticas_Snowballing'!$AC$2:$AC$281,"CONSTRUCTION &gt; Software Construction Fundamentals")</f>
        <v>0</v>
      </c>
      <c r="AB99" s="17">
        <f>COUNTIFS('Prácticas_Revisiones'!$S$2:$S$282,"T085",'Prácticas_Revisiones'!$T$2:$T$282,"CONSTRUCTION &gt; Managing Construction")+COUNTIFS('Prácticas_Snowballing'!$AB$2:$AB$281,"T085",'Prácticas_Snowballing'!$AC$2:$AC$281,"CONSTRUCTION &gt; Managing Construction")</f>
        <v>0</v>
      </c>
      <c r="AC99" s="17">
        <f>COUNTIFS('Prácticas_Revisiones'!$S$2:$S$282,"T085",'Prácticas_Revisiones'!$T$2:$T$282,"CONSTRUCTION &gt; Practical Considerations")+COUNTIFS('Prácticas_Snowballing'!$AB$2:$AB$281,"T085",'Prácticas_Snowballing'!$AC$2:$AC$281,"CONSTRUCTION &gt; Practical Considerations")</f>
        <v>0</v>
      </c>
      <c r="AD99" s="17">
        <f>COUNTIFS('Prácticas_Revisiones'!$S$2:$S$282,"T085",'Prácticas_Revisiones'!$T$2:$T$282,"CONSTRUCTION &gt; Construction Technologies")+COUNTIFS('Prácticas_Snowballing'!$AB$2:$AB$281,"T085",'Prácticas_Snowballing'!$AC$2:$AC$281,"CONSTRUCTION &gt; Construction Technologies")</f>
        <v>0</v>
      </c>
      <c r="AE99" s="17">
        <f>COUNTIFS('Prácticas_Revisiones'!$S$2:$S$282,"T085",'Prácticas_Revisiones'!$T$2:$T$282,"CONSTRUCTION &gt; Software Construction Tools")+COUNTIFS('Prácticas_Snowballing'!$AB$2:$AB$281,"T085",'Prácticas_Snowballing'!$AC$2:$AC$281,"CONSTRUCTION &gt; Software Construction Tools")</f>
        <v>0</v>
      </c>
      <c r="AF99" s="17">
        <f>COUNTIFS('Prácticas_Revisiones'!$S$2:$S$282,"T085",'Prácticas_Revisiones'!$T$2:$T$282,"CONSTRUCTION &gt; Subárea no determinable")+COUNTIFS('Prácticas_Snowballing'!$AB$2:$AB$281,"T085",'Prácticas_Snowballing'!$AC$2:$AC$281,"CONSTRUCTION &gt; Subárea no determinable")</f>
        <v>0</v>
      </c>
      <c r="AG99" s="29">
        <f t="shared" si="72"/>
        <v>0</v>
      </c>
      <c r="AH99" s="17">
        <f>COUNTIFS('Prácticas_Revisiones'!$S$2:$S$282,"T085",'Prácticas_Revisiones'!$T$2:$T$282,"SOFTWARE TESTING &gt; Software Testing Fundamentals")+COUNTIFS('Prácticas_Snowballing'!$AB$2:$AB$281,"T085",'Prácticas_Snowballing'!$AC$2:$AC$281,"SOFTWARE TESTING &gt; Software Testing Fundamentals")</f>
        <v>0</v>
      </c>
      <c r="AI99" s="17">
        <f>COUNTIFS('Prácticas_Revisiones'!$S$2:$S$282,"T085",'Prácticas_Revisiones'!$T$2:$T$282,"SOFTWARE TESTING &gt; Test Levels")+COUNTIFS('Prácticas_Snowballing'!$AB$2:$AB$281,"T085",'Prácticas_Snowballing'!$AC$2:$AC$281,"SOFTWARE TESTING &gt; Test Levels")</f>
        <v>0</v>
      </c>
      <c r="AJ99" s="17">
        <f>COUNTIFS('Prácticas_Revisiones'!$S$2:$S$282,"T085",'Prácticas_Revisiones'!$T$2:$T$282,"SOFTWARE TESTING &gt; Test Techniques")+COUNTIFS('Prácticas_Snowballing'!$AB$2:$AB$281,"T085",'Prácticas_Snowballing'!$AC$2:$AC$281,"SOFTWARE TESTING &gt; Test Techniques")</f>
        <v>0</v>
      </c>
      <c r="AK99" s="17">
        <f>COUNTIFS('Prácticas_Revisiones'!$S$2:$S$282,"T085",'Prácticas_Revisiones'!$T$2:$T$282,"SOFTWARE TESTING &gt; Test-Related Measures")+COUNTIFS('Prácticas_Snowballing'!$AB$2:$AB$281,"T085",'Prácticas_Snowballing'!$AC$2:$AC$281,"SOFTWARE TESTING &gt; Test-Related Measures")</f>
        <v>0</v>
      </c>
      <c r="AL99" s="17">
        <f>COUNTIFS('Prácticas_Revisiones'!$S$2:$S$282,"T085",'Prácticas_Revisiones'!$T$2:$T$282,"SOFTWARE TESTING &gt; Test Process")+COUNTIFS('Prácticas_Snowballing'!$AB$2:$AB$281,"T085",'Prácticas_Snowballing'!$AC$2:$AC$281,"SOFTWARE TESTING &gt; Test Process")</f>
        <v>0</v>
      </c>
      <c r="AM99" s="17">
        <f>COUNTIFS('Prácticas_Revisiones'!$S$2:$S$282,"T085",'Prácticas_Revisiones'!$T$2:$T$282,"SOFTWARE TESTING &gt; Software Testing in the Development Processes...")+COUNTIFS('Prácticas_Snowballing'!$AB$2:$AB$281,"T085",'Prácticas_Snowballing'!$AC$2:$AC$281,"SOFTWARE TESTING &gt; Software Testing in the Development Processes...")</f>
        <v>0</v>
      </c>
      <c r="AN99" s="17">
        <f>COUNTIFS('Prácticas_Revisiones'!$S$2:$S$282,"T085",'Prácticas_Revisiones'!$T$2:$T$282,"SOFTWARE TESTING &gt; Testing of and Testing Through Emerging Tech...")+COUNTIFS('Prácticas_Snowballing'!$AB$2:$AB$281,"T085",'Prácticas_Snowballing'!$AC$2:$AC$281,"SOFTWARE TESTING &gt; Testing of and Testing Through Emerging Tech...")</f>
        <v>0</v>
      </c>
      <c r="AO99" s="17">
        <f>COUNTIFS('Prácticas_Revisiones'!$S$2:$S$282,"T085",'Prácticas_Revisiones'!$T$2:$T$282,"SOFTWARE TESTING &gt; Software Testing Tools")+COUNTIFS('Prácticas_Snowballing'!$AB$2:$AB$281,"T085",'Prácticas_Snowballing'!$AC$2:$AC$281,"SOFTWARE TESTING &gt; Software Testing Tools")</f>
        <v>0</v>
      </c>
      <c r="AP99" s="17">
        <f>COUNTIFS('Prácticas_Revisiones'!$S$2:$S$282,"T085",'Prácticas_Revisiones'!$T$2:$T$282,"SOFTWARE TESTING &gt; Subárea no determinable")+COUNTIFS('Prácticas_Snowballing'!$AB$2:$AB$281,"T085",'Prácticas_Snowballing'!$AC$2:$AC$281,"SOFTWARE TESTING &gt; Subárea no determinable")</f>
        <v>0</v>
      </c>
      <c r="AQ99" s="29">
        <f t="shared" si="73"/>
        <v>0</v>
      </c>
      <c r="AR99" s="17">
        <f>COUNTIFS('Prácticas_Revisiones'!$S$2:$S$282,"T085",'Prácticas_Revisiones'!$T$2:$T$282,"SOFTWARE ENG. OPERATIONS &gt; Software Engineering Operations Fundamentals")+COUNTIFS('Prácticas_Snowballing'!$AB$2:$AB$281,"T085",'Prácticas_Snowballing'!$AC$2:$AC$281,"SOFTWARE ENG. OPERATIONS &gt; Software Engineering Operations Fundamentals")</f>
        <v>0</v>
      </c>
      <c r="AS99" s="17">
        <f>COUNTIFS('Prácticas_Revisiones'!$S$2:$S$282,"T085",'Prácticas_Revisiones'!$T$2:$T$282,"SOFTWARE ENG. OPERATIONS &gt; Software Engineering Operations Planning")+COUNTIFS('Prácticas_Snowballing'!$AB$2:$AB$281,"T085",'Prácticas_Snowballing'!$AC$2:$AC$281,"SOFTWARE ENG. OPERATIONS &gt; Software Engineering Operations Planning")</f>
        <v>0</v>
      </c>
      <c r="AT99" s="17">
        <f>COUNTIFS('Prácticas_Revisiones'!$S$2:$S$282,"T085",'Prácticas_Revisiones'!$T$2:$T$282,"SOFTWARE ENG. OPERATIONS &gt; Software Engineering Operations Delivery")+COUNTIFS('Prácticas_Snowballing'!$AB$2:$AB$281,"T085",'Prácticas_Snowballing'!$AC$2:$AC$281,"SOFTWARE ENG. OPERATIONS &gt; Software Engineering Operations Delivery")</f>
        <v>0</v>
      </c>
      <c r="AU99" s="17">
        <f>COUNTIFS('Prácticas_Revisiones'!$S$2:$S$282,"T085",'Prácticas_Revisiones'!$T$2:$T$282,"SOFTWARE ENG. OPERATIONS &gt; Software Engineering Operations Control")+COUNTIFS('Prácticas_Snowballing'!$AB$2:$AB$281,"T085",'Prácticas_Snowballing'!$AC$2:$AC$281,"SOFTWARE ENG. OPERATIONS &gt; Software Engineering Operations Control")</f>
        <v>0</v>
      </c>
      <c r="AV99" s="17">
        <f>COUNTIFS('Prácticas_Revisiones'!$S$2:$S$282,"T085",'Prácticas_Revisiones'!$T$2:$T$282,"SOFTWARE ENG. OPERATIONS &gt; Practical Considerations")+COUNTIFS('Prácticas_Snowballing'!$AB$2:$AB$281,"T085",'Prácticas_Snowballing'!$AC$2:$AC$281,"SOFTWARE ENG. OPERATIONS &gt; Practical Considerations")</f>
        <v>0</v>
      </c>
      <c r="AW99" s="17">
        <f>COUNTIFS('Prácticas_Revisiones'!$S$2:$S$282,"T085",'Prácticas_Revisiones'!$T$2:$T$282,"SOFTWARE ENG. OPERATIONS &gt; Software Engineering Operations Tools")+COUNTIFS('Prácticas_Snowballing'!$AB$2:$AB$281,"T085",'Prácticas_Snowballing'!$AC$2:$AC$281,"SOFTWARE ENG. OPERATIONS &gt; Software Engineering Operations Tools")</f>
        <v>0</v>
      </c>
      <c r="AX99" s="17">
        <f>COUNTIFS('Prácticas_Revisiones'!$S$2:$S$282,"T085",'Prácticas_Revisiones'!$T$2:$T$282,"SOFTWARE ENG. OPERATIONS &gt; Subárea no determinable")+COUNTIFS('Prácticas_Snowballing'!$AB$2:$AB$281,"T085",'Prácticas_Snowballing'!$AC$2:$AC$281,"SOFTWARE ENG. OPERATIONS &gt; Subárea no determinable")</f>
        <v>0</v>
      </c>
      <c r="AY99" s="29">
        <f t="shared" si="74"/>
        <v>0</v>
      </c>
      <c r="AZ99" s="17">
        <f>COUNTIFS('Prácticas_Revisiones'!$S$2:$S$282,"T085",'Prácticas_Revisiones'!$T$2:$T$282,"MAINTENANCE &gt; Software Maintenance Fundamentals")+COUNTIFS('Prácticas_Snowballing'!$AB$2:$AB$281,"T085",'Prácticas_Snowballing'!$AC$2:$AC$281,"MAINTENANCE &gt; Software Maintenance Fundamentals")</f>
        <v>0</v>
      </c>
      <c r="BA99" s="17">
        <f>COUNTIFS('Prácticas_Revisiones'!$S$2:$S$282,"T085",'Prácticas_Revisiones'!$T$2:$T$282,"MAINTENANCE &gt; Key Issues in Software Maintenance")+COUNTIFS('Prácticas_Snowballing'!$AB$2:$AB$281,"T085",'Prácticas_Snowballing'!$AC$2:$AC$281,"MAINTENANCE &gt; Key Issues in Software Maintenance")</f>
        <v>0</v>
      </c>
      <c r="BB99" s="17">
        <f>COUNTIFS('Prácticas_Revisiones'!$S$2:$S$282,"T085",'Prácticas_Revisiones'!$T$2:$T$282,"MAINTENANCE &gt; Software Maintenance Processes")+COUNTIFS('Prácticas_Snowballing'!$AB$2:$AB$281,"T085",'Prácticas_Snowballing'!$AC$2:$AC$281,"MAINTENANCE &gt; Software Maintenance Processes")</f>
        <v>0</v>
      </c>
      <c r="BC99" s="17">
        <f>COUNTIFS('Prácticas_Revisiones'!$S$2:$S$282,"T085",'Prácticas_Revisiones'!$T$2:$T$282,"MAINTENANCE &gt; Software Maintenance Techniques")+COUNTIFS('Prácticas_Snowballing'!$AB$2:$AB$281,"T085",'Prácticas_Snowballing'!$AC$2:$AC$281,"MAINTENANCE &gt; Software Maintenance Techniques")</f>
        <v>0</v>
      </c>
      <c r="BD99" s="17">
        <f>COUNTIFS('Prácticas_Revisiones'!$S$2:$S$282,"T085",'Prácticas_Revisiones'!$T$2:$T$282,"MAINTENANCE &gt; Software Maintenance Tools")+COUNTIFS('Prácticas_Snowballing'!$AB$2:$AB$281,"T085",'Prácticas_Snowballing'!$AC$2:$AC$281,"MAINTENANCE &gt; Software Maintenance Tools")</f>
        <v>0</v>
      </c>
      <c r="BE99" s="17">
        <f>COUNTIFS('Prácticas_Revisiones'!$S$2:$S$282,"T085",'Prácticas_Revisiones'!$T$2:$T$282,"MAINTENANCE &gt; Subárea no determinable")+COUNTIFS('Prácticas_Snowballing'!$AB$2:$AB$281,"T085",'Prácticas_Snowballing'!$AC$2:$AC$281,"MAINTENANCE &gt; Subárea no determinable")</f>
        <v>0</v>
      </c>
      <c r="BF99" s="29">
        <f t="shared" si="75"/>
        <v>0</v>
      </c>
      <c r="BG99" s="17">
        <f>COUNTIFS('Prácticas_Revisiones'!$S$2:$S$282,"T085",'Prácticas_Revisiones'!$T$2:$T$282,"SOFTWARE CONFIG. MGMT. &gt; Management of the SCM Process")+COUNTIFS('Prácticas_Snowballing'!$AB$2:$AB$281,"T085",'Prácticas_Snowballing'!$AC$2:$AC$281,"SOFTWARE CONFIG. MGMT. &gt; Management of the SCM Process")</f>
        <v>0</v>
      </c>
      <c r="BH99" s="17">
        <f>COUNTIFS('Prácticas_Revisiones'!$S$2:$S$282,"T085",'Prácticas_Revisiones'!$T$2:$T$282,"SOFTWARE CONFIG. MGMT. &gt; Software Configuration Identification")+COUNTIFS('Prácticas_Snowballing'!$AB$2:$AB$281,"T085",'Prácticas_Snowballing'!$AC$2:$AC$281,"SOFTWARE CONFIG. MGMT. &gt; Software Configuration Identification")</f>
        <v>0</v>
      </c>
      <c r="BI99" s="17">
        <f>COUNTIFS('Prácticas_Revisiones'!$S$2:$S$282,"T085",'Prácticas_Revisiones'!$T$2:$T$282,"SOFTWARE CONFIG. MGMT. &gt; Software Configuration Change Control")+COUNTIFS('Prácticas_Snowballing'!$AB$2:$AB$281,"T085",'Prácticas_Snowballing'!$AC$2:$AC$281,"SOFTWARE CONFIG. MGMT. &gt; Software Configuration Change Control")</f>
        <v>0</v>
      </c>
      <c r="BJ99" s="17">
        <f>COUNTIFS('Prácticas_Revisiones'!$S$2:$S$282,"T085",'Prácticas_Revisiones'!$T$2:$T$282,"SOFTWARE CONFIG. MGMT. &gt; Software Configuration Status Accounting")+COUNTIFS('Prácticas_Snowballing'!$AB$2:$AB$281,"T085",'Prácticas_Snowballing'!$AC$2:$AC$281,"SOFTWARE CONFIG. MGMT. &gt; Software Configuration Status Accounting")</f>
        <v>0</v>
      </c>
      <c r="BK99" s="17">
        <f>COUNTIFS('Prácticas_Revisiones'!$S$2:$S$282,"T085",'Prácticas_Revisiones'!$T$2:$T$282,"SOFTWARE CONFIG. MGMT. &gt; Software Configuration Auditing")+COUNTIFS('Prácticas_Snowballing'!$AB$2:$AB$281,"T085",'Prácticas_Snowballing'!$AC$2:$AC$281,"SOFTWARE CONFIG. MGMT. &gt; Software Configuration Auditing")</f>
        <v>0</v>
      </c>
      <c r="BL99" s="17">
        <f>COUNTIFS('Prácticas_Revisiones'!$S$2:$S$282,"T085",'Prácticas_Revisiones'!$T$2:$T$282,"SOFTWARE CONFIG. MGMT. &gt; Software Release Management and Delivery")+COUNTIFS('Prácticas_Snowballing'!$AB$2:$AB$281,"T085",'Prácticas_Snowballing'!$AC$2:$AC$281,"SOFTWARE CONFIG. MGMT. &gt; Software Release Management and Delivery")</f>
        <v>0</v>
      </c>
      <c r="BM99" s="17">
        <f>COUNTIFS('Prácticas_Revisiones'!$S$2:$S$282,"T085",'Prácticas_Revisiones'!$T$2:$T$282,"SOFTWARE CONFIG. MGMT. &gt; Software Configuration Management Tools")+COUNTIFS('Prácticas_Snowballing'!$AB$2:$AB$281,"T085",'Prácticas_Snowballing'!$AC$2:$AC$281,"SOFTWARE CONFIG. MGMT. &gt; Software Configuration Management Tools")</f>
        <v>0</v>
      </c>
      <c r="BN99" s="17">
        <f>COUNTIFS('Prácticas_Revisiones'!$S$2:$S$282,"T085",'Prácticas_Revisiones'!$T$2:$T$282,"SOFTWARE CONFIG. MGMT. &gt; Subárea no determinable")+COUNTIFS('Prácticas_Snowballing'!$AB$2:$AB$281,"T085",'Prácticas_Snowballing'!$AC$2:$AC$281,"SOFTWARE CONFIG. MGMT. &gt; Subárea no determinable")</f>
        <v>0</v>
      </c>
      <c r="BO99" s="29">
        <f t="shared" si="76"/>
        <v>0</v>
      </c>
      <c r="BP99" s="17">
        <f>COUNTIFS('Prácticas_Revisiones'!$S$2:$S$282,"T085",'Prácticas_Revisiones'!$T$2:$T$282,"SOFTWARE ENG. PROCESS &gt; Software Engineering Process Fundamentals")+COUNTIFS('Prácticas_Snowballing'!$AB$2:$AB$281,"T085",'Prácticas_Snowballing'!$AC$2:$AC$281,"SOFTWARE ENG. PROCESS &gt; Software Engineering Process Fundamentals")</f>
        <v>0</v>
      </c>
      <c r="BQ99" s="17">
        <f>COUNTIFS('Prácticas_Revisiones'!$S$2:$S$282,"T085",'Prácticas_Revisiones'!$T$2:$T$282,"SOFTWARE ENG. PROCESS &gt; Life Cycles")+COUNTIFS('Prácticas_Snowballing'!$AB$2:$AB$281,"T085",'Prácticas_Snowballing'!$AC$2:$AC$281,"SOFTWARE ENG. PROCESS &gt; Life Cycles")</f>
        <v>0</v>
      </c>
      <c r="BR99" s="17">
        <f>COUNTIFS('Prácticas_Revisiones'!$S$2:$S$282,"T085",'Prácticas_Revisiones'!$T$2:$T$282,"SOFTWARE ENG. PROCESS &gt; Software Process Assessment and Improvement")+COUNTIFS('Prácticas_Snowballing'!$AB$2:$AB$281,"T085",'Prácticas_Snowballing'!$AC$2:$AC$281,"SOFTWARE ENG. PROCESS &gt; Software Process Assessment and Improvement")</f>
        <v>0</v>
      </c>
      <c r="BS99" s="17">
        <f>COUNTIFS('Prácticas_Revisiones'!$S$2:$S$282,"T085",'Prácticas_Revisiones'!$T$2:$T$282,"SOFTWARE ENG. PROCESS &gt; Subárea no determinable")+COUNTIFS('Prácticas_Snowballing'!$AB$2:$AB$281,"T085",'Prácticas_Snowballing'!$AC$2:$AC$281,"SOFTWARE ENG. PROCESS &gt; Subárea no determinable")</f>
        <v>0</v>
      </c>
      <c r="BT99" s="29">
        <f t="shared" si="77"/>
        <v>0</v>
      </c>
      <c r="BU99" s="17">
        <f>COUNTIFS('Prácticas_Revisiones'!$S$2:$S$282,"T085",'Prácticas_Revisiones'!$T$2:$T$282,"SOFTWARE ENG. MODELS/METH. &gt; Modeling")+COUNTIFS('Prácticas_Snowballing'!$AB$2:$AB$281,"T085",'Prácticas_Snowballing'!$AC$2:$AC$281,"SOFTWARE ENG. MODELS/METH. &gt; Modeling")</f>
        <v>0</v>
      </c>
      <c r="BV99" s="17">
        <f>COUNTIFS('Prácticas_Revisiones'!$S$2:$S$282,"T085",'Prácticas_Revisiones'!$T$2:$T$282,"SOFTWARE ENG. MODELS/METH. &gt; Types of Models")+COUNTIFS('Prácticas_Snowballing'!$AB$2:$AB$281,"T085",'Prácticas_Snowballing'!$AC$2:$AC$281,"SOFTWARE ENG. MODELS/METH. &gt; Types of Models")</f>
        <v>0</v>
      </c>
      <c r="BW99" s="17">
        <f>COUNTIFS('Prácticas_Revisiones'!$S$2:$S$282,"T085",'Prácticas_Revisiones'!$T$2:$T$282,"SOFTWARE ENG. MODELS/METH. &gt; Analysis of Models")+COUNTIFS('Prácticas_Snowballing'!$AB$2:$AB$281,"T085",'Prácticas_Snowballing'!$AC$2:$AC$281,"SOFTWARE ENG. MODELS/METH. &gt; Analysis of Models")</f>
        <v>0</v>
      </c>
      <c r="BX99" s="17">
        <f>COUNTIFS('Prácticas_Revisiones'!$S$2:$S$282,"T085",'Prácticas_Revisiones'!$T$2:$T$282,"SOFTWARE ENG. MODELS/METH. &gt; Software Engineering Methods")+COUNTIFS('Prácticas_Snowballing'!$AB$2:$AB$281,"T085",'Prácticas_Snowballing'!$AC$2:$AC$281,"SOFTWARE ENG. MODELS/METH. &gt; Software Engineering Methods")</f>
        <v>0</v>
      </c>
      <c r="BY99" s="17">
        <f>COUNTIFS('Prácticas_Revisiones'!$S$2:$S$282,"T085",'Prácticas_Revisiones'!$T$2:$T$282,"SOFTWARE ENG. MODELS/METH. &gt; Subárea no determinable")+COUNTIFS('Prácticas_Snowballing'!$AB$2:$AB$281,"T085",'Prácticas_Snowballing'!$AC$2:$AC$281,"SOFTWARE ENG. MODELS/METH. &gt; Subárea no determinable")</f>
        <v>0</v>
      </c>
      <c r="BZ99" s="29">
        <f t="shared" si="78"/>
        <v>0</v>
      </c>
      <c r="CA99" s="17">
        <f>COUNTIFS('Prácticas_Revisiones'!$S$2:$S$282,"T085",'Prácticas_Revisiones'!$T$2:$T$282,"SOFTWARE QUALITY &gt; Software Quality Fundamentals")+COUNTIFS('Prácticas_Snowballing'!$AB$2:$AB$281,"T085",'Prácticas_Snowballing'!$AC$2:$AC$281,"SOFTWARE QUALITY &gt; Software Quality Fundamentals")</f>
        <v>0</v>
      </c>
      <c r="CB99" s="17">
        <f>COUNTIFS('Prácticas_Revisiones'!$S$2:$S$282,"T085",'Prácticas_Revisiones'!$T$2:$T$282,"SOFTWARE QUALITY &gt; Software Quality Management Process")+COUNTIFS('Prácticas_Snowballing'!$AB$2:$AB$281,"T085",'Prácticas_Snowballing'!$AC$2:$AC$281,"SOFTWARE QUALITY &gt; Software Quality Management Process")</f>
        <v>0</v>
      </c>
      <c r="CC99" s="17">
        <f>COUNTIFS('Prácticas_Revisiones'!$S$2:$S$282,"T085",'Prácticas_Revisiones'!$T$2:$T$282,"SOFTWARE QUALITY &gt; Software Quality Assurance Process")+COUNTIFS('Prácticas_Snowballing'!$AB$2:$AB$281,"T085",'Prácticas_Snowballing'!$AC$2:$AC$281,"SOFTWARE QUALITY &gt; Software Quality Assurance Process")</f>
        <v>0</v>
      </c>
      <c r="CD99" s="17">
        <f>COUNTIFS('Prácticas_Revisiones'!$S$2:$S$282,"T085",'Prácticas_Revisiones'!$T$2:$T$282,"SOFTWARE QUALITY &gt; Software Quality Tools")+COUNTIFS('Prácticas_Snowballing'!$AB$2:$AB$281,"T085",'Prácticas_Snowballing'!$AC$2:$AC$281,"SOFTWARE QUALITY &gt; Software Quality Tools")</f>
        <v>0</v>
      </c>
      <c r="CE99" s="17">
        <f>COUNTIFS('Prácticas_Revisiones'!$S$2:$S$282,"T085",'Prácticas_Revisiones'!$T$2:$T$282,"SOFTWARE QUALITY &gt; Subárea no determinable")+COUNTIFS('Prácticas_Snowballing'!$AB$2:$AB$281,"T085",'Prácticas_Snowballing'!$AC$2:$AC$281,"SOFTWARE QUALITY &gt; Subárea no determinable")</f>
        <v>0</v>
      </c>
      <c r="CF99" s="29">
        <f t="shared" si="79"/>
        <v>0</v>
      </c>
      <c r="CG99" s="17">
        <f>COUNTIFS('Prácticas_Revisiones'!$S$2:$S$282,"T085",'Prácticas_Revisiones'!$T$2:$T$282,"SOFTWARE SECURITY &gt; Software Security Fundamentals")+COUNTIFS('Prácticas_Snowballing'!$AB$2:$AB$281,"T085",'Prácticas_Snowballing'!$AC$2:$AC$281,"SOFTWARE SECURITY &gt; Software Security Fundamentals")</f>
        <v>0</v>
      </c>
      <c r="CH99" s="17">
        <f>COUNTIFS('Prácticas_Revisiones'!$S$2:$S$282,"T085",'Prácticas_Revisiones'!$T$2:$T$282,"SOFTWARE SECURITY &gt; Security Management and Organization")+COUNTIFS('Prácticas_Snowballing'!$AB$2:$AB$281,"T085",'Prácticas_Snowballing'!$AC$2:$AC$281,"SOFTWARE SECURITY &gt; Security Management and Organization")</f>
        <v>0</v>
      </c>
      <c r="CI99" s="17">
        <f>COUNTIFS('Prácticas_Revisiones'!$S$2:$S$282,"T085",'Prácticas_Revisiones'!$T$2:$T$282,"SOFTWARE SECURITY &gt; Software Security Engineering and Process")+COUNTIFS('Prácticas_Snowballing'!$AB$2:$AB$281,"T085",'Prácticas_Snowballing'!$AC$2:$AC$281,"SOFTWARE SECURITY &gt; Software Security Engineering and Process")</f>
        <v>0</v>
      </c>
      <c r="CJ99" s="17">
        <f>COUNTIFS('Prácticas_Revisiones'!$S$2:$S$282,"T085",'Prácticas_Revisiones'!$T$2:$T$282,"SOFTWARE SECURITY &gt; Security Engineering for Software Systems")+COUNTIFS('Prácticas_Snowballing'!$AB$2:$AB$281,"T085",'Prácticas_Snowballing'!$AC$2:$AC$281,"SOFTWARE SECURITY &gt; Security Engineering for Software Systems")</f>
        <v>0</v>
      </c>
      <c r="CK99" s="17">
        <f>COUNTIFS('Prácticas_Revisiones'!$S$2:$S$282,"T085",'Prácticas_Revisiones'!$T$2:$T$282,"SOFTWARE SECURITY &gt; Software Security Tools")+COUNTIFS('Prácticas_Snowballing'!$AB$2:$AB$281,"T085",'Prácticas_Snowballing'!$AC$2:$AC$281,"SOFTWARE SECURITY &gt; Software Security Tools")</f>
        <v>0</v>
      </c>
      <c r="CL99" s="17">
        <f>COUNTIFS('Prácticas_Revisiones'!$S$2:$S$282,"T085",'Prácticas_Revisiones'!$T$2:$T$282,"SOFTWARE SECURITY &gt; Domain Specific Software Security")+COUNTIFS('Prácticas_Snowballing'!$AB$2:$AB$281,"T085",'Prácticas_Snowballing'!$AC$2:$AC$281,"SOFTWARE SECURITY &gt; Domain Specific Software Security")</f>
        <v>0</v>
      </c>
      <c r="CM99" s="17">
        <f>COUNTIFS('Prácticas_Revisiones'!$S$2:$S$282,"T085",'Prácticas_Revisiones'!$T$2:$T$282,"SOFTWARE SECURITY &gt; Subárea no determinable")+COUNTIFS('Prácticas_Snowballing'!$AB$2:$AB$281,"T085",'Prácticas_Snowballing'!$AC$2:$AC$281,"SOFTWARE SECURITY &gt; Subárea no determinable")</f>
        <v>0</v>
      </c>
      <c r="CN99" s="29">
        <f t="shared" si="80"/>
        <v>0</v>
      </c>
      <c r="CO99" s="17">
        <f>COUNTIFS('Prácticas_Revisiones'!$S$2:$S$282,"T085",'Prácticas_Revisiones'!$T$2:$T$282,"PROFESSIONAL PRACTICE &gt; Professionalism")+COUNTIFS('Prácticas_Snowballing'!$AB$2:$AB$281,"T085",'Prácticas_Snowballing'!$AC$2:$AC$281,"PROFESSIONAL PRACTICE &gt; Professionalism")</f>
        <v>0</v>
      </c>
      <c r="CP99" s="17">
        <f>COUNTIFS('Prácticas_Revisiones'!$S$2:$S$282,"T085",'Prácticas_Revisiones'!$T$2:$T$282,"PROFESSIONAL PRACTICE &gt; Group Dynamics and Psychology")+COUNTIFS('Prácticas_Snowballing'!$AB$2:$AB$281,"T085",'Prácticas_Snowballing'!$AC$2:$AC$281,"PROFESSIONAL PRACTICE &gt; Group Dynamics and Psychology")</f>
        <v>0</v>
      </c>
      <c r="CQ99" s="17">
        <f>COUNTIFS('Prácticas_Revisiones'!$S$2:$S$282,"T085",'Prácticas_Revisiones'!$T$2:$T$282,"PROFESSIONAL PRACTICE &gt; Communication Skills")+COUNTIFS('Prácticas_Snowballing'!$AB$2:$AB$281,"T085",'Prácticas_Snowballing'!$AC$2:$AC$281,"PROFESSIONAL PRACTICE &gt; Communication Skills")</f>
        <v>0</v>
      </c>
      <c r="CR99" s="17">
        <f>COUNTIFS('Prácticas_Revisiones'!$S$2:$S$282,"T085",'Prácticas_Revisiones'!$T$2:$T$282,"PROFESSIONAL PRACTICE &gt; Subárea no determinable")+COUNTIFS('Prácticas_Snowballing'!$AB$2:$AB$281,"T085",'Prácticas_Snowballing'!$AC$2:$AC$281,"PROFESSIONAL PRACTICE &gt; Subárea no determinable")</f>
        <v>0</v>
      </c>
      <c r="CS99" s="29">
        <f t="shared" si="81"/>
        <v>0</v>
      </c>
      <c r="CT99" s="17">
        <f>COUNTIFS('Prácticas_Revisiones'!$S$2:$S$282,"T085",'Prácticas_Revisiones'!$T$2:$T$282,"SOFTWARE ENG. ECONOMICS &gt; Software Engineering Economics Fundamentals")+COUNTIFS('Prácticas_Snowballing'!$AB$2:$AB$281,"T085",'Prácticas_Snowballing'!$AC$2:$AC$281,"SOFTWARE ENG. ECONOMICS &gt; Software Engineering Economics Fundamentals")</f>
        <v>0</v>
      </c>
      <c r="CU99" s="17">
        <f>COUNTIFS('Prácticas_Revisiones'!$S$2:$S$282,"T085",'Prácticas_Revisiones'!$T$2:$T$282,"SOFTWARE ENG. ECONOMICS &gt; The Engineering Decision-Making Process")+COUNTIFS('Prácticas_Snowballing'!$AB$2:$AB$281,"T085",'Prácticas_Snowballing'!$AC$2:$AC$281,"SOFTWARE ENG. ECONOMICS &gt; The Engineering Decision-Making Process")</f>
        <v>0</v>
      </c>
      <c r="CV99" s="17">
        <f>COUNTIFS('Prácticas_Revisiones'!$S$2:$S$282,"T085",'Prácticas_Revisiones'!$T$2:$T$282,"SOFTWARE ENG. ECONOMICS &gt; For-Profit Decision-Making")+COUNTIFS('Prácticas_Snowballing'!$AB$2:$AB$281,"T085",'Prácticas_Snowballing'!$AC$2:$AC$281,"SOFTWARE ENG. ECONOMICS &gt; For-Profit Decision-Making")</f>
        <v>0</v>
      </c>
      <c r="CW99" s="17">
        <f>COUNTIFS('Prácticas_Revisiones'!$S$2:$S$282,"T085",'Prácticas_Revisiones'!$T$2:$T$282,"SOFTWARE ENG. ECONOMICS &gt; Nonprofit Decision-Making")+COUNTIFS('Prácticas_Snowballing'!$AB$2:$AB$281,"T085",'Prácticas_Snowballing'!$AC$2:$AC$281,"SOFTWARE ENG. ECONOMICS &gt; Nonprofit Decision-Making")</f>
        <v>0</v>
      </c>
      <c r="CX99" s="17">
        <f>COUNTIFS('Prácticas_Revisiones'!$S$2:$S$282,"T085",'Prácticas_Revisiones'!$T$2:$T$282,"SOFTWARE ENG. ECONOMICS &gt; Present Economy Decision-Making")+COUNTIFS('Prácticas_Snowballing'!$AB$2:$AB$281,"T085",'Prácticas_Snowballing'!$AC$2:$AC$281,"SOFTWARE ENG. ECONOMICS &gt; Present Economy Decision-Making")</f>
        <v>0</v>
      </c>
      <c r="CY99" s="17">
        <f>COUNTIFS('Prácticas_Revisiones'!$S$2:$S$282,"T085",'Prácticas_Revisiones'!$T$2:$T$282,"SOFTWARE ENG. ECONOMICS &gt; Multiple-Attribute Decision-Making")+COUNTIFS('Prácticas_Snowballing'!$AB$2:$AB$281,"T085",'Prácticas_Snowballing'!$AC$2:$AC$281,"SOFTWARE ENG. ECONOMICS &gt; Multiple-Attribute Decision-Making")</f>
        <v>0</v>
      </c>
      <c r="CZ99" s="17">
        <f>COUNTIFS('Prácticas_Revisiones'!$S$2:$S$282,"T085",'Prácticas_Revisiones'!$T$2:$T$282,"SOFTWARE ENG. ECONOMICS &gt; Identifying and Characterizing Intangible Assets")+COUNTIFS('Prácticas_Snowballing'!$AB$2:$AB$281,"T085",'Prácticas_Snowballing'!$AC$2:$AC$281,"SOFTWARE ENG. ECONOMICS &gt; Identifying and Characterizing Intangible Assets")</f>
        <v>0</v>
      </c>
      <c r="DA99" s="17">
        <f>COUNTIFS('Prácticas_Revisiones'!$S$2:$S$282,"T085",'Prácticas_Revisiones'!$T$2:$T$282,"SOFTWARE ENG. ECONOMICS &gt; Estimation")+COUNTIFS('Prácticas_Snowballing'!$AB$2:$AB$281,"T085",'Prácticas_Snowballing'!$AC$2:$AC$281,"SOFTWARE ENG. ECONOMICS &gt; Estimation")</f>
        <v>0</v>
      </c>
      <c r="DB99" s="17">
        <f>COUNTIFS('Prácticas_Revisiones'!$S$2:$S$282,"T085",'Prácticas_Revisiones'!$T$2:$T$282,"SOFTWARE ENG. ECONOMICS &gt; Practical Considerations")+COUNTIFS('Prácticas_Snowballing'!$AB$2:$AB$281,"T085",'Prácticas_Snowballing'!$AC$2:$AC$281,"SOFTWARE ENG. ECONOMICS &gt; Practical Considerations")</f>
        <v>0</v>
      </c>
      <c r="DC99" s="17">
        <f>COUNTIFS('Prácticas_Revisiones'!$S$2:$S$282,"T085",'Prácticas_Revisiones'!$T$2:$T$282,"SOFTWARE ENG. ECONOMICS &gt; Related Concepts")+COUNTIFS('Prácticas_Snowballing'!$AB$2:$AB$281,"T085",'Prácticas_Snowballing'!$AC$2:$AC$281,"SOFTWARE ENG. ECONOMICS &gt; Related Concepts")</f>
        <v>0</v>
      </c>
      <c r="DD99" s="17">
        <f>COUNTIFS('Prácticas_Revisiones'!$S$2:$S$282,"T085",'Prácticas_Revisiones'!$T$2:$T$282,"SOFTWARE ENG. ECONOMICS &gt; Subárea no determinable")+COUNTIFS('Prácticas_Snowballing'!$AB$2:$AB$281,"T085",'Prácticas_Snowballing'!$AC$2:$AC$281,"SOFTWARE ENG. ECONOMICS &gt; Subárea no determinable")</f>
        <v>0</v>
      </c>
      <c r="DE99" s="29">
        <f t="shared" si="82"/>
        <v>0</v>
      </c>
      <c r="DF99" s="17">
        <f>COUNTIFS('Prácticas_Revisiones'!$S$2:$S$282,"T085",'Prácticas_Revisiones'!$T$2:$T$282,"SOFTWARE ENG. MANAGEMENT &gt; Software Engineering Management Fundamentals")+COUNTIFS('Prácticas_Snowballing'!$AB$2:$AB$281,"T085",'Prácticas_Snowballing'!$AC$2:$AC$281,"SOFTWARE ENG. MANAGEMENT &gt; Software Engineering Management Fundamentals")</f>
        <v>0</v>
      </c>
      <c r="DG99" s="17">
        <f>COUNTIFS('Prácticas_Revisiones'!$S$2:$S$282,"T085",'Prácticas_Revisiones'!$T$2:$T$282,"SOFTWARE ENG. MANAGEMENT &gt; Initiation and Scope Definition")+COUNTIFS('Prácticas_Snowballing'!$AB$2:$AB$281,"T085",'Prácticas_Snowballing'!$AC$2:$AC$281,"SOFTWARE ENG. MANAGEMENT &gt; Initiation and Scope Definition")</f>
        <v>0</v>
      </c>
      <c r="DH99" s="17">
        <f>COUNTIFS('Prácticas_Revisiones'!$S$2:$S$282,"T085",'Prácticas_Revisiones'!$T$2:$T$282,"SOFTWARE ENG. MANAGEMENT &gt; Software Project Planning")+COUNTIFS('Prácticas_Snowballing'!$AB$2:$AB$281,"T085",'Prácticas_Snowballing'!$AC$2:$AC$281,"SOFTWARE ENG. MANAGEMENT &gt; Software Project Planning")</f>
        <v>0</v>
      </c>
      <c r="DI99" s="17">
        <f>COUNTIFS('Prácticas_Revisiones'!$S$2:$S$282,"T085",'Prácticas_Revisiones'!$T$2:$T$282,"SOFTWARE ENG. MANAGEMENT &gt; Software Project Enactment")+COUNTIFS('Prácticas_Snowballing'!$AB$2:$AB$281,"T085",'Prácticas_Snowballing'!$AC$2:$AC$281,"SOFTWARE ENG. MANAGEMENT &gt; Software Project Enactment")</f>
        <v>0</v>
      </c>
      <c r="DJ99" s="17">
        <f>COUNTIFS('Prácticas_Revisiones'!$S$2:$S$282,"T085",'Prácticas_Revisiones'!$T$2:$T$282,"SOFTWARE ENG. MANAGEMENT &gt; Review and Evaluation")+COUNTIFS('Prácticas_Snowballing'!$AB$2:$AB$281,"T085",'Prácticas_Snowballing'!$AC$2:$AC$281,"SOFTWARE ENG. MANAGEMENT &gt; Review and Evaluation")</f>
        <v>0</v>
      </c>
      <c r="DK99" s="17">
        <f>COUNTIFS('Prácticas_Revisiones'!$S$2:$S$282,"T085",'Prácticas_Revisiones'!$T$2:$T$282,"SOFTWARE ENG. MANAGEMENT &gt; Closure")+COUNTIFS('Prácticas_Snowballing'!$AB$2:$AB$281,"T085",'Prácticas_Snowballing'!$AC$2:$AC$281,"SOFTWARE ENG. MANAGEMENT &gt; Closure")</f>
        <v>0</v>
      </c>
      <c r="DL99" s="17">
        <f>COUNTIFS('Prácticas_Revisiones'!$S$2:$S$282,"T085",'Prácticas_Revisiones'!$T$2:$T$282,"SOFTWARE ENG. MANAGEMENT &gt; Software Engineering Management Tools")+COUNTIFS('Prácticas_Snowballing'!$AB$2:$AB$281,"T085",'Prácticas_Snowballing'!$AC$2:$AC$281,"SOFTWARE ENG. MANAGEMENT &gt; Software Engineering Management Tools")</f>
        <v>0</v>
      </c>
      <c r="DM99" s="17">
        <f>COUNTIFS('Prácticas_Revisiones'!$S$2:$S$282,"T085",'Prácticas_Revisiones'!$T$2:$T$282,"SOFTWARE ENG. MANAGEMENT &gt; Subárea no determinable")+COUNTIFS('Prácticas_Snowballing'!$AB$2:$AB$281,"T085",'Prácticas_Snowballing'!$AC$2:$AC$281,"SOFTWARE ENG. MANAGEMENT &gt; Subárea no determinable")</f>
        <v>0</v>
      </c>
      <c r="DN99" s="29">
        <f t="shared" si="83"/>
        <v>0</v>
      </c>
      <c r="DO99" s="17">
        <f>COUNTIFS('Prácticas_Revisiones'!$S$2:$S$282,"T085",'Prácticas_Revisiones'!$T$2:$T$282,"Sin área SWEBOK")+COUNTIFS('Prácticas_Snowballing'!$AB$2:$AB$281,"T085",'Prácticas_Snowballing'!$AC$2:$AC$281,"Sin área SWEBOK")</f>
        <v>0</v>
      </c>
      <c r="DP99" s="27">
        <f t="shared" si="84"/>
        <v>0</v>
      </c>
    </row>
    <row r="100" ht="15.75" customHeight="1">
      <c r="A100" s="28"/>
      <c r="B100" s="16" t="s">
        <v>2810</v>
      </c>
      <c r="C100" s="17">
        <f>COUNTIFS('Prácticas_Revisiones'!$S$2:$S$282,"T086",'Prácticas_Revisiones'!$T$2:$T$282,"REQUIREMENTS &gt; Software Requirements Fundamentals")+COUNTIFS('Prácticas_Snowballing'!$AB$2:$AB$281,"T086",'Prácticas_Snowballing'!$AC$2:$AC$281,"REQUIREMENTS &gt; Software Requirements Fundamentals")</f>
        <v>0</v>
      </c>
      <c r="D100" s="17">
        <f>COUNTIFS('Prácticas_Revisiones'!$S$2:$S$282,"T086",'Prácticas_Revisiones'!$T$2:$T$282,"REQUIREMENTS &gt; Requirements Elicitation")+COUNTIFS('Prácticas_Snowballing'!$AB$2:$AB$281,"T086",'Prácticas_Snowballing'!$AC$2:$AC$281,"REQUIREMENTS &gt; Requirements Elicitation")</f>
        <v>0</v>
      </c>
      <c r="E100" s="17">
        <f>COUNTIFS('Prácticas_Revisiones'!$S$2:$S$282,"T086",'Prácticas_Revisiones'!$T$2:$T$282,"REQUIREMENTS &gt; Requirements Analysis")+COUNTIFS('Prácticas_Snowballing'!$AB$2:$AB$281,"T086",'Prácticas_Snowballing'!$AC$2:$AC$281,"REQUIREMENTS &gt; Requirements Analysis")</f>
        <v>0</v>
      </c>
      <c r="F100" s="17">
        <f>COUNTIFS('Prácticas_Revisiones'!$S$2:$S$282,"T086",'Prácticas_Revisiones'!$T$2:$T$282,"REQUIREMENTS &gt; Requirements Specification")+COUNTIFS('Prácticas_Snowballing'!$AB$2:$AB$281,"T086",'Prácticas_Snowballing'!$AC$2:$AC$281,"REQUIREMENTS &gt; Requirements Specification")</f>
        <v>0</v>
      </c>
      <c r="G100" s="17">
        <f>COUNTIFS('Prácticas_Revisiones'!$S$2:$S$282,"T086",'Prácticas_Revisiones'!$T$2:$T$282,"REQUIREMENTS &gt; Requirements Validation")+COUNTIFS('Prácticas_Snowballing'!$AB$2:$AB$281,"T086",'Prácticas_Snowballing'!$AC$2:$AC$281,"REQUIREMENTS &gt; Requirements Validation")</f>
        <v>0</v>
      </c>
      <c r="H100" s="17">
        <f>COUNTIFS('Prácticas_Revisiones'!$S$2:$S$282,"T086",'Prácticas_Revisiones'!$T$2:$T$282,"REQUIREMENTS &gt; Requirements Management Activities")+COUNTIFS('Prácticas_Snowballing'!$AB$2:$AB$281,"T086",'Prácticas_Snowballing'!$AC$2:$AC$281,"REQUIREMENTS &gt; Requirements Management Activities")</f>
        <v>0</v>
      </c>
      <c r="I100" s="17">
        <f>COUNTIFS('Prácticas_Revisiones'!$S$2:$S$282,"T086",'Prácticas_Revisiones'!$T$2:$T$282,"REQUIREMENTS &gt; Practical Considerations")+COUNTIFS('Prácticas_Snowballing'!$AB$2:$AB$281,"T086",'Prácticas_Snowballing'!$AC$2:$AC$281,"REQUIREMENTS &gt; Practical Considerations")</f>
        <v>0</v>
      </c>
      <c r="J100" s="17">
        <f>COUNTIFS('Prácticas_Revisiones'!$S$2:$S$282,"T086",'Prácticas_Revisiones'!$T$2:$T$282,"REQUIREMENTS &gt; Software Requirements Tools")+COUNTIFS('Prácticas_Snowballing'!$AB$2:$AB$281,"T086",'Prácticas_Snowballing'!$AC$2:$AC$281,"REQUIREMENTS &gt; Software Requirements Tools")</f>
        <v>0</v>
      </c>
      <c r="K100" s="17">
        <f>COUNTIFS('Prácticas_Revisiones'!$S$2:$S$282,"T086",'Prácticas_Revisiones'!$T$2:$T$282,"REQUIREMENTS &gt; Subárea no determinable")+COUNTIFS('Prácticas_Snowballing'!$AB$2:$AB$281,"T086",'Prácticas_Snowballing'!$AC$2:$AC$281,"REQUIREMENTS &gt; Subárea no determinable")</f>
        <v>0</v>
      </c>
      <c r="L100" s="29">
        <f t="shared" si="69"/>
        <v>0</v>
      </c>
      <c r="M100" s="17">
        <f>COUNTIFS('Prácticas_Revisiones'!$S$2:$S$282,"T086",'Prácticas_Revisiones'!$T$2:$T$282,"ARCHITECTURE &gt; Software Architecture Fundamentals")+COUNTIFS('Prácticas_Snowballing'!$AB$2:$AB$281,"T086",'Prácticas_Snowballing'!$AC$2:$AC$281,"ARCHITECTURE &gt; Software Architecture Fundamentals")</f>
        <v>0</v>
      </c>
      <c r="N100" s="17">
        <f>COUNTIFS('Prácticas_Revisiones'!$S$2:$S$282,"T086",'Prácticas_Revisiones'!$T$2:$T$282,"ARCHITECTURE &gt; Software Architecture Description")+COUNTIFS('Prácticas_Snowballing'!$AB$2:$AB$281,"T086",'Prácticas_Snowballing'!$AC$2:$AC$281,"ARCHITECTURE &gt; Software Architecture Description")</f>
        <v>0</v>
      </c>
      <c r="O100" s="17">
        <f>COUNTIFS('Prácticas_Revisiones'!$S$2:$S$282,"T086",'Prácticas_Revisiones'!$T$2:$T$282,"ARCHITECTURE &gt; Software Architecture Process")+COUNTIFS('Prácticas_Snowballing'!$AB$2:$AB$281,"T086",'Prácticas_Snowballing'!$AC$2:$AC$281,"ARCHITECTURE &gt; Software Architecture Process")</f>
        <v>0</v>
      </c>
      <c r="P100" s="17">
        <f>COUNTIFS('Prácticas_Revisiones'!$S$2:$S$282,"T086",'Prácticas_Revisiones'!$T$2:$T$282,"ARCHITECTURE &gt; Software Architecture Evaluation")+COUNTIFS('Prácticas_Snowballing'!$AB$2:$AB$281,"T086",'Prácticas_Snowballing'!$AC$2:$AC$281,"ARCHITECTURE &gt; Software Architecture Evaluation")</f>
        <v>0</v>
      </c>
      <c r="Q100" s="17">
        <f>COUNTIFS('Prácticas_Revisiones'!$S$2:$S$282,"T086",'Prácticas_Revisiones'!$T$2:$T$282,"ARCHITECTURE &gt; Subárea no determinable")+COUNTIFS('Prácticas_Snowballing'!$AB$2:$AB$281,"T086",'Prácticas_Snowballing'!$AC$2:$AC$281,"ARCHITECTURE &gt; Subárea no determinable")</f>
        <v>0</v>
      </c>
      <c r="R100" s="29">
        <f t="shared" si="70"/>
        <v>0</v>
      </c>
      <c r="S100" s="17">
        <f>COUNTIFS('Prácticas_Revisiones'!$S$2:$S$282,"T086",'Prácticas_Revisiones'!$T$2:$T$282,"DESIGN &gt; Software Design Fundamentals")+COUNTIFS('Prácticas_Snowballing'!$AB$2:$AB$281,"T086",'Prácticas_Snowballing'!$AC$2:$AC$281,"DESIGN &gt; Software Design Fundamentals")</f>
        <v>0</v>
      </c>
      <c r="T100" s="17">
        <f>COUNTIFS('Prácticas_Revisiones'!$S$2:$S$282,"T086",'Prácticas_Revisiones'!$T$2:$T$282,"DESIGN &gt; Software Design Processes")+COUNTIFS('Prácticas_Snowballing'!$AB$2:$AB$281,"T086",'Prácticas_Snowballing'!$AC$2:$AC$281,"DESIGN &gt; Software Design Processes")</f>
        <v>0</v>
      </c>
      <c r="U100" s="17">
        <f>COUNTIFS('Prácticas_Revisiones'!$S$2:$S$282,"T086",'Prácticas_Revisiones'!$T$2:$T$282,"DESIGN &gt; Software Design Qualities")+COUNTIFS('Prácticas_Snowballing'!$AB$2:$AB$281,"T086",'Prácticas_Snowballing'!$AC$2:$AC$281,"DESIGN &gt; Software Design Qualities")</f>
        <v>0</v>
      </c>
      <c r="V100" s="17">
        <f>COUNTIFS('Prácticas_Revisiones'!$S$2:$S$282,"T086",'Prácticas_Revisiones'!$T$2:$T$282,"DESIGN &gt; Recording Software Design")+COUNTIFS('Prácticas_Snowballing'!$AB$2:$AB$281,"T086",'Prácticas_Snowballing'!$AC$2:$AC$281,"DESIGN &gt; Recording Software Design")</f>
        <v>0</v>
      </c>
      <c r="W100" s="17">
        <f>COUNTIFS('Prácticas_Revisiones'!$S$2:$S$282,"T086",'Prácticas_Revisiones'!$T$2:$T$282,"DESIGN &gt; Software Design Strategies and Methods")+COUNTIFS('Prácticas_Snowballing'!$AB$2:$AB$281,"T086",'Prácticas_Snowballing'!$AC$2:$AC$281,"DESIGN &gt; Software Design Strategies and Methods")</f>
        <v>0</v>
      </c>
      <c r="X100" s="17">
        <f>COUNTIFS('Prácticas_Revisiones'!$S$2:$S$282,"T086",'Prácticas_Revisiones'!$T$2:$T$282,"DESIGN &gt; Software Design Analysis and Evaluations")+COUNTIFS('Prácticas_Snowballing'!$AB$2:$AB$281,"T086",'Prácticas_Snowballing'!$AC$2:$AC$281,"DESIGN &gt; Software Design Analysis and Evaluations")</f>
        <v>0</v>
      </c>
      <c r="Y100" s="17">
        <f>COUNTIFS('Prácticas_Revisiones'!$S$2:$S$282,"T086",'Prácticas_Revisiones'!$T$2:$T$282,"DESIGN &gt; Subárea no determinable")+COUNTIFS('Prácticas_Snowballing'!$AB$2:$AB$281,"T086",'Prácticas_Snowballing'!$AC$2:$AC$281,"DESIGN &gt; Subárea no determinable")</f>
        <v>0</v>
      </c>
      <c r="Z100" s="29">
        <f t="shared" si="71"/>
        <v>0</v>
      </c>
      <c r="AA100" s="17">
        <f>COUNTIFS('Prácticas_Revisiones'!$S$2:$S$282,"T086",'Prácticas_Revisiones'!$T$2:$T$282,"CONSTRUCTION &gt; Software Construction Fundamentals")+COUNTIFS('Prácticas_Snowballing'!$AB$2:$AB$281,"T086",'Prácticas_Snowballing'!$AC$2:$AC$281,"CONSTRUCTION &gt; Software Construction Fundamentals")</f>
        <v>0</v>
      </c>
      <c r="AB100" s="17">
        <f>COUNTIFS('Prácticas_Revisiones'!$S$2:$S$282,"T086",'Prácticas_Revisiones'!$T$2:$T$282,"CONSTRUCTION &gt; Managing Construction")+COUNTIFS('Prácticas_Snowballing'!$AB$2:$AB$281,"T086",'Prácticas_Snowballing'!$AC$2:$AC$281,"CONSTRUCTION &gt; Managing Construction")</f>
        <v>0</v>
      </c>
      <c r="AC100" s="17">
        <f>COUNTIFS('Prácticas_Revisiones'!$S$2:$S$282,"T086",'Prácticas_Revisiones'!$T$2:$T$282,"CONSTRUCTION &gt; Practical Considerations")+COUNTIFS('Prácticas_Snowballing'!$AB$2:$AB$281,"T086",'Prácticas_Snowballing'!$AC$2:$AC$281,"CONSTRUCTION &gt; Practical Considerations")</f>
        <v>0</v>
      </c>
      <c r="AD100" s="17">
        <f>COUNTIFS('Prácticas_Revisiones'!$S$2:$S$282,"T086",'Prácticas_Revisiones'!$T$2:$T$282,"CONSTRUCTION &gt; Construction Technologies")+COUNTIFS('Prácticas_Snowballing'!$AB$2:$AB$281,"T086",'Prácticas_Snowballing'!$AC$2:$AC$281,"CONSTRUCTION &gt; Construction Technologies")</f>
        <v>0</v>
      </c>
      <c r="AE100" s="17">
        <f>COUNTIFS('Prácticas_Revisiones'!$S$2:$S$282,"T086",'Prácticas_Revisiones'!$T$2:$T$282,"CONSTRUCTION &gt; Software Construction Tools")+COUNTIFS('Prácticas_Snowballing'!$AB$2:$AB$281,"T086",'Prácticas_Snowballing'!$AC$2:$AC$281,"CONSTRUCTION &gt; Software Construction Tools")</f>
        <v>0</v>
      </c>
      <c r="AF100" s="17">
        <f>COUNTIFS('Prácticas_Revisiones'!$S$2:$S$282,"T086",'Prácticas_Revisiones'!$T$2:$T$282,"CONSTRUCTION &gt; Subárea no determinable")+COUNTIFS('Prácticas_Snowballing'!$AB$2:$AB$281,"T086",'Prácticas_Snowballing'!$AC$2:$AC$281,"CONSTRUCTION &gt; Subárea no determinable")</f>
        <v>0</v>
      </c>
      <c r="AG100" s="29">
        <f t="shared" si="72"/>
        <v>0</v>
      </c>
      <c r="AH100" s="17">
        <f>COUNTIFS('Prácticas_Revisiones'!$S$2:$S$282,"T086",'Prácticas_Revisiones'!$T$2:$T$282,"SOFTWARE TESTING &gt; Software Testing Fundamentals")+COUNTIFS('Prácticas_Snowballing'!$AB$2:$AB$281,"T086",'Prácticas_Snowballing'!$AC$2:$AC$281,"SOFTWARE TESTING &gt; Software Testing Fundamentals")</f>
        <v>0</v>
      </c>
      <c r="AI100" s="17">
        <f>COUNTIFS('Prácticas_Revisiones'!$S$2:$S$282,"T086",'Prácticas_Revisiones'!$T$2:$T$282,"SOFTWARE TESTING &gt; Test Levels")+COUNTIFS('Prácticas_Snowballing'!$AB$2:$AB$281,"T086",'Prácticas_Snowballing'!$AC$2:$AC$281,"SOFTWARE TESTING &gt; Test Levels")</f>
        <v>0</v>
      </c>
      <c r="AJ100" s="17">
        <f>COUNTIFS('Prácticas_Revisiones'!$S$2:$S$282,"T086",'Prácticas_Revisiones'!$T$2:$T$282,"SOFTWARE TESTING &gt; Test Techniques")+COUNTIFS('Prácticas_Snowballing'!$AB$2:$AB$281,"T086",'Prácticas_Snowballing'!$AC$2:$AC$281,"SOFTWARE TESTING &gt; Test Techniques")</f>
        <v>0</v>
      </c>
      <c r="AK100" s="17">
        <f>COUNTIFS('Prácticas_Revisiones'!$S$2:$S$282,"T086",'Prácticas_Revisiones'!$T$2:$T$282,"SOFTWARE TESTING &gt; Test-Related Measures")+COUNTIFS('Prácticas_Snowballing'!$AB$2:$AB$281,"T086",'Prácticas_Snowballing'!$AC$2:$AC$281,"SOFTWARE TESTING &gt; Test-Related Measures")</f>
        <v>0</v>
      </c>
      <c r="AL100" s="17">
        <f>COUNTIFS('Prácticas_Revisiones'!$S$2:$S$282,"T086",'Prácticas_Revisiones'!$T$2:$T$282,"SOFTWARE TESTING &gt; Test Process")+COUNTIFS('Prácticas_Snowballing'!$AB$2:$AB$281,"T086",'Prácticas_Snowballing'!$AC$2:$AC$281,"SOFTWARE TESTING &gt; Test Process")</f>
        <v>0</v>
      </c>
      <c r="AM100" s="17">
        <f>COUNTIFS('Prácticas_Revisiones'!$S$2:$S$282,"T086",'Prácticas_Revisiones'!$T$2:$T$282,"SOFTWARE TESTING &gt; Software Testing in the Development Processes...")+COUNTIFS('Prácticas_Snowballing'!$AB$2:$AB$281,"T086",'Prácticas_Snowballing'!$AC$2:$AC$281,"SOFTWARE TESTING &gt; Software Testing in the Development Processes...")</f>
        <v>0</v>
      </c>
      <c r="AN100" s="17">
        <f>COUNTIFS('Prácticas_Revisiones'!$S$2:$S$282,"T086",'Prácticas_Revisiones'!$T$2:$T$282,"SOFTWARE TESTING &gt; Testing of and Testing Through Emerging Tech...")+COUNTIFS('Prácticas_Snowballing'!$AB$2:$AB$281,"T086",'Prácticas_Snowballing'!$AC$2:$AC$281,"SOFTWARE TESTING &gt; Testing of and Testing Through Emerging Tech...")</f>
        <v>0</v>
      </c>
      <c r="AO100" s="17">
        <f>COUNTIFS('Prácticas_Revisiones'!$S$2:$S$282,"T086",'Prácticas_Revisiones'!$T$2:$T$282,"SOFTWARE TESTING &gt; Software Testing Tools")+COUNTIFS('Prácticas_Snowballing'!$AB$2:$AB$281,"T086",'Prácticas_Snowballing'!$AC$2:$AC$281,"SOFTWARE TESTING &gt; Software Testing Tools")</f>
        <v>0</v>
      </c>
      <c r="AP100" s="17">
        <f>COUNTIFS('Prácticas_Revisiones'!$S$2:$S$282,"T086",'Prácticas_Revisiones'!$T$2:$T$282,"SOFTWARE TESTING &gt; Subárea no determinable")+COUNTIFS('Prácticas_Snowballing'!$AB$2:$AB$281,"T086",'Prácticas_Snowballing'!$AC$2:$AC$281,"SOFTWARE TESTING &gt; Subárea no determinable")</f>
        <v>0</v>
      </c>
      <c r="AQ100" s="29">
        <f t="shared" si="73"/>
        <v>0</v>
      </c>
      <c r="AR100" s="17">
        <f>COUNTIFS('Prácticas_Revisiones'!$S$2:$S$282,"T086",'Prácticas_Revisiones'!$T$2:$T$282,"SOFTWARE ENG. OPERATIONS &gt; Software Engineering Operations Fundamentals")+COUNTIFS('Prácticas_Snowballing'!$AB$2:$AB$281,"T086",'Prácticas_Snowballing'!$AC$2:$AC$281,"SOFTWARE ENG. OPERATIONS &gt; Software Engineering Operations Fundamentals")</f>
        <v>0</v>
      </c>
      <c r="AS100" s="17">
        <f>COUNTIFS('Prácticas_Revisiones'!$S$2:$S$282,"T086",'Prácticas_Revisiones'!$T$2:$T$282,"SOFTWARE ENG. OPERATIONS &gt; Software Engineering Operations Planning")+COUNTIFS('Prácticas_Snowballing'!$AB$2:$AB$281,"T086",'Prácticas_Snowballing'!$AC$2:$AC$281,"SOFTWARE ENG. OPERATIONS &gt; Software Engineering Operations Planning")</f>
        <v>0</v>
      </c>
      <c r="AT100" s="17">
        <f>COUNTIFS('Prácticas_Revisiones'!$S$2:$S$282,"T086",'Prácticas_Revisiones'!$T$2:$T$282,"SOFTWARE ENG. OPERATIONS &gt; Software Engineering Operations Delivery")+COUNTIFS('Prácticas_Snowballing'!$AB$2:$AB$281,"T086",'Prácticas_Snowballing'!$AC$2:$AC$281,"SOFTWARE ENG. OPERATIONS &gt; Software Engineering Operations Delivery")</f>
        <v>0</v>
      </c>
      <c r="AU100" s="17">
        <f>COUNTIFS('Prácticas_Revisiones'!$S$2:$S$282,"T086",'Prácticas_Revisiones'!$T$2:$T$282,"SOFTWARE ENG. OPERATIONS &gt; Software Engineering Operations Control")+COUNTIFS('Prácticas_Snowballing'!$AB$2:$AB$281,"T086",'Prácticas_Snowballing'!$AC$2:$AC$281,"SOFTWARE ENG. OPERATIONS &gt; Software Engineering Operations Control")</f>
        <v>0</v>
      </c>
      <c r="AV100" s="17">
        <f>COUNTIFS('Prácticas_Revisiones'!$S$2:$S$282,"T086",'Prácticas_Revisiones'!$T$2:$T$282,"SOFTWARE ENG. OPERATIONS &gt; Practical Considerations")+COUNTIFS('Prácticas_Snowballing'!$AB$2:$AB$281,"T086",'Prácticas_Snowballing'!$AC$2:$AC$281,"SOFTWARE ENG. OPERATIONS &gt; Practical Considerations")</f>
        <v>0</v>
      </c>
      <c r="AW100" s="17">
        <f>COUNTIFS('Prácticas_Revisiones'!$S$2:$S$282,"T086",'Prácticas_Revisiones'!$T$2:$T$282,"SOFTWARE ENG. OPERATIONS &gt; Software Engineering Operations Tools")+COUNTIFS('Prácticas_Snowballing'!$AB$2:$AB$281,"T086",'Prácticas_Snowballing'!$AC$2:$AC$281,"SOFTWARE ENG. OPERATIONS &gt; Software Engineering Operations Tools")</f>
        <v>0</v>
      </c>
      <c r="AX100" s="17">
        <f>COUNTIFS('Prácticas_Revisiones'!$S$2:$S$282,"T086",'Prácticas_Revisiones'!$T$2:$T$282,"SOFTWARE ENG. OPERATIONS &gt; Subárea no determinable")+COUNTIFS('Prácticas_Snowballing'!$AB$2:$AB$281,"T086",'Prácticas_Snowballing'!$AC$2:$AC$281,"SOFTWARE ENG. OPERATIONS &gt; Subárea no determinable")</f>
        <v>0</v>
      </c>
      <c r="AY100" s="29">
        <f t="shared" si="74"/>
        <v>0</v>
      </c>
      <c r="AZ100" s="17">
        <f>COUNTIFS('Prácticas_Revisiones'!$S$2:$S$282,"T086",'Prácticas_Revisiones'!$T$2:$T$282,"MAINTENANCE &gt; Software Maintenance Fundamentals")+COUNTIFS('Prácticas_Snowballing'!$AB$2:$AB$281,"T086",'Prácticas_Snowballing'!$AC$2:$AC$281,"MAINTENANCE &gt; Software Maintenance Fundamentals")</f>
        <v>0</v>
      </c>
      <c r="BA100" s="17">
        <f>COUNTIFS('Prácticas_Revisiones'!$S$2:$S$282,"T086",'Prácticas_Revisiones'!$T$2:$T$282,"MAINTENANCE &gt; Key Issues in Software Maintenance")+COUNTIFS('Prácticas_Snowballing'!$AB$2:$AB$281,"T086",'Prácticas_Snowballing'!$AC$2:$AC$281,"MAINTENANCE &gt; Key Issues in Software Maintenance")</f>
        <v>0</v>
      </c>
      <c r="BB100" s="17">
        <f>COUNTIFS('Prácticas_Revisiones'!$S$2:$S$282,"T086",'Prácticas_Revisiones'!$T$2:$T$282,"MAINTENANCE &gt; Software Maintenance Processes")+COUNTIFS('Prácticas_Snowballing'!$AB$2:$AB$281,"T086",'Prácticas_Snowballing'!$AC$2:$AC$281,"MAINTENANCE &gt; Software Maintenance Processes")</f>
        <v>0</v>
      </c>
      <c r="BC100" s="17">
        <f>COUNTIFS('Prácticas_Revisiones'!$S$2:$S$282,"T086",'Prácticas_Revisiones'!$T$2:$T$282,"MAINTENANCE &gt; Software Maintenance Techniques")+COUNTIFS('Prácticas_Snowballing'!$AB$2:$AB$281,"T086",'Prácticas_Snowballing'!$AC$2:$AC$281,"MAINTENANCE &gt; Software Maintenance Techniques")</f>
        <v>0</v>
      </c>
      <c r="BD100" s="17">
        <f>COUNTIFS('Prácticas_Revisiones'!$S$2:$S$282,"T086",'Prácticas_Revisiones'!$T$2:$T$282,"MAINTENANCE &gt; Software Maintenance Tools")+COUNTIFS('Prácticas_Snowballing'!$AB$2:$AB$281,"T086",'Prácticas_Snowballing'!$AC$2:$AC$281,"MAINTENANCE &gt; Software Maintenance Tools")</f>
        <v>0</v>
      </c>
      <c r="BE100" s="17">
        <f>COUNTIFS('Prácticas_Revisiones'!$S$2:$S$282,"T086",'Prácticas_Revisiones'!$T$2:$T$282,"MAINTENANCE &gt; Subárea no determinable")+COUNTIFS('Prácticas_Snowballing'!$AB$2:$AB$281,"T086",'Prácticas_Snowballing'!$AC$2:$AC$281,"MAINTENANCE &gt; Subárea no determinable")</f>
        <v>0</v>
      </c>
      <c r="BF100" s="29">
        <f t="shared" si="75"/>
        <v>0</v>
      </c>
      <c r="BG100" s="17">
        <f>COUNTIFS('Prácticas_Revisiones'!$S$2:$S$282,"T086",'Prácticas_Revisiones'!$T$2:$T$282,"SOFTWARE CONFIG. MGMT. &gt; Management of the SCM Process")+COUNTIFS('Prácticas_Snowballing'!$AB$2:$AB$281,"T086",'Prácticas_Snowballing'!$AC$2:$AC$281,"SOFTWARE CONFIG. MGMT. &gt; Management of the SCM Process")</f>
        <v>0</v>
      </c>
      <c r="BH100" s="17">
        <f>COUNTIFS('Prácticas_Revisiones'!$S$2:$S$282,"T086",'Prácticas_Revisiones'!$T$2:$T$282,"SOFTWARE CONFIG. MGMT. &gt; Software Configuration Identification")+COUNTIFS('Prácticas_Snowballing'!$AB$2:$AB$281,"T086",'Prácticas_Snowballing'!$AC$2:$AC$281,"SOFTWARE CONFIG. MGMT. &gt; Software Configuration Identification")</f>
        <v>0</v>
      </c>
      <c r="BI100" s="17">
        <f>COUNTIFS('Prácticas_Revisiones'!$S$2:$S$282,"T086",'Prácticas_Revisiones'!$T$2:$T$282,"SOFTWARE CONFIG. MGMT. &gt; Software Configuration Change Control")+COUNTIFS('Prácticas_Snowballing'!$AB$2:$AB$281,"T086",'Prácticas_Snowballing'!$AC$2:$AC$281,"SOFTWARE CONFIG. MGMT. &gt; Software Configuration Change Control")</f>
        <v>0</v>
      </c>
      <c r="BJ100" s="17">
        <f>COUNTIFS('Prácticas_Revisiones'!$S$2:$S$282,"T086",'Prácticas_Revisiones'!$T$2:$T$282,"SOFTWARE CONFIG. MGMT. &gt; Software Configuration Status Accounting")+COUNTIFS('Prácticas_Snowballing'!$AB$2:$AB$281,"T086",'Prácticas_Snowballing'!$AC$2:$AC$281,"SOFTWARE CONFIG. MGMT. &gt; Software Configuration Status Accounting")</f>
        <v>0</v>
      </c>
      <c r="BK100" s="17">
        <f>COUNTIFS('Prácticas_Revisiones'!$S$2:$S$282,"T086",'Prácticas_Revisiones'!$T$2:$T$282,"SOFTWARE CONFIG. MGMT. &gt; Software Configuration Auditing")+COUNTIFS('Prácticas_Snowballing'!$AB$2:$AB$281,"T086",'Prácticas_Snowballing'!$AC$2:$AC$281,"SOFTWARE CONFIG. MGMT. &gt; Software Configuration Auditing")</f>
        <v>0</v>
      </c>
      <c r="BL100" s="17">
        <f>COUNTIFS('Prácticas_Revisiones'!$S$2:$S$282,"T086",'Prácticas_Revisiones'!$T$2:$T$282,"SOFTWARE CONFIG. MGMT. &gt; Software Release Management and Delivery")+COUNTIFS('Prácticas_Snowballing'!$AB$2:$AB$281,"T086",'Prácticas_Snowballing'!$AC$2:$AC$281,"SOFTWARE CONFIG. MGMT. &gt; Software Release Management and Delivery")</f>
        <v>0</v>
      </c>
      <c r="BM100" s="17">
        <f>COUNTIFS('Prácticas_Revisiones'!$S$2:$S$282,"T086",'Prácticas_Revisiones'!$T$2:$T$282,"SOFTWARE CONFIG. MGMT. &gt; Software Configuration Management Tools")+COUNTIFS('Prácticas_Snowballing'!$AB$2:$AB$281,"T086",'Prácticas_Snowballing'!$AC$2:$AC$281,"SOFTWARE CONFIG. MGMT. &gt; Software Configuration Management Tools")</f>
        <v>0</v>
      </c>
      <c r="BN100" s="17">
        <f>COUNTIFS('Prácticas_Revisiones'!$S$2:$S$282,"T086",'Prácticas_Revisiones'!$T$2:$T$282,"SOFTWARE CONFIG. MGMT. &gt; Subárea no determinable")+COUNTIFS('Prácticas_Snowballing'!$AB$2:$AB$281,"T086",'Prácticas_Snowballing'!$AC$2:$AC$281,"SOFTWARE CONFIG. MGMT. &gt; Subárea no determinable")</f>
        <v>0</v>
      </c>
      <c r="BO100" s="29">
        <f t="shared" si="76"/>
        <v>0</v>
      </c>
      <c r="BP100" s="17">
        <f>COUNTIFS('Prácticas_Revisiones'!$S$2:$S$282,"T086",'Prácticas_Revisiones'!$T$2:$T$282,"SOFTWARE ENG. PROCESS &gt; Software Engineering Process Fundamentals")+COUNTIFS('Prácticas_Snowballing'!$AB$2:$AB$281,"T086",'Prácticas_Snowballing'!$AC$2:$AC$281,"SOFTWARE ENG. PROCESS &gt; Software Engineering Process Fundamentals")</f>
        <v>0</v>
      </c>
      <c r="BQ100" s="17">
        <f>COUNTIFS('Prácticas_Revisiones'!$S$2:$S$282,"T086",'Prácticas_Revisiones'!$T$2:$T$282,"SOFTWARE ENG. PROCESS &gt; Life Cycles")+COUNTIFS('Prácticas_Snowballing'!$AB$2:$AB$281,"T086",'Prácticas_Snowballing'!$AC$2:$AC$281,"SOFTWARE ENG. PROCESS &gt; Life Cycles")</f>
        <v>0</v>
      </c>
      <c r="BR100" s="17">
        <f>COUNTIFS('Prácticas_Revisiones'!$S$2:$S$282,"T086",'Prácticas_Revisiones'!$T$2:$T$282,"SOFTWARE ENG. PROCESS &gt; Software Process Assessment and Improvement")+COUNTIFS('Prácticas_Snowballing'!$AB$2:$AB$281,"T086",'Prácticas_Snowballing'!$AC$2:$AC$281,"SOFTWARE ENG. PROCESS &gt; Software Process Assessment and Improvement")</f>
        <v>0</v>
      </c>
      <c r="BS100" s="17">
        <f>COUNTIFS('Prácticas_Revisiones'!$S$2:$S$282,"T086",'Prácticas_Revisiones'!$T$2:$T$282,"SOFTWARE ENG. PROCESS &gt; Subárea no determinable")+COUNTIFS('Prácticas_Snowballing'!$AB$2:$AB$281,"T086",'Prácticas_Snowballing'!$AC$2:$AC$281,"SOFTWARE ENG. PROCESS &gt; Subárea no determinable")</f>
        <v>0</v>
      </c>
      <c r="BT100" s="29">
        <f t="shared" si="77"/>
        <v>0</v>
      </c>
      <c r="BU100" s="17">
        <f>COUNTIFS('Prácticas_Revisiones'!$S$2:$S$282,"T086",'Prácticas_Revisiones'!$T$2:$T$282,"SOFTWARE ENG. MODELS/METH. &gt; Modeling")+COUNTIFS('Prácticas_Snowballing'!$AB$2:$AB$281,"T086",'Prácticas_Snowballing'!$AC$2:$AC$281,"SOFTWARE ENG. MODELS/METH. &gt; Modeling")</f>
        <v>0</v>
      </c>
      <c r="BV100" s="17">
        <f>COUNTIFS('Prácticas_Revisiones'!$S$2:$S$282,"T086",'Prácticas_Revisiones'!$T$2:$T$282,"SOFTWARE ENG. MODELS/METH. &gt; Types of Models")+COUNTIFS('Prácticas_Snowballing'!$AB$2:$AB$281,"T086",'Prácticas_Snowballing'!$AC$2:$AC$281,"SOFTWARE ENG. MODELS/METH. &gt; Types of Models")</f>
        <v>0</v>
      </c>
      <c r="BW100" s="17">
        <f>COUNTIFS('Prácticas_Revisiones'!$S$2:$S$282,"T086",'Prácticas_Revisiones'!$T$2:$T$282,"SOFTWARE ENG. MODELS/METH. &gt; Analysis of Models")+COUNTIFS('Prácticas_Snowballing'!$AB$2:$AB$281,"T086",'Prácticas_Snowballing'!$AC$2:$AC$281,"SOFTWARE ENG. MODELS/METH. &gt; Analysis of Models")</f>
        <v>0</v>
      </c>
      <c r="BX100" s="17">
        <f>COUNTIFS('Prácticas_Revisiones'!$S$2:$S$282,"T086",'Prácticas_Revisiones'!$T$2:$T$282,"SOFTWARE ENG. MODELS/METH. &gt; Software Engineering Methods")+COUNTIFS('Prácticas_Snowballing'!$AB$2:$AB$281,"T086",'Prácticas_Snowballing'!$AC$2:$AC$281,"SOFTWARE ENG. MODELS/METH. &gt; Software Engineering Methods")</f>
        <v>0</v>
      </c>
      <c r="BY100" s="17">
        <f>COUNTIFS('Prácticas_Revisiones'!$S$2:$S$282,"T086",'Prácticas_Revisiones'!$T$2:$T$282,"SOFTWARE ENG. MODELS/METH. &gt; Subárea no determinable")+COUNTIFS('Prácticas_Snowballing'!$AB$2:$AB$281,"T086",'Prácticas_Snowballing'!$AC$2:$AC$281,"SOFTWARE ENG. MODELS/METH. &gt; Subárea no determinable")</f>
        <v>0</v>
      </c>
      <c r="BZ100" s="29">
        <f t="shared" si="78"/>
        <v>0</v>
      </c>
      <c r="CA100" s="17">
        <f>COUNTIFS('Prácticas_Revisiones'!$S$2:$S$282,"T086",'Prácticas_Revisiones'!$T$2:$T$282,"SOFTWARE QUALITY &gt; Software Quality Fundamentals")+COUNTIFS('Prácticas_Snowballing'!$AB$2:$AB$281,"T086",'Prácticas_Snowballing'!$AC$2:$AC$281,"SOFTWARE QUALITY &gt; Software Quality Fundamentals")</f>
        <v>0</v>
      </c>
      <c r="CB100" s="17">
        <f>COUNTIFS('Prácticas_Revisiones'!$S$2:$S$282,"T086",'Prácticas_Revisiones'!$T$2:$T$282,"SOFTWARE QUALITY &gt; Software Quality Management Process")+COUNTIFS('Prácticas_Snowballing'!$AB$2:$AB$281,"T086",'Prácticas_Snowballing'!$AC$2:$AC$281,"SOFTWARE QUALITY &gt; Software Quality Management Process")</f>
        <v>0</v>
      </c>
      <c r="CC100" s="17">
        <f>COUNTIFS('Prácticas_Revisiones'!$S$2:$S$282,"T086",'Prácticas_Revisiones'!$T$2:$T$282,"SOFTWARE QUALITY &gt; Software Quality Assurance Process")+COUNTIFS('Prácticas_Snowballing'!$AB$2:$AB$281,"T086",'Prácticas_Snowballing'!$AC$2:$AC$281,"SOFTWARE QUALITY &gt; Software Quality Assurance Process")</f>
        <v>0</v>
      </c>
      <c r="CD100" s="17">
        <f>COUNTIFS('Prácticas_Revisiones'!$S$2:$S$282,"T086",'Prácticas_Revisiones'!$T$2:$T$282,"SOFTWARE QUALITY &gt; Software Quality Tools")+COUNTIFS('Prácticas_Snowballing'!$AB$2:$AB$281,"T086",'Prácticas_Snowballing'!$AC$2:$AC$281,"SOFTWARE QUALITY &gt; Software Quality Tools")</f>
        <v>0</v>
      </c>
      <c r="CE100" s="17">
        <f>COUNTIFS('Prácticas_Revisiones'!$S$2:$S$282,"T086",'Prácticas_Revisiones'!$T$2:$T$282,"SOFTWARE QUALITY &gt; Subárea no determinable")+COUNTIFS('Prácticas_Snowballing'!$AB$2:$AB$281,"T086",'Prácticas_Snowballing'!$AC$2:$AC$281,"SOFTWARE QUALITY &gt; Subárea no determinable")</f>
        <v>0</v>
      </c>
      <c r="CF100" s="29">
        <f t="shared" si="79"/>
        <v>0</v>
      </c>
      <c r="CG100" s="17">
        <f>COUNTIFS('Prácticas_Revisiones'!$S$2:$S$282,"T086",'Prácticas_Revisiones'!$T$2:$T$282,"SOFTWARE SECURITY &gt; Software Security Fundamentals")+COUNTIFS('Prácticas_Snowballing'!$AB$2:$AB$281,"T086",'Prácticas_Snowballing'!$AC$2:$AC$281,"SOFTWARE SECURITY &gt; Software Security Fundamentals")</f>
        <v>0</v>
      </c>
      <c r="CH100" s="17">
        <f>COUNTIFS('Prácticas_Revisiones'!$S$2:$S$282,"T086",'Prácticas_Revisiones'!$T$2:$T$282,"SOFTWARE SECURITY &gt; Security Management and Organization")+COUNTIFS('Prácticas_Snowballing'!$AB$2:$AB$281,"T086",'Prácticas_Snowballing'!$AC$2:$AC$281,"SOFTWARE SECURITY &gt; Security Management and Organization")</f>
        <v>0</v>
      </c>
      <c r="CI100" s="17">
        <f>COUNTIFS('Prácticas_Revisiones'!$S$2:$S$282,"T086",'Prácticas_Revisiones'!$T$2:$T$282,"SOFTWARE SECURITY &gt; Software Security Engineering and Process")+COUNTIFS('Prácticas_Snowballing'!$AB$2:$AB$281,"T086",'Prácticas_Snowballing'!$AC$2:$AC$281,"SOFTWARE SECURITY &gt; Software Security Engineering and Process")</f>
        <v>0</v>
      </c>
      <c r="CJ100" s="17">
        <f>COUNTIFS('Prácticas_Revisiones'!$S$2:$S$282,"T086",'Prácticas_Revisiones'!$T$2:$T$282,"SOFTWARE SECURITY &gt; Security Engineering for Software Systems")+COUNTIFS('Prácticas_Snowballing'!$AB$2:$AB$281,"T086",'Prácticas_Snowballing'!$AC$2:$AC$281,"SOFTWARE SECURITY &gt; Security Engineering for Software Systems")</f>
        <v>0</v>
      </c>
      <c r="CK100" s="17">
        <f>COUNTIFS('Prácticas_Revisiones'!$S$2:$S$282,"T086",'Prácticas_Revisiones'!$T$2:$T$282,"SOFTWARE SECURITY &gt; Software Security Tools")+COUNTIFS('Prácticas_Snowballing'!$AB$2:$AB$281,"T086",'Prácticas_Snowballing'!$AC$2:$AC$281,"SOFTWARE SECURITY &gt; Software Security Tools")</f>
        <v>0</v>
      </c>
      <c r="CL100" s="17">
        <f>COUNTIFS('Prácticas_Revisiones'!$S$2:$S$282,"T086",'Prácticas_Revisiones'!$T$2:$T$282,"SOFTWARE SECURITY &gt; Domain Specific Software Security")+COUNTIFS('Prácticas_Snowballing'!$AB$2:$AB$281,"T086",'Prácticas_Snowballing'!$AC$2:$AC$281,"SOFTWARE SECURITY &gt; Domain Specific Software Security")</f>
        <v>0</v>
      </c>
      <c r="CM100" s="17">
        <f>COUNTIFS('Prácticas_Revisiones'!$S$2:$S$282,"T086",'Prácticas_Revisiones'!$T$2:$T$282,"SOFTWARE SECURITY &gt; Subárea no determinable")+COUNTIFS('Prácticas_Snowballing'!$AB$2:$AB$281,"T086",'Prácticas_Snowballing'!$AC$2:$AC$281,"SOFTWARE SECURITY &gt; Subárea no determinable")</f>
        <v>0</v>
      </c>
      <c r="CN100" s="29">
        <f t="shared" si="80"/>
        <v>0</v>
      </c>
      <c r="CO100" s="17">
        <f>COUNTIFS('Prácticas_Revisiones'!$S$2:$S$282,"T086",'Prácticas_Revisiones'!$T$2:$T$282,"PROFESSIONAL PRACTICE &gt; Professionalism")+COUNTIFS('Prácticas_Snowballing'!$AB$2:$AB$281,"T086",'Prácticas_Snowballing'!$AC$2:$AC$281,"PROFESSIONAL PRACTICE &gt; Professionalism")</f>
        <v>0</v>
      </c>
      <c r="CP100" s="17">
        <f>COUNTIFS('Prácticas_Revisiones'!$S$2:$S$282,"T086",'Prácticas_Revisiones'!$T$2:$T$282,"PROFESSIONAL PRACTICE &gt; Group Dynamics and Psychology")+COUNTIFS('Prácticas_Snowballing'!$AB$2:$AB$281,"T086",'Prácticas_Snowballing'!$AC$2:$AC$281,"PROFESSIONAL PRACTICE &gt; Group Dynamics and Psychology")</f>
        <v>0</v>
      </c>
      <c r="CQ100" s="17">
        <f>COUNTIFS('Prácticas_Revisiones'!$S$2:$S$282,"T086",'Prácticas_Revisiones'!$T$2:$T$282,"PROFESSIONAL PRACTICE &gt; Communication Skills")+COUNTIFS('Prácticas_Snowballing'!$AB$2:$AB$281,"T086",'Prácticas_Snowballing'!$AC$2:$AC$281,"PROFESSIONAL PRACTICE &gt; Communication Skills")</f>
        <v>0</v>
      </c>
      <c r="CR100" s="17">
        <f>COUNTIFS('Prácticas_Revisiones'!$S$2:$S$282,"T086",'Prácticas_Revisiones'!$T$2:$T$282,"PROFESSIONAL PRACTICE &gt; Subárea no determinable")+COUNTIFS('Prácticas_Snowballing'!$AB$2:$AB$281,"T086",'Prácticas_Snowballing'!$AC$2:$AC$281,"PROFESSIONAL PRACTICE &gt; Subárea no determinable")</f>
        <v>0</v>
      </c>
      <c r="CS100" s="29">
        <f t="shared" si="81"/>
        <v>0</v>
      </c>
      <c r="CT100" s="17">
        <f>COUNTIFS('Prácticas_Revisiones'!$S$2:$S$282,"T086",'Prácticas_Revisiones'!$T$2:$T$282,"SOFTWARE ENG. ECONOMICS &gt; Software Engineering Economics Fundamentals")+COUNTIFS('Prácticas_Snowballing'!$AB$2:$AB$281,"T086",'Prácticas_Snowballing'!$AC$2:$AC$281,"SOFTWARE ENG. ECONOMICS &gt; Software Engineering Economics Fundamentals")</f>
        <v>0</v>
      </c>
      <c r="CU100" s="17">
        <f>COUNTIFS('Prácticas_Revisiones'!$S$2:$S$282,"T086",'Prácticas_Revisiones'!$T$2:$T$282,"SOFTWARE ENG. ECONOMICS &gt; The Engineering Decision-Making Process")+COUNTIFS('Prácticas_Snowballing'!$AB$2:$AB$281,"T086",'Prácticas_Snowballing'!$AC$2:$AC$281,"SOFTWARE ENG. ECONOMICS &gt; The Engineering Decision-Making Process")</f>
        <v>0</v>
      </c>
      <c r="CV100" s="17">
        <f>COUNTIFS('Prácticas_Revisiones'!$S$2:$S$282,"T086",'Prácticas_Revisiones'!$T$2:$T$282,"SOFTWARE ENG. ECONOMICS &gt; For-Profit Decision-Making")+COUNTIFS('Prácticas_Snowballing'!$AB$2:$AB$281,"T086",'Prácticas_Snowballing'!$AC$2:$AC$281,"SOFTWARE ENG. ECONOMICS &gt; For-Profit Decision-Making")</f>
        <v>0</v>
      </c>
      <c r="CW100" s="17">
        <f>COUNTIFS('Prácticas_Revisiones'!$S$2:$S$282,"T086",'Prácticas_Revisiones'!$T$2:$T$282,"SOFTWARE ENG. ECONOMICS &gt; Nonprofit Decision-Making")+COUNTIFS('Prácticas_Snowballing'!$AB$2:$AB$281,"T086",'Prácticas_Snowballing'!$AC$2:$AC$281,"SOFTWARE ENG. ECONOMICS &gt; Nonprofit Decision-Making")</f>
        <v>0</v>
      </c>
      <c r="CX100" s="17">
        <f>COUNTIFS('Prácticas_Revisiones'!$S$2:$S$282,"T086",'Prácticas_Revisiones'!$T$2:$T$282,"SOFTWARE ENG. ECONOMICS &gt; Present Economy Decision-Making")+COUNTIFS('Prácticas_Snowballing'!$AB$2:$AB$281,"T086",'Prácticas_Snowballing'!$AC$2:$AC$281,"SOFTWARE ENG. ECONOMICS &gt; Present Economy Decision-Making")</f>
        <v>0</v>
      </c>
      <c r="CY100" s="17">
        <f>COUNTIFS('Prácticas_Revisiones'!$S$2:$S$282,"T086",'Prácticas_Revisiones'!$T$2:$T$282,"SOFTWARE ENG. ECONOMICS &gt; Multiple-Attribute Decision-Making")+COUNTIFS('Prácticas_Snowballing'!$AB$2:$AB$281,"T086",'Prácticas_Snowballing'!$AC$2:$AC$281,"SOFTWARE ENG. ECONOMICS &gt; Multiple-Attribute Decision-Making")</f>
        <v>0</v>
      </c>
      <c r="CZ100" s="17">
        <f>COUNTIFS('Prácticas_Revisiones'!$S$2:$S$282,"T086",'Prácticas_Revisiones'!$T$2:$T$282,"SOFTWARE ENG. ECONOMICS &gt; Identifying and Characterizing Intangible Assets")+COUNTIFS('Prácticas_Snowballing'!$AB$2:$AB$281,"T086",'Prácticas_Snowballing'!$AC$2:$AC$281,"SOFTWARE ENG. ECONOMICS &gt; Identifying and Characterizing Intangible Assets")</f>
        <v>0</v>
      </c>
      <c r="DA100" s="17">
        <f>COUNTIFS('Prácticas_Revisiones'!$S$2:$S$282,"T086",'Prácticas_Revisiones'!$T$2:$T$282,"SOFTWARE ENG. ECONOMICS &gt; Estimation")+COUNTIFS('Prácticas_Snowballing'!$AB$2:$AB$281,"T086",'Prácticas_Snowballing'!$AC$2:$AC$281,"SOFTWARE ENG. ECONOMICS &gt; Estimation")</f>
        <v>0</v>
      </c>
      <c r="DB100" s="17">
        <f>COUNTIFS('Prácticas_Revisiones'!$S$2:$S$282,"T086",'Prácticas_Revisiones'!$T$2:$T$282,"SOFTWARE ENG. ECONOMICS &gt; Practical Considerations")+COUNTIFS('Prácticas_Snowballing'!$AB$2:$AB$281,"T086",'Prácticas_Snowballing'!$AC$2:$AC$281,"SOFTWARE ENG. ECONOMICS &gt; Practical Considerations")</f>
        <v>0</v>
      </c>
      <c r="DC100" s="17">
        <f>COUNTIFS('Prácticas_Revisiones'!$S$2:$S$282,"T086",'Prácticas_Revisiones'!$T$2:$T$282,"SOFTWARE ENG. ECONOMICS &gt; Related Concepts")+COUNTIFS('Prácticas_Snowballing'!$AB$2:$AB$281,"T086",'Prácticas_Snowballing'!$AC$2:$AC$281,"SOFTWARE ENG. ECONOMICS &gt; Related Concepts")</f>
        <v>0</v>
      </c>
      <c r="DD100" s="17">
        <f>COUNTIFS('Prácticas_Revisiones'!$S$2:$S$282,"T086",'Prácticas_Revisiones'!$T$2:$T$282,"SOFTWARE ENG. ECONOMICS &gt; Subárea no determinable")+COUNTIFS('Prácticas_Snowballing'!$AB$2:$AB$281,"T086",'Prácticas_Snowballing'!$AC$2:$AC$281,"SOFTWARE ENG. ECONOMICS &gt; Subárea no determinable")</f>
        <v>0</v>
      </c>
      <c r="DE100" s="29">
        <f t="shared" si="82"/>
        <v>0</v>
      </c>
      <c r="DF100" s="17">
        <f>COUNTIFS('Prácticas_Revisiones'!$S$2:$S$282,"T086",'Prácticas_Revisiones'!$T$2:$T$282,"SOFTWARE ENG. MANAGEMENT &gt; Software Engineering Management Fundamentals")+COUNTIFS('Prácticas_Snowballing'!$AB$2:$AB$281,"T086",'Prácticas_Snowballing'!$AC$2:$AC$281,"SOFTWARE ENG. MANAGEMENT &gt; Software Engineering Management Fundamentals")</f>
        <v>0</v>
      </c>
      <c r="DG100" s="17">
        <f>COUNTIFS('Prácticas_Revisiones'!$S$2:$S$282,"T086",'Prácticas_Revisiones'!$T$2:$T$282,"SOFTWARE ENG. MANAGEMENT &gt; Initiation and Scope Definition")+COUNTIFS('Prácticas_Snowballing'!$AB$2:$AB$281,"T086",'Prácticas_Snowballing'!$AC$2:$AC$281,"SOFTWARE ENG. MANAGEMENT &gt; Initiation and Scope Definition")</f>
        <v>0</v>
      </c>
      <c r="DH100" s="17">
        <f>COUNTIFS('Prácticas_Revisiones'!$S$2:$S$282,"T086",'Prácticas_Revisiones'!$T$2:$T$282,"SOFTWARE ENG. MANAGEMENT &gt; Software Project Planning")+COUNTIFS('Prácticas_Snowballing'!$AB$2:$AB$281,"T086",'Prácticas_Snowballing'!$AC$2:$AC$281,"SOFTWARE ENG. MANAGEMENT &gt; Software Project Planning")</f>
        <v>0</v>
      </c>
      <c r="DI100" s="17">
        <f>COUNTIFS('Prácticas_Revisiones'!$S$2:$S$282,"T086",'Prácticas_Revisiones'!$T$2:$T$282,"SOFTWARE ENG. MANAGEMENT &gt; Software Project Enactment")+COUNTIFS('Prácticas_Snowballing'!$AB$2:$AB$281,"T086",'Prácticas_Snowballing'!$AC$2:$AC$281,"SOFTWARE ENG. MANAGEMENT &gt; Software Project Enactment")</f>
        <v>0</v>
      </c>
      <c r="DJ100" s="17">
        <f>COUNTIFS('Prácticas_Revisiones'!$S$2:$S$282,"T086",'Prácticas_Revisiones'!$T$2:$T$282,"SOFTWARE ENG. MANAGEMENT &gt; Review and Evaluation")+COUNTIFS('Prácticas_Snowballing'!$AB$2:$AB$281,"T086",'Prácticas_Snowballing'!$AC$2:$AC$281,"SOFTWARE ENG. MANAGEMENT &gt; Review and Evaluation")</f>
        <v>0</v>
      </c>
      <c r="DK100" s="17">
        <f>COUNTIFS('Prácticas_Revisiones'!$S$2:$S$282,"T086",'Prácticas_Revisiones'!$T$2:$T$282,"SOFTWARE ENG. MANAGEMENT &gt; Closure")+COUNTIFS('Prácticas_Snowballing'!$AB$2:$AB$281,"T086",'Prácticas_Snowballing'!$AC$2:$AC$281,"SOFTWARE ENG. MANAGEMENT &gt; Closure")</f>
        <v>0</v>
      </c>
      <c r="DL100" s="17">
        <f>COUNTIFS('Prácticas_Revisiones'!$S$2:$S$282,"T086",'Prácticas_Revisiones'!$T$2:$T$282,"SOFTWARE ENG. MANAGEMENT &gt; Software Engineering Management Tools")+COUNTIFS('Prácticas_Snowballing'!$AB$2:$AB$281,"T086",'Prácticas_Snowballing'!$AC$2:$AC$281,"SOFTWARE ENG. MANAGEMENT &gt; Software Engineering Management Tools")</f>
        <v>0</v>
      </c>
      <c r="DM100" s="17">
        <f>COUNTIFS('Prácticas_Revisiones'!$S$2:$S$282,"T086",'Prácticas_Revisiones'!$T$2:$T$282,"SOFTWARE ENG. MANAGEMENT &gt; Subárea no determinable")+COUNTIFS('Prácticas_Snowballing'!$AB$2:$AB$281,"T086",'Prácticas_Snowballing'!$AC$2:$AC$281,"SOFTWARE ENG. MANAGEMENT &gt; Subárea no determinable")</f>
        <v>0</v>
      </c>
      <c r="DN100" s="29">
        <f t="shared" si="83"/>
        <v>0</v>
      </c>
      <c r="DO100" s="17">
        <f>COUNTIFS('Prácticas_Revisiones'!$S$2:$S$282,"T086",'Prácticas_Revisiones'!$T$2:$T$282,"Sin área SWEBOK")+COUNTIFS('Prácticas_Snowballing'!$AB$2:$AB$281,"T086",'Prácticas_Snowballing'!$AC$2:$AC$281,"Sin área SWEBOK")</f>
        <v>0</v>
      </c>
      <c r="DP100" s="27">
        <f t="shared" si="84"/>
        <v>0</v>
      </c>
    </row>
    <row r="101" ht="15.75" customHeight="1">
      <c r="A101" s="28"/>
      <c r="B101" s="16" t="s">
        <v>2807</v>
      </c>
      <c r="C101" s="17">
        <f>COUNTIFS('Prácticas_Revisiones'!$S$2:$S$282,"T087",'Prácticas_Revisiones'!$T$2:$T$282,"REQUIREMENTS &gt; Software Requirements Fundamentals")+COUNTIFS('Prácticas_Snowballing'!$AB$2:$AB$281,"T087",'Prácticas_Snowballing'!$AC$2:$AC$281,"REQUIREMENTS &gt; Software Requirements Fundamentals")</f>
        <v>0</v>
      </c>
      <c r="D101" s="17">
        <f>COUNTIFS('Prácticas_Revisiones'!$S$2:$S$282,"T087",'Prácticas_Revisiones'!$T$2:$T$282,"REQUIREMENTS &gt; Requirements Elicitation")+COUNTIFS('Prácticas_Snowballing'!$AB$2:$AB$281,"T087",'Prácticas_Snowballing'!$AC$2:$AC$281,"REQUIREMENTS &gt; Requirements Elicitation")</f>
        <v>0</v>
      </c>
      <c r="E101" s="17">
        <f>COUNTIFS('Prácticas_Revisiones'!$S$2:$S$282,"T087",'Prácticas_Revisiones'!$T$2:$T$282,"REQUIREMENTS &gt; Requirements Analysis")+COUNTIFS('Prácticas_Snowballing'!$AB$2:$AB$281,"T087",'Prácticas_Snowballing'!$AC$2:$AC$281,"REQUIREMENTS &gt; Requirements Analysis")</f>
        <v>0</v>
      </c>
      <c r="F101" s="17">
        <f>COUNTIFS('Prácticas_Revisiones'!$S$2:$S$282,"T087",'Prácticas_Revisiones'!$T$2:$T$282,"REQUIREMENTS &gt; Requirements Specification")+COUNTIFS('Prácticas_Snowballing'!$AB$2:$AB$281,"T087",'Prácticas_Snowballing'!$AC$2:$AC$281,"REQUIREMENTS &gt; Requirements Specification")</f>
        <v>0</v>
      </c>
      <c r="G101" s="17">
        <f>COUNTIFS('Prácticas_Revisiones'!$S$2:$S$282,"T087",'Prácticas_Revisiones'!$T$2:$T$282,"REQUIREMENTS &gt; Requirements Validation")+COUNTIFS('Prácticas_Snowballing'!$AB$2:$AB$281,"T087",'Prácticas_Snowballing'!$AC$2:$AC$281,"REQUIREMENTS &gt; Requirements Validation")</f>
        <v>0</v>
      </c>
      <c r="H101" s="17">
        <f>COUNTIFS('Prácticas_Revisiones'!$S$2:$S$282,"T087",'Prácticas_Revisiones'!$T$2:$T$282,"REQUIREMENTS &gt; Requirements Management Activities")+COUNTIFS('Prácticas_Snowballing'!$AB$2:$AB$281,"T087",'Prácticas_Snowballing'!$AC$2:$AC$281,"REQUIREMENTS &gt; Requirements Management Activities")</f>
        <v>0</v>
      </c>
      <c r="I101" s="17">
        <f>COUNTIFS('Prácticas_Revisiones'!$S$2:$S$282,"T087",'Prácticas_Revisiones'!$T$2:$T$282,"REQUIREMENTS &gt; Practical Considerations")+COUNTIFS('Prácticas_Snowballing'!$AB$2:$AB$281,"T087",'Prácticas_Snowballing'!$AC$2:$AC$281,"REQUIREMENTS &gt; Practical Considerations")</f>
        <v>0</v>
      </c>
      <c r="J101" s="17">
        <f>COUNTIFS('Prácticas_Revisiones'!$S$2:$S$282,"T087",'Prácticas_Revisiones'!$T$2:$T$282,"REQUIREMENTS &gt; Software Requirements Tools")+COUNTIFS('Prácticas_Snowballing'!$AB$2:$AB$281,"T087",'Prácticas_Snowballing'!$AC$2:$AC$281,"REQUIREMENTS &gt; Software Requirements Tools")</f>
        <v>0</v>
      </c>
      <c r="K101" s="17">
        <f>COUNTIFS('Prácticas_Revisiones'!$S$2:$S$282,"T087",'Prácticas_Revisiones'!$T$2:$T$282,"REQUIREMENTS &gt; Subárea no determinable")+COUNTIFS('Prácticas_Snowballing'!$AB$2:$AB$281,"T087",'Prácticas_Snowballing'!$AC$2:$AC$281,"REQUIREMENTS &gt; Subárea no determinable")</f>
        <v>0</v>
      </c>
      <c r="L101" s="29">
        <f t="shared" si="69"/>
        <v>0</v>
      </c>
      <c r="M101" s="17">
        <f>COUNTIFS('Prácticas_Revisiones'!$S$2:$S$282,"T087",'Prácticas_Revisiones'!$T$2:$T$282,"ARCHITECTURE &gt; Software Architecture Fundamentals")+COUNTIFS('Prácticas_Snowballing'!$AB$2:$AB$281,"T087",'Prácticas_Snowballing'!$AC$2:$AC$281,"ARCHITECTURE &gt; Software Architecture Fundamentals")</f>
        <v>0</v>
      </c>
      <c r="N101" s="17">
        <f>COUNTIFS('Prácticas_Revisiones'!$S$2:$S$282,"T087",'Prácticas_Revisiones'!$T$2:$T$282,"ARCHITECTURE &gt; Software Architecture Description")+COUNTIFS('Prácticas_Snowballing'!$AB$2:$AB$281,"T087",'Prácticas_Snowballing'!$AC$2:$AC$281,"ARCHITECTURE &gt; Software Architecture Description")</f>
        <v>0</v>
      </c>
      <c r="O101" s="17">
        <f>COUNTIFS('Prácticas_Revisiones'!$S$2:$S$282,"T087",'Prácticas_Revisiones'!$T$2:$T$282,"ARCHITECTURE &gt; Software Architecture Process")+COUNTIFS('Prácticas_Snowballing'!$AB$2:$AB$281,"T087",'Prácticas_Snowballing'!$AC$2:$AC$281,"ARCHITECTURE &gt; Software Architecture Process")</f>
        <v>0</v>
      </c>
      <c r="P101" s="17">
        <f>COUNTIFS('Prácticas_Revisiones'!$S$2:$S$282,"T087",'Prácticas_Revisiones'!$T$2:$T$282,"ARCHITECTURE &gt; Software Architecture Evaluation")+COUNTIFS('Prácticas_Snowballing'!$AB$2:$AB$281,"T087",'Prácticas_Snowballing'!$AC$2:$AC$281,"ARCHITECTURE &gt; Software Architecture Evaluation")</f>
        <v>0</v>
      </c>
      <c r="Q101" s="17">
        <f>COUNTIFS('Prácticas_Revisiones'!$S$2:$S$282,"T087",'Prácticas_Revisiones'!$T$2:$T$282,"ARCHITECTURE &gt; Subárea no determinable")+COUNTIFS('Prácticas_Snowballing'!$AB$2:$AB$281,"T087",'Prácticas_Snowballing'!$AC$2:$AC$281,"ARCHITECTURE &gt; Subárea no determinable")</f>
        <v>0</v>
      </c>
      <c r="R101" s="29">
        <f t="shared" si="70"/>
        <v>0</v>
      </c>
      <c r="S101" s="17">
        <f>COUNTIFS('Prácticas_Revisiones'!$S$2:$S$282,"T087",'Prácticas_Revisiones'!$T$2:$T$282,"DESIGN &gt; Software Design Fundamentals")+COUNTIFS('Prácticas_Snowballing'!$AB$2:$AB$281,"T087",'Prácticas_Snowballing'!$AC$2:$AC$281,"DESIGN &gt; Software Design Fundamentals")</f>
        <v>0</v>
      </c>
      <c r="T101" s="17">
        <f>COUNTIFS('Prácticas_Revisiones'!$S$2:$S$282,"T087",'Prácticas_Revisiones'!$T$2:$T$282,"DESIGN &gt; Software Design Processes")+COUNTIFS('Prácticas_Snowballing'!$AB$2:$AB$281,"T087",'Prácticas_Snowballing'!$AC$2:$AC$281,"DESIGN &gt; Software Design Processes")</f>
        <v>0</v>
      </c>
      <c r="U101" s="17">
        <f>COUNTIFS('Prácticas_Revisiones'!$S$2:$S$282,"T087",'Prácticas_Revisiones'!$T$2:$T$282,"DESIGN &gt; Software Design Qualities")+COUNTIFS('Prácticas_Snowballing'!$AB$2:$AB$281,"T087",'Prácticas_Snowballing'!$AC$2:$AC$281,"DESIGN &gt; Software Design Qualities")</f>
        <v>0</v>
      </c>
      <c r="V101" s="17">
        <f>COUNTIFS('Prácticas_Revisiones'!$S$2:$S$282,"T087",'Prácticas_Revisiones'!$T$2:$T$282,"DESIGN &gt; Recording Software Design")+COUNTIFS('Prácticas_Snowballing'!$AB$2:$AB$281,"T087",'Prácticas_Snowballing'!$AC$2:$AC$281,"DESIGN &gt; Recording Software Design")</f>
        <v>0</v>
      </c>
      <c r="W101" s="17">
        <f>COUNTIFS('Prácticas_Revisiones'!$S$2:$S$282,"T087",'Prácticas_Revisiones'!$T$2:$T$282,"DESIGN &gt; Software Design Strategies and Methods")+COUNTIFS('Prácticas_Snowballing'!$AB$2:$AB$281,"T087",'Prácticas_Snowballing'!$AC$2:$AC$281,"DESIGN &gt; Software Design Strategies and Methods")</f>
        <v>0</v>
      </c>
      <c r="X101" s="17">
        <f>COUNTIFS('Prácticas_Revisiones'!$S$2:$S$282,"T087",'Prácticas_Revisiones'!$T$2:$T$282,"DESIGN &gt; Software Design Analysis and Evaluations")+COUNTIFS('Prácticas_Snowballing'!$AB$2:$AB$281,"T087",'Prácticas_Snowballing'!$AC$2:$AC$281,"DESIGN &gt; Software Design Analysis and Evaluations")</f>
        <v>0</v>
      </c>
      <c r="Y101" s="17">
        <f>COUNTIFS('Prácticas_Revisiones'!$S$2:$S$282,"T087",'Prácticas_Revisiones'!$T$2:$T$282,"DESIGN &gt; Subárea no determinable")+COUNTIFS('Prácticas_Snowballing'!$AB$2:$AB$281,"T087",'Prácticas_Snowballing'!$AC$2:$AC$281,"DESIGN &gt; Subárea no determinable")</f>
        <v>0</v>
      </c>
      <c r="Z101" s="29">
        <f t="shared" si="71"/>
        <v>0</v>
      </c>
      <c r="AA101" s="17">
        <f>COUNTIFS('Prácticas_Revisiones'!$S$2:$S$282,"T087",'Prácticas_Revisiones'!$T$2:$T$282,"CONSTRUCTION &gt; Software Construction Fundamentals")+COUNTIFS('Prácticas_Snowballing'!$AB$2:$AB$281,"T087",'Prácticas_Snowballing'!$AC$2:$AC$281,"CONSTRUCTION &gt; Software Construction Fundamentals")</f>
        <v>0</v>
      </c>
      <c r="AB101" s="17">
        <f>COUNTIFS('Prácticas_Revisiones'!$S$2:$S$282,"T087",'Prácticas_Revisiones'!$T$2:$T$282,"CONSTRUCTION &gt; Managing Construction")+COUNTIFS('Prácticas_Snowballing'!$AB$2:$AB$281,"T087",'Prácticas_Snowballing'!$AC$2:$AC$281,"CONSTRUCTION &gt; Managing Construction")</f>
        <v>0</v>
      </c>
      <c r="AC101" s="17">
        <f>COUNTIFS('Prácticas_Revisiones'!$S$2:$S$282,"T087",'Prácticas_Revisiones'!$T$2:$T$282,"CONSTRUCTION &gt; Practical Considerations")+COUNTIFS('Prácticas_Snowballing'!$AB$2:$AB$281,"T087",'Prácticas_Snowballing'!$AC$2:$AC$281,"CONSTRUCTION &gt; Practical Considerations")</f>
        <v>0</v>
      </c>
      <c r="AD101" s="17">
        <f>COUNTIFS('Prácticas_Revisiones'!$S$2:$S$282,"T087",'Prácticas_Revisiones'!$T$2:$T$282,"CONSTRUCTION &gt; Construction Technologies")+COUNTIFS('Prácticas_Snowballing'!$AB$2:$AB$281,"T087",'Prácticas_Snowballing'!$AC$2:$AC$281,"CONSTRUCTION &gt; Construction Technologies")</f>
        <v>0</v>
      </c>
      <c r="AE101" s="17">
        <f>COUNTIFS('Prácticas_Revisiones'!$S$2:$S$282,"T087",'Prácticas_Revisiones'!$T$2:$T$282,"CONSTRUCTION &gt; Software Construction Tools")+COUNTIFS('Prácticas_Snowballing'!$AB$2:$AB$281,"T087",'Prácticas_Snowballing'!$AC$2:$AC$281,"CONSTRUCTION &gt; Software Construction Tools")</f>
        <v>0</v>
      </c>
      <c r="AF101" s="17">
        <f>COUNTIFS('Prácticas_Revisiones'!$S$2:$S$282,"T087",'Prácticas_Revisiones'!$T$2:$T$282,"CONSTRUCTION &gt; Subárea no determinable")+COUNTIFS('Prácticas_Snowballing'!$AB$2:$AB$281,"T087",'Prácticas_Snowballing'!$AC$2:$AC$281,"CONSTRUCTION &gt; Subárea no determinable")</f>
        <v>0</v>
      </c>
      <c r="AG101" s="29">
        <f t="shared" si="72"/>
        <v>0</v>
      </c>
      <c r="AH101" s="17">
        <f>COUNTIFS('Prácticas_Revisiones'!$S$2:$S$282,"T087",'Prácticas_Revisiones'!$T$2:$T$282,"SOFTWARE TESTING &gt; Software Testing Fundamentals")+COUNTIFS('Prácticas_Snowballing'!$AB$2:$AB$281,"T087",'Prácticas_Snowballing'!$AC$2:$AC$281,"SOFTWARE TESTING &gt; Software Testing Fundamentals")</f>
        <v>0</v>
      </c>
      <c r="AI101" s="17">
        <f>COUNTIFS('Prácticas_Revisiones'!$S$2:$S$282,"T087",'Prácticas_Revisiones'!$T$2:$T$282,"SOFTWARE TESTING &gt; Test Levels")+COUNTIFS('Prácticas_Snowballing'!$AB$2:$AB$281,"T087",'Prácticas_Snowballing'!$AC$2:$AC$281,"SOFTWARE TESTING &gt; Test Levels")</f>
        <v>0</v>
      </c>
      <c r="AJ101" s="17">
        <f>COUNTIFS('Prácticas_Revisiones'!$S$2:$S$282,"T087",'Prácticas_Revisiones'!$T$2:$T$282,"SOFTWARE TESTING &gt; Test Techniques")+COUNTIFS('Prácticas_Snowballing'!$AB$2:$AB$281,"T087",'Prácticas_Snowballing'!$AC$2:$AC$281,"SOFTWARE TESTING &gt; Test Techniques")</f>
        <v>0</v>
      </c>
      <c r="AK101" s="17">
        <f>COUNTIFS('Prácticas_Revisiones'!$S$2:$S$282,"T087",'Prácticas_Revisiones'!$T$2:$T$282,"SOFTWARE TESTING &gt; Test-Related Measures")+COUNTIFS('Prácticas_Snowballing'!$AB$2:$AB$281,"T087",'Prácticas_Snowballing'!$AC$2:$AC$281,"SOFTWARE TESTING &gt; Test-Related Measures")</f>
        <v>0</v>
      </c>
      <c r="AL101" s="17">
        <f>COUNTIFS('Prácticas_Revisiones'!$S$2:$S$282,"T087",'Prácticas_Revisiones'!$T$2:$T$282,"SOFTWARE TESTING &gt; Test Process")+COUNTIFS('Prácticas_Snowballing'!$AB$2:$AB$281,"T087",'Prácticas_Snowballing'!$AC$2:$AC$281,"SOFTWARE TESTING &gt; Test Process")</f>
        <v>0</v>
      </c>
      <c r="AM101" s="17">
        <f>COUNTIFS('Prácticas_Revisiones'!$S$2:$S$282,"T087",'Prácticas_Revisiones'!$T$2:$T$282,"SOFTWARE TESTING &gt; Software Testing in the Development Processes...")+COUNTIFS('Prácticas_Snowballing'!$AB$2:$AB$281,"T087",'Prácticas_Snowballing'!$AC$2:$AC$281,"SOFTWARE TESTING &gt; Software Testing in the Development Processes...")</f>
        <v>0</v>
      </c>
      <c r="AN101" s="17">
        <f>COUNTIFS('Prácticas_Revisiones'!$S$2:$S$282,"T087",'Prácticas_Revisiones'!$T$2:$T$282,"SOFTWARE TESTING &gt; Testing of and Testing Through Emerging Tech...")+COUNTIFS('Prácticas_Snowballing'!$AB$2:$AB$281,"T087",'Prácticas_Snowballing'!$AC$2:$AC$281,"SOFTWARE TESTING &gt; Testing of and Testing Through Emerging Tech...")</f>
        <v>0</v>
      </c>
      <c r="AO101" s="17">
        <f>COUNTIFS('Prácticas_Revisiones'!$S$2:$S$282,"T087",'Prácticas_Revisiones'!$T$2:$T$282,"SOFTWARE TESTING &gt; Software Testing Tools")+COUNTIFS('Prácticas_Snowballing'!$AB$2:$AB$281,"T087",'Prácticas_Snowballing'!$AC$2:$AC$281,"SOFTWARE TESTING &gt; Software Testing Tools")</f>
        <v>0</v>
      </c>
      <c r="AP101" s="17">
        <f>COUNTIFS('Prácticas_Revisiones'!$S$2:$S$282,"T087",'Prácticas_Revisiones'!$T$2:$T$282,"SOFTWARE TESTING &gt; Subárea no determinable")+COUNTIFS('Prácticas_Snowballing'!$AB$2:$AB$281,"T087",'Prácticas_Snowballing'!$AC$2:$AC$281,"SOFTWARE TESTING &gt; Subárea no determinable")</f>
        <v>0</v>
      </c>
      <c r="AQ101" s="29">
        <f t="shared" si="73"/>
        <v>0</v>
      </c>
      <c r="AR101" s="17">
        <f>COUNTIFS('Prácticas_Revisiones'!$S$2:$S$282,"T087",'Prácticas_Revisiones'!$T$2:$T$282,"SOFTWARE ENG. OPERATIONS &gt; Software Engineering Operations Fundamentals")+COUNTIFS('Prácticas_Snowballing'!$AB$2:$AB$281,"T087",'Prácticas_Snowballing'!$AC$2:$AC$281,"SOFTWARE ENG. OPERATIONS &gt; Software Engineering Operations Fundamentals")</f>
        <v>0</v>
      </c>
      <c r="AS101" s="17">
        <f>COUNTIFS('Prácticas_Revisiones'!$S$2:$S$282,"T087",'Prácticas_Revisiones'!$T$2:$T$282,"SOFTWARE ENG. OPERATIONS &gt; Software Engineering Operations Planning")+COUNTIFS('Prácticas_Snowballing'!$AB$2:$AB$281,"T087",'Prácticas_Snowballing'!$AC$2:$AC$281,"SOFTWARE ENG. OPERATIONS &gt; Software Engineering Operations Planning")</f>
        <v>0</v>
      </c>
      <c r="AT101" s="17">
        <f>COUNTIFS('Prácticas_Revisiones'!$S$2:$S$282,"T087",'Prácticas_Revisiones'!$T$2:$T$282,"SOFTWARE ENG. OPERATIONS &gt; Software Engineering Operations Delivery")+COUNTIFS('Prácticas_Snowballing'!$AB$2:$AB$281,"T087",'Prácticas_Snowballing'!$AC$2:$AC$281,"SOFTWARE ENG. OPERATIONS &gt; Software Engineering Operations Delivery")</f>
        <v>0</v>
      </c>
      <c r="AU101" s="17">
        <f>COUNTIFS('Prácticas_Revisiones'!$S$2:$S$282,"T087",'Prácticas_Revisiones'!$T$2:$T$282,"SOFTWARE ENG. OPERATIONS &gt; Software Engineering Operations Control")+COUNTIFS('Prácticas_Snowballing'!$AB$2:$AB$281,"T087",'Prácticas_Snowballing'!$AC$2:$AC$281,"SOFTWARE ENG. OPERATIONS &gt; Software Engineering Operations Control")</f>
        <v>0</v>
      </c>
      <c r="AV101" s="17">
        <f>COUNTIFS('Prácticas_Revisiones'!$S$2:$S$282,"T087",'Prácticas_Revisiones'!$T$2:$T$282,"SOFTWARE ENG. OPERATIONS &gt; Practical Considerations")+COUNTIFS('Prácticas_Snowballing'!$AB$2:$AB$281,"T087",'Prácticas_Snowballing'!$AC$2:$AC$281,"SOFTWARE ENG. OPERATIONS &gt; Practical Considerations")</f>
        <v>0</v>
      </c>
      <c r="AW101" s="17">
        <f>COUNTIFS('Prácticas_Revisiones'!$S$2:$S$282,"T087",'Prácticas_Revisiones'!$T$2:$T$282,"SOFTWARE ENG. OPERATIONS &gt; Software Engineering Operations Tools")+COUNTIFS('Prácticas_Snowballing'!$AB$2:$AB$281,"T087",'Prácticas_Snowballing'!$AC$2:$AC$281,"SOFTWARE ENG. OPERATIONS &gt; Software Engineering Operations Tools")</f>
        <v>0</v>
      </c>
      <c r="AX101" s="17">
        <f>COUNTIFS('Prácticas_Revisiones'!$S$2:$S$282,"T087",'Prácticas_Revisiones'!$T$2:$T$282,"SOFTWARE ENG. OPERATIONS &gt; Subárea no determinable")+COUNTIFS('Prácticas_Snowballing'!$AB$2:$AB$281,"T087",'Prácticas_Snowballing'!$AC$2:$AC$281,"SOFTWARE ENG. OPERATIONS &gt; Subárea no determinable")</f>
        <v>0</v>
      </c>
      <c r="AY101" s="29">
        <f t="shared" si="74"/>
        <v>0</v>
      </c>
      <c r="AZ101" s="17">
        <f>COUNTIFS('Prácticas_Revisiones'!$S$2:$S$282,"T087",'Prácticas_Revisiones'!$T$2:$T$282,"MAINTENANCE &gt; Software Maintenance Fundamentals")+COUNTIFS('Prácticas_Snowballing'!$AB$2:$AB$281,"T087",'Prácticas_Snowballing'!$AC$2:$AC$281,"MAINTENANCE &gt; Software Maintenance Fundamentals")</f>
        <v>0</v>
      </c>
      <c r="BA101" s="17">
        <f>COUNTIFS('Prácticas_Revisiones'!$S$2:$S$282,"T087",'Prácticas_Revisiones'!$T$2:$T$282,"MAINTENANCE &gt; Key Issues in Software Maintenance")+COUNTIFS('Prácticas_Snowballing'!$AB$2:$AB$281,"T087",'Prácticas_Snowballing'!$AC$2:$AC$281,"MAINTENANCE &gt; Key Issues in Software Maintenance")</f>
        <v>0</v>
      </c>
      <c r="BB101" s="17">
        <f>COUNTIFS('Prácticas_Revisiones'!$S$2:$S$282,"T087",'Prácticas_Revisiones'!$T$2:$T$282,"MAINTENANCE &gt; Software Maintenance Processes")+COUNTIFS('Prácticas_Snowballing'!$AB$2:$AB$281,"T087",'Prácticas_Snowballing'!$AC$2:$AC$281,"MAINTENANCE &gt; Software Maintenance Processes")</f>
        <v>0</v>
      </c>
      <c r="BC101" s="17">
        <f>COUNTIFS('Prácticas_Revisiones'!$S$2:$S$282,"T087",'Prácticas_Revisiones'!$T$2:$T$282,"MAINTENANCE &gt; Software Maintenance Techniques")+COUNTIFS('Prácticas_Snowballing'!$AB$2:$AB$281,"T087",'Prácticas_Snowballing'!$AC$2:$AC$281,"MAINTENANCE &gt; Software Maintenance Techniques")</f>
        <v>0</v>
      </c>
      <c r="BD101" s="17">
        <f>COUNTIFS('Prácticas_Revisiones'!$S$2:$S$282,"T087",'Prácticas_Revisiones'!$T$2:$T$282,"MAINTENANCE &gt; Software Maintenance Tools")+COUNTIFS('Prácticas_Snowballing'!$AB$2:$AB$281,"T087",'Prácticas_Snowballing'!$AC$2:$AC$281,"MAINTENANCE &gt; Software Maintenance Tools")</f>
        <v>0</v>
      </c>
      <c r="BE101" s="17">
        <f>COUNTIFS('Prácticas_Revisiones'!$S$2:$S$282,"T087",'Prácticas_Revisiones'!$T$2:$T$282,"MAINTENANCE &gt; Subárea no determinable")+COUNTIFS('Prácticas_Snowballing'!$AB$2:$AB$281,"T087",'Prácticas_Snowballing'!$AC$2:$AC$281,"MAINTENANCE &gt; Subárea no determinable")</f>
        <v>0</v>
      </c>
      <c r="BF101" s="29">
        <f t="shared" si="75"/>
        <v>0</v>
      </c>
      <c r="BG101" s="17">
        <f>COUNTIFS('Prácticas_Revisiones'!$S$2:$S$282,"T087",'Prácticas_Revisiones'!$T$2:$T$282,"SOFTWARE CONFIG. MGMT. &gt; Management of the SCM Process")+COUNTIFS('Prácticas_Snowballing'!$AB$2:$AB$281,"T087",'Prácticas_Snowballing'!$AC$2:$AC$281,"SOFTWARE CONFIG. MGMT. &gt; Management of the SCM Process")</f>
        <v>0</v>
      </c>
      <c r="BH101" s="17">
        <f>COUNTIFS('Prácticas_Revisiones'!$S$2:$S$282,"T087",'Prácticas_Revisiones'!$T$2:$T$282,"SOFTWARE CONFIG. MGMT. &gt; Software Configuration Identification")+COUNTIFS('Prácticas_Snowballing'!$AB$2:$AB$281,"T087",'Prácticas_Snowballing'!$AC$2:$AC$281,"SOFTWARE CONFIG. MGMT. &gt; Software Configuration Identification")</f>
        <v>0</v>
      </c>
      <c r="BI101" s="17">
        <f>COUNTIFS('Prácticas_Revisiones'!$S$2:$S$282,"T087",'Prácticas_Revisiones'!$T$2:$T$282,"SOFTWARE CONFIG. MGMT. &gt; Software Configuration Change Control")+COUNTIFS('Prácticas_Snowballing'!$AB$2:$AB$281,"T087",'Prácticas_Snowballing'!$AC$2:$AC$281,"SOFTWARE CONFIG. MGMT. &gt; Software Configuration Change Control")</f>
        <v>0</v>
      </c>
      <c r="BJ101" s="17">
        <f>COUNTIFS('Prácticas_Revisiones'!$S$2:$S$282,"T087",'Prácticas_Revisiones'!$T$2:$T$282,"SOFTWARE CONFIG. MGMT. &gt; Software Configuration Status Accounting")+COUNTIFS('Prácticas_Snowballing'!$AB$2:$AB$281,"T087",'Prácticas_Snowballing'!$AC$2:$AC$281,"SOFTWARE CONFIG. MGMT. &gt; Software Configuration Status Accounting")</f>
        <v>0</v>
      </c>
      <c r="BK101" s="17">
        <f>COUNTIFS('Prácticas_Revisiones'!$S$2:$S$282,"T087",'Prácticas_Revisiones'!$T$2:$T$282,"SOFTWARE CONFIG. MGMT. &gt; Software Configuration Auditing")+COUNTIFS('Prácticas_Snowballing'!$AB$2:$AB$281,"T087",'Prácticas_Snowballing'!$AC$2:$AC$281,"SOFTWARE CONFIG. MGMT. &gt; Software Configuration Auditing")</f>
        <v>0</v>
      </c>
      <c r="BL101" s="17">
        <f>COUNTIFS('Prácticas_Revisiones'!$S$2:$S$282,"T087",'Prácticas_Revisiones'!$T$2:$T$282,"SOFTWARE CONFIG. MGMT. &gt; Software Release Management and Delivery")+COUNTIFS('Prácticas_Snowballing'!$AB$2:$AB$281,"T087",'Prácticas_Snowballing'!$AC$2:$AC$281,"SOFTWARE CONFIG. MGMT. &gt; Software Release Management and Delivery")</f>
        <v>0</v>
      </c>
      <c r="BM101" s="17">
        <f>COUNTIFS('Prácticas_Revisiones'!$S$2:$S$282,"T087",'Prácticas_Revisiones'!$T$2:$T$282,"SOFTWARE CONFIG. MGMT. &gt; Software Configuration Management Tools")+COUNTIFS('Prácticas_Snowballing'!$AB$2:$AB$281,"T087",'Prácticas_Snowballing'!$AC$2:$AC$281,"SOFTWARE CONFIG. MGMT. &gt; Software Configuration Management Tools")</f>
        <v>0</v>
      </c>
      <c r="BN101" s="17">
        <f>COUNTIFS('Prácticas_Revisiones'!$S$2:$S$282,"T087",'Prácticas_Revisiones'!$T$2:$T$282,"SOFTWARE CONFIG. MGMT. &gt; Subárea no determinable")+COUNTIFS('Prácticas_Snowballing'!$AB$2:$AB$281,"T087",'Prácticas_Snowballing'!$AC$2:$AC$281,"SOFTWARE CONFIG. MGMT. &gt; Subárea no determinable")</f>
        <v>0</v>
      </c>
      <c r="BO101" s="29">
        <f t="shared" si="76"/>
        <v>0</v>
      </c>
      <c r="BP101" s="17">
        <f>COUNTIFS('Prácticas_Revisiones'!$S$2:$S$282,"T087",'Prácticas_Revisiones'!$T$2:$T$282,"SOFTWARE ENG. PROCESS &gt; Software Engineering Process Fundamentals")+COUNTIFS('Prácticas_Snowballing'!$AB$2:$AB$281,"T087",'Prácticas_Snowballing'!$AC$2:$AC$281,"SOFTWARE ENG. PROCESS &gt; Software Engineering Process Fundamentals")</f>
        <v>0</v>
      </c>
      <c r="BQ101" s="17">
        <f>COUNTIFS('Prácticas_Revisiones'!$S$2:$S$282,"T087",'Prácticas_Revisiones'!$T$2:$T$282,"SOFTWARE ENG. PROCESS &gt; Life Cycles")+COUNTIFS('Prácticas_Snowballing'!$AB$2:$AB$281,"T087",'Prácticas_Snowballing'!$AC$2:$AC$281,"SOFTWARE ENG. PROCESS &gt; Life Cycles")</f>
        <v>0</v>
      </c>
      <c r="BR101" s="17">
        <f>COUNTIFS('Prácticas_Revisiones'!$S$2:$S$282,"T087",'Prácticas_Revisiones'!$T$2:$T$282,"SOFTWARE ENG. PROCESS &gt; Software Process Assessment and Improvement")+COUNTIFS('Prácticas_Snowballing'!$AB$2:$AB$281,"T087",'Prácticas_Snowballing'!$AC$2:$AC$281,"SOFTWARE ENG. PROCESS &gt; Software Process Assessment and Improvement")</f>
        <v>0</v>
      </c>
      <c r="BS101" s="17">
        <f>COUNTIFS('Prácticas_Revisiones'!$S$2:$S$282,"T087",'Prácticas_Revisiones'!$T$2:$T$282,"SOFTWARE ENG. PROCESS &gt; Subárea no determinable")+COUNTIFS('Prácticas_Snowballing'!$AB$2:$AB$281,"T087",'Prácticas_Snowballing'!$AC$2:$AC$281,"SOFTWARE ENG. PROCESS &gt; Subárea no determinable")</f>
        <v>0</v>
      </c>
      <c r="BT101" s="29">
        <f t="shared" si="77"/>
        <v>0</v>
      </c>
      <c r="BU101" s="17">
        <f>COUNTIFS('Prácticas_Revisiones'!$S$2:$S$282,"T087",'Prácticas_Revisiones'!$T$2:$T$282,"SOFTWARE ENG. MODELS/METH. &gt; Modeling")+COUNTIFS('Prácticas_Snowballing'!$AB$2:$AB$281,"T087",'Prácticas_Snowballing'!$AC$2:$AC$281,"SOFTWARE ENG. MODELS/METH. &gt; Modeling")</f>
        <v>0</v>
      </c>
      <c r="BV101" s="17">
        <f>COUNTIFS('Prácticas_Revisiones'!$S$2:$S$282,"T087",'Prácticas_Revisiones'!$T$2:$T$282,"SOFTWARE ENG. MODELS/METH. &gt; Types of Models")+COUNTIFS('Prácticas_Snowballing'!$AB$2:$AB$281,"T087",'Prácticas_Snowballing'!$AC$2:$AC$281,"SOFTWARE ENG. MODELS/METH. &gt; Types of Models")</f>
        <v>0</v>
      </c>
      <c r="BW101" s="17">
        <f>COUNTIFS('Prácticas_Revisiones'!$S$2:$S$282,"T087",'Prácticas_Revisiones'!$T$2:$T$282,"SOFTWARE ENG. MODELS/METH. &gt; Analysis of Models")+COUNTIFS('Prácticas_Snowballing'!$AB$2:$AB$281,"T087",'Prácticas_Snowballing'!$AC$2:$AC$281,"SOFTWARE ENG. MODELS/METH. &gt; Analysis of Models")</f>
        <v>0</v>
      </c>
      <c r="BX101" s="17">
        <f>COUNTIFS('Prácticas_Revisiones'!$S$2:$S$282,"T087",'Prácticas_Revisiones'!$T$2:$T$282,"SOFTWARE ENG. MODELS/METH. &gt; Software Engineering Methods")+COUNTIFS('Prácticas_Snowballing'!$AB$2:$AB$281,"T087",'Prácticas_Snowballing'!$AC$2:$AC$281,"SOFTWARE ENG. MODELS/METH. &gt; Software Engineering Methods")</f>
        <v>0</v>
      </c>
      <c r="BY101" s="17">
        <f>COUNTIFS('Prácticas_Revisiones'!$S$2:$S$282,"T087",'Prácticas_Revisiones'!$T$2:$T$282,"SOFTWARE ENG. MODELS/METH. &gt; Subárea no determinable")+COUNTIFS('Prácticas_Snowballing'!$AB$2:$AB$281,"T087",'Prácticas_Snowballing'!$AC$2:$AC$281,"SOFTWARE ENG. MODELS/METH. &gt; Subárea no determinable")</f>
        <v>0</v>
      </c>
      <c r="BZ101" s="29">
        <f t="shared" si="78"/>
        <v>0</v>
      </c>
      <c r="CA101" s="17">
        <f>COUNTIFS('Prácticas_Revisiones'!$S$2:$S$282,"T087",'Prácticas_Revisiones'!$T$2:$T$282,"SOFTWARE QUALITY &gt; Software Quality Fundamentals")+COUNTIFS('Prácticas_Snowballing'!$AB$2:$AB$281,"T087",'Prácticas_Snowballing'!$AC$2:$AC$281,"SOFTWARE QUALITY &gt; Software Quality Fundamentals")</f>
        <v>0</v>
      </c>
      <c r="CB101" s="17">
        <f>COUNTIFS('Prácticas_Revisiones'!$S$2:$S$282,"T087",'Prácticas_Revisiones'!$T$2:$T$282,"SOFTWARE QUALITY &gt; Software Quality Management Process")+COUNTIFS('Prácticas_Snowballing'!$AB$2:$AB$281,"T087",'Prácticas_Snowballing'!$AC$2:$AC$281,"SOFTWARE QUALITY &gt; Software Quality Management Process")</f>
        <v>0</v>
      </c>
      <c r="CC101" s="17">
        <f>COUNTIFS('Prácticas_Revisiones'!$S$2:$S$282,"T087",'Prácticas_Revisiones'!$T$2:$T$282,"SOFTWARE QUALITY &gt; Software Quality Assurance Process")+COUNTIFS('Prácticas_Snowballing'!$AB$2:$AB$281,"T087",'Prácticas_Snowballing'!$AC$2:$AC$281,"SOFTWARE QUALITY &gt; Software Quality Assurance Process")</f>
        <v>0</v>
      </c>
      <c r="CD101" s="17">
        <f>COUNTIFS('Prácticas_Revisiones'!$S$2:$S$282,"T087",'Prácticas_Revisiones'!$T$2:$T$282,"SOFTWARE QUALITY &gt; Software Quality Tools")+COUNTIFS('Prácticas_Snowballing'!$AB$2:$AB$281,"T087",'Prácticas_Snowballing'!$AC$2:$AC$281,"SOFTWARE QUALITY &gt; Software Quality Tools")</f>
        <v>0</v>
      </c>
      <c r="CE101" s="17">
        <f>COUNTIFS('Prácticas_Revisiones'!$S$2:$S$282,"T087",'Prácticas_Revisiones'!$T$2:$T$282,"SOFTWARE QUALITY &gt; Subárea no determinable")+COUNTIFS('Prácticas_Snowballing'!$AB$2:$AB$281,"T087",'Prácticas_Snowballing'!$AC$2:$AC$281,"SOFTWARE QUALITY &gt; Subárea no determinable")</f>
        <v>0</v>
      </c>
      <c r="CF101" s="29">
        <f t="shared" si="79"/>
        <v>0</v>
      </c>
      <c r="CG101" s="17">
        <f>COUNTIFS('Prácticas_Revisiones'!$S$2:$S$282,"T087",'Prácticas_Revisiones'!$T$2:$T$282,"SOFTWARE SECURITY &gt; Software Security Fundamentals")+COUNTIFS('Prácticas_Snowballing'!$AB$2:$AB$281,"T087",'Prácticas_Snowballing'!$AC$2:$AC$281,"SOFTWARE SECURITY &gt; Software Security Fundamentals")</f>
        <v>0</v>
      </c>
      <c r="CH101" s="17">
        <f>COUNTIFS('Prácticas_Revisiones'!$S$2:$S$282,"T087",'Prácticas_Revisiones'!$T$2:$T$282,"SOFTWARE SECURITY &gt; Security Management and Organization")+COUNTIFS('Prácticas_Snowballing'!$AB$2:$AB$281,"T087",'Prácticas_Snowballing'!$AC$2:$AC$281,"SOFTWARE SECURITY &gt; Security Management and Organization")</f>
        <v>0</v>
      </c>
      <c r="CI101" s="17">
        <f>COUNTIFS('Prácticas_Revisiones'!$S$2:$S$282,"T087",'Prácticas_Revisiones'!$T$2:$T$282,"SOFTWARE SECURITY &gt; Software Security Engineering and Process")+COUNTIFS('Prácticas_Snowballing'!$AB$2:$AB$281,"T087",'Prácticas_Snowballing'!$AC$2:$AC$281,"SOFTWARE SECURITY &gt; Software Security Engineering and Process")</f>
        <v>0</v>
      </c>
      <c r="CJ101" s="17">
        <f>COUNTIFS('Prácticas_Revisiones'!$S$2:$S$282,"T087",'Prácticas_Revisiones'!$T$2:$T$282,"SOFTWARE SECURITY &gt; Security Engineering for Software Systems")+COUNTIFS('Prácticas_Snowballing'!$AB$2:$AB$281,"T087",'Prácticas_Snowballing'!$AC$2:$AC$281,"SOFTWARE SECURITY &gt; Security Engineering for Software Systems")</f>
        <v>0</v>
      </c>
      <c r="CK101" s="17">
        <f>COUNTIFS('Prácticas_Revisiones'!$S$2:$S$282,"T087",'Prácticas_Revisiones'!$T$2:$T$282,"SOFTWARE SECURITY &gt; Software Security Tools")+COUNTIFS('Prácticas_Snowballing'!$AB$2:$AB$281,"T087",'Prácticas_Snowballing'!$AC$2:$AC$281,"SOFTWARE SECURITY &gt; Software Security Tools")</f>
        <v>0</v>
      </c>
      <c r="CL101" s="17">
        <f>COUNTIFS('Prácticas_Revisiones'!$S$2:$S$282,"T087",'Prácticas_Revisiones'!$T$2:$T$282,"SOFTWARE SECURITY &gt; Domain Specific Software Security")+COUNTIFS('Prácticas_Snowballing'!$AB$2:$AB$281,"T087",'Prácticas_Snowballing'!$AC$2:$AC$281,"SOFTWARE SECURITY &gt; Domain Specific Software Security")</f>
        <v>0</v>
      </c>
      <c r="CM101" s="17">
        <f>COUNTIFS('Prácticas_Revisiones'!$S$2:$S$282,"T087",'Prácticas_Revisiones'!$T$2:$T$282,"SOFTWARE SECURITY &gt; Subárea no determinable")+COUNTIFS('Prácticas_Snowballing'!$AB$2:$AB$281,"T087",'Prácticas_Snowballing'!$AC$2:$AC$281,"SOFTWARE SECURITY &gt; Subárea no determinable")</f>
        <v>0</v>
      </c>
      <c r="CN101" s="29">
        <f t="shared" si="80"/>
        <v>0</v>
      </c>
      <c r="CO101" s="17">
        <f>COUNTIFS('Prácticas_Revisiones'!$S$2:$S$282,"T087",'Prácticas_Revisiones'!$T$2:$T$282,"PROFESSIONAL PRACTICE &gt; Professionalism")+COUNTIFS('Prácticas_Snowballing'!$AB$2:$AB$281,"T087",'Prácticas_Snowballing'!$AC$2:$AC$281,"PROFESSIONAL PRACTICE &gt; Professionalism")</f>
        <v>0</v>
      </c>
      <c r="CP101" s="17">
        <f>COUNTIFS('Prácticas_Revisiones'!$S$2:$S$282,"T087",'Prácticas_Revisiones'!$T$2:$T$282,"PROFESSIONAL PRACTICE &gt; Group Dynamics and Psychology")+COUNTIFS('Prácticas_Snowballing'!$AB$2:$AB$281,"T087",'Prácticas_Snowballing'!$AC$2:$AC$281,"PROFESSIONAL PRACTICE &gt; Group Dynamics and Psychology")</f>
        <v>0</v>
      </c>
      <c r="CQ101" s="17">
        <f>COUNTIFS('Prácticas_Revisiones'!$S$2:$S$282,"T087",'Prácticas_Revisiones'!$T$2:$T$282,"PROFESSIONAL PRACTICE &gt; Communication Skills")+COUNTIFS('Prácticas_Snowballing'!$AB$2:$AB$281,"T087",'Prácticas_Snowballing'!$AC$2:$AC$281,"PROFESSIONAL PRACTICE &gt; Communication Skills")</f>
        <v>0</v>
      </c>
      <c r="CR101" s="17">
        <f>COUNTIFS('Prácticas_Revisiones'!$S$2:$S$282,"T087",'Prácticas_Revisiones'!$T$2:$T$282,"PROFESSIONAL PRACTICE &gt; Subárea no determinable")+COUNTIFS('Prácticas_Snowballing'!$AB$2:$AB$281,"T087",'Prácticas_Snowballing'!$AC$2:$AC$281,"PROFESSIONAL PRACTICE &gt; Subárea no determinable")</f>
        <v>0</v>
      </c>
      <c r="CS101" s="29">
        <f t="shared" si="81"/>
        <v>0</v>
      </c>
      <c r="CT101" s="17">
        <f>COUNTIFS('Prácticas_Revisiones'!$S$2:$S$282,"T087",'Prácticas_Revisiones'!$T$2:$T$282,"SOFTWARE ENG. ECONOMICS &gt; Software Engineering Economics Fundamentals")+COUNTIFS('Prácticas_Snowballing'!$AB$2:$AB$281,"T087",'Prácticas_Snowballing'!$AC$2:$AC$281,"SOFTWARE ENG. ECONOMICS &gt; Software Engineering Economics Fundamentals")</f>
        <v>0</v>
      </c>
      <c r="CU101" s="17">
        <f>COUNTIFS('Prácticas_Revisiones'!$S$2:$S$282,"T087",'Prácticas_Revisiones'!$T$2:$T$282,"SOFTWARE ENG. ECONOMICS &gt; The Engineering Decision-Making Process")+COUNTIFS('Prácticas_Snowballing'!$AB$2:$AB$281,"T087",'Prácticas_Snowballing'!$AC$2:$AC$281,"SOFTWARE ENG. ECONOMICS &gt; The Engineering Decision-Making Process")</f>
        <v>0</v>
      </c>
      <c r="CV101" s="17">
        <f>COUNTIFS('Prácticas_Revisiones'!$S$2:$S$282,"T087",'Prácticas_Revisiones'!$T$2:$T$282,"SOFTWARE ENG. ECONOMICS &gt; For-Profit Decision-Making")+COUNTIFS('Prácticas_Snowballing'!$AB$2:$AB$281,"T087",'Prácticas_Snowballing'!$AC$2:$AC$281,"SOFTWARE ENG. ECONOMICS &gt; For-Profit Decision-Making")</f>
        <v>0</v>
      </c>
      <c r="CW101" s="17">
        <f>COUNTIFS('Prácticas_Revisiones'!$S$2:$S$282,"T087",'Prácticas_Revisiones'!$T$2:$T$282,"SOFTWARE ENG. ECONOMICS &gt; Nonprofit Decision-Making")+COUNTIFS('Prácticas_Snowballing'!$AB$2:$AB$281,"T087",'Prácticas_Snowballing'!$AC$2:$AC$281,"SOFTWARE ENG. ECONOMICS &gt; Nonprofit Decision-Making")</f>
        <v>0</v>
      </c>
      <c r="CX101" s="17">
        <f>COUNTIFS('Prácticas_Revisiones'!$S$2:$S$282,"T087",'Prácticas_Revisiones'!$T$2:$T$282,"SOFTWARE ENG. ECONOMICS &gt; Present Economy Decision-Making")+COUNTIFS('Prácticas_Snowballing'!$AB$2:$AB$281,"T087",'Prácticas_Snowballing'!$AC$2:$AC$281,"SOFTWARE ENG. ECONOMICS &gt; Present Economy Decision-Making")</f>
        <v>0</v>
      </c>
      <c r="CY101" s="17">
        <f>COUNTIFS('Prácticas_Revisiones'!$S$2:$S$282,"T087",'Prácticas_Revisiones'!$T$2:$T$282,"SOFTWARE ENG. ECONOMICS &gt; Multiple-Attribute Decision-Making")+COUNTIFS('Prácticas_Snowballing'!$AB$2:$AB$281,"T087",'Prácticas_Snowballing'!$AC$2:$AC$281,"SOFTWARE ENG. ECONOMICS &gt; Multiple-Attribute Decision-Making")</f>
        <v>0</v>
      </c>
      <c r="CZ101" s="17">
        <f>COUNTIFS('Prácticas_Revisiones'!$S$2:$S$282,"T087",'Prácticas_Revisiones'!$T$2:$T$282,"SOFTWARE ENG. ECONOMICS &gt; Identifying and Characterizing Intangible Assets")+COUNTIFS('Prácticas_Snowballing'!$AB$2:$AB$281,"T087",'Prácticas_Snowballing'!$AC$2:$AC$281,"SOFTWARE ENG. ECONOMICS &gt; Identifying and Characterizing Intangible Assets")</f>
        <v>0</v>
      </c>
      <c r="DA101" s="17">
        <f>COUNTIFS('Prácticas_Revisiones'!$S$2:$S$282,"T087",'Prácticas_Revisiones'!$T$2:$T$282,"SOFTWARE ENG. ECONOMICS &gt; Estimation")+COUNTIFS('Prácticas_Snowballing'!$AB$2:$AB$281,"T087",'Prácticas_Snowballing'!$AC$2:$AC$281,"SOFTWARE ENG. ECONOMICS &gt; Estimation")</f>
        <v>0</v>
      </c>
      <c r="DB101" s="17">
        <f>COUNTIFS('Prácticas_Revisiones'!$S$2:$S$282,"T087",'Prácticas_Revisiones'!$T$2:$T$282,"SOFTWARE ENG. ECONOMICS &gt; Practical Considerations")+COUNTIFS('Prácticas_Snowballing'!$AB$2:$AB$281,"T087",'Prácticas_Snowballing'!$AC$2:$AC$281,"SOFTWARE ENG. ECONOMICS &gt; Practical Considerations")</f>
        <v>0</v>
      </c>
      <c r="DC101" s="17">
        <f>COUNTIFS('Prácticas_Revisiones'!$S$2:$S$282,"T087",'Prácticas_Revisiones'!$T$2:$T$282,"SOFTWARE ENG. ECONOMICS &gt; Related Concepts")+COUNTIFS('Prácticas_Snowballing'!$AB$2:$AB$281,"T087",'Prácticas_Snowballing'!$AC$2:$AC$281,"SOFTWARE ENG. ECONOMICS &gt; Related Concepts")</f>
        <v>0</v>
      </c>
      <c r="DD101" s="17">
        <f>COUNTIFS('Prácticas_Revisiones'!$S$2:$S$282,"T087",'Prácticas_Revisiones'!$T$2:$T$282,"SOFTWARE ENG. ECONOMICS &gt; Subárea no determinable")+COUNTIFS('Prácticas_Snowballing'!$AB$2:$AB$281,"T087",'Prácticas_Snowballing'!$AC$2:$AC$281,"SOFTWARE ENG. ECONOMICS &gt; Subárea no determinable")</f>
        <v>0</v>
      </c>
      <c r="DE101" s="29">
        <f t="shared" si="82"/>
        <v>0</v>
      </c>
      <c r="DF101" s="17">
        <f>COUNTIFS('Prácticas_Revisiones'!$S$2:$S$282,"T087",'Prácticas_Revisiones'!$T$2:$T$282,"SOFTWARE ENG. MANAGEMENT &gt; Software Engineering Management Fundamentals")+COUNTIFS('Prácticas_Snowballing'!$AB$2:$AB$281,"T087",'Prácticas_Snowballing'!$AC$2:$AC$281,"SOFTWARE ENG. MANAGEMENT &gt; Software Engineering Management Fundamentals")</f>
        <v>0</v>
      </c>
      <c r="DG101" s="17">
        <f>COUNTIFS('Prácticas_Revisiones'!$S$2:$S$282,"T087",'Prácticas_Revisiones'!$T$2:$T$282,"SOFTWARE ENG. MANAGEMENT &gt; Initiation and Scope Definition")+COUNTIFS('Prácticas_Snowballing'!$AB$2:$AB$281,"T087",'Prácticas_Snowballing'!$AC$2:$AC$281,"SOFTWARE ENG. MANAGEMENT &gt; Initiation and Scope Definition")</f>
        <v>0</v>
      </c>
      <c r="DH101" s="17">
        <f>COUNTIFS('Prácticas_Revisiones'!$S$2:$S$282,"T087",'Prácticas_Revisiones'!$T$2:$T$282,"SOFTWARE ENG. MANAGEMENT &gt; Software Project Planning")+COUNTIFS('Prácticas_Snowballing'!$AB$2:$AB$281,"T087",'Prácticas_Snowballing'!$AC$2:$AC$281,"SOFTWARE ENG. MANAGEMENT &gt; Software Project Planning")</f>
        <v>0</v>
      </c>
      <c r="DI101" s="17">
        <f>COUNTIFS('Prácticas_Revisiones'!$S$2:$S$282,"T087",'Prácticas_Revisiones'!$T$2:$T$282,"SOFTWARE ENG. MANAGEMENT &gt; Software Project Enactment")+COUNTIFS('Prácticas_Snowballing'!$AB$2:$AB$281,"T087",'Prácticas_Snowballing'!$AC$2:$AC$281,"SOFTWARE ENG. MANAGEMENT &gt; Software Project Enactment")</f>
        <v>0</v>
      </c>
      <c r="DJ101" s="17">
        <f>COUNTIFS('Prácticas_Revisiones'!$S$2:$S$282,"T087",'Prácticas_Revisiones'!$T$2:$T$282,"SOFTWARE ENG. MANAGEMENT &gt; Review and Evaluation")+COUNTIFS('Prácticas_Snowballing'!$AB$2:$AB$281,"T087",'Prácticas_Snowballing'!$AC$2:$AC$281,"SOFTWARE ENG. MANAGEMENT &gt; Review and Evaluation")</f>
        <v>0</v>
      </c>
      <c r="DK101" s="17">
        <f>COUNTIFS('Prácticas_Revisiones'!$S$2:$S$282,"T087",'Prácticas_Revisiones'!$T$2:$T$282,"SOFTWARE ENG. MANAGEMENT &gt; Closure")+COUNTIFS('Prácticas_Snowballing'!$AB$2:$AB$281,"T087",'Prácticas_Snowballing'!$AC$2:$AC$281,"SOFTWARE ENG. MANAGEMENT &gt; Closure")</f>
        <v>0</v>
      </c>
      <c r="DL101" s="17">
        <f>COUNTIFS('Prácticas_Revisiones'!$S$2:$S$282,"T087",'Prácticas_Revisiones'!$T$2:$T$282,"SOFTWARE ENG. MANAGEMENT &gt; Software Engineering Management Tools")+COUNTIFS('Prácticas_Snowballing'!$AB$2:$AB$281,"T087",'Prácticas_Snowballing'!$AC$2:$AC$281,"SOFTWARE ENG. MANAGEMENT &gt; Software Engineering Management Tools")</f>
        <v>0</v>
      </c>
      <c r="DM101" s="17">
        <f>COUNTIFS('Prácticas_Revisiones'!$S$2:$S$282,"T087",'Prácticas_Revisiones'!$T$2:$T$282,"SOFTWARE ENG. MANAGEMENT &gt; Subárea no determinable")+COUNTIFS('Prácticas_Snowballing'!$AB$2:$AB$281,"T087",'Prácticas_Snowballing'!$AC$2:$AC$281,"SOFTWARE ENG. MANAGEMENT &gt; Subárea no determinable")</f>
        <v>0</v>
      </c>
      <c r="DN101" s="29">
        <f t="shared" si="83"/>
        <v>0</v>
      </c>
      <c r="DO101" s="17">
        <f>COUNTIFS('Prácticas_Revisiones'!$S$2:$S$282,"T087",'Prácticas_Revisiones'!$T$2:$T$282,"Sin área SWEBOK")+COUNTIFS('Prácticas_Snowballing'!$AB$2:$AB$281,"T087",'Prácticas_Snowballing'!$AC$2:$AC$281,"Sin área SWEBOK")</f>
        <v>0</v>
      </c>
      <c r="DP101" s="27">
        <f t="shared" si="84"/>
        <v>0</v>
      </c>
    </row>
    <row r="102" ht="15.75" customHeight="1">
      <c r="A102" s="28"/>
      <c r="B102" s="16" t="s">
        <v>2805</v>
      </c>
      <c r="C102" s="17">
        <f>COUNTIFS('Prácticas_Revisiones'!$S$2:$S$282,"T088",'Prácticas_Revisiones'!$T$2:$T$282,"REQUIREMENTS &gt; Software Requirements Fundamentals")+COUNTIFS('Prácticas_Snowballing'!$AB$2:$AB$281,"T088",'Prácticas_Snowballing'!$AC$2:$AC$281,"REQUIREMENTS &gt; Software Requirements Fundamentals")</f>
        <v>0</v>
      </c>
      <c r="D102" s="17">
        <f>COUNTIFS('Prácticas_Revisiones'!$S$2:$S$282,"T088",'Prácticas_Revisiones'!$T$2:$T$282,"REQUIREMENTS &gt; Requirements Elicitation")+COUNTIFS('Prácticas_Snowballing'!$AB$2:$AB$281,"T088",'Prácticas_Snowballing'!$AC$2:$AC$281,"REQUIREMENTS &gt; Requirements Elicitation")</f>
        <v>0</v>
      </c>
      <c r="E102" s="17">
        <f>COUNTIFS('Prácticas_Revisiones'!$S$2:$S$282,"T088",'Prácticas_Revisiones'!$T$2:$T$282,"REQUIREMENTS &gt; Requirements Analysis")+COUNTIFS('Prácticas_Snowballing'!$AB$2:$AB$281,"T088",'Prácticas_Snowballing'!$AC$2:$AC$281,"REQUIREMENTS &gt; Requirements Analysis")</f>
        <v>0</v>
      </c>
      <c r="F102" s="17">
        <f>COUNTIFS('Prácticas_Revisiones'!$S$2:$S$282,"T088",'Prácticas_Revisiones'!$T$2:$T$282,"REQUIREMENTS &gt; Requirements Specification")+COUNTIFS('Prácticas_Snowballing'!$AB$2:$AB$281,"T088",'Prácticas_Snowballing'!$AC$2:$AC$281,"REQUIREMENTS &gt; Requirements Specification")</f>
        <v>0</v>
      </c>
      <c r="G102" s="17">
        <f>COUNTIFS('Prácticas_Revisiones'!$S$2:$S$282,"T088",'Prácticas_Revisiones'!$T$2:$T$282,"REQUIREMENTS &gt; Requirements Validation")+COUNTIFS('Prácticas_Snowballing'!$AB$2:$AB$281,"T088",'Prácticas_Snowballing'!$AC$2:$AC$281,"REQUIREMENTS &gt; Requirements Validation")</f>
        <v>0</v>
      </c>
      <c r="H102" s="17">
        <f>COUNTIFS('Prácticas_Revisiones'!$S$2:$S$282,"T088",'Prácticas_Revisiones'!$T$2:$T$282,"REQUIREMENTS &gt; Requirements Management Activities")+COUNTIFS('Prácticas_Snowballing'!$AB$2:$AB$281,"T088",'Prácticas_Snowballing'!$AC$2:$AC$281,"REQUIREMENTS &gt; Requirements Management Activities")</f>
        <v>0</v>
      </c>
      <c r="I102" s="17">
        <f>COUNTIFS('Prácticas_Revisiones'!$S$2:$S$282,"T088",'Prácticas_Revisiones'!$T$2:$T$282,"REQUIREMENTS &gt; Practical Considerations")+COUNTIFS('Prácticas_Snowballing'!$AB$2:$AB$281,"T088",'Prácticas_Snowballing'!$AC$2:$AC$281,"REQUIREMENTS &gt; Practical Considerations")</f>
        <v>0</v>
      </c>
      <c r="J102" s="17">
        <f>COUNTIFS('Prácticas_Revisiones'!$S$2:$S$282,"T088",'Prácticas_Revisiones'!$T$2:$T$282,"REQUIREMENTS &gt; Software Requirements Tools")+COUNTIFS('Prácticas_Snowballing'!$AB$2:$AB$281,"T088",'Prácticas_Snowballing'!$AC$2:$AC$281,"REQUIREMENTS &gt; Software Requirements Tools")</f>
        <v>0</v>
      </c>
      <c r="K102" s="17">
        <f>COUNTIFS('Prácticas_Revisiones'!$S$2:$S$282,"T088",'Prácticas_Revisiones'!$T$2:$T$282,"REQUIREMENTS &gt; Subárea no determinable")+COUNTIFS('Prácticas_Snowballing'!$AB$2:$AB$281,"T088",'Prácticas_Snowballing'!$AC$2:$AC$281,"REQUIREMENTS &gt; Subárea no determinable")</f>
        <v>0</v>
      </c>
      <c r="L102" s="29">
        <f t="shared" si="69"/>
        <v>0</v>
      </c>
      <c r="M102" s="17">
        <f>COUNTIFS('Prácticas_Revisiones'!$S$2:$S$282,"T088",'Prácticas_Revisiones'!$T$2:$T$282,"ARCHITECTURE &gt; Software Architecture Fundamentals")+COUNTIFS('Prácticas_Snowballing'!$AB$2:$AB$281,"T088",'Prácticas_Snowballing'!$AC$2:$AC$281,"ARCHITECTURE &gt; Software Architecture Fundamentals")</f>
        <v>0</v>
      </c>
      <c r="N102" s="17">
        <f>COUNTIFS('Prácticas_Revisiones'!$S$2:$S$282,"T088",'Prácticas_Revisiones'!$T$2:$T$282,"ARCHITECTURE &gt; Software Architecture Description")+COUNTIFS('Prácticas_Snowballing'!$AB$2:$AB$281,"T088",'Prácticas_Snowballing'!$AC$2:$AC$281,"ARCHITECTURE &gt; Software Architecture Description")</f>
        <v>0</v>
      </c>
      <c r="O102" s="17">
        <f>COUNTIFS('Prácticas_Revisiones'!$S$2:$S$282,"T088",'Prácticas_Revisiones'!$T$2:$T$282,"ARCHITECTURE &gt; Software Architecture Process")+COUNTIFS('Prácticas_Snowballing'!$AB$2:$AB$281,"T088",'Prácticas_Snowballing'!$AC$2:$AC$281,"ARCHITECTURE &gt; Software Architecture Process")</f>
        <v>0</v>
      </c>
      <c r="P102" s="17">
        <f>COUNTIFS('Prácticas_Revisiones'!$S$2:$S$282,"T088",'Prácticas_Revisiones'!$T$2:$T$282,"ARCHITECTURE &gt; Software Architecture Evaluation")+COUNTIFS('Prácticas_Snowballing'!$AB$2:$AB$281,"T088",'Prácticas_Snowballing'!$AC$2:$AC$281,"ARCHITECTURE &gt; Software Architecture Evaluation")</f>
        <v>0</v>
      </c>
      <c r="Q102" s="17">
        <f>COUNTIFS('Prácticas_Revisiones'!$S$2:$S$282,"T088",'Prácticas_Revisiones'!$T$2:$T$282,"ARCHITECTURE &gt; Subárea no determinable")+COUNTIFS('Prácticas_Snowballing'!$AB$2:$AB$281,"T088",'Prácticas_Snowballing'!$AC$2:$AC$281,"ARCHITECTURE &gt; Subárea no determinable")</f>
        <v>0</v>
      </c>
      <c r="R102" s="29">
        <f t="shared" si="70"/>
        <v>0</v>
      </c>
      <c r="S102" s="17">
        <f>COUNTIFS('Prácticas_Revisiones'!$S$2:$S$282,"T088",'Prácticas_Revisiones'!$T$2:$T$282,"DESIGN &gt; Software Design Fundamentals")+COUNTIFS('Prácticas_Snowballing'!$AB$2:$AB$281,"T088",'Prácticas_Snowballing'!$AC$2:$AC$281,"DESIGN &gt; Software Design Fundamentals")</f>
        <v>0</v>
      </c>
      <c r="T102" s="17">
        <f>COUNTIFS('Prácticas_Revisiones'!$S$2:$S$282,"T088",'Prácticas_Revisiones'!$T$2:$T$282,"DESIGN &gt; Software Design Processes")+COUNTIFS('Prácticas_Snowballing'!$AB$2:$AB$281,"T088",'Prácticas_Snowballing'!$AC$2:$AC$281,"DESIGN &gt; Software Design Processes")</f>
        <v>0</v>
      </c>
      <c r="U102" s="17">
        <f>COUNTIFS('Prácticas_Revisiones'!$S$2:$S$282,"T088",'Prácticas_Revisiones'!$T$2:$T$282,"DESIGN &gt; Software Design Qualities")+COUNTIFS('Prácticas_Snowballing'!$AB$2:$AB$281,"T088",'Prácticas_Snowballing'!$AC$2:$AC$281,"DESIGN &gt; Software Design Qualities")</f>
        <v>0</v>
      </c>
      <c r="V102" s="17">
        <f>COUNTIFS('Prácticas_Revisiones'!$S$2:$S$282,"T088",'Prácticas_Revisiones'!$T$2:$T$282,"DESIGN &gt; Recording Software Design")+COUNTIFS('Prácticas_Snowballing'!$AB$2:$AB$281,"T088",'Prácticas_Snowballing'!$AC$2:$AC$281,"DESIGN &gt; Recording Software Design")</f>
        <v>0</v>
      </c>
      <c r="W102" s="17">
        <f>COUNTIFS('Prácticas_Revisiones'!$S$2:$S$282,"T088",'Prácticas_Revisiones'!$T$2:$T$282,"DESIGN &gt; Software Design Strategies and Methods")+COUNTIFS('Prácticas_Snowballing'!$AB$2:$AB$281,"T088",'Prácticas_Snowballing'!$AC$2:$AC$281,"DESIGN &gt; Software Design Strategies and Methods")</f>
        <v>0</v>
      </c>
      <c r="X102" s="17">
        <f>COUNTIFS('Prácticas_Revisiones'!$S$2:$S$282,"T088",'Prácticas_Revisiones'!$T$2:$T$282,"DESIGN &gt; Software Design Analysis and Evaluations")+COUNTIFS('Prácticas_Snowballing'!$AB$2:$AB$281,"T088",'Prácticas_Snowballing'!$AC$2:$AC$281,"DESIGN &gt; Software Design Analysis and Evaluations")</f>
        <v>0</v>
      </c>
      <c r="Y102" s="17">
        <f>COUNTIFS('Prácticas_Revisiones'!$S$2:$S$282,"T088",'Prácticas_Revisiones'!$T$2:$T$282,"DESIGN &gt; Subárea no determinable")+COUNTIFS('Prácticas_Snowballing'!$AB$2:$AB$281,"T088",'Prácticas_Snowballing'!$AC$2:$AC$281,"DESIGN &gt; Subárea no determinable")</f>
        <v>0</v>
      </c>
      <c r="Z102" s="29">
        <f t="shared" si="71"/>
        <v>0</v>
      </c>
      <c r="AA102" s="17">
        <f>COUNTIFS('Prácticas_Revisiones'!$S$2:$S$282,"T088",'Prácticas_Revisiones'!$T$2:$T$282,"CONSTRUCTION &gt; Software Construction Fundamentals")+COUNTIFS('Prácticas_Snowballing'!$AB$2:$AB$281,"T088",'Prácticas_Snowballing'!$AC$2:$AC$281,"CONSTRUCTION &gt; Software Construction Fundamentals")</f>
        <v>0</v>
      </c>
      <c r="AB102" s="17">
        <f>COUNTIFS('Prácticas_Revisiones'!$S$2:$S$282,"T088",'Prácticas_Revisiones'!$T$2:$T$282,"CONSTRUCTION &gt; Managing Construction")+COUNTIFS('Prácticas_Snowballing'!$AB$2:$AB$281,"T088",'Prácticas_Snowballing'!$AC$2:$AC$281,"CONSTRUCTION &gt; Managing Construction")</f>
        <v>0</v>
      </c>
      <c r="AC102" s="17">
        <f>COUNTIFS('Prácticas_Revisiones'!$S$2:$S$282,"T088",'Prácticas_Revisiones'!$T$2:$T$282,"CONSTRUCTION &gt; Practical Considerations")+COUNTIFS('Prácticas_Snowballing'!$AB$2:$AB$281,"T088",'Prácticas_Snowballing'!$AC$2:$AC$281,"CONSTRUCTION &gt; Practical Considerations")</f>
        <v>0</v>
      </c>
      <c r="AD102" s="17">
        <f>COUNTIFS('Prácticas_Revisiones'!$S$2:$S$282,"T088",'Prácticas_Revisiones'!$T$2:$T$282,"CONSTRUCTION &gt; Construction Technologies")+COUNTIFS('Prácticas_Snowballing'!$AB$2:$AB$281,"T088",'Prácticas_Snowballing'!$AC$2:$AC$281,"CONSTRUCTION &gt; Construction Technologies")</f>
        <v>0</v>
      </c>
      <c r="AE102" s="17">
        <f>COUNTIFS('Prácticas_Revisiones'!$S$2:$S$282,"T088",'Prácticas_Revisiones'!$T$2:$T$282,"CONSTRUCTION &gt; Software Construction Tools")+COUNTIFS('Prácticas_Snowballing'!$AB$2:$AB$281,"T088",'Prácticas_Snowballing'!$AC$2:$AC$281,"CONSTRUCTION &gt; Software Construction Tools")</f>
        <v>0</v>
      </c>
      <c r="AF102" s="17">
        <f>COUNTIFS('Prácticas_Revisiones'!$S$2:$S$282,"T088",'Prácticas_Revisiones'!$T$2:$T$282,"CONSTRUCTION &gt; Subárea no determinable")+COUNTIFS('Prácticas_Snowballing'!$AB$2:$AB$281,"T088",'Prácticas_Snowballing'!$AC$2:$AC$281,"CONSTRUCTION &gt; Subárea no determinable")</f>
        <v>0</v>
      </c>
      <c r="AG102" s="29">
        <f t="shared" si="72"/>
        <v>0</v>
      </c>
      <c r="AH102" s="17">
        <f>COUNTIFS('Prácticas_Revisiones'!$S$2:$S$282,"T088",'Prácticas_Revisiones'!$T$2:$T$282,"SOFTWARE TESTING &gt; Software Testing Fundamentals")+COUNTIFS('Prácticas_Snowballing'!$AB$2:$AB$281,"T088",'Prácticas_Snowballing'!$AC$2:$AC$281,"SOFTWARE TESTING &gt; Software Testing Fundamentals")</f>
        <v>0</v>
      </c>
      <c r="AI102" s="17">
        <f>COUNTIFS('Prácticas_Revisiones'!$S$2:$S$282,"T088",'Prácticas_Revisiones'!$T$2:$T$282,"SOFTWARE TESTING &gt; Test Levels")+COUNTIFS('Prácticas_Snowballing'!$AB$2:$AB$281,"T088",'Prácticas_Snowballing'!$AC$2:$AC$281,"SOFTWARE TESTING &gt; Test Levels")</f>
        <v>0</v>
      </c>
      <c r="AJ102" s="17">
        <f>COUNTIFS('Prácticas_Revisiones'!$S$2:$S$282,"T088",'Prácticas_Revisiones'!$T$2:$T$282,"SOFTWARE TESTING &gt; Test Techniques")+COUNTIFS('Prácticas_Snowballing'!$AB$2:$AB$281,"T088",'Prácticas_Snowballing'!$AC$2:$AC$281,"SOFTWARE TESTING &gt; Test Techniques")</f>
        <v>0</v>
      </c>
      <c r="AK102" s="17">
        <f>COUNTIFS('Prácticas_Revisiones'!$S$2:$S$282,"T088",'Prácticas_Revisiones'!$T$2:$T$282,"SOFTWARE TESTING &gt; Test-Related Measures")+COUNTIFS('Prácticas_Snowballing'!$AB$2:$AB$281,"T088",'Prácticas_Snowballing'!$AC$2:$AC$281,"SOFTWARE TESTING &gt; Test-Related Measures")</f>
        <v>0</v>
      </c>
      <c r="AL102" s="17">
        <f>COUNTIFS('Prácticas_Revisiones'!$S$2:$S$282,"T088",'Prácticas_Revisiones'!$T$2:$T$282,"SOFTWARE TESTING &gt; Test Process")+COUNTIFS('Prácticas_Snowballing'!$AB$2:$AB$281,"T088",'Prácticas_Snowballing'!$AC$2:$AC$281,"SOFTWARE TESTING &gt; Test Process")</f>
        <v>0</v>
      </c>
      <c r="AM102" s="17">
        <f>COUNTIFS('Prácticas_Revisiones'!$S$2:$S$282,"T088",'Prácticas_Revisiones'!$T$2:$T$282,"SOFTWARE TESTING &gt; Software Testing in the Development Processes...")+COUNTIFS('Prácticas_Snowballing'!$AB$2:$AB$281,"T088",'Prácticas_Snowballing'!$AC$2:$AC$281,"SOFTWARE TESTING &gt; Software Testing in the Development Processes...")</f>
        <v>0</v>
      </c>
      <c r="AN102" s="17">
        <f>COUNTIFS('Prácticas_Revisiones'!$S$2:$S$282,"T088",'Prácticas_Revisiones'!$T$2:$T$282,"SOFTWARE TESTING &gt; Testing of and Testing Through Emerging Tech...")+COUNTIFS('Prácticas_Snowballing'!$AB$2:$AB$281,"T088",'Prácticas_Snowballing'!$AC$2:$AC$281,"SOFTWARE TESTING &gt; Testing of and Testing Through Emerging Tech...")</f>
        <v>0</v>
      </c>
      <c r="AO102" s="17">
        <f>COUNTIFS('Prácticas_Revisiones'!$S$2:$S$282,"T088",'Prácticas_Revisiones'!$T$2:$T$282,"SOFTWARE TESTING &gt; Software Testing Tools")+COUNTIFS('Prácticas_Snowballing'!$AB$2:$AB$281,"T088",'Prácticas_Snowballing'!$AC$2:$AC$281,"SOFTWARE TESTING &gt; Software Testing Tools")</f>
        <v>0</v>
      </c>
      <c r="AP102" s="17">
        <f>COUNTIFS('Prácticas_Revisiones'!$S$2:$S$282,"T088",'Prácticas_Revisiones'!$T$2:$T$282,"SOFTWARE TESTING &gt; Subárea no determinable")+COUNTIFS('Prácticas_Snowballing'!$AB$2:$AB$281,"T088",'Prácticas_Snowballing'!$AC$2:$AC$281,"SOFTWARE TESTING &gt; Subárea no determinable")</f>
        <v>0</v>
      </c>
      <c r="AQ102" s="29">
        <f t="shared" si="73"/>
        <v>0</v>
      </c>
      <c r="AR102" s="17">
        <f>COUNTIFS('Prácticas_Revisiones'!$S$2:$S$282,"T088",'Prácticas_Revisiones'!$T$2:$T$282,"SOFTWARE ENG. OPERATIONS &gt; Software Engineering Operations Fundamentals")+COUNTIFS('Prácticas_Snowballing'!$AB$2:$AB$281,"T088",'Prácticas_Snowballing'!$AC$2:$AC$281,"SOFTWARE ENG. OPERATIONS &gt; Software Engineering Operations Fundamentals")</f>
        <v>0</v>
      </c>
      <c r="AS102" s="17">
        <f>COUNTIFS('Prácticas_Revisiones'!$S$2:$S$282,"T088",'Prácticas_Revisiones'!$T$2:$T$282,"SOFTWARE ENG. OPERATIONS &gt; Software Engineering Operations Planning")+COUNTIFS('Prácticas_Snowballing'!$AB$2:$AB$281,"T088",'Prácticas_Snowballing'!$AC$2:$AC$281,"SOFTWARE ENG. OPERATIONS &gt; Software Engineering Operations Planning")</f>
        <v>0</v>
      </c>
      <c r="AT102" s="17">
        <f>COUNTIFS('Prácticas_Revisiones'!$S$2:$S$282,"T088",'Prácticas_Revisiones'!$T$2:$T$282,"SOFTWARE ENG. OPERATIONS &gt; Software Engineering Operations Delivery")+COUNTIFS('Prácticas_Snowballing'!$AB$2:$AB$281,"T088",'Prácticas_Snowballing'!$AC$2:$AC$281,"SOFTWARE ENG. OPERATIONS &gt; Software Engineering Operations Delivery")</f>
        <v>0</v>
      </c>
      <c r="AU102" s="17">
        <f>COUNTIFS('Prácticas_Revisiones'!$S$2:$S$282,"T088",'Prácticas_Revisiones'!$T$2:$T$282,"SOFTWARE ENG. OPERATIONS &gt; Software Engineering Operations Control")+COUNTIFS('Prácticas_Snowballing'!$AB$2:$AB$281,"T088",'Prácticas_Snowballing'!$AC$2:$AC$281,"SOFTWARE ENG. OPERATIONS &gt; Software Engineering Operations Control")</f>
        <v>0</v>
      </c>
      <c r="AV102" s="17">
        <f>COUNTIFS('Prácticas_Revisiones'!$S$2:$S$282,"T088",'Prácticas_Revisiones'!$T$2:$T$282,"SOFTWARE ENG. OPERATIONS &gt; Practical Considerations")+COUNTIFS('Prácticas_Snowballing'!$AB$2:$AB$281,"T088",'Prácticas_Snowballing'!$AC$2:$AC$281,"SOFTWARE ENG. OPERATIONS &gt; Practical Considerations")</f>
        <v>0</v>
      </c>
      <c r="AW102" s="17">
        <f>COUNTIFS('Prácticas_Revisiones'!$S$2:$S$282,"T088",'Prácticas_Revisiones'!$T$2:$T$282,"SOFTWARE ENG. OPERATIONS &gt; Software Engineering Operations Tools")+COUNTIFS('Prácticas_Snowballing'!$AB$2:$AB$281,"T088",'Prácticas_Snowballing'!$AC$2:$AC$281,"SOFTWARE ENG. OPERATIONS &gt; Software Engineering Operations Tools")</f>
        <v>0</v>
      </c>
      <c r="AX102" s="17">
        <f>COUNTIFS('Prácticas_Revisiones'!$S$2:$S$282,"T088",'Prácticas_Revisiones'!$T$2:$T$282,"SOFTWARE ENG. OPERATIONS &gt; Subárea no determinable")+COUNTIFS('Prácticas_Snowballing'!$AB$2:$AB$281,"T088",'Prácticas_Snowballing'!$AC$2:$AC$281,"SOFTWARE ENG. OPERATIONS &gt; Subárea no determinable")</f>
        <v>0</v>
      </c>
      <c r="AY102" s="29">
        <f t="shared" si="74"/>
        <v>0</v>
      </c>
      <c r="AZ102" s="17">
        <f>COUNTIFS('Prácticas_Revisiones'!$S$2:$S$282,"T088",'Prácticas_Revisiones'!$T$2:$T$282,"MAINTENANCE &gt; Software Maintenance Fundamentals")+COUNTIFS('Prácticas_Snowballing'!$AB$2:$AB$281,"T088",'Prácticas_Snowballing'!$AC$2:$AC$281,"MAINTENANCE &gt; Software Maintenance Fundamentals")</f>
        <v>0</v>
      </c>
      <c r="BA102" s="17">
        <f>COUNTIFS('Prácticas_Revisiones'!$S$2:$S$282,"T088",'Prácticas_Revisiones'!$T$2:$T$282,"MAINTENANCE &gt; Key Issues in Software Maintenance")+COUNTIFS('Prácticas_Snowballing'!$AB$2:$AB$281,"T088",'Prácticas_Snowballing'!$AC$2:$AC$281,"MAINTENANCE &gt; Key Issues in Software Maintenance")</f>
        <v>0</v>
      </c>
      <c r="BB102" s="17">
        <f>COUNTIFS('Prácticas_Revisiones'!$S$2:$S$282,"T088",'Prácticas_Revisiones'!$T$2:$T$282,"MAINTENANCE &gt; Software Maintenance Processes")+COUNTIFS('Prácticas_Snowballing'!$AB$2:$AB$281,"T088",'Prácticas_Snowballing'!$AC$2:$AC$281,"MAINTENANCE &gt; Software Maintenance Processes")</f>
        <v>0</v>
      </c>
      <c r="BC102" s="17">
        <f>COUNTIFS('Prácticas_Revisiones'!$S$2:$S$282,"T088",'Prácticas_Revisiones'!$T$2:$T$282,"MAINTENANCE &gt; Software Maintenance Techniques")+COUNTIFS('Prácticas_Snowballing'!$AB$2:$AB$281,"T088",'Prácticas_Snowballing'!$AC$2:$AC$281,"MAINTENANCE &gt; Software Maintenance Techniques")</f>
        <v>0</v>
      </c>
      <c r="BD102" s="17">
        <f>COUNTIFS('Prácticas_Revisiones'!$S$2:$S$282,"T088",'Prácticas_Revisiones'!$T$2:$T$282,"MAINTENANCE &gt; Software Maintenance Tools")+COUNTIFS('Prácticas_Snowballing'!$AB$2:$AB$281,"T088",'Prácticas_Snowballing'!$AC$2:$AC$281,"MAINTENANCE &gt; Software Maintenance Tools")</f>
        <v>0</v>
      </c>
      <c r="BE102" s="17">
        <f>COUNTIFS('Prácticas_Revisiones'!$S$2:$S$282,"T088",'Prácticas_Revisiones'!$T$2:$T$282,"MAINTENANCE &gt; Subárea no determinable")+COUNTIFS('Prácticas_Snowballing'!$AB$2:$AB$281,"T088",'Prácticas_Snowballing'!$AC$2:$AC$281,"MAINTENANCE &gt; Subárea no determinable")</f>
        <v>0</v>
      </c>
      <c r="BF102" s="29">
        <f t="shared" si="75"/>
        <v>0</v>
      </c>
      <c r="BG102" s="17">
        <f>COUNTIFS('Prácticas_Revisiones'!$S$2:$S$282,"T088",'Prácticas_Revisiones'!$T$2:$T$282,"SOFTWARE CONFIG. MGMT. &gt; Management of the SCM Process")+COUNTIFS('Prácticas_Snowballing'!$AB$2:$AB$281,"T088",'Prácticas_Snowballing'!$AC$2:$AC$281,"SOFTWARE CONFIG. MGMT. &gt; Management of the SCM Process")</f>
        <v>0</v>
      </c>
      <c r="BH102" s="17">
        <f>COUNTIFS('Prácticas_Revisiones'!$S$2:$S$282,"T088",'Prácticas_Revisiones'!$T$2:$T$282,"SOFTWARE CONFIG. MGMT. &gt; Software Configuration Identification")+COUNTIFS('Prácticas_Snowballing'!$AB$2:$AB$281,"T088",'Prácticas_Snowballing'!$AC$2:$AC$281,"SOFTWARE CONFIG. MGMT. &gt; Software Configuration Identification")</f>
        <v>0</v>
      </c>
      <c r="BI102" s="17">
        <f>COUNTIFS('Prácticas_Revisiones'!$S$2:$S$282,"T088",'Prácticas_Revisiones'!$T$2:$T$282,"SOFTWARE CONFIG. MGMT. &gt; Software Configuration Change Control")+COUNTIFS('Prácticas_Snowballing'!$AB$2:$AB$281,"T088",'Prácticas_Snowballing'!$AC$2:$AC$281,"SOFTWARE CONFIG. MGMT. &gt; Software Configuration Change Control")</f>
        <v>0</v>
      </c>
      <c r="BJ102" s="17">
        <f>COUNTIFS('Prácticas_Revisiones'!$S$2:$S$282,"T088",'Prácticas_Revisiones'!$T$2:$T$282,"SOFTWARE CONFIG. MGMT. &gt; Software Configuration Status Accounting")+COUNTIFS('Prácticas_Snowballing'!$AB$2:$AB$281,"T088",'Prácticas_Snowballing'!$AC$2:$AC$281,"SOFTWARE CONFIG. MGMT. &gt; Software Configuration Status Accounting")</f>
        <v>0</v>
      </c>
      <c r="BK102" s="17">
        <f>COUNTIFS('Prácticas_Revisiones'!$S$2:$S$282,"T088",'Prácticas_Revisiones'!$T$2:$T$282,"SOFTWARE CONFIG. MGMT. &gt; Software Configuration Auditing")+COUNTIFS('Prácticas_Snowballing'!$AB$2:$AB$281,"T088",'Prácticas_Snowballing'!$AC$2:$AC$281,"SOFTWARE CONFIG. MGMT. &gt; Software Configuration Auditing")</f>
        <v>0</v>
      </c>
      <c r="BL102" s="17">
        <f>COUNTIFS('Prácticas_Revisiones'!$S$2:$S$282,"T088",'Prácticas_Revisiones'!$T$2:$T$282,"SOFTWARE CONFIG. MGMT. &gt; Software Release Management and Delivery")+COUNTIFS('Prácticas_Snowballing'!$AB$2:$AB$281,"T088",'Prácticas_Snowballing'!$AC$2:$AC$281,"SOFTWARE CONFIG. MGMT. &gt; Software Release Management and Delivery")</f>
        <v>0</v>
      </c>
      <c r="BM102" s="17">
        <f>COUNTIFS('Prácticas_Revisiones'!$S$2:$S$282,"T088",'Prácticas_Revisiones'!$T$2:$T$282,"SOFTWARE CONFIG. MGMT. &gt; Software Configuration Management Tools")+COUNTIFS('Prácticas_Snowballing'!$AB$2:$AB$281,"T088",'Prácticas_Snowballing'!$AC$2:$AC$281,"SOFTWARE CONFIG. MGMT. &gt; Software Configuration Management Tools")</f>
        <v>0</v>
      </c>
      <c r="BN102" s="17">
        <f>COUNTIFS('Prácticas_Revisiones'!$S$2:$S$282,"T088",'Prácticas_Revisiones'!$T$2:$T$282,"SOFTWARE CONFIG. MGMT. &gt; Subárea no determinable")+COUNTIFS('Prácticas_Snowballing'!$AB$2:$AB$281,"T088",'Prácticas_Snowballing'!$AC$2:$AC$281,"SOFTWARE CONFIG. MGMT. &gt; Subárea no determinable")</f>
        <v>0</v>
      </c>
      <c r="BO102" s="29">
        <f t="shared" si="76"/>
        <v>0</v>
      </c>
      <c r="BP102" s="17">
        <f>COUNTIFS('Prácticas_Revisiones'!$S$2:$S$282,"T088",'Prácticas_Revisiones'!$T$2:$T$282,"SOFTWARE ENG. PROCESS &gt; Software Engineering Process Fundamentals")+COUNTIFS('Prácticas_Snowballing'!$AB$2:$AB$281,"T088",'Prácticas_Snowballing'!$AC$2:$AC$281,"SOFTWARE ENG. PROCESS &gt; Software Engineering Process Fundamentals")</f>
        <v>0</v>
      </c>
      <c r="BQ102" s="17">
        <f>COUNTIFS('Prácticas_Revisiones'!$S$2:$S$282,"T088",'Prácticas_Revisiones'!$T$2:$T$282,"SOFTWARE ENG. PROCESS &gt; Life Cycles")+COUNTIFS('Prácticas_Snowballing'!$AB$2:$AB$281,"T088",'Prácticas_Snowballing'!$AC$2:$AC$281,"SOFTWARE ENG. PROCESS &gt; Life Cycles")</f>
        <v>0</v>
      </c>
      <c r="BR102" s="17">
        <f>COUNTIFS('Prácticas_Revisiones'!$S$2:$S$282,"T088",'Prácticas_Revisiones'!$T$2:$T$282,"SOFTWARE ENG. PROCESS &gt; Software Process Assessment and Improvement")+COUNTIFS('Prácticas_Snowballing'!$AB$2:$AB$281,"T088",'Prácticas_Snowballing'!$AC$2:$AC$281,"SOFTWARE ENG. PROCESS &gt; Software Process Assessment and Improvement")</f>
        <v>0</v>
      </c>
      <c r="BS102" s="17">
        <f>COUNTIFS('Prácticas_Revisiones'!$S$2:$S$282,"T088",'Prácticas_Revisiones'!$T$2:$T$282,"SOFTWARE ENG. PROCESS &gt; Subárea no determinable")+COUNTIFS('Prácticas_Snowballing'!$AB$2:$AB$281,"T088",'Prácticas_Snowballing'!$AC$2:$AC$281,"SOFTWARE ENG. PROCESS &gt; Subárea no determinable")</f>
        <v>0</v>
      </c>
      <c r="BT102" s="29">
        <f t="shared" si="77"/>
        <v>0</v>
      </c>
      <c r="BU102" s="17">
        <f>COUNTIFS('Prácticas_Revisiones'!$S$2:$S$282,"T088",'Prácticas_Revisiones'!$T$2:$T$282,"SOFTWARE ENG. MODELS/METH. &gt; Modeling")+COUNTIFS('Prácticas_Snowballing'!$AB$2:$AB$281,"T088",'Prácticas_Snowballing'!$AC$2:$AC$281,"SOFTWARE ENG. MODELS/METH. &gt; Modeling")</f>
        <v>0</v>
      </c>
      <c r="BV102" s="17">
        <f>COUNTIFS('Prácticas_Revisiones'!$S$2:$S$282,"T088",'Prácticas_Revisiones'!$T$2:$T$282,"SOFTWARE ENG. MODELS/METH. &gt; Types of Models")+COUNTIFS('Prácticas_Snowballing'!$AB$2:$AB$281,"T088",'Prácticas_Snowballing'!$AC$2:$AC$281,"SOFTWARE ENG. MODELS/METH. &gt; Types of Models")</f>
        <v>0</v>
      </c>
      <c r="BW102" s="17">
        <f>COUNTIFS('Prácticas_Revisiones'!$S$2:$S$282,"T088",'Prácticas_Revisiones'!$T$2:$T$282,"SOFTWARE ENG. MODELS/METH. &gt; Analysis of Models")+COUNTIFS('Prácticas_Snowballing'!$AB$2:$AB$281,"T088",'Prácticas_Snowballing'!$AC$2:$AC$281,"SOFTWARE ENG. MODELS/METH. &gt; Analysis of Models")</f>
        <v>0</v>
      </c>
      <c r="BX102" s="17">
        <f>COUNTIFS('Prácticas_Revisiones'!$S$2:$S$282,"T088",'Prácticas_Revisiones'!$T$2:$T$282,"SOFTWARE ENG. MODELS/METH. &gt; Software Engineering Methods")+COUNTIFS('Prácticas_Snowballing'!$AB$2:$AB$281,"T088",'Prácticas_Snowballing'!$AC$2:$AC$281,"SOFTWARE ENG. MODELS/METH. &gt; Software Engineering Methods")</f>
        <v>0</v>
      </c>
      <c r="BY102" s="17">
        <f>COUNTIFS('Prácticas_Revisiones'!$S$2:$S$282,"T088",'Prácticas_Revisiones'!$T$2:$T$282,"SOFTWARE ENG. MODELS/METH. &gt; Subárea no determinable")+COUNTIFS('Prácticas_Snowballing'!$AB$2:$AB$281,"T088",'Prácticas_Snowballing'!$AC$2:$AC$281,"SOFTWARE ENG. MODELS/METH. &gt; Subárea no determinable")</f>
        <v>0</v>
      </c>
      <c r="BZ102" s="29">
        <f t="shared" si="78"/>
        <v>0</v>
      </c>
      <c r="CA102" s="17">
        <f>COUNTIFS('Prácticas_Revisiones'!$S$2:$S$282,"T088",'Prácticas_Revisiones'!$T$2:$T$282,"SOFTWARE QUALITY &gt; Software Quality Fundamentals")+COUNTIFS('Prácticas_Snowballing'!$AB$2:$AB$281,"T088",'Prácticas_Snowballing'!$AC$2:$AC$281,"SOFTWARE QUALITY &gt; Software Quality Fundamentals")</f>
        <v>0</v>
      </c>
      <c r="CB102" s="17">
        <f>COUNTIFS('Prácticas_Revisiones'!$S$2:$S$282,"T088",'Prácticas_Revisiones'!$T$2:$T$282,"SOFTWARE QUALITY &gt; Software Quality Management Process")+COUNTIFS('Prácticas_Snowballing'!$AB$2:$AB$281,"T088",'Prácticas_Snowballing'!$AC$2:$AC$281,"SOFTWARE QUALITY &gt; Software Quality Management Process")</f>
        <v>0</v>
      </c>
      <c r="CC102" s="17">
        <f>COUNTIFS('Prácticas_Revisiones'!$S$2:$S$282,"T088",'Prácticas_Revisiones'!$T$2:$T$282,"SOFTWARE QUALITY &gt; Software Quality Assurance Process")+COUNTIFS('Prácticas_Snowballing'!$AB$2:$AB$281,"T088",'Prácticas_Snowballing'!$AC$2:$AC$281,"SOFTWARE QUALITY &gt; Software Quality Assurance Process")</f>
        <v>0</v>
      </c>
      <c r="CD102" s="17">
        <f>COUNTIFS('Prácticas_Revisiones'!$S$2:$S$282,"T088",'Prácticas_Revisiones'!$T$2:$T$282,"SOFTWARE QUALITY &gt; Software Quality Tools")+COUNTIFS('Prácticas_Snowballing'!$AB$2:$AB$281,"T088",'Prácticas_Snowballing'!$AC$2:$AC$281,"SOFTWARE QUALITY &gt; Software Quality Tools")</f>
        <v>0</v>
      </c>
      <c r="CE102" s="17">
        <f>COUNTIFS('Prácticas_Revisiones'!$S$2:$S$282,"T088",'Prácticas_Revisiones'!$T$2:$T$282,"SOFTWARE QUALITY &gt; Subárea no determinable")+COUNTIFS('Prácticas_Snowballing'!$AB$2:$AB$281,"T088",'Prácticas_Snowballing'!$AC$2:$AC$281,"SOFTWARE QUALITY &gt; Subárea no determinable")</f>
        <v>0</v>
      </c>
      <c r="CF102" s="29">
        <f t="shared" si="79"/>
        <v>0</v>
      </c>
      <c r="CG102" s="17">
        <f>COUNTIFS('Prácticas_Revisiones'!$S$2:$S$282,"T088",'Prácticas_Revisiones'!$T$2:$T$282,"SOFTWARE SECURITY &gt; Software Security Fundamentals")+COUNTIFS('Prácticas_Snowballing'!$AB$2:$AB$281,"T088",'Prácticas_Snowballing'!$AC$2:$AC$281,"SOFTWARE SECURITY &gt; Software Security Fundamentals")</f>
        <v>0</v>
      </c>
      <c r="CH102" s="17">
        <f>COUNTIFS('Prácticas_Revisiones'!$S$2:$S$282,"T088",'Prácticas_Revisiones'!$T$2:$T$282,"SOFTWARE SECURITY &gt; Security Management and Organization")+COUNTIFS('Prácticas_Snowballing'!$AB$2:$AB$281,"T088",'Prácticas_Snowballing'!$AC$2:$AC$281,"SOFTWARE SECURITY &gt; Security Management and Organization")</f>
        <v>0</v>
      </c>
      <c r="CI102" s="17">
        <f>COUNTIFS('Prácticas_Revisiones'!$S$2:$S$282,"T088",'Prácticas_Revisiones'!$T$2:$T$282,"SOFTWARE SECURITY &gt; Software Security Engineering and Process")+COUNTIFS('Prácticas_Snowballing'!$AB$2:$AB$281,"T088",'Prácticas_Snowballing'!$AC$2:$AC$281,"SOFTWARE SECURITY &gt; Software Security Engineering and Process")</f>
        <v>0</v>
      </c>
      <c r="CJ102" s="17">
        <f>COUNTIFS('Prácticas_Revisiones'!$S$2:$S$282,"T088",'Prácticas_Revisiones'!$T$2:$T$282,"SOFTWARE SECURITY &gt; Security Engineering for Software Systems")+COUNTIFS('Prácticas_Snowballing'!$AB$2:$AB$281,"T088",'Prácticas_Snowballing'!$AC$2:$AC$281,"SOFTWARE SECURITY &gt; Security Engineering for Software Systems")</f>
        <v>0</v>
      </c>
      <c r="CK102" s="17">
        <f>COUNTIFS('Prácticas_Revisiones'!$S$2:$S$282,"T088",'Prácticas_Revisiones'!$T$2:$T$282,"SOFTWARE SECURITY &gt; Software Security Tools")+COUNTIFS('Prácticas_Snowballing'!$AB$2:$AB$281,"T088",'Prácticas_Snowballing'!$AC$2:$AC$281,"SOFTWARE SECURITY &gt; Software Security Tools")</f>
        <v>0</v>
      </c>
      <c r="CL102" s="17">
        <f>COUNTIFS('Prácticas_Revisiones'!$S$2:$S$282,"T088",'Prácticas_Revisiones'!$T$2:$T$282,"SOFTWARE SECURITY &gt; Domain Specific Software Security")+COUNTIFS('Prácticas_Snowballing'!$AB$2:$AB$281,"T088",'Prácticas_Snowballing'!$AC$2:$AC$281,"SOFTWARE SECURITY &gt; Domain Specific Software Security")</f>
        <v>0</v>
      </c>
      <c r="CM102" s="17">
        <f>COUNTIFS('Prácticas_Revisiones'!$S$2:$S$282,"T088",'Prácticas_Revisiones'!$T$2:$T$282,"SOFTWARE SECURITY &gt; Subárea no determinable")+COUNTIFS('Prácticas_Snowballing'!$AB$2:$AB$281,"T088",'Prácticas_Snowballing'!$AC$2:$AC$281,"SOFTWARE SECURITY &gt; Subárea no determinable")</f>
        <v>0</v>
      </c>
      <c r="CN102" s="29">
        <f t="shared" si="80"/>
        <v>0</v>
      </c>
      <c r="CO102" s="17">
        <f>COUNTIFS('Prácticas_Revisiones'!$S$2:$S$282,"T088",'Prácticas_Revisiones'!$T$2:$T$282,"PROFESSIONAL PRACTICE &gt; Professionalism")+COUNTIFS('Prácticas_Snowballing'!$AB$2:$AB$281,"T088",'Prácticas_Snowballing'!$AC$2:$AC$281,"PROFESSIONAL PRACTICE &gt; Professionalism")</f>
        <v>0</v>
      </c>
      <c r="CP102" s="17">
        <f>COUNTIFS('Prácticas_Revisiones'!$S$2:$S$282,"T088",'Prácticas_Revisiones'!$T$2:$T$282,"PROFESSIONAL PRACTICE &gt; Group Dynamics and Psychology")+COUNTIFS('Prácticas_Snowballing'!$AB$2:$AB$281,"T088",'Prácticas_Snowballing'!$AC$2:$AC$281,"PROFESSIONAL PRACTICE &gt; Group Dynamics and Psychology")</f>
        <v>0</v>
      </c>
      <c r="CQ102" s="17">
        <f>COUNTIFS('Prácticas_Revisiones'!$S$2:$S$282,"T088",'Prácticas_Revisiones'!$T$2:$T$282,"PROFESSIONAL PRACTICE &gt; Communication Skills")+COUNTIFS('Prácticas_Snowballing'!$AB$2:$AB$281,"T088",'Prácticas_Snowballing'!$AC$2:$AC$281,"PROFESSIONAL PRACTICE &gt; Communication Skills")</f>
        <v>0</v>
      </c>
      <c r="CR102" s="17">
        <f>COUNTIFS('Prácticas_Revisiones'!$S$2:$S$282,"T088",'Prácticas_Revisiones'!$T$2:$T$282,"PROFESSIONAL PRACTICE &gt; Subárea no determinable")+COUNTIFS('Prácticas_Snowballing'!$AB$2:$AB$281,"T088",'Prácticas_Snowballing'!$AC$2:$AC$281,"PROFESSIONAL PRACTICE &gt; Subárea no determinable")</f>
        <v>0</v>
      </c>
      <c r="CS102" s="29">
        <f t="shared" si="81"/>
        <v>0</v>
      </c>
      <c r="CT102" s="17">
        <f>COUNTIFS('Prácticas_Revisiones'!$S$2:$S$282,"T088",'Prácticas_Revisiones'!$T$2:$T$282,"SOFTWARE ENG. ECONOMICS &gt; Software Engineering Economics Fundamentals")+COUNTIFS('Prácticas_Snowballing'!$AB$2:$AB$281,"T088",'Prácticas_Snowballing'!$AC$2:$AC$281,"SOFTWARE ENG. ECONOMICS &gt; Software Engineering Economics Fundamentals")</f>
        <v>0</v>
      </c>
      <c r="CU102" s="17">
        <f>COUNTIFS('Prácticas_Revisiones'!$S$2:$S$282,"T088",'Prácticas_Revisiones'!$T$2:$T$282,"SOFTWARE ENG. ECONOMICS &gt; The Engineering Decision-Making Process")+COUNTIFS('Prácticas_Snowballing'!$AB$2:$AB$281,"T088",'Prácticas_Snowballing'!$AC$2:$AC$281,"SOFTWARE ENG. ECONOMICS &gt; The Engineering Decision-Making Process")</f>
        <v>0</v>
      </c>
      <c r="CV102" s="17">
        <f>COUNTIFS('Prácticas_Revisiones'!$S$2:$S$282,"T088",'Prácticas_Revisiones'!$T$2:$T$282,"SOFTWARE ENG. ECONOMICS &gt; For-Profit Decision-Making")+COUNTIFS('Prácticas_Snowballing'!$AB$2:$AB$281,"T088",'Prácticas_Snowballing'!$AC$2:$AC$281,"SOFTWARE ENG. ECONOMICS &gt; For-Profit Decision-Making")</f>
        <v>0</v>
      </c>
      <c r="CW102" s="17">
        <f>COUNTIFS('Prácticas_Revisiones'!$S$2:$S$282,"T088",'Prácticas_Revisiones'!$T$2:$T$282,"SOFTWARE ENG. ECONOMICS &gt; Nonprofit Decision-Making")+COUNTIFS('Prácticas_Snowballing'!$AB$2:$AB$281,"T088",'Prácticas_Snowballing'!$AC$2:$AC$281,"SOFTWARE ENG. ECONOMICS &gt; Nonprofit Decision-Making")</f>
        <v>0</v>
      </c>
      <c r="CX102" s="17">
        <f>COUNTIFS('Prácticas_Revisiones'!$S$2:$S$282,"T088",'Prácticas_Revisiones'!$T$2:$T$282,"SOFTWARE ENG. ECONOMICS &gt; Present Economy Decision-Making")+COUNTIFS('Prácticas_Snowballing'!$AB$2:$AB$281,"T088",'Prácticas_Snowballing'!$AC$2:$AC$281,"SOFTWARE ENG. ECONOMICS &gt; Present Economy Decision-Making")</f>
        <v>0</v>
      </c>
      <c r="CY102" s="17">
        <f>COUNTIFS('Prácticas_Revisiones'!$S$2:$S$282,"T088",'Prácticas_Revisiones'!$T$2:$T$282,"SOFTWARE ENG. ECONOMICS &gt; Multiple-Attribute Decision-Making")+COUNTIFS('Prácticas_Snowballing'!$AB$2:$AB$281,"T088",'Prácticas_Snowballing'!$AC$2:$AC$281,"SOFTWARE ENG. ECONOMICS &gt; Multiple-Attribute Decision-Making")</f>
        <v>0</v>
      </c>
      <c r="CZ102" s="17">
        <f>COUNTIFS('Prácticas_Revisiones'!$S$2:$S$282,"T088",'Prácticas_Revisiones'!$T$2:$T$282,"SOFTWARE ENG. ECONOMICS &gt; Identifying and Characterizing Intangible Assets")+COUNTIFS('Prácticas_Snowballing'!$AB$2:$AB$281,"T088",'Prácticas_Snowballing'!$AC$2:$AC$281,"SOFTWARE ENG. ECONOMICS &gt; Identifying and Characterizing Intangible Assets")</f>
        <v>0</v>
      </c>
      <c r="DA102" s="17">
        <f>COUNTIFS('Prácticas_Revisiones'!$S$2:$S$282,"T088",'Prácticas_Revisiones'!$T$2:$T$282,"SOFTWARE ENG. ECONOMICS &gt; Estimation")+COUNTIFS('Prácticas_Snowballing'!$AB$2:$AB$281,"T088",'Prácticas_Snowballing'!$AC$2:$AC$281,"SOFTWARE ENG. ECONOMICS &gt; Estimation")</f>
        <v>0</v>
      </c>
      <c r="DB102" s="17">
        <f>COUNTIFS('Prácticas_Revisiones'!$S$2:$S$282,"T088",'Prácticas_Revisiones'!$T$2:$T$282,"SOFTWARE ENG. ECONOMICS &gt; Practical Considerations")+COUNTIFS('Prácticas_Snowballing'!$AB$2:$AB$281,"T088",'Prácticas_Snowballing'!$AC$2:$AC$281,"SOFTWARE ENG. ECONOMICS &gt; Practical Considerations")</f>
        <v>0</v>
      </c>
      <c r="DC102" s="17">
        <f>COUNTIFS('Prácticas_Revisiones'!$S$2:$S$282,"T088",'Prácticas_Revisiones'!$T$2:$T$282,"SOFTWARE ENG. ECONOMICS &gt; Related Concepts")+COUNTIFS('Prácticas_Snowballing'!$AB$2:$AB$281,"T088",'Prácticas_Snowballing'!$AC$2:$AC$281,"SOFTWARE ENG. ECONOMICS &gt; Related Concepts")</f>
        <v>0</v>
      </c>
      <c r="DD102" s="17">
        <f>COUNTIFS('Prácticas_Revisiones'!$S$2:$S$282,"T088",'Prácticas_Revisiones'!$T$2:$T$282,"SOFTWARE ENG. ECONOMICS &gt; Subárea no determinable")+COUNTIFS('Prácticas_Snowballing'!$AB$2:$AB$281,"T088",'Prácticas_Snowballing'!$AC$2:$AC$281,"SOFTWARE ENG. ECONOMICS &gt; Subárea no determinable")</f>
        <v>0</v>
      </c>
      <c r="DE102" s="29">
        <f t="shared" si="82"/>
        <v>0</v>
      </c>
      <c r="DF102" s="17">
        <f>COUNTIFS('Prácticas_Revisiones'!$S$2:$S$282,"T088",'Prácticas_Revisiones'!$T$2:$T$282,"SOFTWARE ENG. MANAGEMENT &gt; Software Engineering Management Fundamentals")+COUNTIFS('Prácticas_Snowballing'!$AB$2:$AB$281,"T088",'Prácticas_Snowballing'!$AC$2:$AC$281,"SOFTWARE ENG. MANAGEMENT &gt; Software Engineering Management Fundamentals")</f>
        <v>0</v>
      </c>
      <c r="DG102" s="17">
        <f>COUNTIFS('Prácticas_Revisiones'!$S$2:$S$282,"T088",'Prácticas_Revisiones'!$T$2:$T$282,"SOFTWARE ENG. MANAGEMENT &gt; Initiation and Scope Definition")+COUNTIFS('Prácticas_Snowballing'!$AB$2:$AB$281,"T088",'Prácticas_Snowballing'!$AC$2:$AC$281,"SOFTWARE ENG. MANAGEMENT &gt; Initiation and Scope Definition")</f>
        <v>0</v>
      </c>
      <c r="DH102" s="17">
        <f>COUNTIFS('Prácticas_Revisiones'!$S$2:$S$282,"T088",'Prácticas_Revisiones'!$T$2:$T$282,"SOFTWARE ENG. MANAGEMENT &gt; Software Project Planning")+COUNTIFS('Prácticas_Snowballing'!$AB$2:$AB$281,"T088",'Prácticas_Snowballing'!$AC$2:$AC$281,"SOFTWARE ENG. MANAGEMENT &gt; Software Project Planning")</f>
        <v>0</v>
      </c>
      <c r="DI102" s="17">
        <f>COUNTIFS('Prácticas_Revisiones'!$S$2:$S$282,"T088",'Prácticas_Revisiones'!$T$2:$T$282,"SOFTWARE ENG. MANAGEMENT &gt; Software Project Enactment")+COUNTIFS('Prácticas_Snowballing'!$AB$2:$AB$281,"T088",'Prácticas_Snowballing'!$AC$2:$AC$281,"SOFTWARE ENG. MANAGEMENT &gt; Software Project Enactment")</f>
        <v>0</v>
      </c>
      <c r="DJ102" s="17">
        <f>COUNTIFS('Prácticas_Revisiones'!$S$2:$S$282,"T088",'Prácticas_Revisiones'!$T$2:$T$282,"SOFTWARE ENG. MANAGEMENT &gt; Review and Evaluation")+COUNTIFS('Prácticas_Snowballing'!$AB$2:$AB$281,"T088",'Prácticas_Snowballing'!$AC$2:$AC$281,"SOFTWARE ENG. MANAGEMENT &gt; Review and Evaluation")</f>
        <v>0</v>
      </c>
      <c r="DK102" s="17">
        <f>COUNTIFS('Prácticas_Revisiones'!$S$2:$S$282,"T088",'Prácticas_Revisiones'!$T$2:$T$282,"SOFTWARE ENG. MANAGEMENT &gt; Closure")+COUNTIFS('Prácticas_Snowballing'!$AB$2:$AB$281,"T088",'Prácticas_Snowballing'!$AC$2:$AC$281,"SOFTWARE ENG. MANAGEMENT &gt; Closure")</f>
        <v>0</v>
      </c>
      <c r="DL102" s="17">
        <f>COUNTIFS('Prácticas_Revisiones'!$S$2:$S$282,"T088",'Prácticas_Revisiones'!$T$2:$T$282,"SOFTWARE ENG. MANAGEMENT &gt; Software Engineering Management Tools")+COUNTIFS('Prácticas_Snowballing'!$AB$2:$AB$281,"T088",'Prácticas_Snowballing'!$AC$2:$AC$281,"SOFTWARE ENG. MANAGEMENT &gt; Software Engineering Management Tools")</f>
        <v>0</v>
      </c>
      <c r="DM102" s="17">
        <f>COUNTIFS('Prácticas_Revisiones'!$S$2:$S$282,"T088",'Prácticas_Revisiones'!$T$2:$T$282,"SOFTWARE ENG. MANAGEMENT &gt; Subárea no determinable")+COUNTIFS('Prácticas_Snowballing'!$AB$2:$AB$281,"T088",'Prácticas_Snowballing'!$AC$2:$AC$281,"SOFTWARE ENG. MANAGEMENT &gt; Subárea no determinable")</f>
        <v>0</v>
      </c>
      <c r="DN102" s="29">
        <f t="shared" si="83"/>
        <v>0</v>
      </c>
      <c r="DO102" s="17">
        <f>COUNTIFS('Prácticas_Revisiones'!$S$2:$S$282,"T088",'Prácticas_Revisiones'!$T$2:$T$282,"Sin área SWEBOK")+COUNTIFS('Prácticas_Snowballing'!$AB$2:$AB$281,"T088",'Prácticas_Snowballing'!$AC$2:$AC$281,"Sin área SWEBOK")</f>
        <v>0</v>
      </c>
      <c r="DP102" s="27">
        <f t="shared" si="84"/>
        <v>0</v>
      </c>
    </row>
    <row r="103" ht="15.75" customHeight="1">
      <c r="A103" s="23"/>
      <c r="B103" s="9" t="s">
        <v>2199</v>
      </c>
      <c r="C103" s="17">
        <f>COUNTIFS('Prácticas_Revisiones'!$S$2:$S$282,"Sin equivalente en catálogo (SINTETIZAR)",'Prácticas_Revisiones'!$T$2:$T$282,"REQUIREMENTS &gt; Software Requirements Fundamentals")+COUNTIFS('Prácticas_Snowballing'!$AB$2:$AB$281,"Sin equivalente en catálogo (SINTETIZAR)",'Prácticas_Snowballing'!$AC$2:$AC$281,"REQUIREMENTS &gt; Software Requirements Fundamentals")</f>
        <v>0</v>
      </c>
      <c r="D103" s="17">
        <f>COUNTIFS('Prácticas_Revisiones'!$S$2:$S$282,"Sin equivalente en catálogo (SINTETIZAR)",'Prácticas_Revisiones'!$T$2:$T$282,"REQUIREMENTS &gt; Requirements Elicitation")+COUNTIFS('Prácticas_Snowballing'!$AB$2:$AB$281,"Sin equivalente en catálogo (SINTETIZAR)",'Prácticas_Snowballing'!$AC$2:$AC$281,"REQUIREMENTS &gt; Requirements Elicitation")</f>
        <v>0</v>
      </c>
      <c r="E103" s="17">
        <f>COUNTIFS('Prácticas_Revisiones'!$S$2:$S$282,"Sin equivalente en catálogo (SINTETIZAR)",'Prácticas_Revisiones'!$T$2:$T$282,"REQUIREMENTS &gt; Requirements Analysis")+COUNTIFS('Prácticas_Snowballing'!$AB$2:$AB$281,"Sin equivalente en catálogo (SINTETIZAR)",'Prácticas_Snowballing'!$AC$2:$AC$281,"REQUIREMENTS &gt; Requirements Analysis")</f>
        <v>0</v>
      </c>
      <c r="F103" s="17">
        <f>COUNTIFS('Prácticas_Revisiones'!$S$2:$S$282,"Sin equivalente en catálogo (SINTETIZAR)",'Prácticas_Revisiones'!$T$2:$T$282,"REQUIREMENTS &gt; Requirements Specification")+COUNTIFS('Prácticas_Snowballing'!$AB$2:$AB$281,"Sin equivalente en catálogo (SINTETIZAR)",'Prácticas_Snowballing'!$AC$2:$AC$281,"REQUIREMENTS &gt; Requirements Specification")</f>
        <v>0</v>
      </c>
      <c r="G103" s="17">
        <f>COUNTIFS('Prácticas_Revisiones'!$S$2:$S$282,"Sin equivalente en catálogo (SINTETIZAR)",'Prácticas_Revisiones'!$T$2:$T$282,"REQUIREMENTS &gt; Requirements Validation")+COUNTIFS('Prácticas_Snowballing'!$AB$2:$AB$281,"Sin equivalente en catálogo (SINTETIZAR)",'Prácticas_Snowballing'!$AC$2:$AC$281,"REQUIREMENTS &gt; Requirements Validation")</f>
        <v>0</v>
      </c>
      <c r="H103" s="17">
        <f>COUNTIFS('Prácticas_Revisiones'!$S$2:$S$282,"Sin equivalente en catálogo (SINTETIZAR)",'Prácticas_Revisiones'!$T$2:$T$282,"REQUIREMENTS &gt; Requirements Management Activities")+COUNTIFS('Prácticas_Snowballing'!$AB$2:$AB$281,"Sin equivalente en catálogo (SINTETIZAR)",'Prácticas_Snowballing'!$AC$2:$AC$281,"REQUIREMENTS &gt; Requirements Management Activities")</f>
        <v>0</v>
      </c>
      <c r="I103" s="17">
        <f>COUNTIFS('Prácticas_Revisiones'!$S$2:$S$282,"Sin equivalente en catálogo (SINTETIZAR)",'Prácticas_Revisiones'!$T$2:$T$282,"REQUIREMENTS &gt; Practical Considerations")+COUNTIFS('Prácticas_Snowballing'!$AB$2:$AB$281,"Sin equivalente en catálogo (SINTETIZAR)",'Prácticas_Snowballing'!$AC$2:$AC$281,"REQUIREMENTS &gt; Practical Considerations")</f>
        <v>0</v>
      </c>
      <c r="J103" s="17">
        <f>COUNTIFS('Prácticas_Revisiones'!$S$2:$S$282,"Sin equivalente en catálogo (SINTETIZAR)",'Prácticas_Revisiones'!$T$2:$T$282,"REQUIREMENTS &gt; Software Requirements Tools")+COUNTIFS('Prácticas_Snowballing'!$AB$2:$AB$281,"Sin equivalente en catálogo (SINTETIZAR)",'Prácticas_Snowballing'!$AC$2:$AC$281,"REQUIREMENTS &gt; Software Requirements Tools")</f>
        <v>0</v>
      </c>
      <c r="K103" s="17">
        <f>COUNTIFS('Prácticas_Revisiones'!$S$2:$S$282,"Sin equivalente en catálogo (SINTETIZAR)",'Prácticas_Revisiones'!$T$2:$T$282,"REQUIREMENTS &gt; Subárea no determinable")+COUNTIFS('Prácticas_Snowballing'!$AB$2:$AB$281,"Sin equivalente en catálogo (SINTETIZAR)",'Prácticas_Snowballing'!$AC$2:$AC$281,"REQUIREMENTS &gt; Subárea no determinable")</f>
        <v>0</v>
      </c>
      <c r="L103" s="29">
        <f t="shared" si="69"/>
        <v>0</v>
      </c>
      <c r="M103" s="17">
        <f>COUNTIFS('Prácticas_Revisiones'!$S$2:$S$282,"Sin equivalente en catálogo (SINTETIZAR)",'Prácticas_Revisiones'!$T$2:$T$282,"ARCHITECTURE &gt; Software Architecture Fundamentals")+COUNTIFS('Prácticas_Snowballing'!$AB$2:$AB$281,"Sin equivalente en catálogo (SINTETIZAR)",'Prácticas_Snowballing'!$AC$2:$AC$281,"ARCHITECTURE &gt; Software Architecture Fundamentals")</f>
        <v>0</v>
      </c>
      <c r="N103" s="17">
        <f>COUNTIFS('Prácticas_Revisiones'!$S$2:$S$282,"Sin equivalente en catálogo (SINTETIZAR)",'Prácticas_Revisiones'!$T$2:$T$282,"ARCHITECTURE &gt; Software Architecture Description")+COUNTIFS('Prácticas_Snowballing'!$AB$2:$AB$281,"Sin equivalente en catálogo (SINTETIZAR)",'Prácticas_Snowballing'!$AC$2:$AC$281,"ARCHITECTURE &gt; Software Architecture Description")</f>
        <v>0</v>
      </c>
      <c r="O103" s="17">
        <f>COUNTIFS('Prácticas_Revisiones'!$S$2:$S$282,"Sin equivalente en catálogo (SINTETIZAR)",'Prácticas_Revisiones'!$T$2:$T$282,"ARCHITECTURE &gt; Software Architecture Process")+COUNTIFS('Prácticas_Snowballing'!$AB$2:$AB$281,"Sin equivalente en catálogo (SINTETIZAR)",'Prácticas_Snowballing'!$AC$2:$AC$281,"ARCHITECTURE &gt; Software Architecture Process")</f>
        <v>0</v>
      </c>
      <c r="P103" s="17">
        <f>COUNTIFS('Prácticas_Revisiones'!$S$2:$S$282,"Sin equivalente en catálogo (SINTETIZAR)",'Prácticas_Revisiones'!$T$2:$T$282,"ARCHITECTURE &gt; Software Architecture Evaluation")+COUNTIFS('Prácticas_Snowballing'!$AB$2:$AB$281,"Sin equivalente en catálogo (SINTETIZAR)",'Prácticas_Snowballing'!$AC$2:$AC$281,"ARCHITECTURE &gt; Software Architecture Evaluation")</f>
        <v>0</v>
      </c>
      <c r="Q103" s="17">
        <f>COUNTIFS('Prácticas_Revisiones'!$S$2:$S$282,"Sin equivalente en catálogo (SINTETIZAR)",'Prácticas_Revisiones'!$T$2:$T$282,"ARCHITECTURE &gt; Subárea no determinable")+COUNTIFS('Prácticas_Snowballing'!$AB$2:$AB$281,"Sin equivalente en catálogo (SINTETIZAR)",'Prácticas_Snowballing'!$AC$2:$AC$281,"ARCHITECTURE &gt; Subárea no determinable")</f>
        <v>0</v>
      </c>
      <c r="R103" s="29">
        <f t="shared" si="70"/>
        <v>0</v>
      </c>
      <c r="S103" s="17">
        <f>COUNTIFS('Prácticas_Revisiones'!$S$2:$S$282,"Sin equivalente en catálogo (SINTETIZAR)",'Prácticas_Revisiones'!$T$2:$T$282,"DESIGN &gt; Software Design Fundamentals")+COUNTIFS('Prácticas_Snowballing'!$AB$2:$AB$281,"Sin equivalente en catálogo (SINTETIZAR)",'Prácticas_Snowballing'!$AC$2:$AC$281,"DESIGN &gt; Software Design Fundamentals")</f>
        <v>0</v>
      </c>
      <c r="T103" s="17">
        <f>COUNTIFS('Prácticas_Revisiones'!$S$2:$S$282,"Sin equivalente en catálogo (SINTETIZAR)",'Prácticas_Revisiones'!$T$2:$T$282,"DESIGN &gt; Software Design Processes")+COUNTIFS('Prácticas_Snowballing'!$AB$2:$AB$281,"Sin equivalente en catálogo (SINTETIZAR)",'Prácticas_Snowballing'!$AC$2:$AC$281,"DESIGN &gt; Software Design Processes")</f>
        <v>0</v>
      </c>
      <c r="U103" s="17">
        <f>COUNTIFS('Prácticas_Revisiones'!$S$2:$S$282,"Sin equivalente en catálogo (SINTETIZAR)",'Prácticas_Revisiones'!$T$2:$T$282,"DESIGN &gt; Software Design Qualities")+COUNTIFS('Prácticas_Snowballing'!$AB$2:$AB$281,"Sin equivalente en catálogo (SINTETIZAR)",'Prácticas_Snowballing'!$AC$2:$AC$281,"DESIGN &gt; Software Design Qualities")</f>
        <v>0</v>
      </c>
      <c r="V103" s="17">
        <f>COUNTIFS('Prácticas_Revisiones'!$S$2:$S$282,"Sin equivalente en catálogo (SINTETIZAR)",'Prácticas_Revisiones'!$T$2:$T$282,"DESIGN &gt; Recording Software Design")+COUNTIFS('Prácticas_Snowballing'!$AB$2:$AB$281,"Sin equivalente en catálogo (SINTETIZAR)",'Prácticas_Snowballing'!$AC$2:$AC$281,"DESIGN &gt; Recording Software Design")</f>
        <v>0</v>
      </c>
      <c r="W103" s="17">
        <f>COUNTIFS('Prácticas_Revisiones'!$S$2:$S$282,"Sin equivalente en catálogo (SINTETIZAR)",'Prácticas_Revisiones'!$T$2:$T$282,"DESIGN &gt; Software Design Strategies and Methods")+COUNTIFS('Prácticas_Snowballing'!$AB$2:$AB$281,"Sin equivalente en catálogo (SINTETIZAR)",'Prácticas_Snowballing'!$AC$2:$AC$281,"DESIGN &gt; Software Design Strategies and Methods")</f>
        <v>0</v>
      </c>
      <c r="X103" s="17">
        <f>COUNTIFS('Prácticas_Revisiones'!$S$2:$S$282,"Sin equivalente en catálogo (SINTETIZAR)",'Prácticas_Revisiones'!$T$2:$T$282,"DESIGN &gt; Software Design Analysis and Evaluations")+COUNTIFS('Prácticas_Snowballing'!$AB$2:$AB$281,"Sin equivalente en catálogo (SINTETIZAR)",'Prácticas_Snowballing'!$AC$2:$AC$281,"DESIGN &gt; Software Design Analysis and Evaluations")</f>
        <v>0</v>
      </c>
      <c r="Y103" s="17">
        <f>COUNTIFS('Prácticas_Revisiones'!$S$2:$S$282,"Sin equivalente en catálogo (SINTETIZAR)",'Prácticas_Revisiones'!$T$2:$T$282,"DESIGN &gt; Subárea no determinable")+COUNTIFS('Prácticas_Snowballing'!$AB$2:$AB$281,"Sin equivalente en catálogo (SINTETIZAR)",'Prácticas_Snowballing'!$AC$2:$AC$281,"DESIGN &gt; Subárea no determinable")</f>
        <v>0</v>
      </c>
      <c r="Z103" s="29">
        <f t="shared" si="71"/>
        <v>0</v>
      </c>
      <c r="AA103" s="17">
        <f>COUNTIFS('Prácticas_Revisiones'!$S$2:$S$282,"Sin equivalente en catálogo (SINTETIZAR)",'Prácticas_Revisiones'!$T$2:$T$282,"CONSTRUCTION &gt; Software Construction Fundamentals")+COUNTIFS('Prácticas_Snowballing'!$AB$2:$AB$281,"Sin equivalente en catálogo (SINTETIZAR)",'Prácticas_Snowballing'!$AC$2:$AC$281,"CONSTRUCTION &gt; Software Construction Fundamentals")</f>
        <v>0</v>
      </c>
      <c r="AB103" s="17">
        <f>COUNTIFS('Prácticas_Revisiones'!$S$2:$S$282,"Sin equivalente en catálogo (SINTETIZAR)",'Prácticas_Revisiones'!$T$2:$T$282,"CONSTRUCTION &gt; Managing Construction")+COUNTIFS('Prácticas_Snowballing'!$AB$2:$AB$281,"Sin equivalente en catálogo (SINTETIZAR)",'Prácticas_Snowballing'!$AC$2:$AC$281,"CONSTRUCTION &gt; Managing Construction")</f>
        <v>0</v>
      </c>
      <c r="AC103" s="17">
        <f>COUNTIFS('Prácticas_Revisiones'!$S$2:$S$282,"Sin equivalente en catálogo (SINTETIZAR)",'Prácticas_Revisiones'!$T$2:$T$282,"CONSTRUCTION &gt; Practical Considerations")+COUNTIFS('Prácticas_Snowballing'!$AB$2:$AB$281,"Sin equivalente en catálogo (SINTETIZAR)",'Prácticas_Snowballing'!$AC$2:$AC$281,"CONSTRUCTION &gt; Practical Considerations")</f>
        <v>0</v>
      </c>
      <c r="AD103" s="17">
        <f>COUNTIFS('Prácticas_Revisiones'!$S$2:$S$282,"Sin equivalente en catálogo (SINTETIZAR)",'Prácticas_Revisiones'!$T$2:$T$282,"CONSTRUCTION &gt; Construction Technologies")+COUNTIFS('Prácticas_Snowballing'!$AB$2:$AB$281,"Sin equivalente en catálogo (SINTETIZAR)",'Prácticas_Snowballing'!$AC$2:$AC$281,"CONSTRUCTION &gt; Construction Technologies")</f>
        <v>0</v>
      </c>
      <c r="AE103" s="17">
        <f>COUNTIFS('Prácticas_Revisiones'!$S$2:$S$282,"Sin equivalente en catálogo (SINTETIZAR)",'Prácticas_Revisiones'!$T$2:$T$282,"CONSTRUCTION &gt; Software Construction Tools")+COUNTIFS('Prácticas_Snowballing'!$AB$2:$AB$281,"Sin equivalente en catálogo (SINTETIZAR)",'Prácticas_Snowballing'!$AC$2:$AC$281,"CONSTRUCTION &gt; Software Construction Tools")</f>
        <v>0</v>
      </c>
      <c r="AF103" s="17">
        <f>COUNTIFS('Prácticas_Revisiones'!$S$2:$S$282,"Sin equivalente en catálogo (SINTETIZAR)",'Prácticas_Revisiones'!$T$2:$T$282,"CONSTRUCTION &gt; Subárea no determinable")+COUNTIFS('Prácticas_Snowballing'!$AB$2:$AB$281,"Sin equivalente en catálogo (SINTETIZAR)",'Prácticas_Snowballing'!$AC$2:$AC$281,"CONSTRUCTION &gt; Subárea no determinable")</f>
        <v>0</v>
      </c>
      <c r="AG103" s="29">
        <f t="shared" si="72"/>
        <v>0</v>
      </c>
      <c r="AH103" s="17">
        <f>COUNTIFS('Prácticas_Revisiones'!$S$2:$S$282,"Sin equivalente en catálogo (SINTETIZAR)",'Prácticas_Revisiones'!$T$2:$T$282,"SOFTWARE TESTING &gt; Software Testing Fundamentals")+COUNTIFS('Prácticas_Snowballing'!$AB$2:$AB$281,"Sin equivalente en catálogo (SINTETIZAR)",'Prácticas_Snowballing'!$AC$2:$AC$281,"SOFTWARE TESTING &gt; Software Testing Fundamentals")</f>
        <v>0</v>
      </c>
      <c r="AI103" s="17">
        <f>COUNTIFS('Prácticas_Revisiones'!$S$2:$S$282,"Sin equivalente en catálogo (SINTETIZAR)",'Prácticas_Revisiones'!$T$2:$T$282,"SOFTWARE TESTING &gt; Test Levels")+COUNTIFS('Prácticas_Snowballing'!$AB$2:$AB$281,"Sin equivalente en catálogo (SINTETIZAR)",'Prácticas_Snowballing'!$AC$2:$AC$281,"SOFTWARE TESTING &gt; Test Levels")</f>
        <v>0</v>
      </c>
      <c r="AJ103" s="17">
        <f>COUNTIFS('Prácticas_Revisiones'!$S$2:$S$282,"Sin equivalente en catálogo (SINTETIZAR)",'Prácticas_Revisiones'!$T$2:$T$282,"SOFTWARE TESTING &gt; Test Techniques")+COUNTIFS('Prácticas_Snowballing'!$AB$2:$AB$281,"Sin equivalente en catálogo (SINTETIZAR)",'Prácticas_Snowballing'!$AC$2:$AC$281,"SOFTWARE TESTING &gt; Test Techniques")</f>
        <v>0</v>
      </c>
      <c r="AK103" s="17">
        <f>COUNTIFS('Prácticas_Revisiones'!$S$2:$S$282,"Sin equivalente en catálogo (SINTETIZAR)",'Prácticas_Revisiones'!$T$2:$T$282,"SOFTWARE TESTING &gt; Test-Related Measures")+COUNTIFS('Prácticas_Snowballing'!$AB$2:$AB$281,"Sin equivalente en catálogo (SINTETIZAR)",'Prácticas_Snowballing'!$AC$2:$AC$281,"SOFTWARE TESTING &gt; Test-Related Measures")</f>
        <v>0</v>
      </c>
      <c r="AL103" s="17">
        <f>COUNTIFS('Prácticas_Revisiones'!$S$2:$S$282,"Sin equivalente en catálogo (SINTETIZAR)",'Prácticas_Revisiones'!$T$2:$T$282,"SOFTWARE TESTING &gt; Test Process")+COUNTIFS('Prácticas_Snowballing'!$AB$2:$AB$281,"Sin equivalente en catálogo (SINTETIZAR)",'Prácticas_Snowballing'!$AC$2:$AC$281,"SOFTWARE TESTING &gt; Test Process")</f>
        <v>0</v>
      </c>
      <c r="AM103" s="17">
        <f>COUNTIFS('Prácticas_Revisiones'!$S$2:$S$282,"Sin equivalente en catálogo (SINTETIZAR)",'Prácticas_Revisiones'!$T$2:$T$282,"SOFTWARE TESTING &gt; Software Testing in the Development Processes...")+COUNTIFS('Prácticas_Snowballing'!$AB$2:$AB$281,"Sin equivalente en catálogo (SINTETIZAR)",'Prácticas_Snowballing'!$AC$2:$AC$281,"SOFTWARE TESTING &gt; Software Testing in the Development Processes...")</f>
        <v>0</v>
      </c>
      <c r="AN103" s="17">
        <f>COUNTIFS('Prácticas_Revisiones'!$S$2:$S$282,"Sin equivalente en catálogo (SINTETIZAR)",'Prácticas_Revisiones'!$T$2:$T$282,"SOFTWARE TESTING &gt; Testing of and Testing Through Emerging Tech...")+COUNTIFS('Prácticas_Snowballing'!$AB$2:$AB$281,"Sin equivalente en catálogo (SINTETIZAR)",'Prácticas_Snowballing'!$AC$2:$AC$281,"SOFTWARE TESTING &gt; Testing of and Testing Through Emerging Tech...")</f>
        <v>0</v>
      </c>
      <c r="AO103" s="17">
        <f>COUNTIFS('Prácticas_Revisiones'!$S$2:$S$282,"Sin equivalente en catálogo (SINTETIZAR)",'Prácticas_Revisiones'!$T$2:$T$282,"SOFTWARE TESTING &gt; Software Testing Tools")+COUNTIFS('Prácticas_Snowballing'!$AB$2:$AB$281,"Sin equivalente en catálogo (SINTETIZAR)",'Prácticas_Snowballing'!$AC$2:$AC$281,"SOFTWARE TESTING &gt; Software Testing Tools")</f>
        <v>0</v>
      </c>
      <c r="AP103" s="17">
        <f>COUNTIFS('Prácticas_Revisiones'!$S$2:$S$282,"Sin equivalente en catálogo (SINTETIZAR)",'Prácticas_Revisiones'!$T$2:$T$282,"SOFTWARE TESTING &gt; Subárea no determinable")+COUNTIFS('Prácticas_Snowballing'!$AB$2:$AB$281,"Sin equivalente en catálogo (SINTETIZAR)",'Prácticas_Snowballing'!$AC$2:$AC$281,"SOFTWARE TESTING &gt; Subárea no determinable")</f>
        <v>0</v>
      </c>
      <c r="AQ103" s="29">
        <f t="shared" si="73"/>
        <v>0</v>
      </c>
      <c r="AR103" s="17">
        <f>COUNTIFS('Prácticas_Revisiones'!$S$2:$S$282,"Sin equivalente en catálogo (SINTETIZAR)",'Prácticas_Revisiones'!$T$2:$T$282,"SOFTWARE ENG. OPERATIONS &gt; Software Engineering Operations Fundamentals")+COUNTIFS('Prácticas_Snowballing'!$AB$2:$AB$281,"Sin equivalente en catálogo (SINTETIZAR)",'Prácticas_Snowballing'!$AC$2:$AC$281,"SOFTWARE ENG. OPERATIONS &gt; Software Engineering Operations Fundamentals")</f>
        <v>0</v>
      </c>
      <c r="AS103" s="17">
        <f>COUNTIFS('Prácticas_Revisiones'!$S$2:$S$282,"Sin equivalente en catálogo (SINTETIZAR)",'Prácticas_Revisiones'!$T$2:$T$282,"SOFTWARE ENG. OPERATIONS &gt; Software Engineering Operations Planning")+COUNTIFS('Prácticas_Snowballing'!$AB$2:$AB$281,"Sin equivalente en catálogo (SINTETIZAR)",'Prácticas_Snowballing'!$AC$2:$AC$281,"SOFTWARE ENG. OPERATIONS &gt; Software Engineering Operations Planning")</f>
        <v>0</v>
      </c>
      <c r="AT103" s="17">
        <f>COUNTIFS('Prácticas_Revisiones'!$S$2:$S$282,"Sin equivalente en catálogo (SINTETIZAR)",'Prácticas_Revisiones'!$T$2:$T$282,"SOFTWARE ENG. OPERATIONS &gt; Software Engineering Operations Delivery")+COUNTIFS('Prácticas_Snowballing'!$AB$2:$AB$281,"Sin equivalente en catálogo (SINTETIZAR)",'Prácticas_Snowballing'!$AC$2:$AC$281,"SOFTWARE ENG. OPERATIONS &gt; Software Engineering Operations Delivery")</f>
        <v>0</v>
      </c>
      <c r="AU103" s="17">
        <f>COUNTIFS('Prácticas_Revisiones'!$S$2:$S$282,"Sin equivalente en catálogo (SINTETIZAR)",'Prácticas_Revisiones'!$T$2:$T$282,"SOFTWARE ENG. OPERATIONS &gt; Software Engineering Operations Control")+COUNTIFS('Prácticas_Snowballing'!$AB$2:$AB$281,"Sin equivalente en catálogo (SINTETIZAR)",'Prácticas_Snowballing'!$AC$2:$AC$281,"SOFTWARE ENG. OPERATIONS &gt; Software Engineering Operations Control")</f>
        <v>0</v>
      </c>
      <c r="AV103" s="17">
        <f>COUNTIFS('Prácticas_Revisiones'!$S$2:$S$282,"Sin equivalente en catálogo (SINTETIZAR)",'Prácticas_Revisiones'!$T$2:$T$282,"SOFTWARE ENG. OPERATIONS &gt; Practical Considerations")+COUNTIFS('Prácticas_Snowballing'!$AB$2:$AB$281,"Sin equivalente en catálogo (SINTETIZAR)",'Prácticas_Snowballing'!$AC$2:$AC$281,"SOFTWARE ENG. OPERATIONS &gt; Practical Considerations")</f>
        <v>0</v>
      </c>
      <c r="AW103" s="17">
        <f>COUNTIFS('Prácticas_Revisiones'!$S$2:$S$282,"Sin equivalente en catálogo (SINTETIZAR)",'Prácticas_Revisiones'!$T$2:$T$282,"SOFTWARE ENG. OPERATIONS &gt; Software Engineering Operations Tools")+COUNTIFS('Prácticas_Snowballing'!$AB$2:$AB$281,"Sin equivalente en catálogo (SINTETIZAR)",'Prácticas_Snowballing'!$AC$2:$AC$281,"SOFTWARE ENG. OPERATIONS &gt; Software Engineering Operations Tools")</f>
        <v>0</v>
      </c>
      <c r="AX103" s="17">
        <f>COUNTIFS('Prácticas_Revisiones'!$S$2:$S$282,"Sin equivalente en catálogo (SINTETIZAR)",'Prácticas_Revisiones'!$T$2:$T$282,"SOFTWARE ENG. OPERATIONS &gt; Subárea no determinable")+COUNTIFS('Prácticas_Snowballing'!$AB$2:$AB$281,"Sin equivalente en catálogo (SINTETIZAR)",'Prácticas_Snowballing'!$AC$2:$AC$281,"SOFTWARE ENG. OPERATIONS &gt; Subárea no determinable")</f>
        <v>0</v>
      </c>
      <c r="AY103" s="29">
        <f t="shared" si="74"/>
        <v>0</v>
      </c>
      <c r="AZ103" s="17">
        <f>COUNTIFS('Prácticas_Revisiones'!$S$2:$S$282,"Sin equivalente en catálogo (SINTETIZAR)",'Prácticas_Revisiones'!$T$2:$T$282,"MAINTENANCE &gt; Software Maintenance Fundamentals")+COUNTIFS('Prácticas_Snowballing'!$AB$2:$AB$281,"Sin equivalente en catálogo (SINTETIZAR)",'Prácticas_Snowballing'!$AC$2:$AC$281,"MAINTENANCE &gt; Software Maintenance Fundamentals")</f>
        <v>0</v>
      </c>
      <c r="BA103" s="17">
        <f>COUNTIFS('Prácticas_Revisiones'!$S$2:$S$282,"Sin equivalente en catálogo (SINTETIZAR)",'Prácticas_Revisiones'!$T$2:$T$282,"MAINTENANCE &gt; Key Issues in Software Maintenance")+COUNTIFS('Prácticas_Snowballing'!$AB$2:$AB$281,"Sin equivalente en catálogo (SINTETIZAR)",'Prácticas_Snowballing'!$AC$2:$AC$281,"MAINTENANCE &gt; Key Issues in Software Maintenance")</f>
        <v>0</v>
      </c>
      <c r="BB103" s="17">
        <f>COUNTIFS('Prácticas_Revisiones'!$S$2:$S$282,"Sin equivalente en catálogo (SINTETIZAR)",'Prácticas_Revisiones'!$T$2:$T$282,"MAINTENANCE &gt; Software Maintenance Processes")+COUNTIFS('Prácticas_Snowballing'!$AB$2:$AB$281,"Sin equivalente en catálogo (SINTETIZAR)",'Prácticas_Snowballing'!$AC$2:$AC$281,"MAINTENANCE &gt; Software Maintenance Processes")</f>
        <v>0</v>
      </c>
      <c r="BC103" s="17">
        <f>COUNTIFS('Prácticas_Revisiones'!$S$2:$S$282,"Sin equivalente en catálogo (SINTETIZAR)",'Prácticas_Revisiones'!$T$2:$T$282,"MAINTENANCE &gt; Software Maintenance Techniques")+COUNTIFS('Prácticas_Snowballing'!$AB$2:$AB$281,"Sin equivalente en catálogo (SINTETIZAR)",'Prácticas_Snowballing'!$AC$2:$AC$281,"MAINTENANCE &gt; Software Maintenance Techniques")</f>
        <v>0</v>
      </c>
      <c r="BD103" s="17">
        <f>COUNTIFS('Prácticas_Revisiones'!$S$2:$S$282,"Sin equivalente en catálogo (SINTETIZAR)",'Prácticas_Revisiones'!$T$2:$T$282,"MAINTENANCE &gt; Software Maintenance Tools")+COUNTIFS('Prácticas_Snowballing'!$AB$2:$AB$281,"Sin equivalente en catálogo (SINTETIZAR)",'Prácticas_Snowballing'!$AC$2:$AC$281,"MAINTENANCE &gt; Software Maintenance Tools")</f>
        <v>0</v>
      </c>
      <c r="BE103" s="17">
        <f>COUNTIFS('Prácticas_Revisiones'!$S$2:$S$282,"Sin equivalente en catálogo (SINTETIZAR)",'Prácticas_Revisiones'!$T$2:$T$282,"MAINTENANCE &gt; Subárea no determinable")+COUNTIFS('Prácticas_Snowballing'!$AB$2:$AB$281,"Sin equivalente en catálogo (SINTETIZAR)",'Prácticas_Snowballing'!$AC$2:$AC$281,"MAINTENANCE &gt; Subárea no determinable")</f>
        <v>0</v>
      </c>
      <c r="BF103" s="29">
        <f t="shared" si="75"/>
        <v>0</v>
      </c>
      <c r="BG103" s="17">
        <f>COUNTIFS('Prácticas_Revisiones'!$S$2:$S$282,"Sin equivalente en catálogo (SINTETIZAR)",'Prácticas_Revisiones'!$T$2:$T$282,"SOFTWARE CONFIG. MGMT. &gt; Management of the SCM Process")+COUNTIFS('Prácticas_Snowballing'!$AB$2:$AB$281,"Sin equivalente en catálogo (SINTETIZAR)",'Prácticas_Snowballing'!$AC$2:$AC$281,"SOFTWARE CONFIG. MGMT. &gt; Management of the SCM Process")</f>
        <v>0</v>
      </c>
      <c r="BH103" s="17">
        <f>COUNTIFS('Prácticas_Revisiones'!$S$2:$S$282,"Sin equivalente en catálogo (SINTETIZAR)",'Prácticas_Revisiones'!$T$2:$T$282,"SOFTWARE CONFIG. MGMT. &gt; Software Configuration Identification")+COUNTIFS('Prácticas_Snowballing'!$AB$2:$AB$281,"Sin equivalente en catálogo (SINTETIZAR)",'Prácticas_Snowballing'!$AC$2:$AC$281,"SOFTWARE CONFIG. MGMT. &gt; Software Configuration Identification")</f>
        <v>0</v>
      </c>
      <c r="BI103" s="17">
        <f>COUNTIFS('Prácticas_Revisiones'!$S$2:$S$282,"Sin equivalente en catálogo (SINTETIZAR)",'Prácticas_Revisiones'!$T$2:$T$282,"SOFTWARE CONFIG. MGMT. &gt; Software Configuration Change Control")+COUNTIFS('Prácticas_Snowballing'!$AB$2:$AB$281,"Sin equivalente en catálogo (SINTETIZAR)",'Prácticas_Snowballing'!$AC$2:$AC$281,"SOFTWARE CONFIG. MGMT. &gt; Software Configuration Change Control")</f>
        <v>0</v>
      </c>
      <c r="BJ103" s="17">
        <f>COUNTIFS('Prácticas_Revisiones'!$S$2:$S$282,"Sin equivalente en catálogo (SINTETIZAR)",'Prácticas_Revisiones'!$T$2:$T$282,"SOFTWARE CONFIG. MGMT. &gt; Software Configuration Status Accounting")+COUNTIFS('Prácticas_Snowballing'!$AB$2:$AB$281,"Sin equivalente en catálogo (SINTETIZAR)",'Prácticas_Snowballing'!$AC$2:$AC$281,"SOFTWARE CONFIG. MGMT. &gt; Software Configuration Status Accounting")</f>
        <v>0</v>
      </c>
      <c r="BK103" s="17">
        <f>COUNTIFS('Prácticas_Revisiones'!$S$2:$S$282,"Sin equivalente en catálogo (SINTETIZAR)",'Prácticas_Revisiones'!$T$2:$T$282,"SOFTWARE CONFIG. MGMT. &gt; Software Configuration Auditing")+COUNTIFS('Prácticas_Snowballing'!$AB$2:$AB$281,"Sin equivalente en catálogo (SINTETIZAR)",'Prácticas_Snowballing'!$AC$2:$AC$281,"SOFTWARE CONFIG. MGMT. &gt; Software Configuration Auditing")</f>
        <v>0</v>
      </c>
      <c r="BL103" s="17">
        <f>COUNTIFS('Prácticas_Revisiones'!$S$2:$S$282,"Sin equivalente en catálogo (SINTETIZAR)",'Prácticas_Revisiones'!$T$2:$T$282,"SOFTWARE CONFIG. MGMT. &gt; Software Release Management and Delivery")+COUNTIFS('Prácticas_Snowballing'!$AB$2:$AB$281,"Sin equivalente en catálogo (SINTETIZAR)",'Prácticas_Snowballing'!$AC$2:$AC$281,"SOFTWARE CONFIG. MGMT. &gt; Software Release Management and Delivery")</f>
        <v>0</v>
      </c>
      <c r="BM103" s="17">
        <f>COUNTIFS('Prácticas_Revisiones'!$S$2:$S$282,"Sin equivalente en catálogo (SINTETIZAR)",'Prácticas_Revisiones'!$T$2:$T$282,"SOFTWARE CONFIG. MGMT. &gt; Software Configuration Management Tools")+COUNTIFS('Prácticas_Snowballing'!$AB$2:$AB$281,"Sin equivalente en catálogo (SINTETIZAR)",'Prácticas_Snowballing'!$AC$2:$AC$281,"SOFTWARE CONFIG. MGMT. &gt; Software Configuration Management Tools")</f>
        <v>0</v>
      </c>
      <c r="BN103" s="17">
        <f>COUNTIFS('Prácticas_Revisiones'!$S$2:$S$282,"Sin equivalente en catálogo (SINTETIZAR)",'Prácticas_Revisiones'!$T$2:$T$282,"SOFTWARE CONFIG. MGMT. &gt; Subárea no determinable")+COUNTIFS('Prácticas_Snowballing'!$AB$2:$AB$281,"Sin equivalente en catálogo (SINTETIZAR)",'Prácticas_Snowballing'!$AC$2:$AC$281,"SOFTWARE CONFIG. MGMT. &gt; Subárea no determinable")</f>
        <v>0</v>
      </c>
      <c r="BO103" s="29">
        <f t="shared" si="76"/>
        <v>0</v>
      </c>
      <c r="BP103" s="17">
        <f>COUNTIFS('Prácticas_Revisiones'!$S$2:$S$282,"Sin equivalente en catálogo (SINTETIZAR)",'Prácticas_Revisiones'!$T$2:$T$282,"SOFTWARE ENG. PROCESS &gt; Software Engineering Process Fundamentals")+COUNTIFS('Prácticas_Snowballing'!$AB$2:$AB$281,"Sin equivalente en catálogo (SINTETIZAR)",'Prácticas_Snowballing'!$AC$2:$AC$281,"SOFTWARE ENG. PROCESS &gt; Software Engineering Process Fundamentals")</f>
        <v>0</v>
      </c>
      <c r="BQ103" s="17">
        <f>COUNTIFS('Prácticas_Revisiones'!$S$2:$S$282,"Sin equivalente en catálogo (SINTETIZAR)",'Prácticas_Revisiones'!$T$2:$T$282,"SOFTWARE ENG. PROCESS &gt; Life Cycles")+COUNTIFS('Prácticas_Snowballing'!$AB$2:$AB$281,"Sin equivalente en catálogo (SINTETIZAR)",'Prácticas_Snowballing'!$AC$2:$AC$281,"SOFTWARE ENG. PROCESS &gt; Life Cycles")</f>
        <v>0</v>
      </c>
      <c r="BR103" s="17">
        <f>COUNTIFS('Prácticas_Revisiones'!$S$2:$S$282,"Sin equivalente en catálogo (SINTETIZAR)",'Prácticas_Revisiones'!$T$2:$T$282,"SOFTWARE ENG. PROCESS &gt; Software Process Assessment and Improvement")+COUNTIFS('Prácticas_Snowballing'!$AB$2:$AB$281,"Sin equivalente en catálogo (SINTETIZAR)",'Prácticas_Snowballing'!$AC$2:$AC$281,"SOFTWARE ENG. PROCESS &gt; Software Process Assessment and Improvement")</f>
        <v>0</v>
      </c>
      <c r="BS103" s="17">
        <f>COUNTIFS('Prácticas_Revisiones'!$S$2:$S$282,"Sin equivalente en catálogo (SINTETIZAR)",'Prácticas_Revisiones'!$T$2:$T$282,"SOFTWARE ENG. PROCESS &gt; Subárea no determinable")+COUNTIFS('Prácticas_Snowballing'!$AB$2:$AB$281,"Sin equivalente en catálogo (SINTETIZAR)",'Prácticas_Snowballing'!$AC$2:$AC$281,"SOFTWARE ENG. PROCESS &gt; Subárea no determinable")</f>
        <v>0</v>
      </c>
      <c r="BT103" s="29">
        <f t="shared" si="77"/>
        <v>0</v>
      </c>
      <c r="BU103" s="17">
        <f>COUNTIFS('Prácticas_Revisiones'!$S$2:$S$282,"Sin equivalente en catálogo (SINTETIZAR)",'Prácticas_Revisiones'!$T$2:$T$282,"SOFTWARE ENG. MODELS/METH. &gt; Modeling")+COUNTIFS('Prácticas_Snowballing'!$AB$2:$AB$281,"Sin equivalente en catálogo (SINTETIZAR)",'Prácticas_Snowballing'!$AC$2:$AC$281,"SOFTWARE ENG. MODELS/METH. &gt; Modeling")</f>
        <v>0</v>
      </c>
      <c r="BV103" s="17">
        <f>COUNTIFS('Prácticas_Revisiones'!$S$2:$S$282,"Sin equivalente en catálogo (SINTETIZAR)",'Prácticas_Revisiones'!$T$2:$T$282,"SOFTWARE ENG. MODELS/METH. &gt; Types of Models")+COUNTIFS('Prácticas_Snowballing'!$AB$2:$AB$281,"Sin equivalente en catálogo (SINTETIZAR)",'Prácticas_Snowballing'!$AC$2:$AC$281,"SOFTWARE ENG. MODELS/METH. &gt; Types of Models")</f>
        <v>0</v>
      </c>
      <c r="BW103" s="17">
        <f>COUNTIFS('Prácticas_Revisiones'!$S$2:$S$282,"Sin equivalente en catálogo (SINTETIZAR)",'Prácticas_Revisiones'!$T$2:$T$282,"SOFTWARE ENG. MODELS/METH. &gt; Analysis of Models")+COUNTIFS('Prácticas_Snowballing'!$AB$2:$AB$281,"Sin equivalente en catálogo (SINTETIZAR)",'Prácticas_Snowballing'!$AC$2:$AC$281,"SOFTWARE ENG. MODELS/METH. &gt; Analysis of Models")</f>
        <v>0</v>
      </c>
      <c r="BX103" s="17">
        <f>COUNTIFS('Prácticas_Revisiones'!$S$2:$S$282,"Sin equivalente en catálogo (SINTETIZAR)",'Prácticas_Revisiones'!$T$2:$T$282,"SOFTWARE ENG. MODELS/METH. &gt; Software Engineering Methods")+COUNTIFS('Prácticas_Snowballing'!$AB$2:$AB$281,"Sin equivalente en catálogo (SINTETIZAR)",'Prácticas_Snowballing'!$AC$2:$AC$281,"SOFTWARE ENG. MODELS/METH. &gt; Software Engineering Methods")</f>
        <v>0</v>
      </c>
      <c r="BY103" s="17">
        <f>COUNTIFS('Prácticas_Revisiones'!$S$2:$S$282,"Sin equivalente en catálogo (SINTETIZAR)",'Prácticas_Revisiones'!$T$2:$T$282,"SOFTWARE ENG. MODELS/METH. &gt; Subárea no determinable")+COUNTIFS('Prácticas_Snowballing'!$AB$2:$AB$281,"Sin equivalente en catálogo (SINTETIZAR)",'Prácticas_Snowballing'!$AC$2:$AC$281,"SOFTWARE ENG. MODELS/METH. &gt; Subárea no determinable")</f>
        <v>0</v>
      </c>
      <c r="BZ103" s="29">
        <f t="shared" si="78"/>
        <v>0</v>
      </c>
      <c r="CA103" s="17">
        <f>COUNTIFS('Prácticas_Revisiones'!$S$2:$S$282,"Sin equivalente en catálogo (SINTETIZAR)",'Prácticas_Revisiones'!$T$2:$T$282,"SOFTWARE QUALITY &gt; Software Quality Fundamentals")+COUNTIFS('Prácticas_Snowballing'!$AB$2:$AB$281,"Sin equivalente en catálogo (SINTETIZAR)",'Prácticas_Snowballing'!$AC$2:$AC$281,"SOFTWARE QUALITY &gt; Software Quality Fundamentals")</f>
        <v>0</v>
      </c>
      <c r="CB103" s="17">
        <f>COUNTIFS('Prácticas_Revisiones'!$S$2:$S$282,"Sin equivalente en catálogo (SINTETIZAR)",'Prácticas_Revisiones'!$T$2:$T$282,"SOFTWARE QUALITY &gt; Software Quality Management Process")+COUNTIFS('Prácticas_Snowballing'!$AB$2:$AB$281,"Sin equivalente en catálogo (SINTETIZAR)",'Prácticas_Snowballing'!$AC$2:$AC$281,"SOFTWARE QUALITY &gt; Software Quality Management Process")</f>
        <v>0</v>
      </c>
      <c r="CC103" s="17">
        <f>COUNTIFS('Prácticas_Revisiones'!$S$2:$S$282,"Sin equivalente en catálogo (SINTETIZAR)",'Prácticas_Revisiones'!$T$2:$T$282,"SOFTWARE QUALITY &gt; Software Quality Assurance Process")+COUNTIFS('Prácticas_Snowballing'!$AB$2:$AB$281,"Sin equivalente en catálogo (SINTETIZAR)",'Prácticas_Snowballing'!$AC$2:$AC$281,"SOFTWARE QUALITY &gt; Software Quality Assurance Process")</f>
        <v>0</v>
      </c>
      <c r="CD103" s="17">
        <f>COUNTIFS('Prácticas_Revisiones'!$S$2:$S$282,"Sin equivalente en catálogo (SINTETIZAR)",'Prácticas_Revisiones'!$T$2:$T$282,"SOFTWARE QUALITY &gt; Software Quality Tools")+COUNTIFS('Prácticas_Snowballing'!$AB$2:$AB$281,"Sin equivalente en catálogo (SINTETIZAR)",'Prácticas_Snowballing'!$AC$2:$AC$281,"SOFTWARE QUALITY &gt; Software Quality Tools")</f>
        <v>0</v>
      </c>
      <c r="CE103" s="17">
        <f>COUNTIFS('Prácticas_Revisiones'!$S$2:$S$282,"Sin equivalente en catálogo (SINTETIZAR)",'Prácticas_Revisiones'!$T$2:$T$282,"SOFTWARE QUALITY &gt; Subárea no determinable")+COUNTIFS('Prácticas_Snowballing'!$AB$2:$AB$281,"Sin equivalente en catálogo (SINTETIZAR)",'Prácticas_Snowballing'!$AC$2:$AC$281,"SOFTWARE QUALITY &gt; Subárea no determinable")</f>
        <v>0</v>
      </c>
      <c r="CF103" s="29">
        <f t="shared" si="79"/>
        <v>0</v>
      </c>
      <c r="CG103" s="17">
        <f>COUNTIFS('Prácticas_Revisiones'!$S$2:$S$282,"Sin equivalente en catálogo (SINTETIZAR)",'Prácticas_Revisiones'!$T$2:$T$282,"SOFTWARE SECURITY &gt; Software Security Fundamentals")+COUNTIFS('Prácticas_Snowballing'!$AB$2:$AB$281,"Sin equivalente en catálogo (SINTETIZAR)",'Prácticas_Snowballing'!$AC$2:$AC$281,"SOFTWARE SECURITY &gt; Software Security Fundamentals")</f>
        <v>0</v>
      </c>
      <c r="CH103" s="17">
        <f>COUNTIFS('Prácticas_Revisiones'!$S$2:$S$282,"Sin equivalente en catálogo (SINTETIZAR)",'Prácticas_Revisiones'!$T$2:$T$282,"SOFTWARE SECURITY &gt; Security Management and Organization")+COUNTIFS('Prácticas_Snowballing'!$AB$2:$AB$281,"Sin equivalente en catálogo (SINTETIZAR)",'Prácticas_Snowballing'!$AC$2:$AC$281,"SOFTWARE SECURITY &gt; Security Management and Organization")</f>
        <v>0</v>
      </c>
      <c r="CI103" s="17">
        <f>COUNTIFS('Prácticas_Revisiones'!$S$2:$S$282,"Sin equivalente en catálogo (SINTETIZAR)",'Prácticas_Revisiones'!$T$2:$T$282,"SOFTWARE SECURITY &gt; Software Security Engineering and Process")+COUNTIFS('Prácticas_Snowballing'!$AB$2:$AB$281,"Sin equivalente en catálogo (SINTETIZAR)",'Prácticas_Snowballing'!$AC$2:$AC$281,"SOFTWARE SECURITY &gt; Software Security Engineering and Process")</f>
        <v>0</v>
      </c>
      <c r="CJ103" s="17">
        <f>COUNTIFS('Prácticas_Revisiones'!$S$2:$S$282,"Sin equivalente en catálogo (SINTETIZAR)",'Prácticas_Revisiones'!$T$2:$T$282,"SOFTWARE SECURITY &gt; Security Engineering for Software Systems")+COUNTIFS('Prácticas_Snowballing'!$AB$2:$AB$281,"Sin equivalente en catálogo (SINTETIZAR)",'Prácticas_Snowballing'!$AC$2:$AC$281,"SOFTWARE SECURITY &gt; Security Engineering for Software Systems")</f>
        <v>0</v>
      </c>
      <c r="CK103" s="17">
        <f>COUNTIFS('Prácticas_Revisiones'!$S$2:$S$282,"Sin equivalente en catálogo (SINTETIZAR)",'Prácticas_Revisiones'!$T$2:$T$282,"SOFTWARE SECURITY &gt; Software Security Tools")+COUNTIFS('Prácticas_Snowballing'!$AB$2:$AB$281,"Sin equivalente en catálogo (SINTETIZAR)",'Prácticas_Snowballing'!$AC$2:$AC$281,"SOFTWARE SECURITY &gt; Software Security Tools")</f>
        <v>0</v>
      </c>
      <c r="CL103" s="17">
        <f>COUNTIFS('Prácticas_Revisiones'!$S$2:$S$282,"Sin equivalente en catálogo (SINTETIZAR)",'Prácticas_Revisiones'!$T$2:$T$282,"SOFTWARE SECURITY &gt; Domain Specific Software Security")+COUNTIFS('Prácticas_Snowballing'!$AB$2:$AB$281,"Sin equivalente en catálogo (SINTETIZAR)",'Prácticas_Snowballing'!$AC$2:$AC$281,"SOFTWARE SECURITY &gt; Domain Specific Software Security")</f>
        <v>0</v>
      </c>
      <c r="CM103" s="17">
        <f>COUNTIFS('Prácticas_Revisiones'!$S$2:$S$282,"Sin equivalente en catálogo (SINTETIZAR)",'Prácticas_Revisiones'!$T$2:$T$282,"SOFTWARE SECURITY &gt; Subárea no determinable")+COUNTIFS('Prácticas_Snowballing'!$AB$2:$AB$281,"Sin equivalente en catálogo (SINTETIZAR)",'Prácticas_Snowballing'!$AC$2:$AC$281,"SOFTWARE SECURITY &gt; Subárea no determinable")</f>
        <v>0</v>
      </c>
      <c r="CN103" s="29">
        <f t="shared" si="80"/>
        <v>0</v>
      </c>
      <c r="CO103" s="17">
        <f>COUNTIFS('Prácticas_Revisiones'!$S$2:$S$282,"Sin equivalente en catálogo (SINTETIZAR)",'Prácticas_Revisiones'!$T$2:$T$282,"PROFESSIONAL PRACTICE &gt; Professionalism")+COUNTIFS('Prácticas_Snowballing'!$AB$2:$AB$281,"Sin equivalente en catálogo (SINTETIZAR)",'Prácticas_Snowballing'!$AC$2:$AC$281,"PROFESSIONAL PRACTICE &gt; Professionalism")</f>
        <v>0</v>
      </c>
      <c r="CP103" s="17">
        <f>COUNTIFS('Prácticas_Revisiones'!$S$2:$S$282,"Sin equivalente en catálogo (SINTETIZAR)",'Prácticas_Revisiones'!$T$2:$T$282,"PROFESSIONAL PRACTICE &gt; Group Dynamics and Psychology")+COUNTIFS('Prácticas_Snowballing'!$AB$2:$AB$281,"Sin equivalente en catálogo (SINTETIZAR)",'Prácticas_Snowballing'!$AC$2:$AC$281,"PROFESSIONAL PRACTICE &gt; Group Dynamics and Psychology")</f>
        <v>0</v>
      </c>
      <c r="CQ103" s="17">
        <f>COUNTIFS('Prácticas_Revisiones'!$S$2:$S$282,"Sin equivalente en catálogo (SINTETIZAR)",'Prácticas_Revisiones'!$T$2:$T$282,"PROFESSIONAL PRACTICE &gt; Communication Skills")+COUNTIFS('Prácticas_Snowballing'!$AB$2:$AB$281,"Sin equivalente en catálogo (SINTETIZAR)",'Prácticas_Snowballing'!$AC$2:$AC$281,"PROFESSIONAL PRACTICE &gt; Communication Skills")</f>
        <v>0</v>
      </c>
      <c r="CR103" s="17">
        <f>COUNTIFS('Prácticas_Revisiones'!$S$2:$S$282,"Sin equivalente en catálogo (SINTETIZAR)",'Prácticas_Revisiones'!$T$2:$T$282,"PROFESSIONAL PRACTICE &gt; Subárea no determinable")+COUNTIFS('Prácticas_Snowballing'!$AB$2:$AB$281,"Sin equivalente en catálogo (SINTETIZAR)",'Prácticas_Snowballing'!$AC$2:$AC$281,"PROFESSIONAL PRACTICE &gt; Subárea no determinable")</f>
        <v>0</v>
      </c>
      <c r="CS103" s="29">
        <f t="shared" si="81"/>
        <v>0</v>
      </c>
      <c r="CT103" s="17">
        <f>COUNTIFS('Prácticas_Revisiones'!$S$2:$S$282,"Sin equivalente en catálogo (SINTETIZAR)",'Prácticas_Revisiones'!$T$2:$T$282,"SOFTWARE ENG. ECONOMICS &gt; Software Engineering Economics Fundamentals")+COUNTIFS('Prácticas_Snowballing'!$AB$2:$AB$281,"Sin equivalente en catálogo (SINTETIZAR)",'Prácticas_Snowballing'!$AC$2:$AC$281,"SOFTWARE ENG. ECONOMICS &gt; Software Engineering Economics Fundamentals")</f>
        <v>0</v>
      </c>
      <c r="CU103" s="17">
        <f>COUNTIFS('Prácticas_Revisiones'!$S$2:$S$282,"Sin equivalente en catálogo (SINTETIZAR)",'Prácticas_Revisiones'!$T$2:$T$282,"SOFTWARE ENG. ECONOMICS &gt; The Engineering Decision-Making Process")+COUNTIFS('Prácticas_Snowballing'!$AB$2:$AB$281,"Sin equivalente en catálogo (SINTETIZAR)",'Prácticas_Snowballing'!$AC$2:$AC$281,"SOFTWARE ENG. ECONOMICS &gt; The Engineering Decision-Making Process")</f>
        <v>0</v>
      </c>
      <c r="CV103" s="17">
        <f>COUNTIFS('Prácticas_Revisiones'!$S$2:$S$282,"Sin equivalente en catálogo (SINTETIZAR)",'Prácticas_Revisiones'!$T$2:$T$282,"SOFTWARE ENG. ECONOMICS &gt; For-Profit Decision-Making")+COUNTIFS('Prácticas_Snowballing'!$AB$2:$AB$281,"Sin equivalente en catálogo (SINTETIZAR)",'Prácticas_Snowballing'!$AC$2:$AC$281,"SOFTWARE ENG. ECONOMICS &gt; For-Profit Decision-Making")</f>
        <v>0</v>
      </c>
      <c r="CW103" s="17">
        <f>COUNTIFS('Prácticas_Revisiones'!$S$2:$S$282,"Sin equivalente en catálogo (SINTETIZAR)",'Prácticas_Revisiones'!$T$2:$T$282,"SOFTWARE ENG. ECONOMICS &gt; Nonprofit Decision-Making")+COUNTIFS('Prácticas_Snowballing'!$AB$2:$AB$281,"Sin equivalente en catálogo (SINTETIZAR)",'Prácticas_Snowballing'!$AC$2:$AC$281,"SOFTWARE ENG. ECONOMICS &gt; Nonprofit Decision-Making")</f>
        <v>0</v>
      </c>
      <c r="CX103" s="17">
        <f>COUNTIFS('Prácticas_Revisiones'!$S$2:$S$282,"Sin equivalente en catálogo (SINTETIZAR)",'Prácticas_Revisiones'!$T$2:$T$282,"SOFTWARE ENG. ECONOMICS &gt; Present Economy Decision-Making")+COUNTIFS('Prácticas_Snowballing'!$AB$2:$AB$281,"Sin equivalente en catálogo (SINTETIZAR)",'Prácticas_Snowballing'!$AC$2:$AC$281,"SOFTWARE ENG. ECONOMICS &gt; Present Economy Decision-Making")</f>
        <v>0</v>
      </c>
      <c r="CY103" s="17">
        <f>COUNTIFS('Prácticas_Revisiones'!$S$2:$S$282,"Sin equivalente en catálogo (SINTETIZAR)",'Prácticas_Revisiones'!$T$2:$T$282,"SOFTWARE ENG. ECONOMICS &gt; Multiple-Attribute Decision-Making")+COUNTIFS('Prácticas_Snowballing'!$AB$2:$AB$281,"Sin equivalente en catálogo (SINTETIZAR)",'Prácticas_Snowballing'!$AC$2:$AC$281,"SOFTWARE ENG. ECONOMICS &gt; Multiple-Attribute Decision-Making")</f>
        <v>0</v>
      </c>
      <c r="CZ103" s="17">
        <f>COUNTIFS('Prácticas_Revisiones'!$S$2:$S$282,"Sin equivalente en catálogo (SINTETIZAR)",'Prácticas_Revisiones'!$T$2:$T$282,"SOFTWARE ENG. ECONOMICS &gt; Identifying and Characterizing Intangible Assets")+COUNTIFS('Prácticas_Snowballing'!$AB$2:$AB$281,"Sin equivalente en catálogo (SINTETIZAR)",'Prácticas_Snowballing'!$AC$2:$AC$281,"SOFTWARE ENG. ECONOMICS &gt; Identifying and Characterizing Intangible Assets")</f>
        <v>0</v>
      </c>
      <c r="DA103" s="17">
        <f>COUNTIFS('Prácticas_Revisiones'!$S$2:$S$282,"Sin equivalente en catálogo (SINTETIZAR)",'Prácticas_Revisiones'!$T$2:$T$282,"SOFTWARE ENG. ECONOMICS &gt; Estimation")+COUNTIFS('Prácticas_Snowballing'!$AB$2:$AB$281,"Sin equivalente en catálogo (SINTETIZAR)",'Prácticas_Snowballing'!$AC$2:$AC$281,"SOFTWARE ENG. ECONOMICS &gt; Estimation")</f>
        <v>0</v>
      </c>
      <c r="DB103" s="17">
        <f>COUNTIFS('Prácticas_Revisiones'!$S$2:$S$282,"Sin equivalente en catálogo (SINTETIZAR)",'Prácticas_Revisiones'!$T$2:$T$282,"SOFTWARE ENG. ECONOMICS &gt; Practical Considerations")+COUNTIFS('Prácticas_Snowballing'!$AB$2:$AB$281,"Sin equivalente en catálogo (SINTETIZAR)",'Prácticas_Snowballing'!$AC$2:$AC$281,"SOFTWARE ENG. ECONOMICS &gt; Practical Considerations")</f>
        <v>0</v>
      </c>
      <c r="DC103" s="17">
        <f>COUNTIFS('Prácticas_Revisiones'!$S$2:$S$282,"Sin equivalente en catálogo (SINTETIZAR)",'Prácticas_Revisiones'!$T$2:$T$282,"SOFTWARE ENG. ECONOMICS &gt; Related Concepts")+COUNTIFS('Prácticas_Snowballing'!$AB$2:$AB$281,"Sin equivalente en catálogo (SINTETIZAR)",'Prácticas_Snowballing'!$AC$2:$AC$281,"SOFTWARE ENG. ECONOMICS &gt; Related Concepts")</f>
        <v>0</v>
      </c>
      <c r="DD103" s="17">
        <f>COUNTIFS('Prácticas_Revisiones'!$S$2:$S$282,"Sin equivalente en catálogo (SINTETIZAR)",'Prácticas_Revisiones'!$T$2:$T$282,"SOFTWARE ENG. ECONOMICS &gt; Subárea no determinable")+COUNTIFS('Prácticas_Snowballing'!$AB$2:$AB$281,"Sin equivalente en catálogo (SINTETIZAR)",'Prácticas_Snowballing'!$AC$2:$AC$281,"SOFTWARE ENG. ECONOMICS &gt; Subárea no determinable")</f>
        <v>0</v>
      </c>
      <c r="DE103" s="29">
        <f t="shared" si="82"/>
        <v>0</v>
      </c>
      <c r="DF103" s="17">
        <f>COUNTIFS('Prácticas_Revisiones'!$S$2:$S$282,"Sin equivalente en catálogo (SINTETIZAR)",'Prácticas_Revisiones'!$T$2:$T$282,"SOFTWARE ENG. MANAGEMENT &gt; Software Engineering Management Fundamentals")+COUNTIFS('Prácticas_Snowballing'!$AB$2:$AB$281,"Sin equivalente en catálogo (SINTETIZAR)",'Prácticas_Snowballing'!$AC$2:$AC$281,"SOFTWARE ENG. MANAGEMENT &gt; Software Engineering Management Fundamentals")</f>
        <v>0</v>
      </c>
      <c r="DG103" s="17">
        <f>COUNTIFS('Prácticas_Revisiones'!$S$2:$S$282,"Sin equivalente en catálogo (SINTETIZAR)",'Prácticas_Revisiones'!$T$2:$T$282,"SOFTWARE ENG. MANAGEMENT &gt; Initiation and Scope Definition")+COUNTIFS('Prácticas_Snowballing'!$AB$2:$AB$281,"Sin equivalente en catálogo (SINTETIZAR)",'Prácticas_Snowballing'!$AC$2:$AC$281,"SOFTWARE ENG. MANAGEMENT &gt; Initiation and Scope Definition")</f>
        <v>0</v>
      </c>
      <c r="DH103" s="17">
        <f>COUNTIFS('Prácticas_Revisiones'!$S$2:$S$282,"Sin equivalente en catálogo (SINTETIZAR)",'Prácticas_Revisiones'!$T$2:$T$282,"SOFTWARE ENG. MANAGEMENT &gt; Software Project Planning")+COUNTIFS('Prácticas_Snowballing'!$AB$2:$AB$281,"Sin equivalente en catálogo (SINTETIZAR)",'Prácticas_Snowballing'!$AC$2:$AC$281,"SOFTWARE ENG. MANAGEMENT &gt; Software Project Planning")</f>
        <v>0</v>
      </c>
      <c r="DI103" s="17">
        <f>COUNTIFS('Prácticas_Revisiones'!$S$2:$S$282,"Sin equivalente en catálogo (SINTETIZAR)",'Prácticas_Revisiones'!$T$2:$T$282,"SOFTWARE ENG. MANAGEMENT &gt; Software Project Enactment")+COUNTIFS('Prácticas_Snowballing'!$AB$2:$AB$281,"Sin equivalente en catálogo (SINTETIZAR)",'Prácticas_Snowballing'!$AC$2:$AC$281,"SOFTWARE ENG. MANAGEMENT &gt; Software Project Enactment")</f>
        <v>0</v>
      </c>
      <c r="DJ103" s="17">
        <f>COUNTIFS('Prácticas_Revisiones'!$S$2:$S$282,"Sin equivalente en catálogo (SINTETIZAR)",'Prácticas_Revisiones'!$T$2:$T$282,"SOFTWARE ENG. MANAGEMENT &gt; Review and Evaluation")+COUNTIFS('Prácticas_Snowballing'!$AB$2:$AB$281,"Sin equivalente en catálogo (SINTETIZAR)",'Prácticas_Snowballing'!$AC$2:$AC$281,"SOFTWARE ENG. MANAGEMENT &gt; Review and Evaluation")</f>
        <v>0</v>
      </c>
      <c r="DK103" s="17">
        <f>COUNTIFS('Prácticas_Revisiones'!$S$2:$S$282,"Sin equivalente en catálogo (SINTETIZAR)",'Prácticas_Revisiones'!$T$2:$T$282,"SOFTWARE ENG. MANAGEMENT &gt; Closure")+COUNTIFS('Prácticas_Snowballing'!$AB$2:$AB$281,"Sin equivalente en catálogo (SINTETIZAR)",'Prácticas_Snowballing'!$AC$2:$AC$281,"SOFTWARE ENG. MANAGEMENT &gt; Closure")</f>
        <v>0</v>
      </c>
      <c r="DL103" s="17">
        <f>COUNTIFS('Prácticas_Revisiones'!$S$2:$S$282,"Sin equivalente en catálogo (SINTETIZAR)",'Prácticas_Revisiones'!$T$2:$T$282,"SOFTWARE ENG. MANAGEMENT &gt; Software Engineering Management Tools")+COUNTIFS('Prácticas_Snowballing'!$AB$2:$AB$281,"Sin equivalente en catálogo (SINTETIZAR)",'Prácticas_Snowballing'!$AC$2:$AC$281,"SOFTWARE ENG. MANAGEMENT &gt; Software Engineering Management Tools")</f>
        <v>0</v>
      </c>
      <c r="DM103" s="17">
        <f>COUNTIFS('Prácticas_Revisiones'!$S$2:$S$282,"Sin equivalente en catálogo (SINTETIZAR)",'Prácticas_Revisiones'!$T$2:$T$282,"SOFTWARE ENG. MANAGEMENT &gt; Subárea no determinable")+COUNTIFS('Prácticas_Snowballing'!$AB$2:$AB$281,"Sin equivalente en catálogo (SINTETIZAR)",'Prácticas_Snowballing'!$AC$2:$AC$281,"SOFTWARE ENG. MANAGEMENT &gt; Subárea no determinable")</f>
        <v>0</v>
      </c>
      <c r="DN103" s="29">
        <f t="shared" si="83"/>
        <v>0</v>
      </c>
      <c r="DO103" s="17">
        <f>COUNTIFS('Prácticas_Revisiones'!$S$2:$S$282,"Sin equivalente en catálogo (SINTETIZAR)",'Prácticas_Revisiones'!$T$2:$T$282,"Sin área SWEBOK")+COUNTIFS('Prácticas_Snowballing'!$AB$2:$AB$281,"Sin equivalente en catálogo (SINTETIZAR)",'Prácticas_Snowballing'!$AC$2:$AC$281,"Sin área SWEBOK")</f>
        <v>0</v>
      </c>
      <c r="DP103" s="27">
        <f t="shared" si="84"/>
        <v>0</v>
      </c>
    </row>
    <row r="104" ht="15.75" customHeight="1">
      <c r="A104" s="35" t="s">
        <v>2873</v>
      </c>
      <c r="B104" s="20"/>
      <c r="C104" s="29">
        <f t="shared" ref="C104:DP104" si="85">SUM(C89:C103)</f>
        <v>0</v>
      </c>
      <c r="D104" s="29">
        <f t="shared" si="85"/>
        <v>0</v>
      </c>
      <c r="E104" s="29">
        <f t="shared" si="85"/>
        <v>0</v>
      </c>
      <c r="F104" s="29">
        <f t="shared" si="85"/>
        <v>0</v>
      </c>
      <c r="G104" s="29">
        <f t="shared" si="85"/>
        <v>0</v>
      </c>
      <c r="H104" s="29">
        <f t="shared" si="85"/>
        <v>0</v>
      </c>
      <c r="I104" s="29">
        <f t="shared" si="85"/>
        <v>0</v>
      </c>
      <c r="J104" s="29">
        <f t="shared" si="85"/>
        <v>0</v>
      </c>
      <c r="K104" s="29">
        <f t="shared" si="85"/>
        <v>0</v>
      </c>
      <c r="L104" s="29">
        <f t="shared" si="85"/>
        <v>0</v>
      </c>
      <c r="M104" s="29">
        <f t="shared" si="85"/>
        <v>0</v>
      </c>
      <c r="N104" s="29">
        <f t="shared" si="85"/>
        <v>0</v>
      </c>
      <c r="O104" s="29">
        <f t="shared" si="85"/>
        <v>0</v>
      </c>
      <c r="P104" s="29">
        <f t="shared" si="85"/>
        <v>0</v>
      </c>
      <c r="Q104" s="29">
        <f t="shared" si="85"/>
        <v>0</v>
      </c>
      <c r="R104" s="29">
        <f t="shared" si="85"/>
        <v>0</v>
      </c>
      <c r="S104" s="29">
        <f t="shared" si="85"/>
        <v>0</v>
      </c>
      <c r="T104" s="29">
        <f t="shared" si="85"/>
        <v>0</v>
      </c>
      <c r="U104" s="29">
        <f t="shared" si="85"/>
        <v>0</v>
      </c>
      <c r="V104" s="29">
        <f t="shared" si="85"/>
        <v>3</v>
      </c>
      <c r="W104" s="29">
        <f t="shared" si="85"/>
        <v>1</v>
      </c>
      <c r="X104" s="29">
        <f t="shared" si="85"/>
        <v>0</v>
      </c>
      <c r="Y104" s="29">
        <f t="shared" si="85"/>
        <v>0</v>
      </c>
      <c r="Z104" s="29">
        <f t="shared" si="85"/>
        <v>4</v>
      </c>
      <c r="AA104" s="29">
        <f t="shared" si="85"/>
        <v>0</v>
      </c>
      <c r="AB104" s="29">
        <f t="shared" si="85"/>
        <v>0</v>
      </c>
      <c r="AC104" s="29">
        <f t="shared" si="85"/>
        <v>0</v>
      </c>
      <c r="AD104" s="29">
        <f t="shared" si="85"/>
        <v>0</v>
      </c>
      <c r="AE104" s="29">
        <f t="shared" si="85"/>
        <v>0</v>
      </c>
      <c r="AF104" s="29">
        <f t="shared" si="85"/>
        <v>0</v>
      </c>
      <c r="AG104" s="29">
        <f t="shared" si="85"/>
        <v>0</v>
      </c>
      <c r="AH104" s="29">
        <f t="shared" si="85"/>
        <v>0</v>
      </c>
      <c r="AI104" s="29">
        <f t="shared" si="85"/>
        <v>1</v>
      </c>
      <c r="AJ104" s="29">
        <f t="shared" si="85"/>
        <v>0</v>
      </c>
      <c r="AK104" s="29">
        <f t="shared" si="85"/>
        <v>0</v>
      </c>
      <c r="AL104" s="29">
        <f t="shared" si="85"/>
        <v>0</v>
      </c>
      <c r="AM104" s="29">
        <f t="shared" si="85"/>
        <v>0</v>
      </c>
      <c r="AN104" s="29">
        <f t="shared" si="85"/>
        <v>0</v>
      </c>
      <c r="AO104" s="29">
        <f t="shared" si="85"/>
        <v>0</v>
      </c>
      <c r="AP104" s="29">
        <f t="shared" si="85"/>
        <v>0</v>
      </c>
      <c r="AQ104" s="29">
        <f t="shared" si="85"/>
        <v>1</v>
      </c>
      <c r="AR104" s="29">
        <f t="shared" si="85"/>
        <v>0</v>
      </c>
      <c r="AS104" s="29">
        <f t="shared" si="85"/>
        <v>0</v>
      </c>
      <c r="AT104" s="29">
        <f t="shared" si="85"/>
        <v>0</v>
      </c>
      <c r="AU104" s="29">
        <f t="shared" si="85"/>
        <v>0</v>
      </c>
      <c r="AV104" s="29">
        <f t="shared" si="85"/>
        <v>0</v>
      </c>
      <c r="AW104" s="29">
        <f t="shared" si="85"/>
        <v>0</v>
      </c>
      <c r="AX104" s="29">
        <f t="shared" si="85"/>
        <v>0</v>
      </c>
      <c r="AY104" s="29">
        <f t="shared" si="85"/>
        <v>0</v>
      </c>
      <c r="AZ104" s="29">
        <f t="shared" si="85"/>
        <v>0</v>
      </c>
      <c r="BA104" s="29">
        <f t="shared" si="85"/>
        <v>0</v>
      </c>
      <c r="BB104" s="29">
        <f t="shared" si="85"/>
        <v>0</v>
      </c>
      <c r="BC104" s="29">
        <f t="shared" si="85"/>
        <v>0</v>
      </c>
      <c r="BD104" s="29">
        <f t="shared" si="85"/>
        <v>0</v>
      </c>
      <c r="BE104" s="29">
        <f t="shared" si="85"/>
        <v>0</v>
      </c>
      <c r="BF104" s="29">
        <f t="shared" si="85"/>
        <v>0</v>
      </c>
      <c r="BG104" s="29">
        <f t="shared" si="85"/>
        <v>0</v>
      </c>
      <c r="BH104" s="29">
        <f t="shared" si="85"/>
        <v>0</v>
      </c>
      <c r="BI104" s="29">
        <f t="shared" si="85"/>
        <v>0</v>
      </c>
      <c r="BJ104" s="29">
        <f t="shared" si="85"/>
        <v>0</v>
      </c>
      <c r="BK104" s="29">
        <f t="shared" si="85"/>
        <v>0</v>
      </c>
      <c r="BL104" s="29">
        <f t="shared" si="85"/>
        <v>0</v>
      </c>
      <c r="BM104" s="29">
        <f t="shared" si="85"/>
        <v>0</v>
      </c>
      <c r="BN104" s="29">
        <f t="shared" si="85"/>
        <v>0</v>
      </c>
      <c r="BO104" s="29">
        <f t="shared" si="85"/>
        <v>0</v>
      </c>
      <c r="BP104" s="29">
        <f t="shared" si="85"/>
        <v>0</v>
      </c>
      <c r="BQ104" s="29">
        <f t="shared" si="85"/>
        <v>0</v>
      </c>
      <c r="BR104" s="29">
        <f t="shared" si="85"/>
        <v>0</v>
      </c>
      <c r="BS104" s="29">
        <f t="shared" si="85"/>
        <v>0</v>
      </c>
      <c r="BT104" s="29">
        <f t="shared" si="85"/>
        <v>0</v>
      </c>
      <c r="BU104" s="29">
        <f t="shared" si="85"/>
        <v>0</v>
      </c>
      <c r="BV104" s="29">
        <f t="shared" si="85"/>
        <v>0</v>
      </c>
      <c r="BW104" s="29">
        <f t="shared" si="85"/>
        <v>0</v>
      </c>
      <c r="BX104" s="29">
        <f t="shared" si="85"/>
        <v>0</v>
      </c>
      <c r="BY104" s="29">
        <f t="shared" si="85"/>
        <v>0</v>
      </c>
      <c r="BZ104" s="29">
        <f t="shared" si="85"/>
        <v>0</v>
      </c>
      <c r="CA104" s="29">
        <f t="shared" si="85"/>
        <v>0</v>
      </c>
      <c r="CB104" s="29">
        <f t="shared" si="85"/>
        <v>0</v>
      </c>
      <c r="CC104" s="29">
        <f t="shared" si="85"/>
        <v>0</v>
      </c>
      <c r="CD104" s="29">
        <f t="shared" si="85"/>
        <v>0</v>
      </c>
      <c r="CE104" s="29">
        <f t="shared" si="85"/>
        <v>0</v>
      </c>
      <c r="CF104" s="29">
        <f t="shared" si="85"/>
        <v>0</v>
      </c>
      <c r="CG104" s="29">
        <f t="shared" si="85"/>
        <v>0</v>
      </c>
      <c r="CH104" s="29">
        <f t="shared" si="85"/>
        <v>0</v>
      </c>
      <c r="CI104" s="29">
        <f t="shared" si="85"/>
        <v>0</v>
      </c>
      <c r="CJ104" s="29">
        <f t="shared" si="85"/>
        <v>0</v>
      </c>
      <c r="CK104" s="29">
        <f t="shared" si="85"/>
        <v>0</v>
      </c>
      <c r="CL104" s="29">
        <f t="shared" si="85"/>
        <v>0</v>
      </c>
      <c r="CM104" s="29">
        <f t="shared" si="85"/>
        <v>0</v>
      </c>
      <c r="CN104" s="29">
        <f t="shared" si="85"/>
        <v>0</v>
      </c>
      <c r="CO104" s="29">
        <f t="shared" si="85"/>
        <v>0</v>
      </c>
      <c r="CP104" s="29">
        <f t="shared" si="85"/>
        <v>0</v>
      </c>
      <c r="CQ104" s="29">
        <f t="shared" si="85"/>
        <v>0</v>
      </c>
      <c r="CR104" s="29">
        <f t="shared" si="85"/>
        <v>0</v>
      </c>
      <c r="CS104" s="29">
        <f t="shared" si="85"/>
        <v>0</v>
      </c>
      <c r="CT104" s="29">
        <f t="shared" si="85"/>
        <v>0</v>
      </c>
      <c r="CU104" s="29">
        <f t="shared" si="85"/>
        <v>0</v>
      </c>
      <c r="CV104" s="29">
        <f t="shared" si="85"/>
        <v>0</v>
      </c>
      <c r="CW104" s="29">
        <f t="shared" si="85"/>
        <v>0</v>
      </c>
      <c r="CX104" s="29">
        <f t="shared" si="85"/>
        <v>0</v>
      </c>
      <c r="CY104" s="29">
        <f t="shared" si="85"/>
        <v>0</v>
      </c>
      <c r="CZ104" s="29">
        <f t="shared" si="85"/>
        <v>0</v>
      </c>
      <c r="DA104" s="29">
        <f t="shared" si="85"/>
        <v>0</v>
      </c>
      <c r="DB104" s="29">
        <f t="shared" si="85"/>
        <v>0</v>
      </c>
      <c r="DC104" s="29">
        <f t="shared" si="85"/>
        <v>0</v>
      </c>
      <c r="DD104" s="29">
        <f t="shared" si="85"/>
        <v>0</v>
      </c>
      <c r="DE104" s="29">
        <f t="shared" si="85"/>
        <v>0</v>
      </c>
      <c r="DF104" s="29">
        <f t="shared" si="85"/>
        <v>0</v>
      </c>
      <c r="DG104" s="29">
        <f t="shared" si="85"/>
        <v>0</v>
      </c>
      <c r="DH104" s="29">
        <f t="shared" si="85"/>
        <v>0</v>
      </c>
      <c r="DI104" s="29">
        <f t="shared" si="85"/>
        <v>0</v>
      </c>
      <c r="DJ104" s="29">
        <f t="shared" si="85"/>
        <v>0</v>
      </c>
      <c r="DK104" s="29">
        <f t="shared" si="85"/>
        <v>0</v>
      </c>
      <c r="DL104" s="29">
        <f t="shared" si="85"/>
        <v>0</v>
      </c>
      <c r="DM104" s="29">
        <f t="shared" si="85"/>
        <v>0</v>
      </c>
      <c r="DN104" s="29">
        <f t="shared" si="85"/>
        <v>0</v>
      </c>
      <c r="DO104" s="29">
        <f t="shared" si="85"/>
        <v>1</v>
      </c>
      <c r="DP104" s="29">
        <f t="shared" si="85"/>
        <v>6</v>
      </c>
    </row>
    <row r="105" ht="15.75" customHeight="1">
      <c r="A105" s="15" t="s">
        <v>50</v>
      </c>
      <c r="B105" s="16" t="s">
        <v>2802</v>
      </c>
      <c r="C105" s="17">
        <f>COUNTIFS('Prácticas_Revisiones'!$S$2:$S$282,"T089",'Prácticas_Revisiones'!$T$2:$T$282,"REQUIREMENTS &gt; Software Requirements Fundamentals")+COUNTIFS('Prácticas_Snowballing'!$AB$2:$AB$281,"T089",'Prácticas_Snowballing'!$AC$2:$AC$281,"REQUIREMENTS &gt; Software Requirements Fundamentals")</f>
        <v>0</v>
      </c>
      <c r="D105" s="17">
        <f>COUNTIFS('Prácticas_Revisiones'!$S$2:$S$282,"T089",'Prácticas_Revisiones'!$T$2:$T$282,"REQUIREMENTS &gt; Requirements Elicitation")+COUNTIFS('Prácticas_Snowballing'!$AB$2:$AB$281,"T089",'Prácticas_Snowballing'!$AC$2:$AC$281,"REQUIREMENTS &gt; Requirements Elicitation")</f>
        <v>0</v>
      </c>
      <c r="E105" s="17">
        <f>COUNTIFS('Prácticas_Revisiones'!$S$2:$S$282,"T089",'Prácticas_Revisiones'!$T$2:$T$282,"REQUIREMENTS &gt; Requirements Analysis")+COUNTIFS('Prácticas_Snowballing'!$AB$2:$AB$281,"T089",'Prácticas_Snowballing'!$AC$2:$AC$281,"REQUIREMENTS &gt; Requirements Analysis")</f>
        <v>0</v>
      </c>
      <c r="F105" s="17">
        <f>COUNTIFS('Prácticas_Revisiones'!$S$2:$S$282,"T089",'Prácticas_Revisiones'!$T$2:$T$282,"REQUIREMENTS &gt; Requirements Specification")+COUNTIFS('Prácticas_Snowballing'!$AB$2:$AB$281,"T089",'Prácticas_Snowballing'!$AC$2:$AC$281,"REQUIREMENTS &gt; Requirements Specification")</f>
        <v>0</v>
      </c>
      <c r="G105" s="17">
        <f>COUNTIFS('Prácticas_Revisiones'!$S$2:$S$282,"T089",'Prácticas_Revisiones'!$T$2:$T$282,"REQUIREMENTS &gt; Requirements Validation")+COUNTIFS('Prácticas_Snowballing'!$AB$2:$AB$281,"T089",'Prácticas_Snowballing'!$AC$2:$AC$281,"REQUIREMENTS &gt; Requirements Validation")</f>
        <v>0</v>
      </c>
      <c r="H105" s="17">
        <f>COUNTIFS('Prácticas_Revisiones'!$S$2:$S$282,"T089",'Prácticas_Revisiones'!$T$2:$T$282,"REQUIREMENTS &gt; Requirements Management Activities")+COUNTIFS('Prácticas_Snowballing'!$AB$2:$AB$281,"T089",'Prácticas_Snowballing'!$AC$2:$AC$281,"REQUIREMENTS &gt; Requirements Management Activities")</f>
        <v>0</v>
      </c>
      <c r="I105" s="17">
        <f>COUNTIFS('Prácticas_Revisiones'!$S$2:$S$282,"T089",'Prácticas_Revisiones'!$T$2:$T$282,"REQUIREMENTS &gt; Practical Considerations")+COUNTIFS('Prácticas_Snowballing'!$AB$2:$AB$281,"T089",'Prácticas_Snowballing'!$AC$2:$AC$281,"REQUIREMENTS &gt; Practical Considerations")</f>
        <v>0</v>
      </c>
      <c r="J105" s="17">
        <f>COUNTIFS('Prácticas_Revisiones'!$S$2:$S$282,"T089",'Prácticas_Revisiones'!$T$2:$T$282,"REQUIREMENTS &gt; Software Requirements Tools")+COUNTIFS('Prácticas_Snowballing'!$AB$2:$AB$281,"T089",'Prácticas_Snowballing'!$AC$2:$AC$281,"REQUIREMENTS &gt; Software Requirements Tools")</f>
        <v>0</v>
      </c>
      <c r="K105" s="17">
        <f>COUNTIFS('Prácticas_Revisiones'!$S$2:$S$282,"T089",'Prácticas_Revisiones'!$T$2:$T$282,"REQUIREMENTS &gt; Subárea no determinable")+COUNTIFS('Prácticas_Snowballing'!$AB$2:$AB$281,"T089",'Prácticas_Snowballing'!$AC$2:$AC$281,"REQUIREMENTS &gt; Subárea no determinable")</f>
        <v>0</v>
      </c>
      <c r="L105" s="29">
        <f t="shared" ref="L105:L117" si="86">SUM(C105:K105)</f>
        <v>0</v>
      </c>
      <c r="M105" s="17">
        <f>COUNTIFS('Prácticas_Revisiones'!$S$2:$S$282,"T089",'Prácticas_Revisiones'!$T$2:$T$282,"ARCHITECTURE &gt; Software Architecture Fundamentals")+COUNTIFS('Prácticas_Snowballing'!$AB$2:$AB$281,"T089",'Prácticas_Snowballing'!$AC$2:$AC$281,"ARCHITECTURE &gt; Software Architecture Fundamentals")</f>
        <v>0</v>
      </c>
      <c r="N105" s="17">
        <f>COUNTIFS('Prácticas_Revisiones'!$S$2:$S$282,"T089",'Prácticas_Revisiones'!$T$2:$T$282,"ARCHITECTURE &gt; Software Architecture Description")+COUNTIFS('Prácticas_Snowballing'!$AB$2:$AB$281,"T089",'Prácticas_Snowballing'!$AC$2:$AC$281,"ARCHITECTURE &gt; Software Architecture Description")</f>
        <v>0</v>
      </c>
      <c r="O105" s="17">
        <f>COUNTIFS('Prácticas_Revisiones'!$S$2:$S$282,"T089",'Prácticas_Revisiones'!$T$2:$T$282,"ARCHITECTURE &gt; Software Architecture Process")+COUNTIFS('Prácticas_Snowballing'!$AB$2:$AB$281,"T089",'Prácticas_Snowballing'!$AC$2:$AC$281,"ARCHITECTURE &gt; Software Architecture Process")</f>
        <v>0</v>
      </c>
      <c r="P105" s="17">
        <f>COUNTIFS('Prácticas_Revisiones'!$S$2:$S$282,"T089",'Prácticas_Revisiones'!$T$2:$T$282,"ARCHITECTURE &gt; Software Architecture Evaluation")+COUNTIFS('Prácticas_Snowballing'!$AB$2:$AB$281,"T089",'Prácticas_Snowballing'!$AC$2:$AC$281,"ARCHITECTURE &gt; Software Architecture Evaluation")</f>
        <v>0</v>
      </c>
      <c r="Q105" s="17">
        <f>COUNTIFS('Prácticas_Revisiones'!$S$2:$S$282,"T089",'Prácticas_Revisiones'!$T$2:$T$282,"ARCHITECTURE &gt; Subárea no determinable")+COUNTIFS('Prácticas_Snowballing'!$AB$2:$AB$281,"T089",'Prácticas_Snowballing'!$AC$2:$AC$281,"ARCHITECTURE &gt; Subárea no determinable")</f>
        <v>0</v>
      </c>
      <c r="R105" s="29">
        <f t="shared" ref="R105:R117" si="87">SUM(M105:Q105)</f>
        <v>0</v>
      </c>
      <c r="S105" s="17">
        <f>COUNTIFS('Prácticas_Revisiones'!$S$2:$S$282,"T089",'Prácticas_Revisiones'!$T$2:$T$282,"DESIGN &gt; Software Design Fundamentals")+COUNTIFS('Prácticas_Snowballing'!$AB$2:$AB$281,"T089",'Prácticas_Snowballing'!$AC$2:$AC$281,"DESIGN &gt; Software Design Fundamentals")</f>
        <v>0</v>
      </c>
      <c r="T105" s="17">
        <f>COUNTIFS('Prácticas_Revisiones'!$S$2:$S$282,"T089",'Prácticas_Revisiones'!$T$2:$T$282,"DESIGN &gt; Software Design Processes")+COUNTIFS('Prácticas_Snowballing'!$AB$2:$AB$281,"T089",'Prácticas_Snowballing'!$AC$2:$AC$281,"DESIGN &gt; Software Design Processes")</f>
        <v>0</v>
      </c>
      <c r="U105" s="17">
        <f>COUNTIFS('Prácticas_Revisiones'!$S$2:$S$282,"T089",'Prácticas_Revisiones'!$T$2:$T$282,"DESIGN &gt; Software Design Qualities")+COUNTIFS('Prácticas_Snowballing'!$AB$2:$AB$281,"T089",'Prácticas_Snowballing'!$AC$2:$AC$281,"DESIGN &gt; Software Design Qualities")</f>
        <v>0</v>
      </c>
      <c r="V105" s="17">
        <f>COUNTIFS('Prácticas_Revisiones'!$S$2:$S$282,"T089",'Prácticas_Revisiones'!$T$2:$T$282,"DESIGN &gt; Recording Software Design")+COUNTIFS('Prácticas_Snowballing'!$AB$2:$AB$281,"T089",'Prácticas_Snowballing'!$AC$2:$AC$281,"DESIGN &gt; Recording Software Design")</f>
        <v>0</v>
      </c>
      <c r="W105" s="17">
        <f>COUNTIFS('Prácticas_Revisiones'!$S$2:$S$282,"T089",'Prácticas_Revisiones'!$T$2:$T$282,"DESIGN &gt; Software Design Strategies and Methods")+COUNTIFS('Prácticas_Snowballing'!$AB$2:$AB$281,"T089",'Prácticas_Snowballing'!$AC$2:$AC$281,"DESIGN &gt; Software Design Strategies and Methods")</f>
        <v>0</v>
      </c>
      <c r="X105" s="17">
        <f>COUNTIFS('Prácticas_Revisiones'!$S$2:$S$282,"T089",'Prácticas_Revisiones'!$T$2:$T$282,"DESIGN &gt; Software Design Analysis and Evaluations")+COUNTIFS('Prácticas_Snowballing'!$AB$2:$AB$281,"T089",'Prácticas_Snowballing'!$AC$2:$AC$281,"DESIGN &gt; Software Design Analysis and Evaluations")</f>
        <v>0</v>
      </c>
      <c r="Y105" s="17">
        <f>COUNTIFS('Prácticas_Revisiones'!$S$2:$S$282,"T089",'Prácticas_Revisiones'!$T$2:$T$282,"DESIGN &gt; Subárea no determinable")+COUNTIFS('Prácticas_Snowballing'!$AB$2:$AB$281,"T089",'Prácticas_Snowballing'!$AC$2:$AC$281,"DESIGN &gt; Subárea no determinable")</f>
        <v>0</v>
      </c>
      <c r="Z105" s="29">
        <f t="shared" ref="Z105:Z117" si="88">SUM(S105:Y105)</f>
        <v>0</v>
      </c>
      <c r="AA105" s="17">
        <f>COUNTIFS('Prácticas_Revisiones'!$S$2:$S$282,"T089",'Prácticas_Revisiones'!$T$2:$T$282,"CONSTRUCTION &gt; Software Construction Fundamentals")+COUNTIFS('Prácticas_Snowballing'!$AB$2:$AB$281,"T089",'Prácticas_Snowballing'!$AC$2:$AC$281,"CONSTRUCTION &gt; Software Construction Fundamentals")</f>
        <v>0</v>
      </c>
      <c r="AB105" s="17">
        <f>COUNTIFS('Prácticas_Revisiones'!$S$2:$S$282,"T089",'Prácticas_Revisiones'!$T$2:$T$282,"CONSTRUCTION &gt; Managing Construction")+COUNTIFS('Prácticas_Snowballing'!$AB$2:$AB$281,"T089",'Prácticas_Snowballing'!$AC$2:$AC$281,"CONSTRUCTION &gt; Managing Construction")</f>
        <v>0</v>
      </c>
      <c r="AC105" s="17">
        <f>COUNTIFS('Prácticas_Revisiones'!$S$2:$S$282,"T089",'Prácticas_Revisiones'!$T$2:$T$282,"CONSTRUCTION &gt; Practical Considerations")+COUNTIFS('Prácticas_Snowballing'!$AB$2:$AB$281,"T089",'Prácticas_Snowballing'!$AC$2:$AC$281,"CONSTRUCTION &gt; Practical Considerations")</f>
        <v>0</v>
      </c>
      <c r="AD105" s="17">
        <f>COUNTIFS('Prácticas_Revisiones'!$S$2:$S$282,"T089",'Prácticas_Revisiones'!$T$2:$T$282,"CONSTRUCTION &gt; Construction Technologies")+COUNTIFS('Prácticas_Snowballing'!$AB$2:$AB$281,"T089",'Prácticas_Snowballing'!$AC$2:$AC$281,"CONSTRUCTION &gt; Construction Technologies")</f>
        <v>0</v>
      </c>
      <c r="AE105" s="17">
        <f>COUNTIFS('Prácticas_Revisiones'!$S$2:$S$282,"T089",'Prácticas_Revisiones'!$T$2:$T$282,"CONSTRUCTION &gt; Software Construction Tools")+COUNTIFS('Prácticas_Snowballing'!$AB$2:$AB$281,"T089",'Prácticas_Snowballing'!$AC$2:$AC$281,"CONSTRUCTION &gt; Software Construction Tools")</f>
        <v>0</v>
      </c>
      <c r="AF105" s="17">
        <f>COUNTIFS('Prácticas_Revisiones'!$S$2:$S$282,"T089",'Prácticas_Revisiones'!$T$2:$T$282,"CONSTRUCTION &gt; Subárea no determinable")+COUNTIFS('Prácticas_Snowballing'!$AB$2:$AB$281,"T089",'Prácticas_Snowballing'!$AC$2:$AC$281,"CONSTRUCTION &gt; Subárea no determinable")</f>
        <v>0</v>
      </c>
      <c r="AG105" s="29">
        <f t="shared" ref="AG105:AG117" si="89">SUM(AA105:AF105)</f>
        <v>0</v>
      </c>
      <c r="AH105" s="17">
        <f>COUNTIFS('Prácticas_Revisiones'!$S$2:$S$282,"T089",'Prácticas_Revisiones'!$T$2:$T$282,"SOFTWARE TESTING &gt; Software Testing Fundamentals")+COUNTIFS('Prácticas_Snowballing'!$AB$2:$AB$281,"T089",'Prácticas_Snowballing'!$AC$2:$AC$281,"SOFTWARE TESTING &gt; Software Testing Fundamentals")</f>
        <v>0</v>
      </c>
      <c r="AI105" s="17">
        <f>COUNTIFS('Prácticas_Revisiones'!$S$2:$S$282,"T089",'Prácticas_Revisiones'!$T$2:$T$282,"SOFTWARE TESTING &gt; Test Levels")+COUNTIFS('Prácticas_Snowballing'!$AB$2:$AB$281,"T089",'Prácticas_Snowballing'!$AC$2:$AC$281,"SOFTWARE TESTING &gt; Test Levels")</f>
        <v>0</v>
      </c>
      <c r="AJ105" s="17">
        <f>COUNTIFS('Prácticas_Revisiones'!$S$2:$S$282,"T089",'Prácticas_Revisiones'!$T$2:$T$282,"SOFTWARE TESTING &gt; Test Techniques")+COUNTIFS('Prácticas_Snowballing'!$AB$2:$AB$281,"T089",'Prácticas_Snowballing'!$AC$2:$AC$281,"SOFTWARE TESTING &gt; Test Techniques")</f>
        <v>0</v>
      </c>
      <c r="AK105" s="17">
        <f>COUNTIFS('Prácticas_Revisiones'!$S$2:$S$282,"T089",'Prácticas_Revisiones'!$T$2:$T$282,"SOFTWARE TESTING &gt; Test-Related Measures")+COUNTIFS('Prácticas_Snowballing'!$AB$2:$AB$281,"T089",'Prácticas_Snowballing'!$AC$2:$AC$281,"SOFTWARE TESTING &gt; Test-Related Measures")</f>
        <v>0</v>
      </c>
      <c r="AL105" s="17">
        <f>COUNTIFS('Prácticas_Revisiones'!$S$2:$S$282,"T089",'Prácticas_Revisiones'!$T$2:$T$282,"SOFTWARE TESTING &gt; Test Process")+COUNTIFS('Prácticas_Snowballing'!$AB$2:$AB$281,"T089",'Prácticas_Snowballing'!$AC$2:$AC$281,"SOFTWARE TESTING &gt; Test Process")</f>
        <v>0</v>
      </c>
      <c r="AM105" s="17">
        <f>COUNTIFS('Prácticas_Revisiones'!$S$2:$S$282,"T089",'Prácticas_Revisiones'!$T$2:$T$282,"SOFTWARE TESTING &gt; Software Testing in the Development Processes...")+COUNTIFS('Prácticas_Snowballing'!$AB$2:$AB$281,"T089",'Prácticas_Snowballing'!$AC$2:$AC$281,"SOFTWARE TESTING &gt; Software Testing in the Development Processes...")</f>
        <v>0</v>
      </c>
      <c r="AN105" s="17">
        <f>COUNTIFS('Prácticas_Revisiones'!$S$2:$S$282,"T089",'Prácticas_Revisiones'!$T$2:$T$282,"SOFTWARE TESTING &gt; Testing of and Testing Through Emerging Tech...")+COUNTIFS('Prácticas_Snowballing'!$AB$2:$AB$281,"T089",'Prácticas_Snowballing'!$AC$2:$AC$281,"SOFTWARE TESTING &gt; Testing of and Testing Through Emerging Tech...")</f>
        <v>0</v>
      </c>
      <c r="AO105" s="17">
        <f>COUNTIFS('Prácticas_Revisiones'!$S$2:$S$282,"T089",'Prácticas_Revisiones'!$T$2:$T$282,"SOFTWARE TESTING &gt; Software Testing Tools")+COUNTIFS('Prácticas_Snowballing'!$AB$2:$AB$281,"T089",'Prácticas_Snowballing'!$AC$2:$AC$281,"SOFTWARE TESTING &gt; Software Testing Tools")</f>
        <v>0</v>
      </c>
      <c r="AP105" s="17">
        <f>COUNTIFS('Prácticas_Revisiones'!$S$2:$S$282,"T089",'Prácticas_Revisiones'!$T$2:$T$282,"SOFTWARE TESTING &gt; Subárea no determinable")+COUNTIFS('Prácticas_Snowballing'!$AB$2:$AB$281,"T089",'Prácticas_Snowballing'!$AC$2:$AC$281,"SOFTWARE TESTING &gt; Subárea no determinable")</f>
        <v>0</v>
      </c>
      <c r="AQ105" s="29">
        <f t="shared" ref="AQ105:AQ117" si="90">SUM(AH105:AP105)</f>
        <v>0</v>
      </c>
      <c r="AR105" s="17">
        <f>COUNTIFS('Prácticas_Revisiones'!$S$2:$S$282,"T089",'Prácticas_Revisiones'!$T$2:$T$282,"SOFTWARE ENG. OPERATIONS &gt; Software Engineering Operations Fundamentals")+COUNTIFS('Prácticas_Snowballing'!$AB$2:$AB$281,"T089",'Prácticas_Snowballing'!$AC$2:$AC$281,"SOFTWARE ENG. OPERATIONS &gt; Software Engineering Operations Fundamentals")</f>
        <v>0</v>
      </c>
      <c r="AS105" s="17">
        <f>COUNTIFS('Prácticas_Revisiones'!$S$2:$S$282,"T089",'Prácticas_Revisiones'!$T$2:$T$282,"SOFTWARE ENG. OPERATIONS &gt; Software Engineering Operations Planning")+COUNTIFS('Prácticas_Snowballing'!$AB$2:$AB$281,"T089",'Prácticas_Snowballing'!$AC$2:$AC$281,"SOFTWARE ENG. OPERATIONS &gt; Software Engineering Operations Planning")</f>
        <v>0</v>
      </c>
      <c r="AT105" s="17">
        <f>COUNTIFS('Prácticas_Revisiones'!$S$2:$S$282,"T089",'Prácticas_Revisiones'!$T$2:$T$282,"SOFTWARE ENG. OPERATIONS &gt; Software Engineering Operations Delivery")+COUNTIFS('Prácticas_Snowballing'!$AB$2:$AB$281,"T089",'Prácticas_Snowballing'!$AC$2:$AC$281,"SOFTWARE ENG. OPERATIONS &gt; Software Engineering Operations Delivery")</f>
        <v>0</v>
      </c>
      <c r="AU105" s="17">
        <f>COUNTIFS('Prácticas_Revisiones'!$S$2:$S$282,"T089",'Prácticas_Revisiones'!$T$2:$T$282,"SOFTWARE ENG. OPERATIONS &gt; Software Engineering Operations Control")+COUNTIFS('Prácticas_Snowballing'!$AB$2:$AB$281,"T089",'Prácticas_Snowballing'!$AC$2:$AC$281,"SOFTWARE ENG. OPERATIONS &gt; Software Engineering Operations Control")</f>
        <v>0</v>
      </c>
      <c r="AV105" s="17">
        <f>COUNTIFS('Prácticas_Revisiones'!$S$2:$S$282,"T089",'Prácticas_Revisiones'!$T$2:$T$282,"SOFTWARE ENG. OPERATIONS &gt; Practical Considerations")+COUNTIFS('Prácticas_Snowballing'!$AB$2:$AB$281,"T089",'Prácticas_Snowballing'!$AC$2:$AC$281,"SOFTWARE ENG. OPERATIONS &gt; Practical Considerations")</f>
        <v>0</v>
      </c>
      <c r="AW105" s="17">
        <f>COUNTIFS('Prácticas_Revisiones'!$S$2:$S$282,"T089",'Prácticas_Revisiones'!$T$2:$T$282,"SOFTWARE ENG. OPERATIONS &gt; Software Engineering Operations Tools")+COUNTIFS('Prácticas_Snowballing'!$AB$2:$AB$281,"T089",'Prácticas_Snowballing'!$AC$2:$AC$281,"SOFTWARE ENG. OPERATIONS &gt; Software Engineering Operations Tools")</f>
        <v>0</v>
      </c>
      <c r="AX105" s="17">
        <f>COUNTIFS('Prácticas_Revisiones'!$S$2:$S$282,"T089",'Prácticas_Revisiones'!$T$2:$T$282,"SOFTWARE ENG. OPERATIONS &gt; Subárea no determinable")+COUNTIFS('Prácticas_Snowballing'!$AB$2:$AB$281,"T089",'Prácticas_Snowballing'!$AC$2:$AC$281,"SOFTWARE ENG. OPERATIONS &gt; Subárea no determinable")</f>
        <v>0</v>
      </c>
      <c r="AY105" s="29">
        <f t="shared" ref="AY105:AY117" si="91">SUM(AR105:AX105)</f>
        <v>0</v>
      </c>
      <c r="AZ105" s="17">
        <f>COUNTIFS('Prácticas_Revisiones'!$S$2:$S$282,"T089",'Prácticas_Revisiones'!$T$2:$T$282,"MAINTENANCE &gt; Software Maintenance Fundamentals")+COUNTIFS('Prácticas_Snowballing'!$AB$2:$AB$281,"T089",'Prácticas_Snowballing'!$AC$2:$AC$281,"MAINTENANCE &gt; Software Maintenance Fundamentals")</f>
        <v>0</v>
      </c>
      <c r="BA105" s="17">
        <f>COUNTIFS('Prácticas_Revisiones'!$S$2:$S$282,"T089",'Prácticas_Revisiones'!$T$2:$T$282,"MAINTENANCE &gt; Key Issues in Software Maintenance")+COUNTIFS('Prácticas_Snowballing'!$AB$2:$AB$281,"T089",'Prácticas_Snowballing'!$AC$2:$AC$281,"MAINTENANCE &gt; Key Issues in Software Maintenance")</f>
        <v>0</v>
      </c>
      <c r="BB105" s="17">
        <f>COUNTIFS('Prácticas_Revisiones'!$S$2:$S$282,"T089",'Prácticas_Revisiones'!$T$2:$T$282,"MAINTENANCE &gt; Software Maintenance Processes")+COUNTIFS('Prácticas_Snowballing'!$AB$2:$AB$281,"T089",'Prácticas_Snowballing'!$AC$2:$AC$281,"MAINTENANCE &gt; Software Maintenance Processes")</f>
        <v>0</v>
      </c>
      <c r="BC105" s="17">
        <f>COUNTIFS('Prácticas_Revisiones'!$S$2:$S$282,"T089",'Prácticas_Revisiones'!$T$2:$T$282,"MAINTENANCE &gt; Software Maintenance Techniques")+COUNTIFS('Prácticas_Snowballing'!$AB$2:$AB$281,"T089",'Prácticas_Snowballing'!$AC$2:$AC$281,"MAINTENANCE &gt; Software Maintenance Techniques")</f>
        <v>0</v>
      </c>
      <c r="BD105" s="17">
        <f>COUNTIFS('Prácticas_Revisiones'!$S$2:$S$282,"T089",'Prácticas_Revisiones'!$T$2:$T$282,"MAINTENANCE &gt; Software Maintenance Tools")+COUNTIFS('Prácticas_Snowballing'!$AB$2:$AB$281,"T089",'Prácticas_Snowballing'!$AC$2:$AC$281,"MAINTENANCE &gt; Software Maintenance Tools")</f>
        <v>0</v>
      </c>
      <c r="BE105" s="17">
        <f>COUNTIFS('Prácticas_Revisiones'!$S$2:$S$282,"T089",'Prácticas_Revisiones'!$T$2:$T$282,"MAINTENANCE &gt; Subárea no determinable")+COUNTIFS('Prácticas_Snowballing'!$AB$2:$AB$281,"T089",'Prácticas_Snowballing'!$AC$2:$AC$281,"MAINTENANCE &gt; Subárea no determinable")</f>
        <v>0</v>
      </c>
      <c r="BF105" s="29">
        <f t="shared" ref="BF105:BF117" si="92">SUM(AZ105:BE105)</f>
        <v>0</v>
      </c>
      <c r="BG105" s="17">
        <f>COUNTIFS('Prácticas_Revisiones'!$S$2:$S$282,"T089",'Prácticas_Revisiones'!$T$2:$T$282,"SOFTWARE CONFIG. MGMT. &gt; Management of the SCM Process")+COUNTIFS('Prácticas_Snowballing'!$AB$2:$AB$281,"T089",'Prácticas_Snowballing'!$AC$2:$AC$281,"SOFTWARE CONFIG. MGMT. &gt; Management of the SCM Process")</f>
        <v>0</v>
      </c>
      <c r="BH105" s="17">
        <f>COUNTIFS('Prácticas_Revisiones'!$S$2:$S$282,"T089",'Prácticas_Revisiones'!$T$2:$T$282,"SOFTWARE CONFIG. MGMT. &gt; Software Configuration Identification")+COUNTIFS('Prácticas_Snowballing'!$AB$2:$AB$281,"T089",'Prácticas_Snowballing'!$AC$2:$AC$281,"SOFTWARE CONFIG. MGMT. &gt; Software Configuration Identification")</f>
        <v>0</v>
      </c>
      <c r="BI105" s="17">
        <f>COUNTIFS('Prácticas_Revisiones'!$S$2:$S$282,"T089",'Prácticas_Revisiones'!$T$2:$T$282,"SOFTWARE CONFIG. MGMT. &gt; Software Configuration Change Control")+COUNTIFS('Prácticas_Snowballing'!$AB$2:$AB$281,"T089",'Prácticas_Snowballing'!$AC$2:$AC$281,"SOFTWARE CONFIG. MGMT. &gt; Software Configuration Change Control")</f>
        <v>0</v>
      </c>
      <c r="BJ105" s="17">
        <f>COUNTIFS('Prácticas_Revisiones'!$S$2:$S$282,"T089",'Prácticas_Revisiones'!$T$2:$T$282,"SOFTWARE CONFIG. MGMT. &gt; Software Configuration Status Accounting")+COUNTIFS('Prácticas_Snowballing'!$AB$2:$AB$281,"T089",'Prácticas_Snowballing'!$AC$2:$AC$281,"SOFTWARE CONFIG. MGMT. &gt; Software Configuration Status Accounting")</f>
        <v>0</v>
      </c>
      <c r="BK105" s="17">
        <f>COUNTIFS('Prácticas_Revisiones'!$S$2:$S$282,"T089",'Prácticas_Revisiones'!$T$2:$T$282,"SOFTWARE CONFIG. MGMT. &gt; Software Configuration Auditing")+COUNTIFS('Prácticas_Snowballing'!$AB$2:$AB$281,"T089",'Prácticas_Snowballing'!$AC$2:$AC$281,"SOFTWARE CONFIG. MGMT. &gt; Software Configuration Auditing")</f>
        <v>0</v>
      </c>
      <c r="BL105" s="17">
        <f>COUNTIFS('Prácticas_Revisiones'!$S$2:$S$282,"T089",'Prácticas_Revisiones'!$T$2:$T$282,"SOFTWARE CONFIG. MGMT. &gt; Software Release Management and Delivery")+COUNTIFS('Prácticas_Snowballing'!$AB$2:$AB$281,"T089",'Prácticas_Snowballing'!$AC$2:$AC$281,"SOFTWARE CONFIG. MGMT. &gt; Software Release Management and Delivery")</f>
        <v>0</v>
      </c>
      <c r="BM105" s="17">
        <f>COUNTIFS('Prácticas_Revisiones'!$S$2:$S$282,"T089",'Prácticas_Revisiones'!$T$2:$T$282,"SOFTWARE CONFIG. MGMT. &gt; Software Configuration Management Tools")+COUNTIFS('Prácticas_Snowballing'!$AB$2:$AB$281,"T089",'Prácticas_Snowballing'!$AC$2:$AC$281,"SOFTWARE CONFIG. MGMT. &gt; Software Configuration Management Tools")</f>
        <v>0</v>
      </c>
      <c r="BN105" s="17">
        <f>COUNTIFS('Prácticas_Revisiones'!$S$2:$S$282,"T089",'Prácticas_Revisiones'!$T$2:$T$282,"SOFTWARE CONFIG. MGMT. &gt; Subárea no determinable")+COUNTIFS('Prácticas_Snowballing'!$AB$2:$AB$281,"T089",'Prácticas_Snowballing'!$AC$2:$AC$281,"SOFTWARE CONFIG. MGMT. &gt; Subárea no determinable")</f>
        <v>0</v>
      </c>
      <c r="BO105" s="29">
        <f t="shared" ref="BO105:BO117" si="93">SUM(BG105:BN105)</f>
        <v>0</v>
      </c>
      <c r="BP105" s="17">
        <f>COUNTIFS('Prácticas_Revisiones'!$S$2:$S$282,"T089",'Prácticas_Revisiones'!$T$2:$T$282,"SOFTWARE ENG. PROCESS &gt; Software Engineering Process Fundamentals")+COUNTIFS('Prácticas_Snowballing'!$AB$2:$AB$281,"T089",'Prácticas_Snowballing'!$AC$2:$AC$281,"SOFTWARE ENG. PROCESS &gt; Software Engineering Process Fundamentals")</f>
        <v>0</v>
      </c>
      <c r="BQ105" s="17">
        <f>COUNTIFS('Prácticas_Revisiones'!$S$2:$S$282,"T089",'Prácticas_Revisiones'!$T$2:$T$282,"SOFTWARE ENG. PROCESS &gt; Life Cycles")+COUNTIFS('Prácticas_Snowballing'!$AB$2:$AB$281,"T089",'Prácticas_Snowballing'!$AC$2:$AC$281,"SOFTWARE ENG. PROCESS &gt; Life Cycles")</f>
        <v>0</v>
      </c>
      <c r="BR105" s="17">
        <f>COUNTIFS('Prácticas_Revisiones'!$S$2:$S$282,"T089",'Prácticas_Revisiones'!$T$2:$T$282,"SOFTWARE ENG. PROCESS &gt; Software Process Assessment and Improvement")+COUNTIFS('Prácticas_Snowballing'!$AB$2:$AB$281,"T089",'Prácticas_Snowballing'!$AC$2:$AC$281,"SOFTWARE ENG. PROCESS &gt; Software Process Assessment and Improvement")</f>
        <v>0</v>
      </c>
      <c r="BS105" s="17">
        <f>COUNTIFS('Prácticas_Revisiones'!$S$2:$S$282,"T089",'Prácticas_Revisiones'!$T$2:$T$282,"SOFTWARE ENG. PROCESS &gt; Subárea no determinable")+COUNTIFS('Prácticas_Snowballing'!$AB$2:$AB$281,"T089",'Prácticas_Snowballing'!$AC$2:$AC$281,"SOFTWARE ENG. PROCESS &gt; Subárea no determinable")</f>
        <v>0</v>
      </c>
      <c r="BT105" s="29">
        <f t="shared" ref="BT105:BT117" si="94">SUM(BP105:BS105)</f>
        <v>0</v>
      </c>
      <c r="BU105" s="17">
        <f>COUNTIFS('Prácticas_Revisiones'!$S$2:$S$282,"T089",'Prácticas_Revisiones'!$T$2:$T$282,"SOFTWARE ENG. MODELS/METH. &gt; Modeling")+COUNTIFS('Prácticas_Snowballing'!$AB$2:$AB$281,"T089",'Prácticas_Snowballing'!$AC$2:$AC$281,"SOFTWARE ENG. MODELS/METH. &gt; Modeling")</f>
        <v>0</v>
      </c>
      <c r="BV105" s="17">
        <f>COUNTIFS('Prácticas_Revisiones'!$S$2:$S$282,"T089",'Prácticas_Revisiones'!$T$2:$T$282,"SOFTWARE ENG. MODELS/METH. &gt; Types of Models")+COUNTIFS('Prácticas_Snowballing'!$AB$2:$AB$281,"T089",'Prácticas_Snowballing'!$AC$2:$AC$281,"SOFTWARE ENG. MODELS/METH. &gt; Types of Models")</f>
        <v>0</v>
      </c>
      <c r="BW105" s="17">
        <f>COUNTIFS('Prácticas_Revisiones'!$S$2:$S$282,"T089",'Prácticas_Revisiones'!$T$2:$T$282,"SOFTWARE ENG. MODELS/METH. &gt; Analysis of Models")+COUNTIFS('Prácticas_Snowballing'!$AB$2:$AB$281,"T089",'Prácticas_Snowballing'!$AC$2:$AC$281,"SOFTWARE ENG. MODELS/METH. &gt; Analysis of Models")</f>
        <v>0</v>
      </c>
      <c r="BX105" s="17">
        <f>COUNTIFS('Prácticas_Revisiones'!$S$2:$S$282,"T089",'Prácticas_Revisiones'!$T$2:$T$282,"SOFTWARE ENG. MODELS/METH. &gt; Software Engineering Methods")+COUNTIFS('Prácticas_Snowballing'!$AB$2:$AB$281,"T089",'Prácticas_Snowballing'!$AC$2:$AC$281,"SOFTWARE ENG. MODELS/METH. &gt; Software Engineering Methods")</f>
        <v>0</v>
      </c>
      <c r="BY105" s="17">
        <f>COUNTIFS('Prácticas_Revisiones'!$S$2:$S$282,"T089",'Prácticas_Revisiones'!$T$2:$T$282,"SOFTWARE ENG. MODELS/METH. &gt; Subárea no determinable")+COUNTIFS('Prácticas_Snowballing'!$AB$2:$AB$281,"T089",'Prácticas_Snowballing'!$AC$2:$AC$281,"SOFTWARE ENG. MODELS/METH. &gt; Subárea no determinable")</f>
        <v>0</v>
      </c>
      <c r="BZ105" s="29">
        <f t="shared" ref="BZ105:BZ117" si="95">SUM(BU105:BY105)</f>
        <v>0</v>
      </c>
      <c r="CA105" s="17">
        <f>COUNTIFS('Prácticas_Revisiones'!$S$2:$S$282,"T089",'Prácticas_Revisiones'!$T$2:$T$282,"SOFTWARE QUALITY &gt; Software Quality Fundamentals")+COUNTIFS('Prácticas_Snowballing'!$AB$2:$AB$281,"T089",'Prácticas_Snowballing'!$AC$2:$AC$281,"SOFTWARE QUALITY &gt; Software Quality Fundamentals")</f>
        <v>0</v>
      </c>
      <c r="CB105" s="17">
        <f>COUNTIFS('Prácticas_Revisiones'!$S$2:$S$282,"T089",'Prácticas_Revisiones'!$T$2:$T$282,"SOFTWARE QUALITY &gt; Software Quality Management Process")+COUNTIFS('Prácticas_Snowballing'!$AB$2:$AB$281,"T089",'Prácticas_Snowballing'!$AC$2:$AC$281,"SOFTWARE QUALITY &gt; Software Quality Management Process")</f>
        <v>0</v>
      </c>
      <c r="CC105" s="17">
        <f>COUNTIFS('Prácticas_Revisiones'!$S$2:$S$282,"T089",'Prácticas_Revisiones'!$T$2:$T$282,"SOFTWARE QUALITY &gt; Software Quality Assurance Process")+COUNTIFS('Prácticas_Snowballing'!$AB$2:$AB$281,"T089",'Prácticas_Snowballing'!$AC$2:$AC$281,"SOFTWARE QUALITY &gt; Software Quality Assurance Process")</f>
        <v>0</v>
      </c>
      <c r="CD105" s="17">
        <f>COUNTIFS('Prácticas_Revisiones'!$S$2:$S$282,"T089",'Prácticas_Revisiones'!$T$2:$T$282,"SOFTWARE QUALITY &gt; Software Quality Tools")+COUNTIFS('Prácticas_Snowballing'!$AB$2:$AB$281,"T089",'Prácticas_Snowballing'!$AC$2:$AC$281,"SOFTWARE QUALITY &gt; Software Quality Tools")</f>
        <v>0</v>
      </c>
      <c r="CE105" s="17">
        <f>COUNTIFS('Prácticas_Revisiones'!$S$2:$S$282,"T089",'Prácticas_Revisiones'!$T$2:$T$282,"SOFTWARE QUALITY &gt; Subárea no determinable")+COUNTIFS('Prácticas_Snowballing'!$AB$2:$AB$281,"T089",'Prácticas_Snowballing'!$AC$2:$AC$281,"SOFTWARE QUALITY &gt; Subárea no determinable")</f>
        <v>0</v>
      </c>
      <c r="CF105" s="29">
        <f t="shared" ref="CF105:CF117" si="96">SUM(CA105:CE105)</f>
        <v>0</v>
      </c>
      <c r="CG105" s="17">
        <f>COUNTIFS('Prácticas_Revisiones'!$S$2:$S$282,"T089",'Prácticas_Revisiones'!$T$2:$T$282,"SOFTWARE SECURITY &gt; Software Security Fundamentals")+COUNTIFS('Prácticas_Snowballing'!$AB$2:$AB$281,"T089",'Prácticas_Snowballing'!$AC$2:$AC$281,"SOFTWARE SECURITY &gt; Software Security Fundamentals")</f>
        <v>0</v>
      </c>
      <c r="CH105" s="17">
        <f>COUNTIFS('Prácticas_Revisiones'!$S$2:$S$282,"T089",'Prácticas_Revisiones'!$T$2:$T$282,"SOFTWARE SECURITY &gt; Security Management and Organization")+COUNTIFS('Prácticas_Snowballing'!$AB$2:$AB$281,"T089",'Prácticas_Snowballing'!$AC$2:$AC$281,"SOFTWARE SECURITY &gt; Security Management and Organization")</f>
        <v>0</v>
      </c>
      <c r="CI105" s="17">
        <f>COUNTIFS('Prácticas_Revisiones'!$S$2:$S$282,"T089",'Prácticas_Revisiones'!$T$2:$T$282,"SOFTWARE SECURITY &gt; Software Security Engineering and Process")+COUNTIFS('Prácticas_Snowballing'!$AB$2:$AB$281,"T089",'Prácticas_Snowballing'!$AC$2:$AC$281,"SOFTWARE SECURITY &gt; Software Security Engineering and Process")</f>
        <v>0</v>
      </c>
      <c r="CJ105" s="17">
        <f>COUNTIFS('Prácticas_Revisiones'!$S$2:$S$282,"T089",'Prácticas_Revisiones'!$T$2:$T$282,"SOFTWARE SECURITY &gt; Security Engineering for Software Systems")+COUNTIFS('Prácticas_Snowballing'!$AB$2:$AB$281,"T089",'Prácticas_Snowballing'!$AC$2:$AC$281,"SOFTWARE SECURITY &gt; Security Engineering for Software Systems")</f>
        <v>0</v>
      </c>
      <c r="CK105" s="17">
        <f>COUNTIFS('Prácticas_Revisiones'!$S$2:$S$282,"T089",'Prácticas_Revisiones'!$T$2:$T$282,"SOFTWARE SECURITY &gt; Software Security Tools")+COUNTIFS('Prácticas_Snowballing'!$AB$2:$AB$281,"T089",'Prácticas_Snowballing'!$AC$2:$AC$281,"SOFTWARE SECURITY &gt; Software Security Tools")</f>
        <v>0</v>
      </c>
      <c r="CL105" s="17">
        <f>COUNTIFS('Prácticas_Revisiones'!$S$2:$S$282,"T089",'Prácticas_Revisiones'!$T$2:$T$282,"SOFTWARE SECURITY &gt; Domain Specific Software Security")+COUNTIFS('Prácticas_Snowballing'!$AB$2:$AB$281,"T089",'Prácticas_Snowballing'!$AC$2:$AC$281,"SOFTWARE SECURITY &gt; Domain Specific Software Security")</f>
        <v>0</v>
      </c>
      <c r="CM105" s="17">
        <f>COUNTIFS('Prácticas_Revisiones'!$S$2:$S$282,"T089",'Prácticas_Revisiones'!$T$2:$T$282,"SOFTWARE SECURITY &gt; Subárea no determinable")+COUNTIFS('Prácticas_Snowballing'!$AB$2:$AB$281,"T089",'Prácticas_Snowballing'!$AC$2:$AC$281,"SOFTWARE SECURITY &gt; Subárea no determinable")</f>
        <v>0</v>
      </c>
      <c r="CN105" s="29">
        <f t="shared" ref="CN105:CN117" si="97">SUM(CG105:CM105)</f>
        <v>0</v>
      </c>
      <c r="CO105" s="17">
        <f>COUNTIFS('Prácticas_Revisiones'!$S$2:$S$282,"T089",'Prácticas_Revisiones'!$T$2:$T$282,"PROFESSIONAL PRACTICE &gt; Professionalism")+COUNTIFS('Prácticas_Snowballing'!$AB$2:$AB$281,"T089",'Prácticas_Snowballing'!$AC$2:$AC$281,"PROFESSIONAL PRACTICE &gt; Professionalism")</f>
        <v>0</v>
      </c>
      <c r="CP105" s="17">
        <f>COUNTIFS('Prácticas_Revisiones'!$S$2:$S$282,"T089",'Prácticas_Revisiones'!$T$2:$T$282,"PROFESSIONAL PRACTICE &gt; Group Dynamics and Psychology")+COUNTIFS('Prácticas_Snowballing'!$AB$2:$AB$281,"T089",'Prácticas_Snowballing'!$AC$2:$AC$281,"PROFESSIONAL PRACTICE &gt; Group Dynamics and Psychology")</f>
        <v>0</v>
      </c>
      <c r="CQ105" s="17">
        <f>COUNTIFS('Prácticas_Revisiones'!$S$2:$S$282,"T089",'Prácticas_Revisiones'!$T$2:$T$282,"PROFESSIONAL PRACTICE &gt; Communication Skills")+COUNTIFS('Prácticas_Snowballing'!$AB$2:$AB$281,"T089",'Prácticas_Snowballing'!$AC$2:$AC$281,"PROFESSIONAL PRACTICE &gt; Communication Skills")</f>
        <v>0</v>
      </c>
      <c r="CR105" s="17">
        <f>COUNTIFS('Prácticas_Revisiones'!$S$2:$S$282,"T089",'Prácticas_Revisiones'!$T$2:$T$282,"PROFESSIONAL PRACTICE &gt; Subárea no determinable")+COUNTIFS('Prácticas_Snowballing'!$AB$2:$AB$281,"T089",'Prácticas_Snowballing'!$AC$2:$AC$281,"PROFESSIONAL PRACTICE &gt; Subárea no determinable")</f>
        <v>0</v>
      </c>
      <c r="CS105" s="29">
        <f t="shared" ref="CS105:CS117" si="98">SUM(CO105:CR105)</f>
        <v>0</v>
      </c>
      <c r="CT105" s="17">
        <f>COUNTIFS('Prácticas_Revisiones'!$S$2:$S$282,"T089",'Prácticas_Revisiones'!$T$2:$T$282,"SOFTWARE ENG. ECONOMICS &gt; Software Engineering Economics Fundamentals")+COUNTIFS('Prácticas_Snowballing'!$AB$2:$AB$281,"T089",'Prácticas_Snowballing'!$AC$2:$AC$281,"SOFTWARE ENG. ECONOMICS &gt; Software Engineering Economics Fundamentals")</f>
        <v>0</v>
      </c>
      <c r="CU105" s="17">
        <f>COUNTIFS('Prácticas_Revisiones'!$S$2:$S$282,"T089",'Prácticas_Revisiones'!$T$2:$T$282,"SOFTWARE ENG. ECONOMICS &gt; The Engineering Decision-Making Process")+COUNTIFS('Prácticas_Snowballing'!$AB$2:$AB$281,"T089",'Prácticas_Snowballing'!$AC$2:$AC$281,"SOFTWARE ENG. ECONOMICS &gt; The Engineering Decision-Making Process")</f>
        <v>0</v>
      </c>
      <c r="CV105" s="17">
        <f>COUNTIFS('Prácticas_Revisiones'!$S$2:$S$282,"T089",'Prácticas_Revisiones'!$T$2:$T$282,"SOFTWARE ENG. ECONOMICS &gt; For-Profit Decision-Making")+COUNTIFS('Prácticas_Snowballing'!$AB$2:$AB$281,"T089",'Prácticas_Snowballing'!$AC$2:$AC$281,"SOFTWARE ENG. ECONOMICS &gt; For-Profit Decision-Making")</f>
        <v>0</v>
      </c>
      <c r="CW105" s="17">
        <f>COUNTIFS('Prácticas_Revisiones'!$S$2:$S$282,"T089",'Prácticas_Revisiones'!$T$2:$T$282,"SOFTWARE ENG. ECONOMICS &gt; Nonprofit Decision-Making")+COUNTIFS('Prácticas_Snowballing'!$AB$2:$AB$281,"T089",'Prácticas_Snowballing'!$AC$2:$AC$281,"SOFTWARE ENG. ECONOMICS &gt; Nonprofit Decision-Making")</f>
        <v>0</v>
      </c>
      <c r="CX105" s="17">
        <f>COUNTIFS('Prácticas_Revisiones'!$S$2:$S$282,"T089",'Prácticas_Revisiones'!$T$2:$T$282,"SOFTWARE ENG. ECONOMICS &gt; Present Economy Decision-Making")+COUNTIFS('Prácticas_Snowballing'!$AB$2:$AB$281,"T089",'Prácticas_Snowballing'!$AC$2:$AC$281,"SOFTWARE ENG. ECONOMICS &gt; Present Economy Decision-Making")</f>
        <v>0</v>
      </c>
      <c r="CY105" s="17">
        <f>COUNTIFS('Prácticas_Revisiones'!$S$2:$S$282,"T089",'Prácticas_Revisiones'!$T$2:$T$282,"SOFTWARE ENG. ECONOMICS &gt; Multiple-Attribute Decision-Making")+COUNTIFS('Prácticas_Snowballing'!$AB$2:$AB$281,"T089",'Prácticas_Snowballing'!$AC$2:$AC$281,"SOFTWARE ENG. ECONOMICS &gt; Multiple-Attribute Decision-Making")</f>
        <v>0</v>
      </c>
      <c r="CZ105" s="17">
        <f>COUNTIFS('Prácticas_Revisiones'!$S$2:$S$282,"T089",'Prácticas_Revisiones'!$T$2:$T$282,"SOFTWARE ENG. ECONOMICS &gt; Identifying and Characterizing Intangible Assets")+COUNTIFS('Prácticas_Snowballing'!$AB$2:$AB$281,"T089",'Prácticas_Snowballing'!$AC$2:$AC$281,"SOFTWARE ENG. ECONOMICS &gt; Identifying and Characterizing Intangible Assets")</f>
        <v>0</v>
      </c>
      <c r="DA105" s="17">
        <f>COUNTIFS('Prácticas_Revisiones'!$S$2:$S$282,"T089",'Prácticas_Revisiones'!$T$2:$T$282,"SOFTWARE ENG. ECONOMICS &gt; Estimation")+COUNTIFS('Prácticas_Snowballing'!$AB$2:$AB$281,"T089",'Prácticas_Snowballing'!$AC$2:$AC$281,"SOFTWARE ENG. ECONOMICS &gt; Estimation")</f>
        <v>0</v>
      </c>
      <c r="DB105" s="17">
        <f>COUNTIFS('Prácticas_Revisiones'!$S$2:$S$282,"T089",'Prácticas_Revisiones'!$T$2:$T$282,"SOFTWARE ENG. ECONOMICS &gt; Practical Considerations")+COUNTIFS('Prácticas_Snowballing'!$AB$2:$AB$281,"T089",'Prácticas_Snowballing'!$AC$2:$AC$281,"SOFTWARE ENG. ECONOMICS &gt; Practical Considerations")</f>
        <v>0</v>
      </c>
      <c r="DC105" s="17">
        <f>COUNTIFS('Prácticas_Revisiones'!$S$2:$S$282,"T089",'Prácticas_Revisiones'!$T$2:$T$282,"SOFTWARE ENG. ECONOMICS &gt; Related Concepts")+COUNTIFS('Prácticas_Snowballing'!$AB$2:$AB$281,"T089",'Prácticas_Snowballing'!$AC$2:$AC$281,"SOFTWARE ENG. ECONOMICS &gt; Related Concepts")</f>
        <v>0</v>
      </c>
      <c r="DD105" s="17">
        <f>COUNTIFS('Prácticas_Revisiones'!$S$2:$S$282,"T089",'Prácticas_Revisiones'!$T$2:$T$282,"SOFTWARE ENG. ECONOMICS &gt; Subárea no determinable")+COUNTIFS('Prácticas_Snowballing'!$AB$2:$AB$281,"T089",'Prácticas_Snowballing'!$AC$2:$AC$281,"SOFTWARE ENG. ECONOMICS &gt; Subárea no determinable")</f>
        <v>0</v>
      </c>
      <c r="DE105" s="29">
        <f t="shared" ref="DE105:DE117" si="99">SUM(CT105:DD105)</f>
        <v>0</v>
      </c>
      <c r="DF105" s="17">
        <f>COUNTIFS('Prácticas_Revisiones'!$S$2:$S$282,"T089",'Prácticas_Revisiones'!$T$2:$T$282,"SOFTWARE ENG. MANAGEMENT &gt; Software Engineering Management Fundamentals")+COUNTIFS('Prácticas_Snowballing'!$AB$2:$AB$281,"T089",'Prácticas_Snowballing'!$AC$2:$AC$281,"SOFTWARE ENG. MANAGEMENT &gt; Software Engineering Management Fundamentals")</f>
        <v>0</v>
      </c>
      <c r="DG105" s="17">
        <f>COUNTIFS('Prácticas_Revisiones'!$S$2:$S$282,"T089",'Prácticas_Revisiones'!$T$2:$T$282,"SOFTWARE ENG. MANAGEMENT &gt; Initiation and Scope Definition")+COUNTIFS('Prácticas_Snowballing'!$AB$2:$AB$281,"T089",'Prácticas_Snowballing'!$AC$2:$AC$281,"SOFTWARE ENG. MANAGEMENT &gt; Initiation and Scope Definition")</f>
        <v>0</v>
      </c>
      <c r="DH105" s="17">
        <f>COUNTIFS('Prácticas_Revisiones'!$S$2:$S$282,"T089",'Prácticas_Revisiones'!$T$2:$T$282,"SOFTWARE ENG. MANAGEMENT &gt; Software Project Planning")+COUNTIFS('Prácticas_Snowballing'!$AB$2:$AB$281,"T089",'Prácticas_Snowballing'!$AC$2:$AC$281,"SOFTWARE ENG. MANAGEMENT &gt; Software Project Planning")</f>
        <v>0</v>
      </c>
      <c r="DI105" s="17">
        <f>COUNTIFS('Prácticas_Revisiones'!$S$2:$S$282,"T089",'Prácticas_Revisiones'!$T$2:$T$282,"SOFTWARE ENG. MANAGEMENT &gt; Software Project Enactment")+COUNTIFS('Prácticas_Snowballing'!$AB$2:$AB$281,"T089",'Prácticas_Snowballing'!$AC$2:$AC$281,"SOFTWARE ENG. MANAGEMENT &gt; Software Project Enactment")</f>
        <v>0</v>
      </c>
      <c r="DJ105" s="17">
        <f>COUNTIFS('Prácticas_Revisiones'!$S$2:$S$282,"T089",'Prácticas_Revisiones'!$T$2:$T$282,"SOFTWARE ENG. MANAGEMENT &gt; Review and Evaluation")+COUNTIFS('Prácticas_Snowballing'!$AB$2:$AB$281,"T089",'Prácticas_Snowballing'!$AC$2:$AC$281,"SOFTWARE ENG. MANAGEMENT &gt; Review and Evaluation")</f>
        <v>0</v>
      </c>
      <c r="DK105" s="17">
        <f>COUNTIFS('Prácticas_Revisiones'!$S$2:$S$282,"T089",'Prácticas_Revisiones'!$T$2:$T$282,"SOFTWARE ENG. MANAGEMENT &gt; Closure")+COUNTIFS('Prácticas_Snowballing'!$AB$2:$AB$281,"T089",'Prácticas_Snowballing'!$AC$2:$AC$281,"SOFTWARE ENG. MANAGEMENT &gt; Closure")</f>
        <v>0</v>
      </c>
      <c r="DL105" s="17">
        <f>COUNTIFS('Prácticas_Revisiones'!$S$2:$S$282,"T089",'Prácticas_Revisiones'!$T$2:$T$282,"SOFTWARE ENG. MANAGEMENT &gt; Software Engineering Management Tools")+COUNTIFS('Prácticas_Snowballing'!$AB$2:$AB$281,"T089",'Prácticas_Snowballing'!$AC$2:$AC$281,"SOFTWARE ENG. MANAGEMENT &gt; Software Engineering Management Tools")</f>
        <v>0</v>
      </c>
      <c r="DM105" s="17">
        <f>COUNTIFS('Prácticas_Revisiones'!$S$2:$S$282,"T089",'Prácticas_Revisiones'!$T$2:$T$282,"SOFTWARE ENG. MANAGEMENT &gt; Subárea no determinable")+COUNTIFS('Prácticas_Snowballing'!$AB$2:$AB$281,"T089",'Prácticas_Snowballing'!$AC$2:$AC$281,"SOFTWARE ENG. MANAGEMENT &gt; Subárea no determinable")</f>
        <v>0</v>
      </c>
      <c r="DN105" s="29">
        <f t="shared" ref="DN105:DN117" si="100">SUM(DF105:DM105)</f>
        <v>0</v>
      </c>
      <c r="DO105" s="17">
        <f>COUNTIFS('Prácticas_Revisiones'!$S$2:$S$282,"T089",'Prácticas_Revisiones'!$T$2:$T$282,"Sin área SWEBOK")+COUNTIFS('Prácticas_Snowballing'!$AB$2:$AB$281,"T089",'Prácticas_Snowballing'!$AC$2:$AC$281,"Sin área SWEBOK")</f>
        <v>0</v>
      </c>
      <c r="DP105" s="27">
        <f t="shared" ref="DP105:DP117" si="101">SUM(C105:K105,M105:Q105,S105:Y105,AA105:AF105,AH105:AP105,AR105:AX105,AZ105:BE105,BG105:BN105,BP105:BS105,BU105:BY105,CA105:CE105,CG105:CM105,CO105:CR105,CT105:DD105,DF105:DM105,DO105)</f>
        <v>0</v>
      </c>
    </row>
    <row r="106" ht="15.75" customHeight="1">
      <c r="A106" s="28"/>
      <c r="B106" s="16" t="s">
        <v>2767</v>
      </c>
      <c r="C106" s="17">
        <f>COUNTIFS('Prácticas_Revisiones'!$S$2:$S$282,"T090",'Prácticas_Revisiones'!$T$2:$T$282,"REQUIREMENTS &gt; Software Requirements Fundamentals")+COUNTIFS('Prácticas_Snowballing'!$AB$2:$AB$281,"T090",'Prácticas_Snowballing'!$AC$2:$AC$281,"REQUIREMENTS &gt; Software Requirements Fundamentals")</f>
        <v>0</v>
      </c>
      <c r="D106" s="17">
        <f>COUNTIFS('Prácticas_Revisiones'!$S$2:$S$282,"T090",'Prácticas_Revisiones'!$T$2:$T$282,"REQUIREMENTS &gt; Requirements Elicitation")+COUNTIFS('Prácticas_Snowballing'!$AB$2:$AB$281,"T090",'Prácticas_Snowballing'!$AC$2:$AC$281,"REQUIREMENTS &gt; Requirements Elicitation")</f>
        <v>0</v>
      </c>
      <c r="E106" s="17">
        <f>COUNTIFS('Prácticas_Revisiones'!$S$2:$S$282,"T090",'Prácticas_Revisiones'!$T$2:$T$282,"REQUIREMENTS &gt; Requirements Analysis")+COUNTIFS('Prácticas_Snowballing'!$AB$2:$AB$281,"T090",'Prácticas_Snowballing'!$AC$2:$AC$281,"REQUIREMENTS &gt; Requirements Analysis")</f>
        <v>0</v>
      </c>
      <c r="F106" s="17">
        <f>COUNTIFS('Prácticas_Revisiones'!$S$2:$S$282,"T090",'Prácticas_Revisiones'!$T$2:$T$282,"REQUIREMENTS &gt; Requirements Specification")+COUNTIFS('Prácticas_Snowballing'!$AB$2:$AB$281,"T090",'Prácticas_Snowballing'!$AC$2:$AC$281,"REQUIREMENTS &gt; Requirements Specification")</f>
        <v>0</v>
      </c>
      <c r="G106" s="17">
        <f>COUNTIFS('Prácticas_Revisiones'!$S$2:$S$282,"T090",'Prácticas_Revisiones'!$T$2:$T$282,"REQUIREMENTS &gt; Requirements Validation")+COUNTIFS('Prácticas_Snowballing'!$AB$2:$AB$281,"T090",'Prácticas_Snowballing'!$AC$2:$AC$281,"REQUIREMENTS &gt; Requirements Validation")</f>
        <v>0</v>
      </c>
      <c r="H106" s="17">
        <f>COUNTIFS('Prácticas_Revisiones'!$S$2:$S$282,"T090",'Prácticas_Revisiones'!$T$2:$T$282,"REQUIREMENTS &gt; Requirements Management Activities")+COUNTIFS('Prácticas_Snowballing'!$AB$2:$AB$281,"T090",'Prácticas_Snowballing'!$AC$2:$AC$281,"REQUIREMENTS &gt; Requirements Management Activities")</f>
        <v>0</v>
      </c>
      <c r="I106" s="17">
        <f>COUNTIFS('Prácticas_Revisiones'!$S$2:$S$282,"T090",'Prácticas_Revisiones'!$T$2:$T$282,"REQUIREMENTS &gt; Practical Considerations")+COUNTIFS('Prácticas_Snowballing'!$AB$2:$AB$281,"T090",'Prácticas_Snowballing'!$AC$2:$AC$281,"REQUIREMENTS &gt; Practical Considerations")</f>
        <v>0</v>
      </c>
      <c r="J106" s="17">
        <f>COUNTIFS('Prácticas_Revisiones'!$S$2:$S$282,"T090",'Prácticas_Revisiones'!$T$2:$T$282,"REQUIREMENTS &gt; Software Requirements Tools")+COUNTIFS('Prácticas_Snowballing'!$AB$2:$AB$281,"T090",'Prácticas_Snowballing'!$AC$2:$AC$281,"REQUIREMENTS &gt; Software Requirements Tools")</f>
        <v>0</v>
      </c>
      <c r="K106" s="17">
        <f>COUNTIFS('Prácticas_Revisiones'!$S$2:$S$282,"T090",'Prácticas_Revisiones'!$T$2:$T$282,"REQUIREMENTS &gt; Subárea no determinable")+COUNTIFS('Prácticas_Snowballing'!$AB$2:$AB$281,"T090",'Prácticas_Snowballing'!$AC$2:$AC$281,"REQUIREMENTS &gt; Subárea no determinable")</f>
        <v>0</v>
      </c>
      <c r="L106" s="29">
        <f t="shared" si="86"/>
        <v>0</v>
      </c>
      <c r="M106" s="17">
        <f>COUNTIFS('Prácticas_Revisiones'!$S$2:$S$282,"T090",'Prácticas_Revisiones'!$T$2:$T$282,"ARCHITECTURE &gt; Software Architecture Fundamentals")+COUNTIFS('Prácticas_Snowballing'!$AB$2:$AB$281,"T090",'Prácticas_Snowballing'!$AC$2:$AC$281,"ARCHITECTURE &gt; Software Architecture Fundamentals")</f>
        <v>0</v>
      </c>
      <c r="N106" s="17">
        <f>COUNTIFS('Prácticas_Revisiones'!$S$2:$S$282,"T090",'Prácticas_Revisiones'!$T$2:$T$282,"ARCHITECTURE &gt; Software Architecture Description")+COUNTIFS('Prácticas_Snowballing'!$AB$2:$AB$281,"T090",'Prácticas_Snowballing'!$AC$2:$AC$281,"ARCHITECTURE &gt; Software Architecture Description")</f>
        <v>0</v>
      </c>
      <c r="O106" s="17">
        <f>COUNTIFS('Prácticas_Revisiones'!$S$2:$S$282,"T090",'Prácticas_Revisiones'!$T$2:$T$282,"ARCHITECTURE &gt; Software Architecture Process")+COUNTIFS('Prácticas_Snowballing'!$AB$2:$AB$281,"T090",'Prácticas_Snowballing'!$AC$2:$AC$281,"ARCHITECTURE &gt; Software Architecture Process")</f>
        <v>0</v>
      </c>
      <c r="P106" s="17">
        <f>COUNTIFS('Prácticas_Revisiones'!$S$2:$S$282,"T090",'Prácticas_Revisiones'!$T$2:$T$282,"ARCHITECTURE &gt; Software Architecture Evaluation")+COUNTIFS('Prácticas_Snowballing'!$AB$2:$AB$281,"T090",'Prácticas_Snowballing'!$AC$2:$AC$281,"ARCHITECTURE &gt; Software Architecture Evaluation")</f>
        <v>0</v>
      </c>
      <c r="Q106" s="17">
        <f>COUNTIFS('Prácticas_Revisiones'!$S$2:$S$282,"T090",'Prácticas_Revisiones'!$T$2:$T$282,"ARCHITECTURE &gt; Subárea no determinable")+COUNTIFS('Prácticas_Snowballing'!$AB$2:$AB$281,"T090",'Prácticas_Snowballing'!$AC$2:$AC$281,"ARCHITECTURE &gt; Subárea no determinable")</f>
        <v>0</v>
      </c>
      <c r="R106" s="29">
        <f t="shared" si="87"/>
        <v>0</v>
      </c>
      <c r="S106" s="17">
        <f>COUNTIFS('Prácticas_Revisiones'!$S$2:$S$282,"T090",'Prácticas_Revisiones'!$T$2:$T$282,"DESIGN &gt; Software Design Fundamentals")+COUNTIFS('Prácticas_Snowballing'!$AB$2:$AB$281,"T090",'Prácticas_Snowballing'!$AC$2:$AC$281,"DESIGN &gt; Software Design Fundamentals")</f>
        <v>0</v>
      </c>
      <c r="T106" s="17">
        <f>COUNTIFS('Prácticas_Revisiones'!$S$2:$S$282,"T090",'Prácticas_Revisiones'!$T$2:$T$282,"DESIGN &gt; Software Design Processes")+COUNTIFS('Prácticas_Snowballing'!$AB$2:$AB$281,"T090",'Prácticas_Snowballing'!$AC$2:$AC$281,"DESIGN &gt; Software Design Processes")</f>
        <v>0</v>
      </c>
      <c r="U106" s="17">
        <f>COUNTIFS('Prácticas_Revisiones'!$S$2:$S$282,"T090",'Prácticas_Revisiones'!$T$2:$T$282,"DESIGN &gt; Software Design Qualities")+COUNTIFS('Prácticas_Snowballing'!$AB$2:$AB$281,"T090",'Prácticas_Snowballing'!$AC$2:$AC$281,"DESIGN &gt; Software Design Qualities")</f>
        <v>0</v>
      </c>
      <c r="V106" s="17">
        <f>COUNTIFS('Prácticas_Revisiones'!$S$2:$S$282,"T090",'Prácticas_Revisiones'!$T$2:$T$282,"DESIGN &gt; Recording Software Design")+COUNTIFS('Prácticas_Snowballing'!$AB$2:$AB$281,"T090",'Prácticas_Snowballing'!$AC$2:$AC$281,"DESIGN &gt; Recording Software Design")</f>
        <v>0</v>
      </c>
      <c r="W106" s="17">
        <f>COUNTIFS('Prácticas_Revisiones'!$S$2:$S$282,"T090",'Prácticas_Revisiones'!$T$2:$T$282,"DESIGN &gt; Software Design Strategies and Methods")+COUNTIFS('Prácticas_Snowballing'!$AB$2:$AB$281,"T090",'Prácticas_Snowballing'!$AC$2:$AC$281,"DESIGN &gt; Software Design Strategies and Methods")</f>
        <v>0</v>
      </c>
      <c r="X106" s="17">
        <f>COUNTIFS('Prácticas_Revisiones'!$S$2:$S$282,"T090",'Prácticas_Revisiones'!$T$2:$T$282,"DESIGN &gt; Software Design Analysis and Evaluations")+COUNTIFS('Prácticas_Snowballing'!$AB$2:$AB$281,"T090",'Prácticas_Snowballing'!$AC$2:$AC$281,"DESIGN &gt; Software Design Analysis and Evaluations")</f>
        <v>0</v>
      </c>
      <c r="Y106" s="17">
        <f>COUNTIFS('Prácticas_Revisiones'!$S$2:$S$282,"T090",'Prácticas_Revisiones'!$T$2:$T$282,"DESIGN &gt; Subárea no determinable")+COUNTIFS('Prácticas_Snowballing'!$AB$2:$AB$281,"T090",'Prácticas_Snowballing'!$AC$2:$AC$281,"DESIGN &gt; Subárea no determinable")</f>
        <v>0</v>
      </c>
      <c r="Z106" s="29">
        <f t="shared" si="88"/>
        <v>0</v>
      </c>
      <c r="AA106" s="17">
        <f>COUNTIFS('Prácticas_Revisiones'!$S$2:$S$282,"T090",'Prácticas_Revisiones'!$T$2:$T$282,"CONSTRUCTION &gt; Software Construction Fundamentals")+COUNTIFS('Prácticas_Snowballing'!$AB$2:$AB$281,"T090",'Prácticas_Snowballing'!$AC$2:$AC$281,"CONSTRUCTION &gt; Software Construction Fundamentals")</f>
        <v>0</v>
      </c>
      <c r="AB106" s="17">
        <f>COUNTIFS('Prácticas_Revisiones'!$S$2:$S$282,"T090",'Prácticas_Revisiones'!$T$2:$T$282,"CONSTRUCTION &gt; Managing Construction")+COUNTIFS('Prácticas_Snowballing'!$AB$2:$AB$281,"T090",'Prácticas_Snowballing'!$AC$2:$AC$281,"CONSTRUCTION &gt; Managing Construction")</f>
        <v>0</v>
      </c>
      <c r="AC106" s="17">
        <f>COUNTIFS('Prácticas_Revisiones'!$S$2:$S$282,"T090",'Prácticas_Revisiones'!$T$2:$T$282,"CONSTRUCTION &gt; Practical Considerations")+COUNTIFS('Prácticas_Snowballing'!$AB$2:$AB$281,"T090",'Prácticas_Snowballing'!$AC$2:$AC$281,"CONSTRUCTION &gt; Practical Considerations")</f>
        <v>0</v>
      </c>
      <c r="AD106" s="17">
        <f>COUNTIFS('Prácticas_Revisiones'!$S$2:$S$282,"T090",'Prácticas_Revisiones'!$T$2:$T$282,"CONSTRUCTION &gt; Construction Technologies")+COUNTIFS('Prácticas_Snowballing'!$AB$2:$AB$281,"T090",'Prácticas_Snowballing'!$AC$2:$AC$281,"CONSTRUCTION &gt; Construction Technologies")</f>
        <v>0</v>
      </c>
      <c r="AE106" s="17">
        <f>COUNTIFS('Prácticas_Revisiones'!$S$2:$S$282,"T090",'Prácticas_Revisiones'!$T$2:$T$282,"CONSTRUCTION &gt; Software Construction Tools")+COUNTIFS('Prácticas_Snowballing'!$AB$2:$AB$281,"T090",'Prácticas_Snowballing'!$AC$2:$AC$281,"CONSTRUCTION &gt; Software Construction Tools")</f>
        <v>0</v>
      </c>
      <c r="AF106" s="17">
        <f>COUNTIFS('Prácticas_Revisiones'!$S$2:$S$282,"T090",'Prácticas_Revisiones'!$T$2:$T$282,"CONSTRUCTION &gt; Subárea no determinable")+COUNTIFS('Prácticas_Snowballing'!$AB$2:$AB$281,"T090",'Prácticas_Snowballing'!$AC$2:$AC$281,"CONSTRUCTION &gt; Subárea no determinable")</f>
        <v>0</v>
      </c>
      <c r="AG106" s="29">
        <f t="shared" si="89"/>
        <v>0</v>
      </c>
      <c r="AH106" s="17">
        <f>COUNTIFS('Prácticas_Revisiones'!$S$2:$S$282,"T090",'Prácticas_Revisiones'!$T$2:$T$282,"SOFTWARE TESTING &gt; Software Testing Fundamentals")+COUNTIFS('Prácticas_Snowballing'!$AB$2:$AB$281,"T090",'Prácticas_Snowballing'!$AC$2:$AC$281,"SOFTWARE TESTING &gt; Software Testing Fundamentals")</f>
        <v>0</v>
      </c>
      <c r="AI106" s="17">
        <f>COUNTIFS('Prácticas_Revisiones'!$S$2:$S$282,"T090",'Prácticas_Revisiones'!$T$2:$T$282,"SOFTWARE TESTING &gt; Test Levels")+COUNTIFS('Prácticas_Snowballing'!$AB$2:$AB$281,"T090",'Prácticas_Snowballing'!$AC$2:$AC$281,"SOFTWARE TESTING &gt; Test Levels")</f>
        <v>0</v>
      </c>
      <c r="AJ106" s="17">
        <f>COUNTIFS('Prácticas_Revisiones'!$S$2:$S$282,"T090",'Prácticas_Revisiones'!$T$2:$T$282,"SOFTWARE TESTING &gt; Test Techniques")+COUNTIFS('Prácticas_Snowballing'!$AB$2:$AB$281,"T090",'Prácticas_Snowballing'!$AC$2:$AC$281,"SOFTWARE TESTING &gt; Test Techniques")</f>
        <v>0</v>
      </c>
      <c r="AK106" s="17">
        <f>COUNTIFS('Prácticas_Revisiones'!$S$2:$S$282,"T090",'Prácticas_Revisiones'!$T$2:$T$282,"SOFTWARE TESTING &gt; Test-Related Measures")+COUNTIFS('Prácticas_Snowballing'!$AB$2:$AB$281,"T090",'Prácticas_Snowballing'!$AC$2:$AC$281,"SOFTWARE TESTING &gt; Test-Related Measures")</f>
        <v>0</v>
      </c>
      <c r="AL106" s="17">
        <f>COUNTIFS('Prácticas_Revisiones'!$S$2:$S$282,"T090",'Prácticas_Revisiones'!$T$2:$T$282,"SOFTWARE TESTING &gt; Test Process")+COUNTIFS('Prácticas_Snowballing'!$AB$2:$AB$281,"T090",'Prácticas_Snowballing'!$AC$2:$AC$281,"SOFTWARE TESTING &gt; Test Process")</f>
        <v>0</v>
      </c>
      <c r="AM106" s="17">
        <f>COUNTIFS('Prácticas_Revisiones'!$S$2:$S$282,"T090",'Prácticas_Revisiones'!$T$2:$T$282,"SOFTWARE TESTING &gt; Software Testing in the Development Processes...")+COUNTIFS('Prácticas_Snowballing'!$AB$2:$AB$281,"T090",'Prácticas_Snowballing'!$AC$2:$AC$281,"SOFTWARE TESTING &gt; Software Testing in the Development Processes...")</f>
        <v>0</v>
      </c>
      <c r="AN106" s="17">
        <f>COUNTIFS('Prácticas_Revisiones'!$S$2:$S$282,"T090",'Prácticas_Revisiones'!$T$2:$T$282,"SOFTWARE TESTING &gt; Testing of and Testing Through Emerging Tech...")+COUNTIFS('Prácticas_Snowballing'!$AB$2:$AB$281,"T090",'Prácticas_Snowballing'!$AC$2:$AC$281,"SOFTWARE TESTING &gt; Testing of and Testing Through Emerging Tech...")</f>
        <v>0</v>
      </c>
      <c r="AO106" s="17">
        <f>COUNTIFS('Prácticas_Revisiones'!$S$2:$S$282,"T090",'Prácticas_Revisiones'!$T$2:$T$282,"SOFTWARE TESTING &gt; Software Testing Tools")+COUNTIFS('Prácticas_Snowballing'!$AB$2:$AB$281,"T090",'Prácticas_Snowballing'!$AC$2:$AC$281,"SOFTWARE TESTING &gt; Software Testing Tools")</f>
        <v>0</v>
      </c>
      <c r="AP106" s="17">
        <f>COUNTIFS('Prácticas_Revisiones'!$S$2:$S$282,"T090",'Prácticas_Revisiones'!$T$2:$T$282,"SOFTWARE TESTING &gt; Subárea no determinable")+COUNTIFS('Prácticas_Snowballing'!$AB$2:$AB$281,"T090",'Prácticas_Snowballing'!$AC$2:$AC$281,"SOFTWARE TESTING &gt; Subárea no determinable")</f>
        <v>0</v>
      </c>
      <c r="AQ106" s="29">
        <f t="shared" si="90"/>
        <v>0</v>
      </c>
      <c r="AR106" s="17">
        <f>COUNTIFS('Prácticas_Revisiones'!$S$2:$S$282,"T090",'Prácticas_Revisiones'!$T$2:$T$282,"SOFTWARE ENG. OPERATIONS &gt; Software Engineering Operations Fundamentals")+COUNTIFS('Prácticas_Snowballing'!$AB$2:$AB$281,"T090",'Prácticas_Snowballing'!$AC$2:$AC$281,"SOFTWARE ENG. OPERATIONS &gt; Software Engineering Operations Fundamentals")</f>
        <v>0</v>
      </c>
      <c r="AS106" s="17">
        <f>COUNTIFS('Prácticas_Revisiones'!$S$2:$S$282,"T090",'Prácticas_Revisiones'!$T$2:$T$282,"SOFTWARE ENG. OPERATIONS &gt; Software Engineering Operations Planning")+COUNTIFS('Prácticas_Snowballing'!$AB$2:$AB$281,"T090",'Prácticas_Snowballing'!$AC$2:$AC$281,"SOFTWARE ENG. OPERATIONS &gt; Software Engineering Operations Planning")</f>
        <v>0</v>
      </c>
      <c r="AT106" s="17">
        <f>COUNTIFS('Prácticas_Revisiones'!$S$2:$S$282,"T090",'Prácticas_Revisiones'!$T$2:$T$282,"SOFTWARE ENG. OPERATIONS &gt; Software Engineering Operations Delivery")+COUNTIFS('Prácticas_Snowballing'!$AB$2:$AB$281,"T090",'Prácticas_Snowballing'!$AC$2:$AC$281,"SOFTWARE ENG. OPERATIONS &gt; Software Engineering Operations Delivery")</f>
        <v>0</v>
      </c>
      <c r="AU106" s="17">
        <f>COUNTIFS('Prácticas_Revisiones'!$S$2:$S$282,"T090",'Prácticas_Revisiones'!$T$2:$T$282,"SOFTWARE ENG. OPERATIONS &gt; Software Engineering Operations Control")+COUNTIFS('Prácticas_Snowballing'!$AB$2:$AB$281,"T090",'Prácticas_Snowballing'!$AC$2:$AC$281,"SOFTWARE ENG. OPERATIONS &gt; Software Engineering Operations Control")</f>
        <v>0</v>
      </c>
      <c r="AV106" s="17">
        <f>COUNTIFS('Prácticas_Revisiones'!$S$2:$S$282,"T090",'Prácticas_Revisiones'!$T$2:$T$282,"SOFTWARE ENG. OPERATIONS &gt; Practical Considerations")+COUNTIFS('Prácticas_Snowballing'!$AB$2:$AB$281,"T090",'Prácticas_Snowballing'!$AC$2:$AC$281,"SOFTWARE ENG. OPERATIONS &gt; Practical Considerations")</f>
        <v>0</v>
      </c>
      <c r="AW106" s="17">
        <f>COUNTIFS('Prácticas_Revisiones'!$S$2:$S$282,"T090",'Prácticas_Revisiones'!$T$2:$T$282,"SOFTWARE ENG. OPERATIONS &gt; Software Engineering Operations Tools")+COUNTIFS('Prácticas_Snowballing'!$AB$2:$AB$281,"T090",'Prácticas_Snowballing'!$AC$2:$AC$281,"SOFTWARE ENG. OPERATIONS &gt; Software Engineering Operations Tools")</f>
        <v>0</v>
      </c>
      <c r="AX106" s="17">
        <f>COUNTIFS('Prácticas_Revisiones'!$S$2:$S$282,"T090",'Prácticas_Revisiones'!$T$2:$T$282,"SOFTWARE ENG. OPERATIONS &gt; Subárea no determinable")+COUNTIFS('Prácticas_Snowballing'!$AB$2:$AB$281,"T090",'Prácticas_Snowballing'!$AC$2:$AC$281,"SOFTWARE ENG. OPERATIONS &gt; Subárea no determinable")</f>
        <v>0</v>
      </c>
      <c r="AY106" s="29">
        <f t="shared" si="91"/>
        <v>0</v>
      </c>
      <c r="AZ106" s="17">
        <f>COUNTIFS('Prácticas_Revisiones'!$S$2:$S$282,"T090",'Prácticas_Revisiones'!$T$2:$T$282,"MAINTENANCE &gt; Software Maintenance Fundamentals")+COUNTIFS('Prácticas_Snowballing'!$AB$2:$AB$281,"T090",'Prácticas_Snowballing'!$AC$2:$AC$281,"MAINTENANCE &gt; Software Maintenance Fundamentals")</f>
        <v>0</v>
      </c>
      <c r="BA106" s="17">
        <f>COUNTIFS('Prácticas_Revisiones'!$S$2:$S$282,"T090",'Prácticas_Revisiones'!$T$2:$T$282,"MAINTENANCE &gt; Key Issues in Software Maintenance")+COUNTIFS('Prácticas_Snowballing'!$AB$2:$AB$281,"T090",'Prácticas_Snowballing'!$AC$2:$AC$281,"MAINTENANCE &gt; Key Issues in Software Maintenance")</f>
        <v>0</v>
      </c>
      <c r="BB106" s="17">
        <f>COUNTIFS('Prácticas_Revisiones'!$S$2:$S$282,"T090",'Prácticas_Revisiones'!$T$2:$T$282,"MAINTENANCE &gt; Software Maintenance Processes")+COUNTIFS('Prácticas_Snowballing'!$AB$2:$AB$281,"T090",'Prácticas_Snowballing'!$AC$2:$AC$281,"MAINTENANCE &gt; Software Maintenance Processes")</f>
        <v>0</v>
      </c>
      <c r="BC106" s="17">
        <f>COUNTIFS('Prácticas_Revisiones'!$S$2:$S$282,"T090",'Prácticas_Revisiones'!$T$2:$T$282,"MAINTENANCE &gt; Software Maintenance Techniques")+COUNTIFS('Prácticas_Snowballing'!$AB$2:$AB$281,"T090",'Prácticas_Snowballing'!$AC$2:$AC$281,"MAINTENANCE &gt; Software Maintenance Techniques")</f>
        <v>0</v>
      </c>
      <c r="BD106" s="17">
        <f>COUNTIFS('Prácticas_Revisiones'!$S$2:$S$282,"T090",'Prácticas_Revisiones'!$T$2:$T$282,"MAINTENANCE &gt; Software Maintenance Tools")+COUNTIFS('Prácticas_Snowballing'!$AB$2:$AB$281,"T090",'Prácticas_Snowballing'!$AC$2:$AC$281,"MAINTENANCE &gt; Software Maintenance Tools")</f>
        <v>0</v>
      </c>
      <c r="BE106" s="17">
        <f>COUNTIFS('Prácticas_Revisiones'!$S$2:$S$282,"T090",'Prácticas_Revisiones'!$T$2:$T$282,"MAINTENANCE &gt; Subárea no determinable")+COUNTIFS('Prácticas_Snowballing'!$AB$2:$AB$281,"T090",'Prácticas_Snowballing'!$AC$2:$AC$281,"MAINTENANCE &gt; Subárea no determinable")</f>
        <v>0</v>
      </c>
      <c r="BF106" s="29">
        <f t="shared" si="92"/>
        <v>0</v>
      </c>
      <c r="BG106" s="17">
        <f>COUNTIFS('Prácticas_Revisiones'!$S$2:$S$282,"T090",'Prácticas_Revisiones'!$T$2:$T$282,"SOFTWARE CONFIG. MGMT. &gt; Management of the SCM Process")+COUNTIFS('Prácticas_Snowballing'!$AB$2:$AB$281,"T090",'Prácticas_Snowballing'!$AC$2:$AC$281,"SOFTWARE CONFIG. MGMT. &gt; Management of the SCM Process")</f>
        <v>0</v>
      </c>
      <c r="BH106" s="17">
        <f>COUNTIFS('Prácticas_Revisiones'!$S$2:$S$282,"T090",'Prácticas_Revisiones'!$T$2:$T$282,"SOFTWARE CONFIG. MGMT. &gt; Software Configuration Identification")+COUNTIFS('Prácticas_Snowballing'!$AB$2:$AB$281,"T090",'Prácticas_Snowballing'!$AC$2:$AC$281,"SOFTWARE CONFIG. MGMT. &gt; Software Configuration Identification")</f>
        <v>0</v>
      </c>
      <c r="BI106" s="17">
        <f>COUNTIFS('Prácticas_Revisiones'!$S$2:$S$282,"T090",'Prácticas_Revisiones'!$T$2:$T$282,"SOFTWARE CONFIG. MGMT. &gt; Software Configuration Change Control")+COUNTIFS('Prácticas_Snowballing'!$AB$2:$AB$281,"T090",'Prácticas_Snowballing'!$AC$2:$AC$281,"SOFTWARE CONFIG. MGMT. &gt; Software Configuration Change Control")</f>
        <v>0</v>
      </c>
      <c r="BJ106" s="17">
        <f>COUNTIFS('Prácticas_Revisiones'!$S$2:$S$282,"T090",'Prácticas_Revisiones'!$T$2:$T$282,"SOFTWARE CONFIG. MGMT. &gt; Software Configuration Status Accounting")+COUNTIFS('Prácticas_Snowballing'!$AB$2:$AB$281,"T090",'Prácticas_Snowballing'!$AC$2:$AC$281,"SOFTWARE CONFIG. MGMT. &gt; Software Configuration Status Accounting")</f>
        <v>0</v>
      </c>
      <c r="BK106" s="17">
        <f>COUNTIFS('Prácticas_Revisiones'!$S$2:$S$282,"T090",'Prácticas_Revisiones'!$T$2:$T$282,"SOFTWARE CONFIG. MGMT. &gt; Software Configuration Auditing")+COUNTIFS('Prácticas_Snowballing'!$AB$2:$AB$281,"T090",'Prácticas_Snowballing'!$AC$2:$AC$281,"SOFTWARE CONFIG. MGMT. &gt; Software Configuration Auditing")</f>
        <v>0</v>
      </c>
      <c r="BL106" s="17">
        <f>COUNTIFS('Prácticas_Revisiones'!$S$2:$S$282,"T090",'Prácticas_Revisiones'!$T$2:$T$282,"SOFTWARE CONFIG. MGMT. &gt; Software Release Management and Delivery")+COUNTIFS('Prácticas_Snowballing'!$AB$2:$AB$281,"T090",'Prácticas_Snowballing'!$AC$2:$AC$281,"SOFTWARE CONFIG. MGMT. &gt; Software Release Management and Delivery")</f>
        <v>0</v>
      </c>
      <c r="BM106" s="17">
        <f>COUNTIFS('Prácticas_Revisiones'!$S$2:$S$282,"T090",'Prácticas_Revisiones'!$T$2:$T$282,"SOFTWARE CONFIG. MGMT. &gt; Software Configuration Management Tools")+COUNTIFS('Prácticas_Snowballing'!$AB$2:$AB$281,"T090",'Prácticas_Snowballing'!$AC$2:$AC$281,"SOFTWARE CONFIG. MGMT. &gt; Software Configuration Management Tools")</f>
        <v>0</v>
      </c>
      <c r="BN106" s="17">
        <f>COUNTIFS('Prácticas_Revisiones'!$S$2:$S$282,"T090",'Prácticas_Revisiones'!$T$2:$T$282,"SOFTWARE CONFIG. MGMT. &gt; Subárea no determinable")+COUNTIFS('Prácticas_Snowballing'!$AB$2:$AB$281,"T090",'Prácticas_Snowballing'!$AC$2:$AC$281,"SOFTWARE CONFIG. MGMT. &gt; Subárea no determinable")</f>
        <v>0</v>
      </c>
      <c r="BO106" s="29">
        <f t="shared" si="93"/>
        <v>0</v>
      </c>
      <c r="BP106" s="17">
        <f>COUNTIFS('Prácticas_Revisiones'!$S$2:$S$282,"T090",'Prácticas_Revisiones'!$T$2:$T$282,"SOFTWARE ENG. PROCESS &gt; Software Engineering Process Fundamentals")+COUNTIFS('Prácticas_Snowballing'!$AB$2:$AB$281,"T090",'Prácticas_Snowballing'!$AC$2:$AC$281,"SOFTWARE ENG. PROCESS &gt; Software Engineering Process Fundamentals")</f>
        <v>0</v>
      </c>
      <c r="BQ106" s="17">
        <f>COUNTIFS('Prácticas_Revisiones'!$S$2:$S$282,"T090",'Prácticas_Revisiones'!$T$2:$T$282,"SOFTWARE ENG. PROCESS &gt; Life Cycles")+COUNTIFS('Prácticas_Snowballing'!$AB$2:$AB$281,"T090",'Prácticas_Snowballing'!$AC$2:$AC$281,"SOFTWARE ENG. PROCESS &gt; Life Cycles")</f>
        <v>0</v>
      </c>
      <c r="BR106" s="17">
        <f>COUNTIFS('Prácticas_Revisiones'!$S$2:$S$282,"T090",'Prácticas_Revisiones'!$T$2:$T$282,"SOFTWARE ENG. PROCESS &gt; Software Process Assessment and Improvement")+COUNTIFS('Prácticas_Snowballing'!$AB$2:$AB$281,"T090",'Prácticas_Snowballing'!$AC$2:$AC$281,"SOFTWARE ENG. PROCESS &gt; Software Process Assessment and Improvement")</f>
        <v>0</v>
      </c>
      <c r="BS106" s="17">
        <f>COUNTIFS('Prácticas_Revisiones'!$S$2:$S$282,"T090",'Prácticas_Revisiones'!$T$2:$T$282,"SOFTWARE ENG. PROCESS &gt; Subárea no determinable")+COUNTIFS('Prácticas_Snowballing'!$AB$2:$AB$281,"T090",'Prácticas_Snowballing'!$AC$2:$AC$281,"SOFTWARE ENG. PROCESS &gt; Subárea no determinable")</f>
        <v>0</v>
      </c>
      <c r="BT106" s="29">
        <f t="shared" si="94"/>
        <v>0</v>
      </c>
      <c r="BU106" s="17">
        <f>COUNTIFS('Prácticas_Revisiones'!$S$2:$S$282,"T090",'Prácticas_Revisiones'!$T$2:$T$282,"SOFTWARE ENG. MODELS/METH. &gt; Modeling")+COUNTIFS('Prácticas_Snowballing'!$AB$2:$AB$281,"T090",'Prácticas_Snowballing'!$AC$2:$AC$281,"SOFTWARE ENG. MODELS/METH. &gt; Modeling")</f>
        <v>0</v>
      </c>
      <c r="BV106" s="17">
        <f>COUNTIFS('Prácticas_Revisiones'!$S$2:$S$282,"T090",'Prácticas_Revisiones'!$T$2:$T$282,"SOFTWARE ENG. MODELS/METH. &gt; Types of Models")+COUNTIFS('Prácticas_Snowballing'!$AB$2:$AB$281,"T090",'Prácticas_Snowballing'!$AC$2:$AC$281,"SOFTWARE ENG. MODELS/METH. &gt; Types of Models")</f>
        <v>0</v>
      </c>
      <c r="BW106" s="17">
        <f>COUNTIFS('Prácticas_Revisiones'!$S$2:$S$282,"T090",'Prácticas_Revisiones'!$T$2:$T$282,"SOFTWARE ENG. MODELS/METH. &gt; Analysis of Models")+COUNTIFS('Prácticas_Snowballing'!$AB$2:$AB$281,"T090",'Prácticas_Snowballing'!$AC$2:$AC$281,"SOFTWARE ENG. MODELS/METH. &gt; Analysis of Models")</f>
        <v>0</v>
      </c>
      <c r="BX106" s="17">
        <f>COUNTIFS('Prácticas_Revisiones'!$S$2:$S$282,"T090",'Prácticas_Revisiones'!$T$2:$T$282,"SOFTWARE ENG. MODELS/METH. &gt; Software Engineering Methods")+COUNTIFS('Prácticas_Snowballing'!$AB$2:$AB$281,"T090",'Prácticas_Snowballing'!$AC$2:$AC$281,"SOFTWARE ENG. MODELS/METH. &gt; Software Engineering Methods")</f>
        <v>0</v>
      </c>
      <c r="BY106" s="17">
        <f>COUNTIFS('Prácticas_Revisiones'!$S$2:$S$282,"T090",'Prácticas_Revisiones'!$T$2:$T$282,"SOFTWARE ENG. MODELS/METH. &gt; Subárea no determinable")+COUNTIFS('Prácticas_Snowballing'!$AB$2:$AB$281,"T090",'Prácticas_Snowballing'!$AC$2:$AC$281,"SOFTWARE ENG. MODELS/METH. &gt; Subárea no determinable")</f>
        <v>0</v>
      </c>
      <c r="BZ106" s="29">
        <f t="shared" si="95"/>
        <v>0</v>
      </c>
      <c r="CA106" s="17">
        <f>COUNTIFS('Prácticas_Revisiones'!$S$2:$S$282,"T090",'Prácticas_Revisiones'!$T$2:$T$282,"SOFTWARE QUALITY &gt; Software Quality Fundamentals")+COUNTIFS('Prácticas_Snowballing'!$AB$2:$AB$281,"T090",'Prácticas_Snowballing'!$AC$2:$AC$281,"SOFTWARE QUALITY &gt; Software Quality Fundamentals")</f>
        <v>0</v>
      </c>
      <c r="CB106" s="17">
        <f>COUNTIFS('Prácticas_Revisiones'!$S$2:$S$282,"T090",'Prácticas_Revisiones'!$T$2:$T$282,"SOFTWARE QUALITY &gt; Software Quality Management Process")+COUNTIFS('Prácticas_Snowballing'!$AB$2:$AB$281,"T090",'Prácticas_Snowballing'!$AC$2:$AC$281,"SOFTWARE QUALITY &gt; Software Quality Management Process")</f>
        <v>0</v>
      </c>
      <c r="CC106" s="17">
        <f>COUNTIFS('Prácticas_Revisiones'!$S$2:$S$282,"T090",'Prácticas_Revisiones'!$T$2:$T$282,"SOFTWARE QUALITY &gt; Software Quality Assurance Process")+COUNTIFS('Prácticas_Snowballing'!$AB$2:$AB$281,"T090",'Prácticas_Snowballing'!$AC$2:$AC$281,"SOFTWARE QUALITY &gt; Software Quality Assurance Process")</f>
        <v>0</v>
      </c>
      <c r="CD106" s="17">
        <f>COUNTIFS('Prácticas_Revisiones'!$S$2:$S$282,"T090",'Prácticas_Revisiones'!$T$2:$T$282,"SOFTWARE QUALITY &gt; Software Quality Tools")+COUNTIFS('Prácticas_Snowballing'!$AB$2:$AB$281,"T090",'Prácticas_Snowballing'!$AC$2:$AC$281,"SOFTWARE QUALITY &gt; Software Quality Tools")</f>
        <v>0</v>
      </c>
      <c r="CE106" s="17">
        <f>COUNTIFS('Prácticas_Revisiones'!$S$2:$S$282,"T090",'Prácticas_Revisiones'!$T$2:$T$282,"SOFTWARE QUALITY &gt; Subárea no determinable")+COUNTIFS('Prácticas_Snowballing'!$AB$2:$AB$281,"T090",'Prácticas_Snowballing'!$AC$2:$AC$281,"SOFTWARE QUALITY &gt; Subárea no determinable")</f>
        <v>0</v>
      </c>
      <c r="CF106" s="29">
        <f t="shared" si="96"/>
        <v>0</v>
      </c>
      <c r="CG106" s="17">
        <f>COUNTIFS('Prácticas_Revisiones'!$S$2:$S$282,"T090",'Prácticas_Revisiones'!$T$2:$T$282,"SOFTWARE SECURITY &gt; Software Security Fundamentals")+COUNTIFS('Prácticas_Snowballing'!$AB$2:$AB$281,"T090",'Prácticas_Snowballing'!$AC$2:$AC$281,"SOFTWARE SECURITY &gt; Software Security Fundamentals")</f>
        <v>0</v>
      </c>
      <c r="CH106" s="17">
        <f>COUNTIFS('Prácticas_Revisiones'!$S$2:$S$282,"T090",'Prácticas_Revisiones'!$T$2:$T$282,"SOFTWARE SECURITY &gt; Security Management and Organization")+COUNTIFS('Prácticas_Snowballing'!$AB$2:$AB$281,"T090",'Prácticas_Snowballing'!$AC$2:$AC$281,"SOFTWARE SECURITY &gt; Security Management and Organization")</f>
        <v>0</v>
      </c>
      <c r="CI106" s="17">
        <f>COUNTIFS('Prácticas_Revisiones'!$S$2:$S$282,"T090",'Prácticas_Revisiones'!$T$2:$T$282,"SOFTWARE SECURITY &gt; Software Security Engineering and Process")+COUNTIFS('Prácticas_Snowballing'!$AB$2:$AB$281,"T090",'Prácticas_Snowballing'!$AC$2:$AC$281,"SOFTWARE SECURITY &gt; Software Security Engineering and Process")</f>
        <v>0</v>
      </c>
      <c r="CJ106" s="17">
        <f>COUNTIFS('Prácticas_Revisiones'!$S$2:$S$282,"T090",'Prácticas_Revisiones'!$T$2:$T$282,"SOFTWARE SECURITY &gt; Security Engineering for Software Systems")+COUNTIFS('Prácticas_Snowballing'!$AB$2:$AB$281,"T090",'Prácticas_Snowballing'!$AC$2:$AC$281,"SOFTWARE SECURITY &gt; Security Engineering for Software Systems")</f>
        <v>0</v>
      </c>
      <c r="CK106" s="17">
        <f>COUNTIFS('Prácticas_Revisiones'!$S$2:$S$282,"T090",'Prácticas_Revisiones'!$T$2:$T$282,"SOFTWARE SECURITY &gt; Software Security Tools")+COUNTIFS('Prácticas_Snowballing'!$AB$2:$AB$281,"T090",'Prácticas_Snowballing'!$AC$2:$AC$281,"SOFTWARE SECURITY &gt; Software Security Tools")</f>
        <v>0</v>
      </c>
      <c r="CL106" s="17">
        <f>COUNTIFS('Prácticas_Revisiones'!$S$2:$S$282,"T090",'Prácticas_Revisiones'!$T$2:$T$282,"SOFTWARE SECURITY &gt; Domain Specific Software Security")+COUNTIFS('Prácticas_Snowballing'!$AB$2:$AB$281,"T090",'Prácticas_Snowballing'!$AC$2:$AC$281,"SOFTWARE SECURITY &gt; Domain Specific Software Security")</f>
        <v>0</v>
      </c>
      <c r="CM106" s="17">
        <f>COUNTIFS('Prácticas_Revisiones'!$S$2:$S$282,"T090",'Prácticas_Revisiones'!$T$2:$T$282,"SOFTWARE SECURITY &gt; Subárea no determinable")+COUNTIFS('Prácticas_Snowballing'!$AB$2:$AB$281,"T090",'Prácticas_Snowballing'!$AC$2:$AC$281,"SOFTWARE SECURITY &gt; Subárea no determinable")</f>
        <v>0</v>
      </c>
      <c r="CN106" s="29">
        <f t="shared" si="97"/>
        <v>0</v>
      </c>
      <c r="CO106" s="17">
        <f>COUNTIFS('Prácticas_Revisiones'!$S$2:$S$282,"T090",'Prácticas_Revisiones'!$T$2:$T$282,"PROFESSIONAL PRACTICE &gt; Professionalism")+COUNTIFS('Prácticas_Snowballing'!$AB$2:$AB$281,"T090",'Prácticas_Snowballing'!$AC$2:$AC$281,"PROFESSIONAL PRACTICE &gt; Professionalism")</f>
        <v>0</v>
      </c>
      <c r="CP106" s="17">
        <f>COUNTIFS('Prácticas_Revisiones'!$S$2:$S$282,"T090",'Prácticas_Revisiones'!$T$2:$T$282,"PROFESSIONAL PRACTICE &gt; Group Dynamics and Psychology")+COUNTIFS('Prácticas_Snowballing'!$AB$2:$AB$281,"T090",'Prácticas_Snowballing'!$AC$2:$AC$281,"PROFESSIONAL PRACTICE &gt; Group Dynamics and Psychology")</f>
        <v>0</v>
      </c>
      <c r="CQ106" s="17">
        <f>COUNTIFS('Prácticas_Revisiones'!$S$2:$S$282,"T090",'Prácticas_Revisiones'!$T$2:$T$282,"PROFESSIONAL PRACTICE &gt; Communication Skills")+COUNTIFS('Prácticas_Snowballing'!$AB$2:$AB$281,"T090",'Prácticas_Snowballing'!$AC$2:$AC$281,"PROFESSIONAL PRACTICE &gt; Communication Skills")</f>
        <v>0</v>
      </c>
      <c r="CR106" s="17">
        <f>COUNTIFS('Prácticas_Revisiones'!$S$2:$S$282,"T090",'Prácticas_Revisiones'!$T$2:$T$282,"PROFESSIONAL PRACTICE &gt; Subárea no determinable")+COUNTIFS('Prácticas_Snowballing'!$AB$2:$AB$281,"T090",'Prácticas_Snowballing'!$AC$2:$AC$281,"PROFESSIONAL PRACTICE &gt; Subárea no determinable")</f>
        <v>0</v>
      </c>
      <c r="CS106" s="29">
        <f t="shared" si="98"/>
        <v>0</v>
      </c>
      <c r="CT106" s="17">
        <f>COUNTIFS('Prácticas_Revisiones'!$S$2:$S$282,"T090",'Prácticas_Revisiones'!$T$2:$T$282,"SOFTWARE ENG. ECONOMICS &gt; Software Engineering Economics Fundamentals")+COUNTIFS('Prácticas_Snowballing'!$AB$2:$AB$281,"T090",'Prácticas_Snowballing'!$AC$2:$AC$281,"SOFTWARE ENG. ECONOMICS &gt; Software Engineering Economics Fundamentals")</f>
        <v>0</v>
      </c>
      <c r="CU106" s="17">
        <f>COUNTIFS('Prácticas_Revisiones'!$S$2:$S$282,"T090",'Prácticas_Revisiones'!$T$2:$T$282,"SOFTWARE ENG. ECONOMICS &gt; The Engineering Decision-Making Process")+COUNTIFS('Prácticas_Snowballing'!$AB$2:$AB$281,"T090",'Prácticas_Snowballing'!$AC$2:$AC$281,"SOFTWARE ENG. ECONOMICS &gt; The Engineering Decision-Making Process")</f>
        <v>0</v>
      </c>
      <c r="CV106" s="17">
        <f>COUNTIFS('Prácticas_Revisiones'!$S$2:$S$282,"T090",'Prácticas_Revisiones'!$T$2:$T$282,"SOFTWARE ENG. ECONOMICS &gt; For-Profit Decision-Making")+COUNTIFS('Prácticas_Snowballing'!$AB$2:$AB$281,"T090",'Prácticas_Snowballing'!$AC$2:$AC$281,"SOFTWARE ENG. ECONOMICS &gt; For-Profit Decision-Making")</f>
        <v>0</v>
      </c>
      <c r="CW106" s="17">
        <f>COUNTIFS('Prácticas_Revisiones'!$S$2:$S$282,"T090",'Prácticas_Revisiones'!$T$2:$T$282,"SOFTWARE ENG. ECONOMICS &gt; Nonprofit Decision-Making")+COUNTIFS('Prácticas_Snowballing'!$AB$2:$AB$281,"T090",'Prácticas_Snowballing'!$AC$2:$AC$281,"SOFTWARE ENG. ECONOMICS &gt; Nonprofit Decision-Making")</f>
        <v>0</v>
      </c>
      <c r="CX106" s="17">
        <f>COUNTIFS('Prácticas_Revisiones'!$S$2:$S$282,"T090",'Prácticas_Revisiones'!$T$2:$T$282,"SOFTWARE ENG. ECONOMICS &gt; Present Economy Decision-Making")+COUNTIFS('Prácticas_Snowballing'!$AB$2:$AB$281,"T090",'Prácticas_Snowballing'!$AC$2:$AC$281,"SOFTWARE ENG. ECONOMICS &gt; Present Economy Decision-Making")</f>
        <v>0</v>
      </c>
      <c r="CY106" s="17">
        <f>COUNTIFS('Prácticas_Revisiones'!$S$2:$S$282,"T090",'Prácticas_Revisiones'!$T$2:$T$282,"SOFTWARE ENG. ECONOMICS &gt; Multiple-Attribute Decision-Making")+COUNTIFS('Prácticas_Snowballing'!$AB$2:$AB$281,"T090",'Prácticas_Snowballing'!$AC$2:$AC$281,"SOFTWARE ENG. ECONOMICS &gt; Multiple-Attribute Decision-Making")</f>
        <v>0</v>
      </c>
      <c r="CZ106" s="17">
        <f>COUNTIFS('Prácticas_Revisiones'!$S$2:$S$282,"T090",'Prácticas_Revisiones'!$T$2:$T$282,"SOFTWARE ENG. ECONOMICS &gt; Identifying and Characterizing Intangible Assets")+COUNTIFS('Prácticas_Snowballing'!$AB$2:$AB$281,"T090",'Prácticas_Snowballing'!$AC$2:$AC$281,"SOFTWARE ENG. ECONOMICS &gt; Identifying and Characterizing Intangible Assets")</f>
        <v>0</v>
      </c>
      <c r="DA106" s="17">
        <f>COUNTIFS('Prácticas_Revisiones'!$S$2:$S$282,"T090",'Prácticas_Revisiones'!$T$2:$T$282,"SOFTWARE ENG. ECONOMICS &gt; Estimation")+COUNTIFS('Prácticas_Snowballing'!$AB$2:$AB$281,"T090",'Prácticas_Snowballing'!$AC$2:$AC$281,"SOFTWARE ENG. ECONOMICS &gt; Estimation")</f>
        <v>0</v>
      </c>
      <c r="DB106" s="17">
        <f>COUNTIFS('Prácticas_Revisiones'!$S$2:$S$282,"T090",'Prácticas_Revisiones'!$T$2:$T$282,"SOFTWARE ENG. ECONOMICS &gt; Practical Considerations")+COUNTIFS('Prácticas_Snowballing'!$AB$2:$AB$281,"T090",'Prácticas_Snowballing'!$AC$2:$AC$281,"SOFTWARE ENG. ECONOMICS &gt; Practical Considerations")</f>
        <v>0</v>
      </c>
      <c r="DC106" s="17">
        <f>COUNTIFS('Prácticas_Revisiones'!$S$2:$S$282,"T090",'Prácticas_Revisiones'!$T$2:$T$282,"SOFTWARE ENG. ECONOMICS &gt; Related Concepts")+COUNTIFS('Prácticas_Snowballing'!$AB$2:$AB$281,"T090",'Prácticas_Snowballing'!$AC$2:$AC$281,"SOFTWARE ENG. ECONOMICS &gt; Related Concepts")</f>
        <v>0</v>
      </c>
      <c r="DD106" s="17">
        <f>COUNTIFS('Prácticas_Revisiones'!$S$2:$S$282,"T090",'Prácticas_Revisiones'!$T$2:$T$282,"SOFTWARE ENG. ECONOMICS &gt; Subárea no determinable")+COUNTIFS('Prácticas_Snowballing'!$AB$2:$AB$281,"T090",'Prácticas_Snowballing'!$AC$2:$AC$281,"SOFTWARE ENG. ECONOMICS &gt; Subárea no determinable")</f>
        <v>0</v>
      </c>
      <c r="DE106" s="29">
        <f t="shared" si="99"/>
        <v>0</v>
      </c>
      <c r="DF106" s="17">
        <f>COUNTIFS('Prácticas_Revisiones'!$S$2:$S$282,"T090",'Prácticas_Revisiones'!$T$2:$T$282,"SOFTWARE ENG. MANAGEMENT &gt; Software Engineering Management Fundamentals")+COUNTIFS('Prácticas_Snowballing'!$AB$2:$AB$281,"T090",'Prácticas_Snowballing'!$AC$2:$AC$281,"SOFTWARE ENG. MANAGEMENT &gt; Software Engineering Management Fundamentals")</f>
        <v>0</v>
      </c>
      <c r="DG106" s="17">
        <f>COUNTIFS('Prácticas_Revisiones'!$S$2:$S$282,"T090",'Prácticas_Revisiones'!$T$2:$T$282,"SOFTWARE ENG. MANAGEMENT &gt; Initiation and Scope Definition")+COUNTIFS('Prácticas_Snowballing'!$AB$2:$AB$281,"T090",'Prácticas_Snowballing'!$AC$2:$AC$281,"SOFTWARE ENG. MANAGEMENT &gt; Initiation and Scope Definition")</f>
        <v>0</v>
      </c>
      <c r="DH106" s="17">
        <f>COUNTIFS('Prácticas_Revisiones'!$S$2:$S$282,"T090",'Prácticas_Revisiones'!$T$2:$T$282,"SOFTWARE ENG. MANAGEMENT &gt; Software Project Planning")+COUNTIFS('Prácticas_Snowballing'!$AB$2:$AB$281,"T090",'Prácticas_Snowballing'!$AC$2:$AC$281,"SOFTWARE ENG. MANAGEMENT &gt; Software Project Planning")</f>
        <v>0</v>
      </c>
      <c r="DI106" s="17">
        <f>COUNTIFS('Prácticas_Revisiones'!$S$2:$S$282,"T090",'Prácticas_Revisiones'!$T$2:$T$282,"SOFTWARE ENG. MANAGEMENT &gt; Software Project Enactment")+COUNTIFS('Prácticas_Snowballing'!$AB$2:$AB$281,"T090",'Prácticas_Snowballing'!$AC$2:$AC$281,"SOFTWARE ENG. MANAGEMENT &gt; Software Project Enactment")</f>
        <v>0</v>
      </c>
      <c r="DJ106" s="17">
        <f>COUNTIFS('Prácticas_Revisiones'!$S$2:$S$282,"T090",'Prácticas_Revisiones'!$T$2:$T$282,"SOFTWARE ENG. MANAGEMENT &gt; Review and Evaluation")+COUNTIFS('Prácticas_Snowballing'!$AB$2:$AB$281,"T090",'Prácticas_Snowballing'!$AC$2:$AC$281,"SOFTWARE ENG. MANAGEMENT &gt; Review and Evaluation")</f>
        <v>0</v>
      </c>
      <c r="DK106" s="17">
        <f>COUNTIFS('Prácticas_Revisiones'!$S$2:$S$282,"T090",'Prácticas_Revisiones'!$T$2:$T$282,"SOFTWARE ENG. MANAGEMENT &gt; Closure")+COUNTIFS('Prácticas_Snowballing'!$AB$2:$AB$281,"T090",'Prácticas_Snowballing'!$AC$2:$AC$281,"SOFTWARE ENG. MANAGEMENT &gt; Closure")</f>
        <v>0</v>
      </c>
      <c r="DL106" s="17">
        <f>COUNTIFS('Prácticas_Revisiones'!$S$2:$S$282,"T090",'Prácticas_Revisiones'!$T$2:$T$282,"SOFTWARE ENG. MANAGEMENT &gt; Software Engineering Management Tools")+COUNTIFS('Prácticas_Snowballing'!$AB$2:$AB$281,"T090",'Prácticas_Snowballing'!$AC$2:$AC$281,"SOFTWARE ENG. MANAGEMENT &gt; Software Engineering Management Tools")</f>
        <v>0</v>
      </c>
      <c r="DM106" s="17">
        <f>COUNTIFS('Prácticas_Revisiones'!$S$2:$S$282,"T090",'Prácticas_Revisiones'!$T$2:$T$282,"SOFTWARE ENG. MANAGEMENT &gt; Subárea no determinable")+COUNTIFS('Prácticas_Snowballing'!$AB$2:$AB$281,"T090",'Prácticas_Snowballing'!$AC$2:$AC$281,"SOFTWARE ENG. MANAGEMENT &gt; Subárea no determinable")</f>
        <v>0</v>
      </c>
      <c r="DN106" s="29">
        <f t="shared" si="100"/>
        <v>0</v>
      </c>
      <c r="DO106" s="17">
        <f>COUNTIFS('Prácticas_Revisiones'!$S$2:$S$282,"T090",'Prácticas_Revisiones'!$T$2:$T$282,"Sin área SWEBOK")+COUNTIFS('Prácticas_Snowballing'!$AB$2:$AB$281,"T090",'Prácticas_Snowballing'!$AC$2:$AC$281,"Sin área SWEBOK")</f>
        <v>1</v>
      </c>
      <c r="DP106" s="27">
        <f t="shared" si="101"/>
        <v>1</v>
      </c>
    </row>
    <row r="107" ht="15.75" customHeight="1">
      <c r="A107" s="28"/>
      <c r="B107" s="16" t="s">
        <v>2800</v>
      </c>
      <c r="C107" s="17">
        <f>COUNTIFS('Prácticas_Revisiones'!$S$2:$S$282,"T091",'Prácticas_Revisiones'!$T$2:$T$282,"REQUIREMENTS &gt; Software Requirements Fundamentals")+COUNTIFS('Prácticas_Snowballing'!$AB$2:$AB$281,"T091",'Prácticas_Snowballing'!$AC$2:$AC$281,"REQUIREMENTS &gt; Software Requirements Fundamentals")</f>
        <v>0</v>
      </c>
      <c r="D107" s="17">
        <f>COUNTIFS('Prácticas_Revisiones'!$S$2:$S$282,"T091",'Prácticas_Revisiones'!$T$2:$T$282,"REQUIREMENTS &gt; Requirements Elicitation")+COUNTIFS('Prácticas_Snowballing'!$AB$2:$AB$281,"T091",'Prácticas_Snowballing'!$AC$2:$AC$281,"REQUIREMENTS &gt; Requirements Elicitation")</f>
        <v>0</v>
      </c>
      <c r="E107" s="17">
        <f>COUNTIFS('Prácticas_Revisiones'!$S$2:$S$282,"T091",'Prácticas_Revisiones'!$T$2:$T$282,"REQUIREMENTS &gt; Requirements Analysis")+COUNTIFS('Prácticas_Snowballing'!$AB$2:$AB$281,"T091",'Prácticas_Snowballing'!$AC$2:$AC$281,"REQUIREMENTS &gt; Requirements Analysis")</f>
        <v>0</v>
      </c>
      <c r="F107" s="17">
        <f>COUNTIFS('Prácticas_Revisiones'!$S$2:$S$282,"T091",'Prácticas_Revisiones'!$T$2:$T$282,"REQUIREMENTS &gt; Requirements Specification")+COUNTIFS('Prácticas_Snowballing'!$AB$2:$AB$281,"T091",'Prácticas_Snowballing'!$AC$2:$AC$281,"REQUIREMENTS &gt; Requirements Specification")</f>
        <v>0</v>
      </c>
      <c r="G107" s="17">
        <f>COUNTIFS('Prácticas_Revisiones'!$S$2:$S$282,"T091",'Prácticas_Revisiones'!$T$2:$T$282,"REQUIREMENTS &gt; Requirements Validation")+COUNTIFS('Prácticas_Snowballing'!$AB$2:$AB$281,"T091",'Prácticas_Snowballing'!$AC$2:$AC$281,"REQUIREMENTS &gt; Requirements Validation")</f>
        <v>0</v>
      </c>
      <c r="H107" s="17">
        <f>COUNTIFS('Prácticas_Revisiones'!$S$2:$S$282,"T091",'Prácticas_Revisiones'!$T$2:$T$282,"REQUIREMENTS &gt; Requirements Management Activities")+COUNTIFS('Prácticas_Snowballing'!$AB$2:$AB$281,"T091",'Prácticas_Snowballing'!$AC$2:$AC$281,"REQUIREMENTS &gt; Requirements Management Activities")</f>
        <v>0</v>
      </c>
      <c r="I107" s="17">
        <f>COUNTIFS('Prácticas_Revisiones'!$S$2:$S$282,"T091",'Prácticas_Revisiones'!$T$2:$T$282,"REQUIREMENTS &gt; Practical Considerations")+COUNTIFS('Prácticas_Snowballing'!$AB$2:$AB$281,"T091",'Prácticas_Snowballing'!$AC$2:$AC$281,"REQUIREMENTS &gt; Practical Considerations")</f>
        <v>0</v>
      </c>
      <c r="J107" s="17">
        <f>COUNTIFS('Prácticas_Revisiones'!$S$2:$S$282,"T091",'Prácticas_Revisiones'!$T$2:$T$282,"REQUIREMENTS &gt; Software Requirements Tools")+COUNTIFS('Prácticas_Snowballing'!$AB$2:$AB$281,"T091",'Prácticas_Snowballing'!$AC$2:$AC$281,"REQUIREMENTS &gt; Software Requirements Tools")</f>
        <v>0</v>
      </c>
      <c r="K107" s="17">
        <f>COUNTIFS('Prácticas_Revisiones'!$S$2:$S$282,"T091",'Prácticas_Revisiones'!$T$2:$T$282,"REQUIREMENTS &gt; Subárea no determinable")+COUNTIFS('Prácticas_Snowballing'!$AB$2:$AB$281,"T091",'Prácticas_Snowballing'!$AC$2:$AC$281,"REQUIREMENTS &gt; Subárea no determinable")</f>
        <v>0</v>
      </c>
      <c r="L107" s="29">
        <f t="shared" si="86"/>
        <v>0</v>
      </c>
      <c r="M107" s="17">
        <f>COUNTIFS('Prácticas_Revisiones'!$S$2:$S$282,"T091",'Prácticas_Revisiones'!$T$2:$T$282,"ARCHITECTURE &gt; Software Architecture Fundamentals")+COUNTIFS('Prácticas_Snowballing'!$AB$2:$AB$281,"T091",'Prácticas_Snowballing'!$AC$2:$AC$281,"ARCHITECTURE &gt; Software Architecture Fundamentals")</f>
        <v>0</v>
      </c>
      <c r="N107" s="17">
        <f>COUNTIFS('Prácticas_Revisiones'!$S$2:$S$282,"T091",'Prácticas_Revisiones'!$T$2:$T$282,"ARCHITECTURE &gt; Software Architecture Description")+COUNTIFS('Prácticas_Snowballing'!$AB$2:$AB$281,"T091",'Prácticas_Snowballing'!$AC$2:$AC$281,"ARCHITECTURE &gt; Software Architecture Description")</f>
        <v>0</v>
      </c>
      <c r="O107" s="17">
        <f>COUNTIFS('Prácticas_Revisiones'!$S$2:$S$282,"T091",'Prácticas_Revisiones'!$T$2:$T$282,"ARCHITECTURE &gt; Software Architecture Process")+COUNTIFS('Prácticas_Snowballing'!$AB$2:$AB$281,"T091",'Prácticas_Snowballing'!$AC$2:$AC$281,"ARCHITECTURE &gt; Software Architecture Process")</f>
        <v>0</v>
      </c>
      <c r="P107" s="17">
        <f>COUNTIFS('Prácticas_Revisiones'!$S$2:$S$282,"T091",'Prácticas_Revisiones'!$T$2:$T$282,"ARCHITECTURE &gt; Software Architecture Evaluation")+COUNTIFS('Prácticas_Snowballing'!$AB$2:$AB$281,"T091",'Prácticas_Snowballing'!$AC$2:$AC$281,"ARCHITECTURE &gt; Software Architecture Evaluation")</f>
        <v>0</v>
      </c>
      <c r="Q107" s="17">
        <f>COUNTIFS('Prácticas_Revisiones'!$S$2:$S$282,"T091",'Prácticas_Revisiones'!$T$2:$T$282,"ARCHITECTURE &gt; Subárea no determinable")+COUNTIFS('Prácticas_Snowballing'!$AB$2:$AB$281,"T091",'Prácticas_Snowballing'!$AC$2:$AC$281,"ARCHITECTURE &gt; Subárea no determinable")</f>
        <v>0</v>
      </c>
      <c r="R107" s="29">
        <f t="shared" si="87"/>
        <v>0</v>
      </c>
      <c r="S107" s="17">
        <f>COUNTIFS('Prácticas_Revisiones'!$S$2:$S$282,"T091",'Prácticas_Revisiones'!$T$2:$T$282,"DESIGN &gt; Software Design Fundamentals")+COUNTIFS('Prácticas_Snowballing'!$AB$2:$AB$281,"T091",'Prácticas_Snowballing'!$AC$2:$AC$281,"DESIGN &gt; Software Design Fundamentals")</f>
        <v>0</v>
      </c>
      <c r="T107" s="17">
        <f>COUNTIFS('Prácticas_Revisiones'!$S$2:$S$282,"T091",'Prácticas_Revisiones'!$T$2:$T$282,"DESIGN &gt; Software Design Processes")+COUNTIFS('Prácticas_Snowballing'!$AB$2:$AB$281,"T091",'Prácticas_Snowballing'!$AC$2:$AC$281,"DESIGN &gt; Software Design Processes")</f>
        <v>0</v>
      </c>
      <c r="U107" s="17">
        <f>COUNTIFS('Prácticas_Revisiones'!$S$2:$S$282,"T091",'Prácticas_Revisiones'!$T$2:$T$282,"DESIGN &gt; Software Design Qualities")+COUNTIFS('Prácticas_Snowballing'!$AB$2:$AB$281,"T091",'Prácticas_Snowballing'!$AC$2:$AC$281,"DESIGN &gt; Software Design Qualities")</f>
        <v>0</v>
      </c>
      <c r="V107" s="17">
        <f>COUNTIFS('Prácticas_Revisiones'!$S$2:$S$282,"T091",'Prácticas_Revisiones'!$T$2:$T$282,"DESIGN &gt; Recording Software Design")+COUNTIFS('Prácticas_Snowballing'!$AB$2:$AB$281,"T091",'Prácticas_Snowballing'!$AC$2:$AC$281,"DESIGN &gt; Recording Software Design")</f>
        <v>0</v>
      </c>
      <c r="W107" s="17">
        <f>COUNTIFS('Prácticas_Revisiones'!$S$2:$S$282,"T091",'Prácticas_Revisiones'!$T$2:$T$282,"DESIGN &gt; Software Design Strategies and Methods")+COUNTIFS('Prácticas_Snowballing'!$AB$2:$AB$281,"T091",'Prácticas_Snowballing'!$AC$2:$AC$281,"DESIGN &gt; Software Design Strategies and Methods")</f>
        <v>0</v>
      </c>
      <c r="X107" s="17">
        <f>COUNTIFS('Prácticas_Revisiones'!$S$2:$S$282,"T091",'Prácticas_Revisiones'!$T$2:$T$282,"DESIGN &gt; Software Design Analysis and Evaluations")+COUNTIFS('Prácticas_Snowballing'!$AB$2:$AB$281,"T091",'Prácticas_Snowballing'!$AC$2:$AC$281,"DESIGN &gt; Software Design Analysis and Evaluations")</f>
        <v>0</v>
      </c>
      <c r="Y107" s="17">
        <f>COUNTIFS('Prácticas_Revisiones'!$S$2:$S$282,"T091",'Prácticas_Revisiones'!$T$2:$T$282,"DESIGN &gt; Subárea no determinable")+COUNTIFS('Prácticas_Snowballing'!$AB$2:$AB$281,"T091",'Prácticas_Snowballing'!$AC$2:$AC$281,"DESIGN &gt; Subárea no determinable")</f>
        <v>0</v>
      </c>
      <c r="Z107" s="29">
        <f t="shared" si="88"/>
        <v>0</v>
      </c>
      <c r="AA107" s="17">
        <f>COUNTIFS('Prácticas_Revisiones'!$S$2:$S$282,"T091",'Prácticas_Revisiones'!$T$2:$T$282,"CONSTRUCTION &gt; Software Construction Fundamentals")+COUNTIFS('Prácticas_Snowballing'!$AB$2:$AB$281,"T091",'Prácticas_Snowballing'!$AC$2:$AC$281,"CONSTRUCTION &gt; Software Construction Fundamentals")</f>
        <v>0</v>
      </c>
      <c r="AB107" s="17">
        <f>COUNTIFS('Prácticas_Revisiones'!$S$2:$S$282,"T091",'Prácticas_Revisiones'!$T$2:$T$282,"CONSTRUCTION &gt; Managing Construction")+COUNTIFS('Prácticas_Snowballing'!$AB$2:$AB$281,"T091",'Prácticas_Snowballing'!$AC$2:$AC$281,"CONSTRUCTION &gt; Managing Construction")</f>
        <v>0</v>
      </c>
      <c r="AC107" s="17">
        <f>COUNTIFS('Prácticas_Revisiones'!$S$2:$S$282,"T091",'Prácticas_Revisiones'!$T$2:$T$282,"CONSTRUCTION &gt; Practical Considerations")+COUNTIFS('Prácticas_Snowballing'!$AB$2:$AB$281,"T091",'Prácticas_Snowballing'!$AC$2:$AC$281,"CONSTRUCTION &gt; Practical Considerations")</f>
        <v>0</v>
      </c>
      <c r="AD107" s="17">
        <f>COUNTIFS('Prácticas_Revisiones'!$S$2:$S$282,"T091",'Prácticas_Revisiones'!$T$2:$T$282,"CONSTRUCTION &gt; Construction Technologies")+COUNTIFS('Prácticas_Snowballing'!$AB$2:$AB$281,"T091",'Prácticas_Snowballing'!$AC$2:$AC$281,"CONSTRUCTION &gt; Construction Technologies")</f>
        <v>0</v>
      </c>
      <c r="AE107" s="17">
        <f>COUNTIFS('Prácticas_Revisiones'!$S$2:$S$282,"T091",'Prácticas_Revisiones'!$T$2:$T$282,"CONSTRUCTION &gt; Software Construction Tools")+COUNTIFS('Prácticas_Snowballing'!$AB$2:$AB$281,"T091",'Prácticas_Snowballing'!$AC$2:$AC$281,"CONSTRUCTION &gt; Software Construction Tools")</f>
        <v>0</v>
      </c>
      <c r="AF107" s="17">
        <f>COUNTIFS('Prácticas_Revisiones'!$S$2:$S$282,"T091",'Prácticas_Revisiones'!$T$2:$T$282,"CONSTRUCTION &gt; Subárea no determinable")+COUNTIFS('Prácticas_Snowballing'!$AB$2:$AB$281,"T091",'Prácticas_Snowballing'!$AC$2:$AC$281,"CONSTRUCTION &gt; Subárea no determinable")</f>
        <v>0</v>
      </c>
      <c r="AG107" s="29">
        <f t="shared" si="89"/>
        <v>0</v>
      </c>
      <c r="AH107" s="17">
        <f>COUNTIFS('Prácticas_Revisiones'!$S$2:$S$282,"T091",'Prácticas_Revisiones'!$T$2:$T$282,"SOFTWARE TESTING &gt; Software Testing Fundamentals")+COUNTIFS('Prácticas_Snowballing'!$AB$2:$AB$281,"T091",'Prácticas_Snowballing'!$AC$2:$AC$281,"SOFTWARE TESTING &gt; Software Testing Fundamentals")</f>
        <v>0</v>
      </c>
      <c r="AI107" s="17">
        <f>COUNTIFS('Prácticas_Revisiones'!$S$2:$S$282,"T091",'Prácticas_Revisiones'!$T$2:$T$282,"SOFTWARE TESTING &gt; Test Levels")+COUNTIFS('Prácticas_Snowballing'!$AB$2:$AB$281,"T091",'Prácticas_Snowballing'!$AC$2:$AC$281,"SOFTWARE TESTING &gt; Test Levels")</f>
        <v>0</v>
      </c>
      <c r="AJ107" s="17">
        <f>COUNTIFS('Prácticas_Revisiones'!$S$2:$S$282,"T091",'Prácticas_Revisiones'!$T$2:$T$282,"SOFTWARE TESTING &gt; Test Techniques")+COUNTIFS('Prácticas_Snowballing'!$AB$2:$AB$281,"T091",'Prácticas_Snowballing'!$AC$2:$AC$281,"SOFTWARE TESTING &gt; Test Techniques")</f>
        <v>0</v>
      </c>
      <c r="AK107" s="17">
        <f>COUNTIFS('Prácticas_Revisiones'!$S$2:$S$282,"T091",'Prácticas_Revisiones'!$T$2:$T$282,"SOFTWARE TESTING &gt; Test-Related Measures")+COUNTIFS('Prácticas_Snowballing'!$AB$2:$AB$281,"T091",'Prácticas_Snowballing'!$AC$2:$AC$281,"SOFTWARE TESTING &gt; Test-Related Measures")</f>
        <v>0</v>
      </c>
      <c r="AL107" s="17">
        <f>COUNTIFS('Prácticas_Revisiones'!$S$2:$S$282,"T091",'Prácticas_Revisiones'!$T$2:$T$282,"SOFTWARE TESTING &gt; Test Process")+COUNTIFS('Prácticas_Snowballing'!$AB$2:$AB$281,"T091",'Prácticas_Snowballing'!$AC$2:$AC$281,"SOFTWARE TESTING &gt; Test Process")</f>
        <v>0</v>
      </c>
      <c r="AM107" s="17">
        <f>COUNTIFS('Prácticas_Revisiones'!$S$2:$S$282,"T091",'Prácticas_Revisiones'!$T$2:$T$282,"SOFTWARE TESTING &gt; Software Testing in the Development Processes...")+COUNTIFS('Prácticas_Snowballing'!$AB$2:$AB$281,"T091",'Prácticas_Snowballing'!$AC$2:$AC$281,"SOFTWARE TESTING &gt; Software Testing in the Development Processes...")</f>
        <v>0</v>
      </c>
      <c r="AN107" s="17">
        <f>COUNTIFS('Prácticas_Revisiones'!$S$2:$S$282,"T091",'Prácticas_Revisiones'!$T$2:$T$282,"SOFTWARE TESTING &gt; Testing of and Testing Through Emerging Tech...")+COUNTIFS('Prácticas_Snowballing'!$AB$2:$AB$281,"T091",'Prácticas_Snowballing'!$AC$2:$AC$281,"SOFTWARE TESTING &gt; Testing of and Testing Through Emerging Tech...")</f>
        <v>0</v>
      </c>
      <c r="AO107" s="17">
        <f>COUNTIFS('Prácticas_Revisiones'!$S$2:$S$282,"T091",'Prácticas_Revisiones'!$T$2:$T$282,"SOFTWARE TESTING &gt; Software Testing Tools")+COUNTIFS('Prácticas_Snowballing'!$AB$2:$AB$281,"T091",'Prácticas_Snowballing'!$AC$2:$AC$281,"SOFTWARE TESTING &gt; Software Testing Tools")</f>
        <v>0</v>
      </c>
      <c r="AP107" s="17">
        <f>COUNTIFS('Prácticas_Revisiones'!$S$2:$S$282,"T091",'Prácticas_Revisiones'!$T$2:$T$282,"SOFTWARE TESTING &gt; Subárea no determinable")+COUNTIFS('Prácticas_Snowballing'!$AB$2:$AB$281,"T091",'Prácticas_Snowballing'!$AC$2:$AC$281,"SOFTWARE TESTING &gt; Subárea no determinable")</f>
        <v>0</v>
      </c>
      <c r="AQ107" s="29">
        <f t="shared" si="90"/>
        <v>0</v>
      </c>
      <c r="AR107" s="17">
        <f>COUNTIFS('Prácticas_Revisiones'!$S$2:$S$282,"T091",'Prácticas_Revisiones'!$T$2:$T$282,"SOFTWARE ENG. OPERATIONS &gt; Software Engineering Operations Fundamentals")+COUNTIFS('Prácticas_Snowballing'!$AB$2:$AB$281,"T091",'Prácticas_Snowballing'!$AC$2:$AC$281,"SOFTWARE ENG. OPERATIONS &gt; Software Engineering Operations Fundamentals")</f>
        <v>0</v>
      </c>
      <c r="AS107" s="17">
        <f>COUNTIFS('Prácticas_Revisiones'!$S$2:$S$282,"T091",'Prácticas_Revisiones'!$T$2:$T$282,"SOFTWARE ENG. OPERATIONS &gt; Software Engineering Operations Planning")+COUNTIFS('Prácticas_Snowballing'!$AB$2:$AB$281,"T091",'Prácticas_Snowballing'!$AC$2:$AC$281,"SOFTWARE ENG. OPERATIONS &gt; Software Engineering Operations Planning")</f>
        <v>0</v>
      </c>
      <c r="AT107" s="17">
        <f>COUNTIFS('Prácticas_Revisiones'!$S$2:$S$282,"T091",'Prácticas_Revisiones'!$T$2:$T$282,"SOFTWARE ENG. OPERATIONS &gt; Software Engineering Operations Delivery")+COUNTIFS('Prácticas_Snowballing'!$AB$2:$AB$281,"T091",'Prácticas_Snowballing'!$AC$2:$AC$281,"SOFTWARE ENG. OPERATIONS &gt; Software Engineering Operations Delivery")</f>
        <v>0</v>
      </c>
      <c r="AU107" s="17">
        <f>COUNTIFS('Prácticas_Revisiones'!$S$2:$S$282,"T091",'Prácticas_Revisiones'!$T$2:$T$282,"SOFTWARE ENG. OPERATIONS &gt; Software Engineering Operations Control")+COUNTIFS('Prácticas_Snowballing'!$AB$2:$AB$281,"T091",'Prácticas_Snowballing'!$AC$2:$AC$281,"SOFTWARE ENG. OPERATIONS &gt; Software Engineering Operations Control")</f>
        <v>0</v>
      </c>
      <c r="AV107" s="17">
        <f>COUNTIFS('Prácticas_Revisiones'!$S$2:$S$282,"T091",'Prácticas_Revisiones'!$T$2:$T$282,"SOFTWARE ENG. OPERATIONS &gt; Practical Considerations")+COUNTIFS('Prácticas_Snowballing'!$AB$2:$AB$281,"T091",'Prácticas_Snowballing'!$AC$2:$AC$281,"SOFTWARE ENG. OPERATIONS &gt; Practical Considerations")</f>
        <v>0</v>
      </c>
      <c r="AW107" s="17">
        <f>COUNTIFS('Prácticas_Revisiones'!$S$2:$S$282,"T091",'Prácticas_Revisiones'!$T$2:$T$282,"SOFTWARE ENG. OPERATIONS &gt; Software Engineering Operations Tools")+COUNTIFS('Prácticas_Snowballing'!$AB$2:$AB$281,"T091",'Prácticas_Snowballing'!$AC$2:$AC$281,"SOFTWARE ENG. OPERATIONS &gt; Software Engineering Operations Tools")</f>
        <v>0</v>
      </c>
      <c r="AX107" s="17">
        <f>COUNTIFS('Prácticas_Revisiones'!$S$2:$S$282,"T091",'Prácticas_Revisiones'!$T$2:$T$282,"SOFTWARE ENG. OPERATIONS &gt; Subárea no determinable")+COUNTIFS('Prácticas_Snowballing'!$AB$2:$AB$281,"T091",'Prácticas_Snowballing'!$AC$2:$AC$281,"SOFTWARE ENG. OPERATIONS &gt; Subárea no determinable")</f>
        <v>0</v>
      </c>
      <c r="AY107" s="29">
        <f t="shared" si="91"/>
        <v>0</v>
      </c>
      <c r="AZ107" s="17">
        <f>COUNTIFS('Prácticas_Revisiones'!$S$2:$S$282,"T091",'Prácticas_Revisiones'!$T$2:$T$282,"MAINTENANCE &gt; Software Maintenance Fundamentals")+COUNTIFS('Prácticas_Snowballing'!$AB$2:$AB$281,"T091",'Prácticas_Snowballing'!$AC$2:$AC$281,"MAINTENANCE &gt; Software Maintenance Fundamentals")</f>
        <v>0</v>
      </c>
      <c r="BA107" s="17">
        <f>COUNTIFS('Prácticas_Revisiones'!$S$2:$S$282,"T091",'Prácticas_Revisiones'!$T$2:$T$282,"MAINTENANCE &gt; Key Issues in Software Maintenance")+COUNTIFS('Prácticas_Snowballing'!$AB$2:$AB$281,"T091",'Prácticas_Snowballing'!$AC$2:$AC$281,"MAINTENANCE &gt; Key Issues in Software Maintenance")</f>
        <v>0</v>
      </c>
      <c r="BB107" s="17">
        <f>COUNTIFS('Prácticas_Revisiones'!$S$2:$S$282,"T091",'Prácticas_Revisiones'!$T$2:$T$282,"MAINTENANCE &gt; Software Maintenance Processes")+COUNTIFS('Prácticas_Snowballing'!$AB$2:$AB$281,"T091",'Prácticas_Snowballing'!$AC$2:$AC$281,"MAINTENANCE &gt; Software Maintenance Processes")</f>
        <v>0</v>
      </c>
      <c r="BC107" s="17">
        <f>COUNTIFS('Prácticas_Revisiones'!$S$2:$S$282,"T091",'Prácticas_Revisiones'!$T$2:$T$282,"MAINTENANCE &gt; Software Maintenance Techniques")+COUNTIFS('Prácticas_Snowballing'!$AB$2:$AB$281,"T091",'Prácticas_Snowballing'!$AC$2:$AC$281,"MAINTENANCE &gt; Software Maintenance Techniques")</f>
        <v>0</v>
      </c>
      <c r="BD107" s="17">
        <f>COUNTIFS('Prácticas_Revisiones'!$S$2:$S$282,"T091",'Prácticas_Revisiones'!$T$2:$T$282,"MAINTENANCE &gt; Software Maintenance Tools")+COUNTIFS('Prácticas_Snowballing'!$AB$2:$AB$281,"T091",'Prácticas_Snowballing'!$AC$2:$AC$281,"MAINTENANCE &gt; Software Maintenance Tools")</f>
        <v>0</v>
      </c>
      <c r="BE107" s="17">
        <f>COUNTIFS('Prácticas_Revisiones'!$S$2:$S$282,"T091",'Prácticas_Revisiones'!$T$2:$T$282,"MAINTENANCE &gt; Subárea no determinable")+COUNTIFS('Prácticas_Snowballing'!$AB$2:$AB$281,"T091",'Prácticas_Snowballing'!$AC$2:$AC$281,"MAINTENANCE &gt; Subárea no determinable")</f>
        <v>0</v>
      </c>
      <c r="BF107" s="29">
        <f t="shared" si="92"/>
        <v>0</v>
      </c>
      <c r="BG107" s="17">
        <f>COUNTIFS('Prácticas_Revisiones'!$S$2:$S$282,"T091",'Prácticas_Revisiones'!$T$2:$T$282,"SOFTWARE CONFIG. MGMT. &gt; Management of the SCM Process")+COUNTIFS('Prácticas_Snowballing'!$AB$2:$AB$281,"T091",'Prácticas_Snowballing'!$AC$2:$AC$281,"SOFTWARE CONFIG. MGMT. &gt; Management of the SCM Process")</f>
        <v>0</v>
      </c>
      <c r="BH107" s="17">
        <f>COUNTIFS('Prácticas_Revisiones'!$S$2:$S$282,"T091",'Prácticas_Revisiones'!$T$2:$T$282,"SOFTWARE CONFIG. MGMT. &gt; Software Configuration Identification")+COUNTIFS('Prácticas_Snowballing'!$AB$2:$AB$281,"T091",'Prácticas_Snowballing'!$AC$2:$AC$281,"SOFTWARE CONFIG. MGMT. &gt; Software Configuration Identification")</f>
        <v>0</v>
      </c>
      <c r="BI107" s="17">
        <f>COUNTIFS('Prácticas_Revisiones'!$S$2:$S$282,"T091",'Prácticas_Revisiones'!$T$2:$T$282,"SOFTWARE CONFIG. MGMT. &gt; Software Configuration Change Control")+COUNTIFS('Prácticas_Snowballing'!$AB$2:$AB$281,"T091",'Prácticas_Snowballing'!$AC$2:$AC$281,"SOFTWARE CONFIG. MGMT. &gt; Software Configuration Change Control")</f>
        <v>0</v>
      </c>
      <c r="BJ107" s="17">
        <f>COUNTIFS('Prácticas_Revisiones'!$S$2:$S$282,"T091",'Prácticas_Revisiones'!$T$2:$T$282,"SOFTWARE CONFIG. MGMT. &gt; Software Configuration Status Accounting")+COUNTIFS('Prácticas_Snowballing'!$AB$2:$AB$281,"T091",'Prácticas_Snowballing'!$AC$2:$AC$281,"SOFTWARE CONFIG. MGMT. &gt; Software Configuration Status Accounting")</f>
        <v>0</v>
      </c>
      <c r="BK107" s="17">
        <f>COUNTIFS('Prácticas_Revisiones'!$S$2:$S$282,"T091",'Prácticas_Revisiones'!$T$2:$T$282,"SOFTWARE CONFIG. MGMT. &gt; Software Configuration Auditing")+COUNTIFS('Prácticas_Snowballing'!$AB$2:$AB$281,"T091",'Prácticas_Snowballing'!$AC$2:$AC$281,"SOFTWARE CONFIG. MGMT. &gt; Software Configuration Auditing")</f>
        <v>0</v>
      </c>
      <c r="BL107" s="17">
        <f>COUNTIFS('Prácticas_Revisiones'!$S$2:$S$282,"T091",'Prácticas_Revisiones'!$T$2:$T$282,"SOFTWARE CONFIG. MGMT. &gt; Software Release Management and Delivery")+COUNTIFS('Prácticas_Snowballing'!$AB$2:$AB$281,"T091",'Prácticas_Snowballing'!$AC$2:$AC$281,"SOFTWARE CONFIG. MGMT. &gt; Software Release Management and Delivery")</f>
        <v>0</v>
      </c>
      <c r="BM107" s="17">
        <f>COUNTIFS('Prácticas_Revisiones'!$S$2:$S$282,"T091",'Prácticas_Revisiones'!$T$2:$T$282,"SOFTWARE CONFIG. MGMT. &gt; Software Configuration Management Tools")+COUNTIFS('Prácticas_Snowballing'!$AB$2:$AB$281,"T091",'Prácticas_Snowballing'!$AC$2:$AC$281,"SOFTWARE CONFIG. MGMT. &gt; Software Configuration Management Tools")</f>
        <v>0</v>
      </c>
      <c r="BN107" s="17">
        <f>COUNTIFS('Prácticas_Revisiones'!$S$2:$S$282,"T091",'Prácticas_Revisiones'!$T$2:$T$282,"SOFTWARE CONFIG. MGMT. &gt; Subárea no determinable")+COUNTIFS('Prácticas_Snowballing'!$AB$2:$AB$281,"T091",'Prácticas_Snowballing'!$AC$2:$AC$281,"SOFTWARE CONFIG. MGMT. &gt; Subárea no determinable")</f>
        <v>0</v>
      </c>
      <c r="BO107" s="29">
        <f t="shared" si="93"/>
        <v>0</v>
      </c>
      <c r="BP107" s="17">
        <f>COUNTIFS('Prácticas_Revisiones'!$S$2:$S$282,"T091",'Prácticas_Revisiones'!$T$2:$T$282,"SOFTWARE ENG. PROCESS &gt; Software Engineering Process Fundamentals")+COUNTIFS('Prácticas_Snowballing'!$AB$2:$AB$281,"T091",'Prácticas_Snowballing'!$AC$2:$AC$281,"SOFTWARE ENG. PROCESS &gt; Software Engineering Process Fundamentals")</f>
        <v>0</v>
      </c>
      <c r="BQ107" s="17">
        <f>COUNTIFS('Prácticas_Revisiones'!$S$2:$S$282,"T091",'Prácticas_Revisiones'!$T$2:$T$282,"SOFTWARE ENG. PROCESS &gt; Life Cycles")+COUNTIFS('Prácticas_Snowballing'!$AB$2:$AB$281,"T091",'Prácticas_Snowballing'!$AC$2:$AC$281,"SOFTWARE ENG. PROCESS &gt; Life Cycles")</f>
        <v>0</v>
      </c>
      <c r="BR107" s="17">
        <f>COUNTIFS('Prácticas_Revisiones'!$S$2:$S$282,"T091",'Prácticas_Revisiones'!$T$2:$T$282,"SOFTWARE ENG. PROCESS &gt; Software Process Assessment and Improvement")+COUNTIFS('Prácticas_Snowballing'!$AB$2:$AB$281,"T091",'Prácticas_Snowballing'!$AC$2:$AC$281,"SOFTWARE ENG. PROCESS &gt; Software Process Assessment and Improvement")</f>
        <v>0</v>
      </c>
      <c r="BS107" s="17">
        <f>COUNTIFS('Prácticas_Revisiones'!$S$2:$S$282,"T091",'Prácticas_Revisiones'!$T$2:$T$282,"SOFTWARE ENG. PROCESS &gt; Subárea no determinable")+COUNTIFS('Prácticas_Snowballing'!$AB$2:$AB$281,"T091",'Prácticas_Snowballing'!$AC$2:$AC$281,"SOFTWARE ENG. PROCESS &gt; Subárea no determinable")</f>
        <v>0</v>
      </c>
      <c r="BT107" s="29">
        <f t="shared" si="94"/>
        <v>0</v>
      </c>
      <c r="BU107" s="17">
        <f>COUNTIFS('Prácticas_Revisiones'!$S$2:$S$282,"T091",'Prácticas_Revisiones'!$T$2:$T$282,"SOFTWARE ENG. MODELS/METH. &gt; Modeling")+COUNTIFS('Prácticas_Snowballing'!$AB$2:$AB$281,"T091",'Prácticas_Snowballing'!$AC$2:$AC$281,"SOFTWARE ENG. MODELS/METH. &gt; Modeling")</f>
        <v>0</v>
      </c>
      <c r="BV107" s="17">
        <f>COUNTIFS('Prácticas_Revisiones'!$S$2:$S$282,"T091",'Prácticas_Revisiones'!$T$2:$T$282,"SOFTWARE ENG. MODELS/METH. &gt; Types of Models")+COUNTIFS('Prácticas_Snowballing'!$AB$2:$AB$281,"T091",'Prácticas_Snowballing'!$AC$2:$AC$281,"SOFTWARE ENG. MODELS/METH. &gt; Types of Models")</f>
        <v>0</v>
      </c>
      <c r="BW107" s="17">
        <f>COUNTIFS('Prácticas_Revisiones'!$S$2:$S$282,"T091",'Prácticas_Revisiones'!$T$2:$T$282,"SOFTWARE ENG. MODELS/METH. &gt; Analysis of Models")+COUNTIFS('Prácticas_Snowballing'!$AB$2:$AB$281,"T091",'Prácticas_Snowballing'!$AC$2:$AC$281,"SOFTWARE ENG. MODELS/METH. &gt; Analysis of Models")</f>
        <v>0</v>
      </c>
      <c r="BX107" s="17">
        <f>COUNTIFS('Prácticas_Revisiones'!$S$2:$S$282,"T091",'Prácticas_Revisiones'!$T$2:$T$282,"SOFTWARE ENG. MODELS/METH. &gt; Software Engineering Methods")+COUNTIFS('Prácticas_Snowballing'!$AB$2:$AB$281,"T091",'Prácticas_Snowballing'!$AC$2:$AC$281,"SOFTWARE ENG. MODELS/METH. &gt; Software Engineering Methods")</f>
        <v>0</v>
      </c>
      <c r="BY107" s="17">
        <f>COUNTIFS('Prácticas_Revisiones'!$S$2:$S$282,"T091",'Prácticas_Revisiones'!$T$2:$T$282,"SOFTWARE ENG. MODELS/METH. &gt; Subárea no determinable")+COUNTIFS('Prácticas_Snowballing'!$AB$2:$AB$281,"T091",'Prácticas_Snowballing'!$AC$2:$AC$281,"SOFTWARE ENG. MODELS/METH. &gt; Subárea no determinable")</f>
        <v>0</v>
      </c>
      <c r="BZ107" s="29">
        <f t="shared" si="95"/>
        <v>0</v>
      </c>
      <c r="CA107" s="17">
        <f>COUNTIFS('Prácticas_Revisiones'!$S$2:$S$282,"T091",'Prácticas_Revisiones'!$T$2:$T$282,"SOFTWARE QUALITY &gt; Software Quality Fundamentals")+COUNTIFS('Prácticas_Snowballing'!$AB$2:$AB$281,"T091",'Prácticas_Snowballing'!$AC$2:$AC$281,"SOFTWARE QUALITY &gt; Software Quality Fundamentals")</f>
        <v>0</v>
      </c>
      <c r="CB107" s="17">
        <f>COUNTIFS('Prácticas_Revisiones'!$S$2:$S$282,"T091",'Prácticas_Revisiones'!$T$2:$T$282,"SOFTWARE QUALITY &gt; Software Quality Management Process")+COUNTIFS('Prácticas_Snowballing'!$AB$2:$AB$281,"T091",'Prácticas_Snowballing'!$AC$2:$AC$281,"SOFTWARE QUALITY &gt; Software Quality Management Process")</f>
        <v>0</v>
      </c>
      <c r="CC107" s="17">
        <f>COUNTIFS('Prácticas_Revisiones'!$S$2:$S$282,"T091",'Prácticas_Revisiones'!$T$2:$T$282,"SOFTWARE QUALITY &gt; Software Quality Assurance Process")+COUNTIFS('Prácticas_Snowballing'!$AB$2:$AB$281,"T091",'Prácticas_Snowballing'!$AC$2:$AC$281,"SOFTWARE QUALITY &gt; Software Quality Assurance Process")</f>
        <v>0</v>
      </c>
      <c r="CD107" s="17">
        <f>COUNTIFS('Prácticas_Revisiones'!$S$2:$S$282,"T091",'Prácticas_Revisiones'!$T$2:$T$282,"SOFTWARE QUALITY &gt; Software Quality Tools")+COUNTIFS('Prácticas_Snowballing'!$AB$2:$AB$281,"T091",'Prácticas_Snowballing'!$AC$2:$AC$281,"SOFTWARE QUALITY &gt; Software Quality Tools")</f>
        <v>0</v>
      </c>
      <c r="CE107" s="17">
        <f>COUNTIFS('Prácticas_Revisiones'!$S$2:$S$282,"T091",'Prácticas_Revisiones'!$T$2:$T$282,"SOFTWARE QUALITY &gt; Subárea no determinable")+COUNTIFS('Prácticas_Snowballing'!$AB$2:$AB$281,"T091",'Prácticas_Snowballing'!$AC$2:$AC$281,"SOFTWARE QUALITY &gt; Subárea no determinable")</f>
        <v>0</v>
      </c>
      <c r="CF107" s="29">
        <f t="shared" si="96"/>
        <v>0</v>
      </c>
      <c r="CG107" s="17">
        <f>COUNTIFS('Prácticas_Revisiones'!$S$2:$S$282,"T091",'Prácticas_Revisiones'!$T$2:$T$282,"SOFTWARE SECURITY &gt; Software Security Fundamentals")+COUNTIFS('Prácticas_Snowballing'!$AB$2:$AB$281,"T091",'Prácticas_Snowballing'!$AC$2:$AC$281,"SOFTWARE SECURITY &gt; Software Security Fundamentals")</f>
        <v>0</v>
      </c>
      <c r="CH107" s="17">
        <f>COUNTIFS('Prácticas_Revisiones'!$S$2:$S$282,"T091",'Prácticas_Revisiones'!$T$2:$T$282,"SOFTWARE SECURITY &gt; Security Management and Organization")+COUNTIFS('Prácticas_Snowballing'!$AB$2:$AB$281,"T091",'Prácticas_Snowballing'!$AC$2:$AC$281,"SOFTWARE SECURITY &gt; Security Management and Organization")</f>
        <v>0</v>
      </c>
      <c r="CI107" s="17">
        <f>COUNTIFS('Prácticas_Revisiones'!$S$2:$S$282,"T091",'Prácticas_Revisiones'!$T$2:$T$282,"SOFTWARE SECURITY &gt; Software Security Engineering and Process")+COUNTIFS('Prácticas_Snowballing'!$AB$2:$AB$281,"T091",'Prácticas_Snowballing'!$AC$2:$AC$281,"SOFTWARE SECURITY &gt; Software Security Engineering and Process")</f>
        <v>0</v>
      </c>
      <c r="CJ107" s="17">
        <f>COUNTIFS('Prácticas_Revisiones'!$S$2:$S$282,"T091",'Prácticas_Revisiones'!$T$2:$T$282,"SOFTWARE SECURITY &gt; Security Engineering for Software Systems")+COUNTIFS('Prácticas_Snowballing'!$AB$2:$AB$281,"T091",'Prácticas_Snowballing'!$AC$2:$AC$281,"SOFTWARE SECURITY &gt; Security Engineering for Software Systems")</f>
        <v>0</v>
      </c>
      <c r="CK107" s="17">
        <f>COUNTIFS('Prácticas_Revisiones'!$S$2:$S$282,"T091",'Prácticas_Revisiones'!$T$2:$T$282,"SOFTWARE SECURITY &gt; Software Security Tools")+COUNTIFS('Prácticas_Snowballing'!$AB$2:$AB$281,"T091",'Prácticas_Snowballing'!$AC$2:$AC$281,"SOFTWARE SECURITY &gt; Software Security Tools")</f>
        <v>0</v>
      </c>
      <c r="CL107" s="17">
        <f>COUNTIFS('Prácticas_Revisiones'!$S$2:$S$282,"T091",'Prácticas_Revisiones'!$T$2:$T$282,"SOFTWARE SECURITY &gt; Domain Specific Software Security")+COUNTIFS('Prácticas_Snowballing'!$AB$2:$AB$281,"T091",'Prácticas_Snowballing'!$AC$2:$AC$281,"SOFTWARE SECURITY &gt; Domain Specific Software Security")</f>
        <v>0</v>
      </c>
      <c r="CM107" s="17">
        <f>COUNTIFS('Prácticas_Revisiones'!$S$2:$S$282,"T091",'Prácticas_Revisiones'!$T$2:$T$282,"SOFTWARE SECURITY &gt; Subárea no determinable")+COUNTIFS('Prácticas_Snowballing'!$AB$2:$AB$281,"T091",'Prácticas_Snowballing'!$AC$2:$AC$281,"SOFTWARE SECURITY &gt; Subárea no determinable")</f>
        <v>0</v>
      </c>
      <c r="CN107" s="29">
        <f t="shared" si="97"/>
        <v>0</v>
      </c>
      <c r="CO107" s="17">
        <f>COUNTIFS('Prácticas_Revisiones'!$S$2:$S$282,"T091",'Prácticas_Revisiones'!$T$2:$T$282,"PROFESSIONAL PRACTICE &gt; Professionalism")+COUNTIFS('Prácticas_Snowballing'!$AB$2:$AB$281,"T091",'Prácticas_Snowballing'!$AC$2:$AC$281,"PROFESSIONAL PRACTICE &gt; Professionalism")</f>
        <v>0</v>
      </c>
      <c r="CP107" s="17">
        <f>COUNTIFS('Prácticas_Revisiones'!$S$2:$S$282,"T091",'Prácticas_Revisiones'!$T$2:$T$282,"PROFESSIONAL PRACTICE &gt; Group Dynamics and Psychology")+COUNTIFS('Prácticas_Snowballing'!$AB$2:$AB$281,"T091",'Prácticas_Snowballing'!$AC$2:$AC$281,"PROFESSIONAL PRACTICE &gt; Group Dynamics and Psychology")</f>
        <v>0</v>
      </c>
      <c r="CQ107" s="17">
        <f>COUNTIFS('Prácticas_Revisiones'!$S$2:$S$282,"T091",'Prácticas_Revisiones'!$T$2:$T$282,"PROFESSIONAL PRACTICE &gt; Communication Skills")+COUNTIFS('Prácticas_Snowballing'!$AB$2:$AB$281,"T091",'Prácticas_Snowballing'!$AC$2:$AC$281,"PROFESSIONAL PRACTICE &gt; Communication Skills")</f>
        <v>0</v>
      </c>
      <c r="CR107" s="17">
        <f>COUNTIFS('Prácticas_Revisiones'!$S$2:$S$282,"T091",'Prácticas_Revisiones'!$T$2:$T$282,"PROFESSIONAL PRACTICE &gt; Subárea no determinable")+COUNTIFS('Prácticas_Snowballing'!$AB$2:$AB$281,"T091",'Prácticas_Snowballing'!$AC$2:$AC$281,"PROFESSIONAL PRACTICE &gt; Subárea no determinable")</f>
        <v>0</v>
      </c>
      <c r="CS107" s="29">
        <f t="shared" si="98"/>
        <v>0</v>
      </c>
      <c r="CT107" s="17">
        <f>COUNTIFS('Prácticas_Revisiones'!$S$2:$S$282,"T091",'Prácticas_Revisiones'!$T$2:$T$282,"SOFTWARE ENG. ECONOMICS &gt; Software Engineering Economics Fundamentals")+COUNTIFS('Prácticas_Snowballing'!$AB$2:$AB$281,"T091",'Prácticas_Snowballing'!$AC$2:$AC$281,"SOFTWARE ENG. ECONOMICS &gt; Software Engineering Economics Fundamentals")</f>
        <v>0</v>
      </c>
      <c r="CU107" s="17">
        <f>COUNTIFS('Prácticas_Revisiones'!$S$2:$S$282,"T091",'Prácticas_Revisiones'!$T$2:$T$282,"SOFTWARE ENG. ECONOMICS &gt; The Engineering Decision-Making Process")+COUNTIFS('Prácticas_Snowballing'!$AB$2:$AB$281,"T091",'Prácticas_Snowballing'!$AC$2:$AC$281,"SOFTWARE ENG. ECONOMICS &gt; The Engineering Decision-Making Process")</f>
        <v>0</v>
      </c>
      <c r="CV107" s="17">
        <f>COUNTIFS('Prácticas_Revisiones'!$S$2:$S$282,"T091",'Prácticas_Revisiones'!$T$2:$T$282,"SOFTWARE ENG. ECONOMICS &gt; For-Profit Decision-Making")+COUNTIFS('Prácticas_Snowballing'!$AB$2:$AB$281,"T091",'Prácticas_Snowballing'!$AC$2:$AC$281,"SOFTWARE ENG. ECONOMICS &gt; For-Profit Decision-Making")</f>
        <v>0</v>
      </c>
      <c r="CW107" s="17">
        <f>COUNTIFS('Prácticas_Revisiones'!$S$2:$S$282,"T091",'Prácticas_Revisiones'!$T$2:$T$282,"SOFTWARE ENG. ECONOMICS &gt; Nonprofit Decision-Making")+COUNTIFS('Prácticas_Snowballing'!$AB$2:$AB$281,"T091",'Prácticas_Snowballing'!$AC$2:$AC$281,"SOFTWARE ENG. ECONOMICS &gt; Nonprofit Decision-Making")</f>
        <v>0</v>
      </c>
      <c r="CX107" s="17">
        <f>COUNTIFS('Prácticas_Revisiones'!$S$2:$S$282,"T091",'Prácticas_Revisiones'!$T$2:$T$282,"SOFTWARE ENG. ECONOMICS &gt; Present Economy Decision-Making")+COUNTIFS('Prácticas_Snowballing'!$AB$2:$AB$281,"T091",'Prácticas_Snowballing'!$AC$2:$AC$281,"SOFTWARE ENG. ECONOMICS &gt; Present Economy Decision-Making")</f>
        <v>0</v>
      </c>
      <c r="CY107" s="17">
        <f>COUNTIFS('Prácticas_Revisiones'!$S$2:$S$282,"T091",'Prácticas_Revisiones'!$T$2:$T$282,"SOFTWARE ENG. ECONOMICS &gt; Multiple-Attribute Decision-Making")+COUNTIFS('Prácticas_Snowballing'!$AB$2:$AB$281,"T091",'Prácticas_Snowballing'!$AC$2:$AC$281,"SOFTWARE ENG. ECONOMICS &gt; Multiple-Attribute Decision-Making")</f>
        <v>0</v>
      </c>
      <c r="CZ107" s="17">
        <f>COUNTIFS('Prácticas_Revisiones'!$S$2:$S$282,"T091",'Prácticas_Revisiones'!$T$2:$T$282,"SOFTWARE ENG. ECONOMICS &gt; Identifying and Characterizing Intangible Assets")+COUNTIFS('Prácticas_Snowballing'!$AB$2:$AB$281,"T091",'Prácticas_Snowballing'!$AC$2:$AC$281,"SOFTWARE ENG. ECONOMICS &gt; Identifying and Characterizing Intangible Assets")</f>
        <v>0</v>
      </c>
      <c r="DA107" s="17">
        <f>COUNTIFS('Prácticas_Revisiones'!$S$2:$S$282,"T091",'Prácticas_Revisiones'!$T$2:$T$282,"SOFTWARE ENG. ECONOMICS &gt; Estimation")+COUNTIFS('Prácticas_Snowballing'!$AB$2:$AB$281,"T091",'Prácticas_Snowballing'!$AC$2:$AC$281,"SOFTWARE ENG. ECONOMICS &gt; Estimation")</f>
        <v>0</v>
      </c>
      <c r="DB107" s="17">
        <f>COUNTIFS('Prácticas_Revisiones'!$S$2:$S$282,"T091",'Prácticas_Revisiones'!$T$2:$T$282,"SOFTWARE ENG. ECONOMICS &gt; Practical Considerations")+COUNTIFS('Prácticas_Snowballing'!$AB$2:$AB$281,"T091",'Prácticas_Snowballing'!$AC$2:$AC$281,"SOFTWARE ENG. ECONOMICS &gt; Practical Considerations")</f>
        <v>0</v>
      </c>
      <c r="DC107" s="17">
        <f>COUNTIFS('Prácticas_Revisiones'!$S$2:$S$282,"T091",'Prácticas_Revisiones'!$T$2:$T$282,"SOFTWARE ENG. ECONOMICS &gt; Related Concepts")+COUNTIFS('Prácticas_Snowballing'!$AB$2:$AB$281,"T091",'Prácticas_Snowballing'!$AC$2:$AC$281,"SOFTWARE ENG. ECONOMICS &gt; Related Concepts")</f>
        <v>0</v>
      </c>
      <c r="DD107" s="17">
        <f>COUNTIFS('Prácticas_Revisiones'!$S$2:$S$282,"T091",'Prácticas_Revisiones'!$T$2:$T$282,"SOFTWARE ENG. ECONOMICS &gt; Subárea no determinable")+COUNTIFS('Prácticas_Snowballing'!$AB$2:$AB$281,"T091",'Prácticas_Snowballing'!$AC$2:$AC$281,"SOFTWARE ENG. ECONOMICS &gt; Subárea no determinable")</f>
        <v>0</v>
      </c>
      <c r="DE107" s="29">
        <f t="shared" si="99"/>
        <v>0</v>
      </c>
      <c r="DF107" s="17">
        <f>COUNTIFS('Prácticas_Revisiones'!$S$2:$S$282,"T091",'Prácticas_Revisiones'!$T$2:$T$282,"SOFTWARE ENG. MANAGEMENT &gt; Software Engineering Management Fundamentals")+COUNTIFS('Prácticas_Snowballing'!$AB$2:$AB$281,"T091",'Prácticas_Snowballing'!$AC$2:$AC$281,"SOFTWARE ENG. MANAGEMENT &gt; Software Engineering Management Fundamentals")</f>
        <v>0</v>
      </c>
      <c r="DG107" s="17">
        <f>COUNTIFS('Prácticas_Revisiones'!$S$2:$S$282,"T091",'Prácticas_Revisiones'!$T$2:$T$282,"SOFTWARE ENG. MANAGEMENT &gt; Initiation and Scope Definition")+COUNTIFS('Prácticas_Snowballing'!$AB$2:$AB$281,"T091",'Prácticas_Snowballing'!$AC$2:$AC$281,"SOFTWARE ENG. MANAGEMENT &gt; Initiation and Scope Definition")</f>
        <v>0</v>
      </c>
      <c r="DH107" s="17">
        <f>COUNTIFS('Prácticas_Revisiones'!$S$2:$S$282,"T091",'Prácticas_Revisiones'!$T$2:$T$282,"SOFTWARE ENG. MANAGEMENT &gt; Software Project Planning")+COUNTIFS('Prácticas_Snowballing'!$AB$2:$AB$281,"T091",'Prácticas_Snowballing'!$AC$2:$AC$281,"SOFTWARE ENG. MANAGEMENT &gt; Software Project Planning")</f>
        <v>0</v>
      </c>
      <c r="DI107" s="17">
        <f>COUNTIFS('Prácticas_Revisiones'!$S$2:$S$282,"T091",'Prácticas_Revisiones'!$T$2:$T$282,"SOFTWARE ENG. MANAGEMENT &gt; Software Project Enactment")+COUNTIFS('Prácticas_Snowballing'!$AB$2:$AB$281,"T091",'Prácticas_Snowballing'!$AC$2:$AC$281,"SOFTWARE ENG. MANAGEMENT &gt; Software Project Enactment")</f>
        <v>0</v>
      </c>
      <c r="DJ107" s="17">
        <f>COUNTIFS('Prácticas_Revisiones'!$S$2:$S$282,"T091",'Prácticas_Revisiones'!$T$2:$T$282,"SOFTWARE ENG. MANAGEMENT &gt; Review and Evaluation")+COUNTIFS('Prácticas_Snowballing'!$AB$2:$AB$281,"T091",'Prácticas_Snowballing'!$AC$2:$AC$281,"SOFTWARE ENG. MANAGEMENT &gt; Review and Evaluation")</f>
        <v>0</v>
      </c>
      <c r="DK107" s="17">
        <f>COUNTIFS('Prácticas_Revisiones'!$S$2:$S$282,"T091",'Prácticas_Revisiones'!$T$2:$T$282,"SOFTWARE ENG. MANAGEMENT &gt; Closure")+COUNTIFS('Prácticas_Snowballing'!$AB$2:$AB$281,"T091",'Prácticas_Snowballing'!$AC$2:$AC$281,"SOFTWARE ENG. MANAGEMENT &gt; Closure")</f>
        <v>0</v>
      </c>
      <c r="DL107" s="17">
        <f>COUNTIFS('Prácticas_Revisiones'!$S$2:$S$282,"T091",'Prácticas_Revisiones'!$T$2:$T$282,"SOFTWARE ENG. MANAGEMENT &gt; Software Engineering Management Tools")+COUNTIFS('Prácticas_Snowballing'!$AB$2:$AB$281,"T091",'Prácticas_Snowballing'!$AC$2:$AC$281,"SOFTWARE ENG. MANAGEMENT &gt; Software Engineering Management Tools")</f>
        <v>0</v>
      </c>
      <c r="DM107" s="17">
        <f>COUNTIFS('Prácticas_Revisiones'!$S$2:$S$282,"T091",'Prácticas_Revisiones'!$T$2:$T$282,"SOFTWARE ENG. MANAGEMENT &gt; Subárea no determinable")+COUNTIFS('Prácticas_Snowballing'!$AB$2:$AB$281,"T091",'Prácticas_Snowballing'!$AC$2:$AC$281,"SOFTWARE ENG. MANAGEMENT &gt; Subárea no determinable")</f>
        <v>0</v>
      </c>
      <c r="DN107" s="29">
        <f t="shared" si="100"/>
        <v>0</v>
      </c>
      <c r="DO107" s="17">
        <f>COUNTIFS('Prácticas_Revisiones'!$S$2:$S$282,"T091",'Prácticas_Revisiones'!$T$2:$T$282,"Sin área SWEBOK")+COUNTIFS('Prácticas_Snowballing'!$AB$2:$AB$281,"T091",'Prácticas_Snowballing'!$AC$2:$AC$281,"Sin área SWEBOK")</f>
        <v>0</v>
      </c>
      <c r="DP107" s="27">
        <f t="shared" si="101"/>
        <v>0</v>
      </c>
    </row>
    <row r="108" ht="15.75" customHeight="1">
      <c r="A108" s="28"/>
      <c r="B108" s="16" t="s">
        <v>2797</v>
      </c>
      <c r="C108" s="17">
        <f>COUNTIFS('Prácticas_Revisiones'!$S$2:$S$282,"T092",'Prácticas_Revisiones'!$T$2:$T$282,"REQUIREMENTS &gt; Software Requirements Fundamentals")+COUNTIFS('Prácticas_Snowballing'!$AB$2:$AB$281,"T092",'Prácticas_Snowballing'!$AC$2:$AC$281,"REQUIREMENTS &gt; Software Requirements Fundamentals")</f>
        <v>0</v>
      </c>
      <c r="D108" s="17">
        <f>COUNTIFS('Prácticas_Revisiones'!$S$2:$S$282,"T092",'Prácticas_Revisiones'!$T$2:$T$282,"REQUIREMENTS &gt; Requirements Elicitation")+COUNTIFS('Prácticas_Snowballing'!$AB$2:$AB$281,"T092",'Prácticas_Snowballing'!$AC$2:$AC$281,"REQUIREMENTS &gt; Requirements Elicitation")</f>
        <v>0</v>
      </c>
      <c r="E108" s="17">
        <f>COUNTIFS('Prácticas_Revisiones'!$S$2:$S$282,"T092",'Prácticas_Revisiones'!$T$2:$T$282,"REQUIREMENTS &gt; Requirements Analysis")+COUNTIFS('Prácticas_Snowballing'!$AB$2:$AB$281,"T092",'Prácticas_Snowballing'!$AC$2:$AC$281,"REQUIREMENTS &gt; Requirements Analysis")</f>
        <v>0</v>
      </c>
      <c r="F108" s="17">
        <f>COUNTIFS('Prácticas_Revisiones'!$S$2:$S$282,"T092",'Prácticas_Revisiones'!$T$2:$T$282,"REQUIREMENTS &gt; Requirements Specification")+COUNTIFS('Prácticas_Snowballing'!$AB$2:$AB$281,"T092",'Prácticas_Snowballing'!$AC$2:$AC$281,"REQUIREMENTS &gt; Requirements Specification")</f>
        <v>0</v>
      </c>
      <c r="G108" s="17">
        <f>COUNTIFS('Prácticas_Revisiones'!$S$2:$S$282,"T092",'Prácticas_Revisiones'!$T$2:$T$282,"REQUIREMENTS &gt; Requirements Validation")+COUNTIFS('Prácticas_Snowballing'!$AB$2:$AB$281,"T092",'Prácticas_Snowballing'!$AC$2:$AC$281,"REQUIREMENTS &gt; Requirements Validation")</f>
        <v>0</v>
      </c>
      <c r="H108" s="17">
        <f>COUNTIFS('Prácticas_Revisiones'!$S$2:$S$282,"T092",'Prácticas_Revisiones'!$T$2:$T$282,"REQUIREMENTS &gt; Requirements Management Activities")+COUNTIFS('Prácticas_Snowballing'!$AB$2:$AB$281,"T092",'Prácticas_Snowballing'!$AC$2:$AC$281,"REQUIREMENTS &gt; Requirements Management Activities")</f>
        <v>0</v>
      </c>
      <c r="I108" s="17">
        <f>COUNTIFS('Prácticas_Revisiones'!$S$2:$S$282,"T092",'Prácticas_Revisiones'!$T$2:$T$282,"REQUIREMENTS &gt; Practical Considerations")+COUNTIFS('Prácticas_Snowballing'!$AB$2:$AB$281,"T092",'Prácticas_Snowballing'!$AC$2:$AC$281,"REQUIREMENTS &gt; Practical Considerations")</f>
        <v>0</v>
      </c>
      <c r="J108" s="17">
        <f>COUNTIFS('Prácticas_Revisiones'!$S$2:$S$282,"T092",'Prácticas_Revisiones'!$T$2:$T$282,"REQUIREMENTS &gt; Software Requirements Tools")+COUNTIFS('Prácticas_Snowballing'!$AB$2:$AB$281,"T092",'Prácticas_Snowballing'!$AC$2:$AC$281,"REQUIREMENTS &gt; Software Requirements Tools")</f>
        <v>0</v>
      </c>
      <c r="K108" s="17">
        <f>COUNTIFS('Prácticas_Revisiones'!$S$2:$S$282,"T092",'Prácticas_Revisiones'!$T$2:$T$282,"REQUIREMENTS &gt; Subárea no determinable")+COUNTIFS('Prácticas_Snowballing'!$AB$2:$AB$281,"T092",'Prácticas_Snowballing'!$AC$2:$AC$281,"REQUIREMENTS &gt; Subárea no determinable")</f>
        <v>0</v>
      </c>
      <c r="L108" s="29">
        <f t="shared" si="86"/>
        <v>0</v>
      </c>
      <c r="M108" s="17">
        <f>COUNTIFS('Prácticas_Revisiones'!$S$2:$S$282,"T092",'Prácticas_Revisiones'!$T$2:$T$282,"ARCHITECTURE &gt; Software Architecture Fundamentals")+COUNTIFS('Prácticas_Snowballing'!$AB$2:$AB$281,"T092",'Prácticas_Snowballing'!$AC$2:$AC$281,"ARCHITECTURE &gt; Software Architecture Fundamentals")</f>
        <v>0</v>
      </c>
      <c r="N108" s="17">
        <f>COUNTIFS('Prácticas_Revisiones'!$S$2:$S$282,"T092",'Prácticas_Revisiones'!$T$2:$T$282,"ARCHITECTURE &gt; Software Architecture Description")+COUNTIFS('Prácticas_Snowballing'!$AB$2:$AB$281,"T092",'Prácticas_Snowballing'!$AC$2:$AC$281,"ARCHITECTURE &gt; Software Architecture Description")</f>
        <v>0</v>
      </c>
      <c r="O108" s="17">
        <f>COUNTIFS('Prácticas_Revisiones'!$S$2:$S$282,"T092",'Prácticas_Revisiones'!$T$2:$T$282,"ARCHITECTURE &gt; Software Architecture Process")+COUNTIFS('Prácticas_Snowballing'!$AB$2:$AB$281,"T092",'Prácticas_Snowballing'!$AC$2:$AC$281,"ARCHITECTURE &gt; Software Architecture Process")</f>
        <v>0</v>
      </c>
      <c r="P108" s="17">
        <f>COUNTIFS('Prácticas_Revisiones'!$S$2:$S$282,"T092",'Prácticas_Revisiones'!$T$2:$T$282,"ARCHITECTURE &gt; Software Architecture Evaluation")+COUNTIFS('Prácticas_Snowballing'!$AB$2:$AB$281,"T092",'Prácticas_Snowballing'!$AC$2:$AC$281,"ARCHITECTURE &gt; Software Architecture Evaluation")</f>
        <v>0</v>
      </c>
      <c r="Q108" s="17">
        <f>COUNTIFS('Prácticas_Revisiones'!$S$2:$S$282,"T092",'Prácticas_Revisiones'!$T$2:$T$282,"ARCHITECTURE &gt; Subárea no determinable")+COUNTIFS('Prácticas_Snowballing'!$AB$2:$AB$281,"T092",'Prácticas_Snowballing'!$AC$2:$AC$281,"ARCHITECTURE &gt; Subárea no determinable")</f>
        <v>0</v>
      </c>
      <c r="R108" s="29">
        <f t="shared" si="87"/>
        <v>0</v>
      </c>
      <c r="S108" s="17">
        <f>COUNTIFS('Prácticas_Revisiones'!$S$2:$S$282,"T092",'Prácticas_Revisiones'!$T$2:$T$282,"DESIGN &gt; Software Design Fundamentals")+COUNTIFS('Prácticas_Snowballing'!$AB$2:$AB$281,"T092",'Prácticas_Snowballing'!$AC$2:$AC$281,"DESIGN &gt; Software Design Fundamentals")</f>
        <v>0</v>
      </c>
      <c r="T108" s="17">
        <f>COUNTIFS('Prácticas_Revisiones'!$S$2:$S$282,"T092",'Prácticas_Revisiones'!$T$2:$T$282,"DESIGN &gt; Software Design Processes")+COUNTIFS('Prácticas_Snowballing'!$AB$2:$AB$281,"T092",'Prácticas_Snowballing'!$AC$2:$AC$281,"DESIGN &gt; Software Design Processes")</f>
        <v>0</v>
      </c>
      <c r="U108" s="17">
        <f>COUNTIFS('Prácticas_Revisiones'!$S$2:$S$282,"T092",'Prácticas_Revisiones'!$T$2:$T$282,"DESIGN &gt; Software Design Qualities")+COUNTIFS('Prácticas_Snowballing'!$AB$2:$AB$281,"T092",'Prácticas_Snowballing'!$AC$2:$AC$281,"DESIGN &gt; Software Design Qualities")</f>
        <v>0</v>
      </c>
      <c r="V108" s="17">
        <f>COUNTIFS('Prácticas_Revisiones'!$S$2:$S$282,"T092",'Prácticas_Revisiones'!$T$2:$T$282,"DESIGN &gt; Recording Software Design")+COUNTIFS('Prácticas_Snowballing'!$AB$2:$AB$281,"T092",'Prácticas_Snowballing'!$AC$2:$AC$281,"DESIGN &gt; Recording Software Design")</f>
        <v>0</v>
      </c>
      <c r="W108" s="17">
        <f>COUNTIFS('Prácticas_Revisiones'!$S$2:$S$282,"T092",'Prácticas_Revisiones'!$T$2:$T$282,"DESIGN &gt; Software Design Strategies and Methods")+COUNTIFS('Prácticas_Snowballing'!$AB$2:$AB$281,"T092",'Prácticas_Snowballing'!$AC$2:$AC$281,"DESIGN &gt; Software Design Strategies and Methods")</f>
        <v>0</v>
      </c>
      <c r="X108" s="17">
        <f>COUNTIFS('Prácticas_Revisiones'!$S$2:$S$282,"T092",'Prácticas_Revisiones'!$T$2:$T$282,"DESIGN &gt; Software Design Analysis and Evaluations")+COUNTIFS('Prácticas_Snowballing'!$AB$2:$AB$281,"T092",'Prácticas_Snowballing'!$AC$2:$AC$281,"DESIGN &gt; Software Design Analysis and Evaluations")</f>
        <v>0</v>
      </c>
      <c r="Y108" s="17">
        <f>COUNTIFS('Prácticas_Revisiones'!$S$2:$S$282,"T092",'Prácticas_Revisiones'!$T$2:$T$282,"DESIGN &gt; Subárea no determinable")+COUNTIFS('Prácticas_Snowballing'!$AB$2:$AB$281,"T092",'Prácticas_Snowballing'!$AC$2:$AC$281,"DESIGN &gt; Subárea no determinable")</f>
        <v>0</v>
      </c>
      <c r="Z108" s="29">
        <f t="shared" si="88"/>
        <v>0</v>
      </c>
      <c r="AA108" s="17">
        <f>COUNTIFS('Prácticas_Revisiones'!$S$2:$S$282,"T092",'Prácticas_Revisiones'!$T$2:$T$282,"CONSTRUCTION &gt; Software Construction Fundamentals")+COUNTIFS('Prácticas_Snowballing'!$AB$2:$AB$281,"T092",'Prácticas_Snowballing'!$AC$2:$AC$281,"CONSTRUCTION &gt; Software Construction Fundamentals")</f>
        <v>0</v>
      </c>
      <c r="AB108" s="17">
        <f>COUNTIFS('Prácticas_Revisiones'!$S$2:$S$282,"T092",'Prácticas_Revisiones'!$T$2:$T$282,"CONSTRUCTION &gt; Managing Construction")+COUNTIFS('Prácticas_Snowballing'!$AB$2:$AB$281,"T092",'Prácticas_Snowballing'!$AC$2:$AC$281,"CONSTRUCTION &gt; Managing Construction")</f>
        <v>0</v>
      </c>
      <c r="AC108" s="17">
        <f>COUNTIFS('Prácticas_Revisiones'!$S$2:$S$282,"T092",'Prácticas_Revisiones'!$T$2:$T$282,"CONSTRUCTION &gt; Practical Considerations")+COUNTIFS('Prácticas_Snowballing'!$AB$2:$AB$281,"T092",'Prácticas_Snowballing'!$AC$2:$AC$281,"CONSTRUCTION &gt; Practical Considerations")</f>
        <v>0</v>
      </c>
      <c r="AD108" s="17">
        <f>COUNTIFS('Prácticas_Revisiones'!$S$2:$S$282,"T092",'Prácticas_Revisiones'!$T$2:$T$282,"CONSTRUCTION &gt; Construction Technologies")+COUNTIFS('Prácticas_Snowballing'!$AB$2:$AB$281,"T092",'Prácticas_Snowballing'!$AC$2:$AC$281,"CONSTRUCTION &gt; Construction Technologies")</f>
        <v>0</v>
      </c>
      <c r="AE108" s="17">
        <f>COUNTIFS('Prácticas_Revisiones'!$S$2:$S$282,"T092",'Prácticas_Revisiones'!$T$2:$T$282,"CONSTRUCTION &gt; Software Construction Tools")+COUNTIFS('Prácticas_Snowballing'!$AB$2:$AB$281,"T092",'Prácticas_Snowballing'!$AC$2:$AC$281,"CONSTRUCTION &gt; Software Construction Tools")</f>
        <v>0</v>
      </c>
      <c r="AF108" s="17">
        <f>COUNTIFS('Prácticas_Revisiones'!$S$2:$S$282,"T092",'Prácticas_Revisiones'!$T$2:$T$282,"CONSTRUCTION &gt; Subárea no determinable")+COUNTIFS('Prácticas_Snowballing'!$AB$2:$AB$281,"T092",'Prácticas_Snowballing'!$AC$2:$AC$281,"CONSTRUCTION &gt; Subárea no determinable")</f>
        <v>0</v>
      </c>
      <c r="AG108" s="29">
        <f t="shared" si="89"/>
        <v>0</v>
      </c>
      <c r="AH108" s="17">
        <f>COUNTIFS('Prácticas_Revisiones'!$S$2:$S$282,"T092",'Prácticas_Revisiones'!$T$2:$T$282,"SOFTWARE TESTING &gt; Software Testing Fundamentals")+COUNTIFS('Prácticas_Snowballing'!$AB$2:$AB$281,"T092",'Prácticas_Snowballing'!$AC$2:$AC$281,"SOFTWARE TESTING &gt; Software Testing Fundamentals")</f>
        <v>0</v>
      </c>
      <c r="AI108" s="17">
        <f>COUNTIFS('Prácticas_Revisiones'!$S$2:$S$282,"T092",'Prácticas_Revisiones'!$T$2:$T$282,"SOFTWARE TESTING &gt; Test Levels")+COUNTIFS('Prácticas_Snowballing'!$AB$2:$AB$281,"T092",'Prácticas_Snowballing'!$AC$2:$AC$281,"SOFTWARE TESTING &gt; Test Levels")</f>
        <v>0</v>
      </c>
      <c r="AJ108" s="17">
        <f>COUNTIFS('Prácticas_Revisiones'!$S$2:$S$282,"T092",'Prácticas_Revisiones'!$T$2:$T$282,"SOFTWARE TESTING &gt; Test Techniques")+COUNTIFS('Prácticas_Snowballing'!$AB$2:$AB$281,"T092",'Prácticas_Snowballing'!$AC$2:$AC$281,"SOFTWARE TESTING &gt; Test Techniques")</f>
        <v>0</v>
      </c>
      <c r="AK108" s="17">
        <f>COUNTIFS('Prácticas_Revisiones'!$S$2:$S$282,"T092",'Prácticas_Revisiones'!$T$2:$T$282,"SOFTWARE TESTING &gt; Test-Related Measures")+COUNTIFS('Prácticas_Snowballing'!$AB$2:$AB$281,"T092",'Prácticas_Snowballing'!$AC$2:$AC$281,"SOFTWARE TESTING &gt; Test-Related Measures")</f>
        <v>0</v>
      </c>
      <c r="AL108" s="17">
        <f>COUNTIFS('Prácticas_Revisiones'!$S$2:$S$282,"T092",'Prácticas_Revisiones'!$T$2:$T$282,"SOFTWARE TESTING &gt; Test Process")+COUNTIFS('Prácticas_Snowballing'!$AB$2:$AB$281,"T092",'Prácticas_Snowballing'!$AC$2:$AC$281,"SOFTWARE TESTING &gt; Test Process")</f>
        <v>0</v>
      </c>
      <c r="AM108" s="17">
        <f>COUNTIFS('Prácticas_Revisiones'!$S$2:$S$282,"T092",'Prácticas_Revisiones'!$T$2:$T$282,"SOFTWARE TESTING &gt; Software Testing in the Development Processes...")+COUNTIFS('Prácticas_Snowballing'!$AB$2:$AB$281,"T092",'Prácticas_Snowballing'!$AC$2:$AC$281,"SOFTWARE TESTING &gt; Software Testing in the Development Processes...")</f>
        <v>0</v>
      </c>
      <c r="AN108" s="17">
        <f>COUNTIFS('Prácticas_Revisiones'!$S$2:$S$282,"T092",'Prácticas_Revisiones'!$T$2:$T$282,"SOFTWARE TESTING &gt; Testing of and Testing Through Emerging Tech...")+COUNTIFS('Prácticas_Snowballing'!$AB$2:$AB$281,"T092",'Prácticas_Snowballing'!$AC$2:$AC$281,"SOFTWARE TESTING &gt; Testing of and Testing Through Emerging Tech...")</f>
        <v>0</v>
      </c>
      <c r="AO108" s="17">
        <f>COUNTIFS('Prácticas_Revisiones'!$S$2:$S$282,"T092",'Prácticas_Revisiones'!$T$2:$T$282,"SOFTWARE TESTING &gt; Software Testing Tools")+COUNTIFS('Prácticas_Snowballing'!$AB$2:$AB$281,"T092",'Prácticas_Snowballing'!$AC$2:$AC$281,"SOFTWARE TESTING &gt; Software Testing Tools")</f>
        <v>0</v>
      </c>
      <c r="AP108" s="17">
        <f>COUNTIFS('Prácticas_Revisiones'!$S$2:$S$282,"T092",'Prácticas_Revisiones'!$T$2:$T$282,"SOFTWARE TESTING &gt; Subárea no determinable")+COUNTIFS('Prácticas_Snowballing'!$AB$2:$AB$281,"T092",'Prácticas_Snowballing'!$AC$2:$AC$281,"SOFTWARE TESTING &gt; Subárea no determinable")</f>
        <v>0</v>
      </c>
      <c r="AQ108" s="29">
        <f t="shared" si="90"/>
        <v>0</v>
      </c>
      <c r="AR108" s="17">
        <f>COUNTIFS('Prácticas_Revisiones'!$S$2:$S$282,"T092",'Prácticas_Revisiones'!$T$2:$T$282,"SOFTWARE ENG. OPERATIONS &gt; Software Engineering Operations Fundamentals")+COUNTIFS('Prácticas_Snowballing'!$AB$2:$AB$281,"T092",'Prácticas_Snowballing'!$AC$2:$AC$281,"SOFTWARE ENG. OPERATIONS &gt; Software Engineering Operations Fundamentals")</f>
        <v>0</v>
      </c>
      <c r="AS108" s="17">
        <f>COUNTIFS('Prácticas_Revisiones'!$S$2:$S$282,"T092",'Prácticas_Revisiones'!$T$2:$T$282,"SOFTWARE ENG. OPERATIONS &gt; Software Engineering Operations Planning")+COUNTIFS('Prácticas_Snowballing'!$AB$2:$AB$281,"T092",'Prácticas_Snowballing'!$AC$2:$AC$281,"SOFTWARE ENG. OPERATIONS &gt; Software Engineering Operations Planning")</f>
        <v>0</v>
      </c>
      <c r="AT108" s="17">
        <f>COUNTIFS('Prácticas_Revisiones'!$S$2:$S$282,"T092",'Prácticas_Revisiones'!$T$2:$T$282,"SOFTWARE ENG. OPERATIONS &gt; Software Engineering Operations Delivery")+COUNTIFS('Prácticas_Snowballing'!$AB$2:$AB$281,"T092",'Prácticas_Snowballing'!$AC$2:$AC$281,"SOFTWARE ENG. OPERATIONS &gt; Software Engineering Operations Delivery")</f>
        <v>0</v>
      </c>
      <c r="AU108" s="17">
        <f>COUNTIFS('Prácticas_Revisiones'!$S$2:$S$282,"T092",'Prácticas_Revisiones'!$T$2:$T$282,"SOFTWARE ENG. OPERATIONS &gt; Software Engineering Operations Control")+COUNTIFS('Prácticas_Snowballing'!$AB$2:$AB$281,"T092",'Prácticas_Snowballing'!$AC$2:$AC$281,"SOFTWARE ENG. OPERATIONS &gt; Software Engineering Operations Control")</f>
        <v>0</v>
      </c>
      <c r="AV108" s="17">
        <f>COUNTIFS('Prácticas_Revisiones'!$S$2:$S$282,"T092",'Prácticas_Revisiones'!$T$2:$T$282,"SOFTWARE ENG. OPERATIONS &gt; Practical Considerations")+COUNTIFS('Prácticas_Snowballing'!$AB$2:$AB$281,"T092",'Prácticas_Snowballing'!$AC$2:$AC$281,"SOFTWARE ENG. OPERATIONS &gt; Practical Considerations")</f>
        <v>0</v>
      </c>
      <c r="AW108" s="17">
        <f>COUNTIFS('Prácticas_Revisiones'!$S$2:$S$282,"T092",'Prácticas_Revisiones'!$T$2:$T$282,"SOFTWARE ENG. OPERATIONS &gt; Software Engineering Operations Tools")+COUNTIFS('Prácticas_Snowballing'!$AB$2:$AB$281,"T092",'Prácticas_Snowballing'!$AC$2:$AC$281,"SOFTWARE ENG. OPERATIONS &gt; Software Engineering Operations Tools")</f>
        <v>0</v>
      </c>
      <c r="AX108" s="17">
        <f>COUNTIFS('Prácticas_Revisiones'!$S$2:$S$282,"T092",'Prácticas_Revisiones'!$T$2:$T$282,"SOFTWARE ENG. OPERATIONS &gt; Subárea no determinable")+COUNTIFS('Prácticas_Snowballing'!$AB$2:$AB$281,"T092",'Prácticas_Snowballing'!$AC$2:$AC$281,"SOFTWARE ENG. OPERATIONS &gt; Subárea no determinable")</f>
        <v>0</v>
      </c>
      <c r="AY108" s="29">
        <f t="shared" si="91"/>
        <v>0</v>
      </c>
      <c r="AZ108" s="17">
        <f>COUNTIFS('Prácticas_Revisiones'!$S$2:$S$282,"T092",'Prácticas_Revisiones'!$T$2:$T$282,"MAINTENANCE &gt; Software Maintenance Fundamentals")+COUNTIFS('Prácticas_Snowballing'!$AB$2:$AB$281,"T092",'Prácticas_Snowballing'!$AC$2:$AC$281,"MAINTENANCE &gt; Software Maintenance Fundamentals")</f>
        <v>0</v>
      </c>
      <c r="BA108" s="17">
        <f>COUNTIFS('Prácticas_Revisiones'!$S$2:$S$282,"T092",'Prácticas_Revisiones'!$T$2:$T$282,"MAINTENANCE &gt; Key Issues in Software Maintenance")+COUNTIFS('Prácticas_Snowballing'!$AB$2:$AB$281,"T092",'Prácticas_Snowballing'!$AC$2:$AC$281,"MAINTENANCE &gt; Key Issues in Software Maintenance")</f>
        <v>0</v>
      </c>
      <c r="BB108" s="17">
        <f>COUNTIFS('Prácticas_Revisiones'!$S$2:$S$282,"T092",'Prácticas_Revisiones'!$T$2:$T$282,"MAINTENANCE &gt; Software Maintenance Processes")+COUNTIFS('Prácticas_Snowballing'!$AB$2:$AB$281,"T092",'Prácticas_Snowballing'!$AC$2:$AC$281,"MAINTENANCE &gt; Software Maintenance Processes")</f>
        <v>0</v>
      </c>
      <c r="BC108" s="17">
        <f>COUNTIFS('Prácticas_Revisiones'!$S$2:$S$282,"T092",'Prácticas_Revisiones'!$T$2:$T$282,"MAINTENANCE &gt; Software Maintenance Techniques")+COUNTIFS('Prácticas_Snowballing'!$AB$2:$AB$281,"T092",'Prácticas_Snowballing'!$AC$2:$AC$281,"MAINTENANCE &gt; Software Maintenance Techniques")</f>
        <v>0</v>
      </c>
      <c r="BD108" s="17">
        <f>COUNTIFS('Prácticas_Revisiones'!$S$2:$S$282,"T092",'Prácticas_Revisiones'!$T$2:$T$282,"MAINTENANCE &gt; Software Maintenance Tools")+COUNTIFS('Prácticas_Snowballing'!$AB$2:$AB$281,"T092",'Prácticas_Snowballing'!$AC$2:$AC$281,"MAINTENANCE &gt; Software Maintenance Tools")</f>
        <v>0</v>
      </c>
      <c r="BE108" s="17">
        <f>COUNTIFS('Prácticas_Revisiones'!$S$2:$S$282,"T092",'Prácticas_Revisiones'!$T$2:$T$282,"MAINTENANCE &gt; Subárea no determinable")+COUNTIFS('Prácticas_Snowballing'!$AB$2:$AB$281,"T092",'Prácticas_Snowballing'!$AC$2:$AC$281,"MAINTENANCE &gt; Subárea no determinable")</f>
        <v>0</v>
      </c>
      <c r="BF108" s="29">
        <f t="shared" si="92"/>
        <v>0</v>
      </c>
      <c r="BG108" s="17">
        <f>COUNTIFS('Prácticas_Revisiones'!$S$2:$S$282,"T092",'Prácticas_Revisiones'!$T$2:$T$282,"SOFTWARE CONFIG. MGMT. &gt; Management of the SCM Process")+COUNTIFS('Prácticas_Snowballing'!$AB$2:$AB$281,"T092",'Prácticas_Snowballing'!$AC$2:$AC$281,"SOFTWARE CONFIG. MGMT. &gt; Management of the SCM Process")</f>
        <v>0</v>
      </c>
      <c r="BH108" s="17">
        <f>COUNTIFS('Prácticas_Revisiones'!$S$2:$S$282,"T092",'Prácticas_Revisiones'!$T$2:$T$282,"SOFTWARE CONFIG. MGMT. &gt; Software Configuration Identification")+COUNTIFS('Prácticas_Snowballing'!$AB$2:$AB$281,"T092",'Prácticas_Snowballing'!$AC$2:$AC$281,"SOFTWARE CONFIG. MGMT. &gt; Software Configuration Identification")</f>
        <v>0</v>
      </c>
      <c r="BI108" s="17">
        <f>COUNTIFS('Prácticas_Revisiones'!$S$2:$S$282,"T092",'Prácticas_Revisiones'!$T$2:$T$282,"SOFTWARE CONFIG. MGMT. &gt; Software Configuration Change Control")+COUNTIFS('Prácticas_Snowballing'!$AB$2:$AB$281,"T092",'Prácticas_Snowballing'!$AC$2:$AC$281,"SOFTWARE CONFIG. MGMT. &gt; Software Configuration Change Control")</f>
        <v>0</v>
      </c>
      <c r="BJ108" s="17">
        <f>COUNTIFS('Prácticas_Revisiones'!$S$2:$S$282,"T092",'Prácticas_Revisiones'!$T$2:$T$282,"SOFTWARE CONFIG. MGMT. &gt; Software Configuration Status Accounting")+COUNTIFS('Prácticas_Snowballing'!$AB$2:$AB$281,"T092",'Prácticas_Snowballing'!$AC$2:$AC$281,"SOFTWARE CONFIG. MGMT. &gt; Software Configuration Status Accounting")</f>
        <v>0</v>
      </c>
      <c r="BK108" s="17">
        <f>COUNTIFS('Prácticas_Revisiones'!$S$2:$S$282,"T092",'Prácticas_Revisiones'!$T$2:$T$282,"SOFTWARE CONFIG. MGMT. &gt; Software Configuration Auditing")+COUNTIFS('Prácticas_Snowballing'!$AB$2:$AB$281,"T092",'Prácticas_Snowballing'!$AC$2:$AC$281,"SOFTWARE CONFIG. MGMT. &gt; Software Configuration Auditing")</f>
        <v>0</v>
      </c>
      <c r="BL108" s="17">
        <f>COUNTIFS('Prácticas_Revisiones'!$S$2:$S$282,"T092",'Prácticas_Revisiones'!$T$2:$T$282,"SOFTWARE CONFIG. MGMT. &gt; Software Release Management and Delivery")+COUNTIFS('Prácticas_Snowballing'!$AB$2:$AB$281,"T092",'Prácticas_Snowballing'!$AC$2:$AC$281,"SOFTWARE CONFIG. MGMT. &gt; Software Release Management and Delivery")</f>
        <v>0</v>
      </c>
      <c r="BM108" s="17">
        <f>COUNTIFS('Prácticas_Revisiones'!$S$2:$S$282,"T092",'Prácticas_Revisiones'!$T$2:$T$282,"SOFTWARE CONFIG. MGMT. &gt; Software Configuration Management Tools")+COUNTIFS('Prácticas_Snowballing'!$AB$2:$AB$281,"T092",'Prácticas_Snowballing'!$AC$2:$AC$281,"SOFTWARE CONFIG. MGMT. &gt; Software Configuration Management Tools")</f>
        <v>0</v>
      </c>
      <c r="BN108" s="17">
        <f>COUNTIFS('Prácticas_Revisiones'!$S$2:$S$282,"T092",'Prácticas_Revisiones'!$T$2:$T$282,"SOFTWARE CONFIG. MGMT. &gt; Subárea no determinable")+COUNTIFS('Prácticas_Snowballing'!$AB$2:$AB$281,"T092",'Prácticas_Snowballing'!$AC$2:$AC$281,"SOFTWARE CONFIG. MGMT. &gt; Subárea no determinable")</f>
        <v>0</v>
      </c>
      <c r="BO108" s="29">
        <f t="shared" si="93"/>
        <v>0</v>
      </c>
      <c r="BP108" s="17">
        <f>COUNTIFS('Prácticas_Revisiones'!$S$2:$S$282,"T092",'Prácticas_Revisiones'!$T$2:$T$282,"SOFTWARE ENG. PROCESS &gt; Software Engineering Process Fundamentals")+COUNTIFS('Prácticas_Snowballing'!$AB$2:$AB$281,"T092",'Prácticas_Snowballing'!$AC$2:$AC$281,"SOFTWARE ENG. PROCESS &gt; Software Engineering Process Fundamentals")</f>
        <v>0</v>
      </c>
      <c r="BQ108" s="17">
        <f>COUNTIFS('Prácticas_Revisiones'!$S$2:$S$282,"T092",'Prácticas_Revisiones'!$T$2:$T$282,"SOFTWARE ENG. PROCESS &gt; Life Cycles")+COUNTIFS('Prácticas_Snowballing'!$AB$2:$AB$281,"T092",'Prácticas_Snowballing'!$AC$2:$AC$281,"SOFTWARE ENG. PROCESS &gt; Life Cycles")</f>
        <v>0</v>
      </c>
      <c r="BR108" s="17">
        <f>COUNTIFS('Prácticas_Revisiones'!$S$2:$S$282,"T092",'Prácticas_Revisiones'!$T$2:$T$282,"SOFTWARE ENG. PROCESS &gt; Software Process Assessment and Improvement")+COUNTIFS('Prácticas_Snowballing'!$AB$2:$AB$281,"T092",'Prácticas_Snowballing'!$AC$2:$AC$281,"SOFTWARE ENG. PROCESS &gt; Software Process Assessment and Improvement")</f>
        <v>0</v>
      </c>
      <c r="BS108" s="17">
        <f>COUNTIFS('Prácticas_Revisiones'!$S$2:$S$282,"T092",'Prácticas_Revisiones'!$T$2:$T$282,"SOFTWARE ENG. PROCESS &gt; Subárea no determinable")+COUNTIFS('Prácticas_Snowballing'!$AB$2:$AB$281,"T092",'Prácticas_Snowballing'!$AC$2:$AC$281,"SOFTWARE ENG. PROCESS &gt; Subárea no determinable")</f>
        <v>0</v>
      </c>
      <c r="BT108" s="29">
        <f t="shared" si="94"/>
        <v>0</v>
      </c>
      <c r="BU108" s="17">
        <f>COUNTIFS('Prácticas_Revisiones'!$S$2:$S$282,"T092",'Prácticas_Revisiones'!$T$2:$T$282,"SOFTWARE ENG. MODELS/METH. &gt; Modeling")+COUNTIFS('Prácticas_Snowballing'!$AB$2:$AB$281,"T092",'Prácticas_Snowballing'!$AC$2:$AC$281,"SOFTWARE ENG. MODELS/METH. &gt; Modeling")</f>
        <v>0</v>
      </c>
      <c r="BV108" s="17">
        <f>COUNTIFS('Prácticas_Revisiones'!$S$2:$S$282,"T092",'Prácticas_Revisiones'!$T$2:$T$282,"SOFTWARE ENG. MODELS/METH. &gt; Types of Models")+COUNTIFS('Prácticas_Snowballing'!$AB$2:$AB$281,"T092",'Prácticas_Snowballing'!$AC$2:$AC$281,"SOFTWARE ENG. MODELS/METH. &gt; Types of Models")</f>
        <v>0</v>
      </c>
      <c r="BW108" s="17">
        <f>COUNTIFS('Prácticas_Revisiones'!$S$2:$S$282,"T092",'Prácticas_Revisiones'!$T$2:$T$282,"SOFTWARE ENG. MODELS/METH. &gt; Analysis of Models")+COUNTIFS('Prácticas_Snowballing'!$AB$2:$AB$281,"T092",'Prácticas_Snowballing'!$AC$2:$AC$281,"SOFTWARE ENG. MODELS/METH. &gt; Analysis of Models")</f>
        <v>0</v>
      </c>
      <c r="BX108" s="17">
        <f>COUNTIFS('Prácticas_Revisiones'!$S$2:$S$282,"T092",'Prácticas_Revisiones'!$T$2:$T$282,"SOFTWARE ENG. MODELS/METH. &gt; Software Engineering Methods")+COUNTIFS('Prácticas_Snowballing'!$AB$2:$AB$281,"T092",'Prácticas_Snowballing'!$AC$2:$AC$281,"SOFTWARE ENG. MODELS/METH. &gt; Software Engineering Methods")</f>
        <v>0</v>
      </c>
      <c r="BY108" s="17">
        <f>COUNTIFS('Prácticas_Revisiones'!$S$2:$S$282,"T092",'Prácticas_Revisiones'!$T$2:$T$282,"SOFTWARE ENG. MODELS/METH. &gt; Subárea no determinable")+COUNTIFS('Prácticas_Snowballing'!$AB$2:$AB$281,"T092",'Prácticas_Snowballing'!$AC$2:$AC$281,"SOFTWARE ENG. MODELS/METH. &gt; Subárea no determinable")</f>
        <v>0</v>
      </c>
      <c r="BZ108" s="29">
        <f t="shared" si="95"/>
        <v>0</v>
      </c>
      <c r="CA108" s="17">
        <f>COUNTIFS('Prácticas_Revisiones'!$S$2:$S$282,"T092",'Prácticas_Revisiones'!$T$2:$T$282,"SOFTWARE QUALITY &gt; Software Quality Fundamentals")+COUNTIFS('Prácticas_Snowballing'!$AB$2:$AB$281,"T092",'Prácticas_Snowballing'!$AC$2:$AC$281,"SOFTWARE QUALITY &gt; Software Quality Fundamentals")</f>
        <v>0</v>
      </c>
      <c r="CB108" s="17">
        <f>COUNTIFS('Prácticas_Revisiones'!$S$2:$S$282,"T092",'Prácticas_Revisiones'!$T$2:$T$282,"SOFTWARE QUALITY &gt; Software Quality Management Process")+COUNTIFS('Prácticas_Snowballing'!$AB$2:$AB$281,"T092",'Prácticas_Snowballing'!$AC$2:$AC$281,"SOFTWARE QUALITY &gt; Software Quality Management Process")</f>
        <v>0</v>
      </c>
      <c r="CC108" s="17">
        <f>COUNTIFS('Prácticas_Revisiones'!$S$2:$S$282,"T092",'Prácticas_Revisiones'!$T$2:$T$282,"SOFTWARE QUALITY &gt; Software Quality Assurance Process")+COUNTIFS('Prácticas_Snowballing'!$AB$2:$AB$281,"T092",'Prácticas_Snowballing'!$AC$2:$AC$281,"SOFTWARE QUALITY &gt; Software Quality Assurance Process")</f>
        <v>0</v>
      </c>
      <c r="CD108" s="17">
        <f>COUNTIFS('Prácticas_Revisiones'!$S$2:$S$282,"T092",'Prácticas_Revisiones'!$T$2:$T$282,"SOFTWARE QUALITY &gt; Software Quality Tools")+COUNTIFS('Prácticas_Snowballing'!$AB$2:$AB$281,"T092",'Prácticas_Snowballing'!$AC$2:$AC$281,"SOFTWARE QUALITY &gt; Software Quality Tools")</f>
        <v>0</v>
      </c>
      <c r="CE108" s="17">
        <f>COUNTIFS('Prácticas_Revisiones'!$S$2:$S$282,"T092",'Prácticas_Revisiones'!$T$2:$T$282,"SOFTWARE QUALITY &gt; Subárea no determinable")+COUNTIFS('Prácticas_Snowballing'!$AB$2:$AB$281,"T092",'Prácticas_Snowballing'!$AC$2:$AC$281,"SOFTWARE QUALITY &gt; Subárea no determinable")</f>
        <v>0</v>
      </c>
      <c r="CF108" s="29">
        <f t="shared" si="96"/>
        <v>0</v>
      </c>
      <c r="CG108" s="17">
        <f>COUNTIFS('Prácticas_Revisiones'!$S$2:$S$282,"T092",'Prácticas_Revisiones'!$T$2:$T$282,"SOFTWARE SECURITY &gt; Software Security Fundamentals")+COUNTIFS('Prácticas_Snowballing'!$AB$2:$AB$281,"T092",'Prácticas_Snowballing'!$AC$2:$AC$281,"SOFTWARE SECURITY &gt; Software Security Fundamentals")</f>
        <v>0</v>
      </c>
      <c r="CH108" s="17">
        <f>COUNTIFS('Prácticas_Revisiones'!$S$2:$S$282,"T092",'Prácticas_Revisiones'!$T$2:$T$282,"SOFTWARE SECURITY &gt; Security Management and Organization")+COUNTIFS('Prácticas_Snowballing'!$AB$2:$AB$281,"T092",'Prácticas_Snowballing'!$AC$2:$AC$281,"SOFTWARE SECURITY &gt; Security Management and Organization")</f>
        <v>0</v>
      </c>
      <c r="CI108" s="17">
        <f>COUNTIFS('Prácticas_Revisiones'!$S$2:$S$282,"T092",'Prácticas_Revisiones'!$T$2:$T$282,"SOFTWARE SECURITY &gt; Software Security Engineering and Process")+COUNTIFS('Prácticas_Snowballing'!$AB$2:$AB$281,"T092",'Prácticas_Snowballing'!$AC$2:$AC$281,"SOFTWARE SECURITY &gt; Software Security Engineering and Process")</f>
        <v>0</v>
      </c>
      <c r="CJ108" s="17">
        <f>COUNTIFS('Prácticas_Revisiones'!$S$2:$S$282,"T092",'Prácticas_Revisiones'!$T$2:$T$282,"SOFTWARE SECURITY &gt; Security Engineering for Software Systems")+COUNTIFS('Prácticas_Snowballing'!$AB$2:$AB$281,"T092",'Prácticas_Snowballing'!$AC$2:$AC$281,"SOFTWARE SECURITY &gt; Security Engineering for Software Systems")</f>
        <v>0</v>
      </c>
      <c r="CK108" s="17">
        <f>COUNTIFS('Prácticas_Revisiones'!$S$2:$S$282,"T092",'Prácticas_Revisiones'!$T$2:$T$282,"SOFTWARE SECURITY &gt; Software Security Tools")+COUNTIFS('Prácticas_Snowballing'!$AB$2:$AB$281,"T092",'Prácticas_Snowballing'!$AC$2:$AC$281,"SOFTWARE SECURITY &gt; Software Security Tools")</f>
        <v>0</v>
      </c>
      <c r="CL108" s="17">
        <f>COUNTIFS('Prácticas_Revisiones'!$S$2:$S$282,"T092",'Prácticas_Revisiones'!$T$2:$T$282,"SOFTWARE SECURITY &gt; Domain Specific Software Security")+COUNTIFS('Prácticas_Snowballing'!$AB$2:$AB$281,"T092",'Prácticas_Snowballing'!$AC$2:$AC$281,"SOFTWARE SECURITY &gt; Domain Specific Software Security")</f>
        <v>0</v>
      </c>
      <c r="CM108" s="17">
        <f>COUNTIFS('Prácticas_Revisiones'!$S$2:$S$282,"T092",'Prácticas_Revisiones'!$T$2:$T$282,"SOFTWARE SECURITY &gt; Subárea no determinable")+COUNTIFS('Prácticas_Snowballing'!$AB$2:$AB$281,"T092",'Prácticas_Snowballing'!$AC$2:$AC$281,"SOFTWARE SECURITY &gt; Subárea no determinable")</f>
        <v>0</v>
      </c>
      <c r="CN108" s="29">
        <f t="shared" si="97"/>
        <v>0</v>
      </c>
      <c r="CO108" s="17">
        <f>COUNTIFS('Prácticas_Revisiones'!$S$2:$S$282,"T092",'Prácticas_Revisiones'!$T$2:$T$282,"PROFESSIONAL PRACTICE &gt; Professionalism")+COUNTIFS('Prácticas_Snowballing'!$AB$2:$AB$281,"T092",'Prácticas_Snowballing'!$AC$2:$AC$281,"PROFESSIONAL PRACTICE &gt; Professionalism")</f>
        <v>0</v>
      </c>
      <c r="CP108" s="17">
        <f>COUNTIFS('Prácticas_Revisiones'!$S$2:$S$282,"T092",'Prácticas_Revisiones'!$T$2:$T$282,"PROFESSIONAL PRACTICE &gt; Group Dynamics and Psychology")+COUNTIFS('Prácticas_Snowballing'!$AB$2:$AB$281,"T092",'Prácticas_Snowballing'!$AC$2:$AC$281,"PROFESSIONAL PRACTICE &gt; Group Dynamics and Psychology")</f>
        <v>0</v>
      </c>
      <c r="CQ108" s="17">
        <f>COUNTIFS('Prácticas_Revisiones'!$S$2:$S$282,"T092",'Prácticas_Revisiones'!$T$2:$T$282,"PROFESSIONAL PRACTICE &gt; Communication Skills")+COUNTIFS('Prácticas_Snowballing'!$AB$2:$AB$281,"T092",'Prácticas_Snowballing'!$AC$2:$AC$281,"PROFESSIONAL PRACTICE &gt; Communication Skills")</f>
        <v>0</v>
      </c>
      <c r="CR108" s="17">
        <f>COUNTIFS('Prácticas_Revisiones'!$S$2:$S$282,"T092",'Prácticas_Revisiones'!$T$2:$T$282,"PROFESSIONAL PRACTICE &gt; Subárea no determinable")+COUNTIFS('Prácticas_Snowballing'!$AB$2:$AB$281,"T092",'Prácticas_Snowballing'!$AC$2:$AC$281,"PROFESSIONAL PRACTICE &gt; Subárea no determinable")</f>
        <v>0</v>
      </c>
      <c r="CS108" s="29">
        <f t="shared" si="98"/>
        <v>0</v>
      </c>
      <c r="CT108" s="17">
        <f>COUNTIFS('Prácticas_Revisiones'!$S$2:$S$282,"T092",'Prácticas_Revisiones'!$T$2:$T$282,"SOFTWARE ENG. ECONOMICS &gt; Software Engineering Economics Fundamentals")+COUNTIFS('Prácticas_Snowballing'!$AB$2:$AB$281,"T092",'Prácticas_Snowballing'!$AC$2:$AC$281,"SOFTWARE ENG. ECONOMICS &gt; Software Engineering Economics Fundamentals")</f>
        <v>0</v>
      </c>
      <c r="CU108" s="17">
        <f>COUNTIFS('Prácticas_Revisiones'!$S$2:$S$282,"T092",'Prácticas_Revisiones'!$T$2:$T$282,"SOFTWARE ENG. ECONOMICS &gt; The Engineering Decision-Making Process")+COUNTIFS('Prácticas_Snowballing'!$AB$2:$AB$281,"T092",'Prácticas_Snowballing'!$AC$2:$AC$281,"SOFTWARE ENG. ECONOMICS &gt; The Engineering Decision-Making Process")</f>
        <v>0</v>
      </c>
      <c r="CV108" s="17">
        <f>COUNTIFS('Prácticas_Revisiones'!$S$2:$S$282,"T092",'Prácticas_Revisiones'!$T$2:$T$282,"SOFTWARE ENG. ECONOMICS &gt; For-Profit Decision-Making")+COUNTIFS('Prácticas_Snowballing'!$AB$2:$AB$281,"T092",'Prácticas_Snowballing'!$AC$2:$AC$281,"SOFTWARE ENG. ECONOMICS &gt; For-Profit Decision-Making")</f>
        <v>0</v>
      </c>
      <c r="CW108" s="17">
        <f>COUNTIFS('Prácticas_Revisiones'!$S$2:$S$282,"T092",'Prácticas_Revisiones'!$T$2:$T$282,"SOFTWARE ENG. ECONOMICS &gt; Nonprofit Decision-Making")+COUNTIFS('Prácticas_Snowballing'!$AB$2:$AB$281,"T092",'Prácticas_Snowballing'!$AC$2:$AC$281,"SOFTWARE ENG. ECONOMICS &gt; Nonprofit Decision-Making")</f>
        <v>0</v>
      </c>
      <c r="CX108" s="17">
        <f>COUNTIFS('Prácticas_Revisiones'!$S$2:$S$282,"T092",'Prácticas_Revisiones'!$T$2:$T$282,"SOFTWARE ENG. ECONOMICS &gt; Present Economy Decision-Making")+COUNTIFS('Prácticas_Snowballing'!$AB$2:$AB$281,"T092",'Prácticas_Snowballing'!$AC$2:$AC$281,"SOFTWARE ENG. ECONOMICS &gt; Present Economy Decision-Making")</f>
        <v>0</v>
      </c>
      <c r="CY108" s="17">
        <f>COUNTIFS('Prácticas_Revisiones'!$S$2:$S$282,"T092",'Prácticas_Revisiones'!$T$2:$T$282,"SOFTWARE ENG. ECONOMICS &gt; Multiple-Attribute Decision-Making")+COUNTIFS('Prácticas_Snowballing'!$AB$2:$AB$281,"T092",'Prácticas_Snowballing'!$AC$2:$AC$281,"SOFTWARE ENG. ECONOMICS &gt; Multiple-Attribute Decision-Making")</f>
        <v>0</v>
      </c>
      <c r="CZ108" s="17">
        <f>COUNTIFS('Prácticas_Revisiones'!$S$2:$S$282,"T092",'Prácticas_Revisiones'!$T$2:$T$282,"SOFTWARE ENG. ECONOMICS &gt; Identifying and Characterizing Intangible Assets")+COUNTIFS('Prácticas_Snowballing'!$AB$2:$AB$281,"T092",'Prácticas_Snowballing'!$AC$2:$AC$281,"SOFTWARE ENG. ECONOMICS &gt; Identifying and Characterizing Intangible Assets")</f>
        <v>0</v>
      </c>
      <c r="DA108" s="17">
        <f>COUNTIFS('Prácticas_Revisiones'!$S$2:$S$282,"T092",'Prácticas_Revisiones'!$T$2:$T$282,"SOFTWARE ENG. ECONOMICS &gt; Estimation")+COUNTIFS('Prácticas_Snowballing'!$AB$2:$AB$281,"T092",'Prácticas_Snowballing'!$AC$2:$AC$281,"SOFTWARE ENG. ECONOMICS &gt; Estimation")</f>
        <v>0</v>
      </c>
      <c r="DB108" s="17">
        <f>COUNTIFS('Prácticas_Revisiones'!$S$2:$S$282,"T092",'Prácticas_Revisiones'!$T$2:$T$282,"SOFTWARE ENG. ECONOMICS &gt; Practical Considerations")+COUNTIFS('Prácticas_Snowballing'!$AB$2:$AB$281,"T092",'Prácticas_Snowballing'!$AC$2:$AC$281,"SOFTWARE ENG. ECONOMICS &gt; Practical Considerations")</f>
        <v>0</v>
      </c>
      <c r="DC108" s="17">
        <f>COUNTIFS('Prácticas_Revisiones'!$S$2:$S$282,"T092",'Prácticas_Revisiones'!$T$2:$T$282,"SOFTWARE ENG. ECONOMICS &gt; Related Concepts")+COUNTIFS('Prácticas_Snowballing'!$AB$2:$AB$281,"T092",'Prácticas_Snowballing'!$AC$2:$AC$281,"SOFTWARE ENG. ECONOMICS &gt; Related Concepts")</f>
        <v>0</v>
      </c>
      <c r="DD108" s="17">
        <f>COUNTIFS('Prácticas_Revisiones'!$S$2:$S$282,"T092",'Prácticas_Revisiones'!$T$2:$T$282,"SOFTWARE ENG. ECONOMICS &gt; Subárea no determinable")+COUNTIFS('Prácticas_Snowballing'!$AB$2:$AB$281,"T092",'Prácticas_Snowballing'!$AC$2:$AC$281,"SOFTWARE ENG. ECONOMICS &gt; Subárea no determinable")</f>
        <v>0</v>
      </c>
      <c r="DE108" s="29">
        <f t="shared" si="99"/>
        <v>0</v>
      </c>
      <c r="DF108" s="17">
        <f>COUNTIFS('Prácticas_Revisiones'!$S$2:$S$282,"T092",'Prácticas_Revisiones'!$T$2:$T$282,"SOFTWARE ENG. MANAGEMENT &gt; Software Engineering Management Fundamentals")+COUNTIFS('Prácticas_Snowballing'!$AB$2:$AB$281,"T092",'Prácticas_Snowballing'!$AC$2:$AC$281,"SOFTWARE ENG. MANAGEMENT &gt; Software Engineering Management Fundamentals")</f>
        <v>0</v>
      </c>
      <c r="DG108" s="17">
        <f>COUNTIFS('Prácticas_Revisiones'!$S$2:$S$282,"T092",'Prácticas_Revisiones'!$T$2:$T$282,"SOFTWARE ENG. MANAGEMENT &gt; Initiation and Scope Definition")+COUNTIFS('Prácticas_Snowballing'!$AB$2:$AB$281,"T092",'Prácticas_Snowballing'!$AC$2:$AC$281,"SOFTWARE ENG. MANAGEMENT &gt; Initiation and Scope Definition")</f>
        <v>0</v>
      </c>
      <c r="DH108" s="17">
        <f>COUNTIFS('Prácticas_Revisiones'!$S$2:$S$282,"T092",'Prácticas_Revisiones'!$T$2:$T$282,"SOFTWARE ENG. MANAGEMENT &gt; Software Project Planning")+COUNTIFS('Prácticas_Snowballing'!$AB$2:$AB$281,"T092",'Prácticas_Snowballing'!$AC$2:$AC$281,"SOFTWARE ENG. MANAGEMENT &gt; Software Project Planning")</f>
        <v>0</v>
      </c>
      <c r="DI108" s="17">
        <f>COUNTIFS('Prácticas_Revisiones'!$S$2:$S$282,"T092",'Prácticas_Revisiones'!$T$2:$T$282,"SOFTWARE ENG. MANAGEMENT &gt; Software Project Enactment")+COUNTIFS('Prácticas_Snowballing'!$AB$2:$AB$281,"T092",'Prácticas_Snowballing'!$AC$2:$AC$281,"SOFTWARE ENG. MANAGEMENT &gt; Software Project Enactment")</f>
        <v>0</v>
      </c>
      <c r="DJ108" s="17">
        <f>COUNTIFS('Prácticas_Revisiones'!$S$2:$S$282,"T092",'Prácticas_Revisiones'!$T$2:$T$282,"SOFTWARE ENG. MANAGEMENT &gt; Review and Evaluation")+COUNTIFS('Prácticas_Snowballing'!$AB$2:$AB$281,"T092",'Prácticas_Snowballing'!$AC$2:$AC$281,"SOFTWARE ENG. MANAGEMENT &gt; Review and Evaluation")</f>
        <v>0</v>
      </c>
      <c r="DK108" s="17">
        <f>COUNTIFS('Prácticas_Revisiones'!$S$2:$S$282,"T092",'Prácticas_Revisiones'!$T$2:$T$282,"SOFTWARE ENG. MANAGEMENT &gt; Closure")+COUNTIFS('Prácticas_Snowballing'!$AB$2:$AB$281,"T092",'Prácticas_Snowballing'!$AC$2:$AC$281,"SOFTWARE ENG. MANAGEMENT &gt; Closure")</f>
        <v>0</v>
      </c>
      <c r="DL108" s="17">
        <f>COUNTIFS('Prácticas_Revisiones'!$S$2:$S$282,"T092",'Prácticas_Revisiones'!$T$2:$T$282,"SOFTWARE ENG. MANAGEMENT &gt; Software Engineering Management Tools")+COUNTIFS('Prácticas_Snowballing'!$AB$2:$AB$281,"T092",'Prácticas_Snowballing'!$AC$2:$AC$281,"SOFTWARE ENG. MANAGEMENT &gt; Software Engineering Management Tools")</f>
        <v>0</v>
      </c>
      <c r="DM108" s="17">
        <f>COUNTIFS('Prácticas_Revisiones'!$S$2:$S$282,"T092",'Prácticas_Revisiones'!$T$2:$T$282,"SOFTWARE ENG. MANAGEMENT &gt; Subárea no determinable")+COUNTIFS('Prácticas_Snowballing'!$AB$2:$AB$281,"T092",'Prácticas_Snowballing'!$AC$2:$AC$281,"SOFTWARE ENG. MANAGEMENT &gt; Subárea no determinable")</f>
        <v>0</v>
      </c>
      <c r="DN108" s="29">
        <f t="shared" si="100"/>
        <v>0</v>
      </c>
      <c r="DO108" s="17">
        <f>COUNTIFS('Prácticas_Revisiones'!$S$2:$S$282,"T092",'Prácticas_Revisiones'!$T$2:$T$282,"Sin área SWEBOK")+COUNTIFS('Prácticas_Snowballing'!$AB$2:$AB$281,"T092",'Prácticas_Snowballing'!$AC$2:$AC$281,"Sin área SWEBOK")</f>
        <v>0</v>
      </c>
      <c r="DP108" s="27">
        <f t="shared" si="101"/>
        <v>0</v>
      </c>
    </row>
    <row r="109" ht="15.75" customHeight="1">
      <c r="A109" s="28"/>
      <c r="B109" s="16" t="s">
        <v>2794</v>
      </c>
      <c r="C109" s="17">
        <f>COUNTIFS('Prácticas_Revisiones'!$S$2:$S$282,"T093",'Prácticas_Revisiones'!$T$2:$T$282,"REQUIREMENTS &gt; Software Requirements Fundamentals")+COUNTIFS('Prácticas_Snowballing'!$AB$2:$AB$281,"T093",'Prácticas_Snowballing'!$AC$2:$AC$281,"REQUIREMENTS &gt; Software Requirements Fundamentals")</f>
        <v>0</v>
      </c>
      <c r="D109" s="17">
        <f>COUNTIFS('Prácticas_Revisiones'!$S$2:$S$282,"T093",'Prácticas_Revisiones'!$T$2:$T$282,"REQUIREMENTS &gt; Requirements Elicitation")+COUNTIFS('Prácticas_Snowballing'!$AB$2:$AB$281,"T093",'Prácticas_Snowballing'!$AC$2:$AC$281,"REQUIREMENTS &gt; Requirements Elicitation")</f>
        <v>0</v>
      </c>
      <c r="E109" s="17">
        <f>COUNTIFS('Prácticas_Revisiones'!$S$2:$S$282,"T093",'Prácticas_Revisiones'!$T$2:$T$282,"REQUIREMENTS &gt; Requirements Analysis")+COUNTIFS('Prácticas_Snowballing'!$AB$2:$AB$281,"T093",'Prácticas_Snowballing'!$AC$2:$AC$281,"REQUIREMENTS &gt; Requirements Analysis")</f>
        <v>0</v>
      </c>
      <c r="F109" s="17">
        <f>COUNTIFS('Prácticas_Revisiones'!$S$2:$S$282,"T093",'Prácticas_Revisiones'!$T$2:$T$282,"REQUIREMENTS &gt; Requirements Specification")+COUNTIFS('Prácticas_Snowballing'!$AB$2:$AB$281,"T093",'Prácticas_Snowballing'!$AC$2:$AC$281,"REQUIREMENTS &gt; Requirements Specification")</f>
        <v>0</v>
      </c>
      <c r="G109" s="17">
        <f>COUNTIFS('Prácticas_Revisiones'!$S$2:$S$282,"T093",'Prácticas_Revisiones'!$T$2:$T$282,"REQUIREMENTS &gt; Requirements Validation")+COUNTIFS('Prácticas_Snowballing'!$AB$2:$AB$281,"T093",'Prácticas_Snowballing'!$AC$2:$AC$281,"REQUIREMENTS &gt; Requirements Validation")</f>
        <v>0</v>
      </c>
      <c r="H109" s="17">
        <f>COUNTIFS('Prácticas_Revisiones'!$S$2:$S$282,"T093",'Prácticas_Revisiones'!$T$2:$T$282,"REQUIREMENTS &gt; Requirements Management Activities")+COUNTIFS('Prácticas_Snowballing'!$AB$2:$AB$281,"T093",'Prácticas_Snowballing'!$AC$2:$AC$281,"REQUIREMENTS &gt; Requirements Management Activities")</f>
        <v>0</v>
      </c>
      <c r="I109" s="17">
        <f>COUNTIFS('Prácticas_Revisiones'!$S$2:$S$282,"T093",'Prácticas_Revisiones'!$T$2:$T$282,"REQUIREMENTS &gt; Practical Considerations")+COUNTIFS('Prácticas_Snowballing'!$AB$2:$AB$281,"T093",'Prácticas_Snowballing'!$AC$2:$AC$281,"REQUIREMENTS &gt; Practical Considerations")</f>
        <v>0</v>
      </c>
      <c r="J109" s="17">
        <f>COUNTIFS('Prácticas_Revisiones'!$S$2:$S$282,"T093",'Prácticas_Revisiones'!$T$2:$T$282,"REQUIREMENTS &gt; Software Requirements Tools")+COUNTIFS('Prácticas_Snowballing'!$AB$2:$AB$281,"T093",'Prácticas_Snowballing'!$AC$2:$AC$281,"REQUIREMENTS &gt; Software Requirements Tools")</f>
        <v>0</v>
      </c>
      <c r="K109" s="17">
        <f>COUNTIFS('Prácticas_Revisiones'!$S$2:$S$282,"T093",'Prácticas_Revisiones'!$T$2:$T$282,"REQUIREMENTS &gt; Subárea no determinable")+COUNTIFS('Prácticas_Snowballing'!$AB$2:$AB$281,"T093",'Prácticas_Snowballing'!$AC$2:$AC$281,"REQUIREMENTS &gt; Subárea no determinable")</f>
        <v>0</v>
      </c>
      <c r="L109" s="29">
        <f t="shared" si="86"/>
        <v>0</v>
      </c>
      <c r="M109" s="17">
        <f>COUNTIFS('Prácticas_Revisiones'!$S$2:$S$282,"T093",'Prácticas_Revisiones'!$T$2:$T$282,"ARCHITECTURE &gt; Software Architecture Fundamentals")+COUNTIFS('Prácticas_Snowballing'!$AB$2:$AB$281,"T093",'Prácticas_Snowballing'!$AC$2:$AC$281,"ARCHITECTURE &gt; Software Architecture Fundamentals")</f>
        <v>0</v>
      </c>
      <c r="N109" s="17">
        <f>COUNTIFS('Prácticas_Revisiones'!$S$2:$S$282,"T093",'Prácticas_Revisiones'!$T$2:$T$282,"ARCHITECTURE &gt; Software Architecture Description")+COUNTIFS('Prácticas_Snowballing'!$AB$2:$AB$281,"T093",'Prácticas_Snowballing'!$AC$2:$AC$281,"ARCHITECTURE &gt; Software Architecture Description")</f>
        <v>0</v>
      </c>
      <c r="O109" s="17">
        <f>COUNTIFS('Prácticas_Revisiones'!$S$2:$S$282,"T093",'Prácticas_Revisiones'!$T$2:$T$282,"ARCHITECTURE &gt; Software Architecture Process")+COUNTIFS('Prácticas_Snowballing'!$AB$2:$AB$281,"T093",'Prácticas_Snowballing'!$AC$2:$AC$281,"ARCHITECTURE &gt; Software Architecture Process")</f>
        <v>0</v>
      </c>
      <c r="P109" s="17">
        <f>COUNTIFS('Prácticas_Revisiones'!$S$2:$S$282,"T093",'Prácticas_Revisiones'!$T$2:$T$282,"ARCHITECTURE &gt; Software Architecture Evaluation")+COUNTIFS('Prácticas_Snowballing'!$AB$2:$AB$281,"T093",'Prácticas_Snowballing'!$AC$2:$AC$281,"ARCHITECTURE &gt; Software Architecture Evaluation")</f>
        <v>0</v>
      </c>
      <c r="Q109" s="17">
        <f>COUNTIFS('Prácticas_Revisiones'!$S$2:$S$282,"T093",'Prácticas_Revisiones'!$T$2:$T$282,"ARCHITECTURE &gt; Subárea no determinable")+COUNTIFS('Prácticas_Snowballing'!$AB$2:$AB$281,"T093",'Prácticas_Snowballing'!$AC$2:$AC$281,"ARCHITECTURE &gt; Subárea no determinable")</f>
        <v>0</v>
      </c>
      <c r="R109" s="29">
        <f t="shared" si="87"/>
        <v>0</v>
      </c>
      <c r="S109" s="17">
        <f>COUNTIFS('Prácticas_Revisiones'!$S$2:$S$282,"T093",'Prácticas_Revisiones'!$T$2:$T$282,"DESIGN &gt; Software Design Fundamentals")+COUNTIFS('Prácticas_Snowballing'!$AB$2:$AB$281,"T093",'Prácticas_Snowballing'!$AC$2:$AC$281,"DESIGN &gt; Software Design Fundamentals")</f>
        <v>0</v>
      </c>
      <c r="T109" s="17">
        <f>COUNTIFS('Prácticas_Revisiones'!$S$2:$S$282,"T093",'Prácticas_Revisiones'!$T$2:$T$282,"DESIGN &gt; Software Design Processes")+COUNTIFS('Prácticas_Snowballing'!$AB$2:$AB$281,"T093",'Prácticas_Snowballing'!$AC$2:$AC$281,"DESIGN &gt; Software Design Processes")</f>
        <v>0</v>
      </c>
      <c r="U109" s="17">
        <f>COUNTIFS('Prácticas_Revisiones'!$S$2:$S$282,"T093",'Prácticas_Revisiones'!$T$2:$T$282,"DESIGN &gt; Software Design Qualities")+COUNTIFS('Prácticas_Snowballing'!$AB$2:$AB$281,"T093",'Prácticas_Snowballing'!$AC$2:$AC$281,"DESIGN &gt; Software Design Qualities")</f>
        <v>0</v>
      </c>
      <c r="V109" s="17">
        <f>COUNTIFS('Prácticas_Revisiones'!$S$2:$S$282,"T093",'Prácticas_Revisiones'!$T$2:$T$282,"DESIGN &gt; Recording Software Design")+COUNTIFS('Prácticas_Snowballing'!$AB$2:$AB$281,"T093",'Prácticas_Snowballing'!$AC$2:$AC$281,"DESIGN &gt; Recording Software Design")</f>
        <v>0</v>
      </c>
      <c r="W109" s="17">
        <f>COUNTIFS('Prácticas_Revisiones'!$S$2:$S$282,"T093",'Prácticas_Revisiones'!$T$2:$T$282,"DESIGN &gt; Software Design Strategies and Methods")+COUNTIFS('Prácticas_Snowballing'!$AB$2:$AB$281,"T093",'Prácticas_Snowballing'!$AC$2:$AC$281,"DESIGN &gt; Software Design Strategies and Methods")</f>
        <v>0</v>
      </c>
      <c r="X109" s="17">
        <f>COUNTIFS('Prácticas_Revisiones'!$S$2:$S$282,"T093",'Prácticas_Revisiones'!$T$2:$T$282,"DESIGN &gt; Software Design Analysis and Evaluations")+COUNTIFS('Prácticas_Snowballing'!$AB$2:$AB$281,"T093",'Prácticas_Snowballing'!$AC$2:$AC$281,"DESIGN &gt; Software Design Analysis and Evaluations")</f>
        <v>0</v>
      </c>
      <c r="Y109" s="17">
        <f>COUNTIFS('Prácticas_Revisiones'!$S$2:$S$282,"T093",'Prácticas_Revisiones'!$T$2:$T$282,"DESIGN &gt; Subárea no determinable")+COUNTIFS('Prácticas_Snowballing'!$AB$2:$AB$281,"T093",'Prácticas_Snowballing'!$AC$2:$AC$281,"DESIGN &gt; Subárea no determinable")</f>
        <v>0</v>
      </c>
      <c r="Z109" s="29">
        <f t="shared" si="88"/>
        <v>0</v>
      </c>
      <c r="AA109" s="17">
        <f>COUNTIFS('Prácticas_Revisiones'!$S$2:$S$282,"T093",'Prácticas_Revisiones'!$T$2:$T$282,"CONSTRUCTION &gt; Software Construction Fundamentals")+COUNTIFS('Prácticas_Snowballing'!$AB$2:$AB$281,"T093",'Prácticas_Snowballing'!$AC$2:$AC$281,"CONSTRUCTION &gt; Software Construction Fundamentals")</f>
        <v>0</v>
      </c>
      <c r="AB109" s="17">
        <f>COUNTIFS('Prácticas_Revisiones'!$S$2:$S$282,"T093",'Prácticas_Revisiones'!$T$2:$T$282,"CONSTRUCTION &gt; Managing Construction")+COUNTIFS('Prácticas_Snowballing'!$AB$2:$AB$281,"T093",'Prácticas_Snowballing'!$AC$2:$AC$281,"CONSTRUCTION &gt; Managing Construction")</f>
        <v>0</v>
      </c>
      <c r="AC109" s="17">
        <f>COUNTIFS('Prácticas_Revisiones'!$S$2:$S$282,"T093",'Prácticas_Revisiones'!$T$2:$T$282,"CONSTRUCTION &gt; Practical Considerations")+COUNTIFS('Prácticas_Snowballing'!$AB$2:$AB$281,"T093",'Prácticas_Snowballing'!$AC$2:$AC$281,"CONSTRUCTION &gt; Practical Considerations")</f>
        <v>0</v>
      </c>
      <c r="AD109" s="17">
        <f>COUNTIFS('Prácticas_Revisiones'!$S$2:$S$282,"T093",'Prácticas_Revisiones'!$T$2:$T$282,"CONSTRUCTION &gt; Construction Technologies")+COUNTIFS('Prácticas_Snowballing'!$AB$2:$AB$281,"T093",'Prácticas_Snowballing'!$AC$2:$AC$281,"CONSTRUCTION &gt; Construction Technologies")</f>
        <v>0</v>
      </c>
      <c r="AE109" s="17">
        <f>COUNTIFS('Prácticas_Revisiones'!$S$2:$S$282,"T093",'Prácticas_Revisiones'!$T$2:$T$282,"CONSTRUCTION &gt; Software Construction Tools")+COUNTIFS('Prácticas_Snowballing'!$AB$2:$AB$281,"T093",'Prácticas_Snowballing'!$AC$2:$AC$281,"CONSTRUCTION &gt; Software Construction Tools")</f>
        <v>0</v>
      </c>
      <c r="AF109" s="17">
        <f>COUNTIFS('Prácticas_Revisiones'!$S$2:$S$282,"T093",'Prácticas_Revisiones'!$T$2:$T$282,"CONSTRUCTION &gt; Subárea no determinable")+COUNTIFS('Prácticas_Snowballing'!$AB$2:$AB$281,"T093",'Prácticas_Snowballing'!$AC$2:$AC$281,"CONSTRUCTION &gt; Subárea no determinable")</f>
        <v>0</v>
      </c>
      <c r="AG109" s="29">
        <f t="shared" si="89"/>
        <v>0</v>
      </c>
      <c r="AH109" s="17">
        <f>COUNTIFS('Prácticas_Revisiones'!$S$2:$S$282,"T093",'Prácticas_Revisiones'!$T$2:$T$282,"SOFTWARE TESTING &gt; Software Testing Fundamentals")+COUNTIFS('Prácticas_Snowballing'!$AB$2:$AB$281,"T093",'Prácticas_Snowballing'!$AC$2:$AC$281,"SOFTWARE TESTING &gt; Software Testing Fundamentals")</f>
        <v>0</v>
      </c>
      <c r="AI109" s="17">
        <f>COUNTIFS('Prácticas_Revisiones'!$S$2:$S$282,"T093",'Prácticas_Revisiones'!$T$2:$T$282,"SOFTWARE TESTING &gt; Test Levels")+COUNTIFS('Prácticas_Snowballing'!$AB$2:$AB$281,"T093",'Prácticas_Snowballing'!$AC$2:$AC$281,"SOFTWARE TESTING &gt; Test Levels")</f>
        <v>0</v>
      </c>
      <c r="AJ109" s="17">
        <f>COUNTIFS('Prácticas_Revisiones'!$S$2:$S$282,"T093",'Prácticas_Revisiones'!$T$2:$T$282,"SOFTWARE TESTING &gt; Test Techniques")+COUNTIFS('Prácticas_Snowballing'!$AB$2:$AB$281,"T093",'Prácticas_Snowballing'!$AC$2:$AC$281,"SOFTWARE TESTING &gt; Test Techniques")</f>
        <v>0</v>
      </c>
      <c r="AK109" s="17">
        <f>COUNTIFS('Prácticas_Revisiones'!$S$2:$S$282,"T093",'Prácticas_Revisiones'!$T$2:$T$282,"SOFTWARE TESTING &gt; Test-Related Measures")+COUNTIFS('Prácticas_Snowballing'!$AB$2:$AB$281,"T093",'Prácticas_Snowballing'!$AC$2:$AC$281,"SOFTWARE TESTING &gt; Test-Related Measures")</f>
        <v>0</v>
      </c>
      <c r="AL109" s="17">
        <f>COUNTIFS('Prácticas_Revisiones'!$S$2:$S$282,"T093",'Prácticas_Revisiones'!$T$2:$T$282,"SOFTWARE TESTING &gt; Test Process")+COUNTIFS('Prácticas_Snowballing'!$AB$2:$AB$281,"T093",'Prácticas_Snowballing'!$AC$2:$AC$281,"SOFTWARE TESTING &gt; Test Process")</f>
        <v>0</v>
      </c>
      <c r="AM109" s="17">
        <f>COUNTIFS('Prácticas_Revisiones'!$S$2:$S$282,"T093",'Prácticas_Revisiones'!$T$2:$T$282,"SOFTWARE TESTING &gt; Software Testing in the Development Processes...")+COUNTIFS('Prácticas_Snowballing'!$AB$2:$AB$281,"T093",'Prácticas_Snowballing'!$AC$2:$AC$281,"SOFTWARE TESTING &gt; Software Testing in the Development Processes...")</f>
        <v>0</v>
      </c>
      <c r="AN109" s="17">
        <f>COUNTIFS('Prácticas_Revisiones'!$S$2:$S$282,"T093",'Prácticas_Revisiones'!$T$2:$T$282,"SOFTWARE TESTING &gt; Testing of and Testing Through Emerging Tech...")+COUNTIFS('Prácticas_Snowballing'!$AB$2:$AB$281,"T093",'Prácticas_Snowballing'!$AC$2:$AC$281,"SOFTWARE TESTING &gt; Testing of and Testing Through Emerging Tech...")</f>
        <v>0</v>
      </c>
      <c r="AO109" s="17">
        <f>COUNTIFS('Prácticas_Revisiones'!$S$2:$S$282,"T093",'Prácticas_Revisiones'!$T$2:$T$282,"SOFTWARE TESTING &gt; Software Testing Tools")+COUNTIFS('Prácticas_Snowballing'!$AB$2:$AB$281,"T093",'Prácticas_Snowballing'!$AC$2:$AC$281,"SOFTWARE TESTING &gt; Software Testing Tools")</f>
        <v>0</v>
      </c>
      <c r="AP109" s="17">
        <f>COUNTIFS('Prácticas_Revisiones'!$S$2:$S$282,"T093",'Prácticas_Revisiones'!$T$2:$T$282,"SOFTWARE TESTING &gt; Subárea no determinable")+COUNTIFS('Prácticas_Snowballing'!$AB$2:$AB$281,"T093",'Prácticas_Snowballing'!$AC$2:$AC$281,"SOFTWARE TESTING &gt; Subárea no determinable")</f>
        <v>0</v>
      </c>
      <c r="AQ109" s="29">
        <f t="shared" si="90"/>
        <v>0</v>
      </c>
      <c r="AR109" s="17">
        <f>COUNTIFS('Prácticas_Revisiones'!$S$2:$S$282,"T093",'Prácticas_Revisiones'!$T$2:$T$282,"SOFTWARE ENG. OPERATIONS &gt; Software Engineering Operations Fundamentals")+COUNTIFS('Prácticas_Snowballing'!$AB$2:$AB$281,"T093",'Prácticas_Snowballing'!$AC$2:$AC$281,"SOFTWARE ENG. OPERATIONS &gt; Software Engineering Operations Fundamentals")</f>
        <v>0</v>
      </c>
      <c r="AS109" s="17">
        <f>COUNTIFS('Prácticas_Revisiones'!$S$2:$S$282,"T093",'Prácticas_Revisiones'!$T$2:$T$282,"SOFTWARE ENG. OPERATIONS &gt; Software Engineering Operations Planning")+COUNTIFS('Prácticas_Snowballing'!$AB$2:$AB$281,"T093",'Prácticas_Snowballing'!$AC$2:$AC$281,"SOFTWARE ENG. OPERATIONS &gt; Software Engineering Operations Planning")</f>
        <v>0</v>
      </c>
      <c r="AT109" s="17">
        <f>COUNTIFS('Prácticas_Revisiones'!$S$2:$S$282,"T093",'Prácticas_Revisiones'!$T$2:$T$282,"SOFTWARE ENG. OPERATIONS &gt; Software Engineering Operations Delivery")+COUNTIFS('Prácticas_Snowballing'!$AB$2:$AB$281,"T093",'Prácticas_Snowballing'!$AC$2:$AC$281,"SOFTWARE ENG. OPERATIONS &gt; Software Engineering Operations Delivery")</f>
        <v>0</v>
      </c>
      <c r="AU109" s="17">
        <f>COUNTIFS('Prácticas_Revisiones'!$S$2:$S$282,"T093",'Prácticas_Revisiones'!$T$2:$T$282,"SOFTWARE ENG. OPERATIONS &gt; Software Engineering Operations Control")+COUNTIFS('Prácticas_Snowballing'!$AB$2:$AB$281,"T093",'Prácticas_Snowballing'!$AC$2:$AC$281,"SOFTWARE ENG. OPERATIONS &gt; Software Engineering Operations Control")</f>
        <v>0</v>
      </c>
      <c r="AV109" s="17">
        <f>COUNTIFS('Prácticas_Revisiones'!$S$2:$S$282,"T093",'Prácticas_Revisiones'!$T$2:$T$282,"SOFTWARE ENG. OPERATIONS &gt; Practical Considerations")+COUNTIFS('Prácticas_Snowballing'!$AB$2:$AB$281,"T093",'Prácticas_Snowballing'!$AC$2:$AC$281,"SOFTWARE ENG. OPERATIONS &gt; Practical Considerations")</f>
        <v>0</v>
      </c>
      <c r="AW109" s="17">
        <f>COUNTIFS('Prácticas_Revisiones'!$S$2:$S$282,"T093",'Prácticas_Revisiones'!$T$2:$T$282,"SOFTWARE ENG. OPERATIONS &gt; Software Engineering Operations Tools")+COUNTIFS('Prácticas_Snowballing'!$AB$2:$AB$281,"T093",'Prácticas_Snowballing'!$AC$2:$AC$281,"SOFTWARE ENG. OPERATIONS &gt; Software Engineering Operations Tools")</f>
        <v>0</v>
      </c>
      <c r="AX109" s="17">
        <f>COUNTIFS('Prácticas_Revisiones'!$S$2:$S$282,"T093",'Prácticas_Revisiones'!$T$2:$T$282,"SOFTWARE ENG. OPERATIONS &gt; Subárea no determinable")+COUNTIFS('Prácticas_Snowballing'!$AB$2:$AB$281,"T093",'Prácticas_Snowballing'!$AC$2:$AC$281,"SOFTWARE ENG. OPERATIONS &gt; Subárea no determinable")</f>
        <v>0</v>
      </c>
      <c r="AY109" s="29">
        <f t="shared" si="91"/>
        <v>0</v>
      </c>
      <c r="AZ109" s="17">
        <f>COUNTIFS('Prácticas_Revisiones'!$S$2:$S$282,"T093",'Prácticas_Revisiones'!$T$2:$T$282,"MAINTENANCE &gt; Software Maintenance Fundamentals")+COUNTIFS('Prácticas_Snowballing'!$AB$2:$AB$281,"T093",'Prácticas_Snowballing'!$AC$2:$AC$281,"MAINTENANCE &gt; Software Maintenance Fundamentals")</f>
        <v>0</v>
      </c>
      <c r="BA109" s="17">
        <f>COUNTIFS('Prácticas_Revisiones'!$S$2:$S$282,"T093",'Prácticas_Revisiones'!$T$2:$T$282,"MAINTENANCE &gt; Key Issues in Software Maintenance")+COUNTIFS('Prácticas_Snowballing'!$AB$2:$AB$281,"T093",'Prácticas_Snowballing'!$AC$2:$AC$281,"MAINTENANCE &gt; Key Issues in Software Maintenance")</f>
        <v>0</v>
      </c>
      <c r="BB109" s="17">
        <f>COUNTIFS('Prácticas_Revisiones'!$S$2:$S$282,"T093",'Prácticas_Revisiones'!$T$2:$T$282,"MAINTENANCE &gt; Software Maintenance Processes")+COUNTIFS('Prácticas_Snowballing'!$AB$2:$AB$281,"T093",'Prácticas_Snowballing'!$AC$2:$AC$281,"MAINTENANCE &gt; Software Maintenance Processes")</f>
        <v>0</v>
      </c>
      <c r="BC109" s="17">
        <f>COUNTIFS('Prácticas_Revisiones'!$S$2:$S$282,"T093",'Prácticas_Revisiones'!$T$2:$T$282,"MAINTENANCE &gt; Software Maintenance Techniques")+COUNTIFS('Prácticas_Snowballing'!$AB$2:$AB$281,"T093",'Prácticas_Snowballing'!$AC$2:$AC$281,"MAINTENANCE &gt; Software Maintenance Techniques")</f>
        <v>0</v>
      </c>
      <c r="BD109" s="17">
        <f>COUNTIFS('Prácticas_Revisiones'!$S$2:$S$282,"T093",'Prácticas_Revisiones'!$T$2:$T$282,"MAINTENANCE &gt; Software Maintenance Tools")+COUNTIFS('Prácticas_Snowballing'!$AB$2:$AB$281,"T093",'Prácticas_Snowballing'!$AC$2:$AC$281,"MAINTENANCE &gt; Software Maintenance Tools")</f>
        <v>0</v>
      </c>
      <c r="BE109" s="17">
        <f>COUNTIFS('Prácticas_Revisiones'!$S$2:$S$282,"T093",'Prácticas_Revisiones'!$T$2:$T$282,"MAINTENANCE &gt; Subárea no determinable")+COUNTIFS('Prácticas_Snowballing'!$AB$2:$AB$281,"T093",'Prácticas_Snowballing'!$AC$2:$AC$281,"MAINTENANCE &gt; Subárea no determinable")</f>
        <v>0</v>
      </c>
      <c r="BF109" s="29">
        <f t="shared" si="92"/>
        <v>0</v>
      </c>
      <c r="BG109" s="17">
        <f>COUNTIFS('Prácticas_Revisiones'!$S$2:$S$282,"T093",'Prácticas_Revisiones'!$T$2:$T$282,"SOFTWARE CONFIG. MGMT. &gt; Management of the SCM Process")+COUNTIFS('Prácticas_Snowballing'!$AB$2:$AB$281,"T093",'Prácticas_Snowballing'!$AC$2:$AC$281,"SOFTWARE CONFIG. MGMT. &gt; Management of the SCM Process")</f>
        <v>0</v>
      </c>
      <c r="BH109" s="17">
        <f>COUNTIFS('Prácticas_Revisiones'!$S$2:$S$282,"T093",'Prácticas_Revisiones'!$T$2:$T$282,"SOFTWARE CONFIG. MGMT. &gt; Software Configuration Identification")+COUNTIFS('Prácticas_Snowballing'!$AB$2:$AB$281,"T093",'Prácticas_Snowballing'!$AC$2:$AC$281,"SOFTWARE CONFIG. MGMT. &gt; Software Configuration Identification")</f>
        <v>0</v>
      </c>
      <c r="BI109" s="17">
        <f>COUNTIFS('Prácticas_Revisiones'!$S$2:$S$282,"T093",'Prácticas_Revisiones'!$T$2:$T$282,"SOFTWARE CONFIG. MGMT. &gt; Software Configuration Change Control")+COUNTIFS('Prácticas_Snowballing'!$AB$2:$AB$281,"T093",'Prácticas_Snowballing'!$AC$2:$AC$281,"SOFTWARE CONFIG. MGMT. &gt; Software Configuration Change Control")</f>
        <v>0</v>
      </c>
      <c r="BJ109" s="17">
        <f>COUNTIFS('Prácticas_Revisiones'!$S$2:$S$282,"T093",'Prácticas_Revisiones'!$T$2:$T$282,"SOFTWARE CONFIG. MGMT. &gt; Software Configuration Status Accounting")+COUNTIFS('Prácticas_Snowballing'!$AB$2:$AB$281,"T093",'Prácticas_Snowballing'!$AC$2:$AC$281,"SOFTWARE CONFIG. MGMT. &gt; Software Configuration Status Accounting")</f>
        <v>0</v>
      </c>
      <c r="BK109" s="17">
        <f>COUNTIFS('Prácticas_Revisiones'!$S$2:$S$282,"T093",'Prácticas_Revisiones'!$T$2:$T$282,"SOFTWARE CONFIG. MGMT. &gt; Software Configuration Auditing")+COUNTIFS('Prácticas_Snowballing'!$AB$2:$AB$281,"T093",'Prácticas_Snowballing'!$AC$2:$AC$281,"SOFTWARE CONFIG. MGMT. &gt; Software Configuration Auditing")</f>
        <v>0</v>
      </c>
      <c r="BL109" s="17">
        <f>COUNTIFS('Prácticas_Revisiones'!$S$2:$S$282,"T093",'Prácticas_Revisiones'!$T$2:$T$282,"SOFTWARE CONFIG. MGMT. &gt; Software Release Management and Delivery")+COUNTIFS('Prácticas_Snowballing'!$AB$2:$AB$281,"T093",'Prácticas_Snowballing'!$AC$2:$AC$281,"SOFTWARE CONFIG. MGMT. &gt; Software Release Management and Delivery")</f>
        <v>0</v>
      </c>
      <c r="BM109" s="17">
        <f>COUNTIFS('Prácticas_Revisiones'!$S$2:$S$282,"T093",'Prácticas_Revisiones'!$T$2:$T$282,"SOFTWARE CONFIG. MGMT. &gt; Software Configuration Management Tools")+COUNTIFS('Prácticas_Snowballing'!$AB$2:$AB$281,"T093",'Prácticas_Snowballing'!$AC$2:$AC$281,"SOFTWARE CONFIG. MGMT. &gt; Software Configuration Management Tools")</f>
        <v>0</v>
      </c>
      <c r="BN109" s="17">
        <f>COUNTIFS('Prácticas_Revisiones'!$S$2:$S$282,"T093",'Prácticas_Revisiones'!$T$2:$T$282,"SOFTWARE CONFIG. MGMT. &gt; Subárea no determinable")+COUNTIFS('Prácticas_Snowballing'!$AB$2:$AB$281,"T093",'Prácticas_Snowballing'!$AC$2:$AC$281,"SOFTWARE CONFIG. MGMT. &gt; Subárea no determinable")</f>
        <v>0</v>
      </c>
      <c r="BO109" s="29">
        <f t="shared" si="93"/>
        <v>0</v>
      </c>
      <c r="BP109" s="17">
        <f>COUNTIFS('Prácticas_Revisiones'!$S$2:$S$282,"T093",'Prácticas_Revisiones'!$T$2:$T$282,"SOFTWARE ENG. PROCESS &gt; Software Engineering Process Fundamentals")+COUNTIFS('Prácticas_Snowballing'!$AB$2:$AB$281,"T093",'Prácticas_Snowballing'!$AC$2:$AC$281,"SOFTWARE ENG. PROCESS &gt; Software Engineering Process Fundamentals")</f>
        <v>0</v>
      </c>
      <c r="BQ109" s="17">
        <f>COUNTIFS('Prácticas_Revisiones'!$S$2:$S$282,"T093",'Prácticas_Revisiones'!$T$2:$T$282,"SOFTWARE ENG. PROCESS &gt; Life Cycles")+COUNTIFS('Prácticas_Snowballing'!$AB$2:$AB$281,"T093",'Prácticas_Snowballing'!$AC$2:$AC$281,"SOFTWARE ENG. PROCESS &gt; Life Cycles")</f>
        <v>0</v>
      </c>
      <c r="BR109" s="17">
        <f>COUNTIFS('Prácticas_Revisiones'!$S$2:$S$282,"T093",'Prácticas_Revisiones'!$T$2:$T$282,"SOFTWARE ENG. PROCESS &gt; Software Process Assessment and Improvement")+COUNTIFS('Prácticas_Snowballing'!$AB$2:$AB$281,"T093",'Prácticas_Snowballing'!$AC$2:$AC$281,"SOFTWARE ENG. PROCESS &gt; Software Process Assessment and Improvement")</f>
        <v>0</v>
      </c>
      <c r="BS109" s="17">
        <f>COUNTIFS('Prácticas_Revisiones'!$S$2:$S$282,"T093",'Prácticas_Revisiones'!$T$2:$T$282,"SOFTWARE ENG. PROCESS &gt; Subárea no determinable")+COUNTIFS('Prácticas_Snowballing'!$AB$2:$AB$281,"T093",'Prácticas_Snowballing'!$AC$2:$AC$281,"SOFTWARE ENG. PROCESS &gt; Subárea no determinable")</f>
        <v>0</v>
      </c>
      <c r="BT109" s="29">
        <f t="shared" si="94"/>
        <v>0</v>
      </c>
      <c r="BU109" s="17">
        <f>COUNTIFS('Prácticas_Revisiones'!$S$2:$S$282,"T093",'Prácticas_Revisiones'!$T$2:$T$282,"SOFTWARE ENG. MODELS/METH. &gt; Modeling")+COUNTIFS('Prácticas_Snowballing'!$AB$2:$AB$281,"T093",'Prácticas_Snowballing'!$AC$2:$AC$281,"SOFTWARE ENG. MODELS/METH. &gt; Modeling")</f>
        <v>0</v>
      </c>
      <c r="BV109" s="17">
        <f>COUNTIFS('Prácticas_Revisiones'!$S$2:$S$282,"T093",'Prácticas_Revisiones'!$T$2:$T$282,"SOFTWARE ENG. MODELS/METH. &gt; Types of Models")+COUNTIFS('Prácticas_Snowballing'!$AB$2:$AB$281,"T093",'Prácticas_Snowballing'!$AC$2:$AC$281,"SOFTWARE ENG. MODELS/METH. &gt; Types of Models")</f>
        <v>0</v>
      </c>
      <c r="BW109" s="17">
        <f>COUNTIFS('Prácticas_Revisiones'!$S$2:$S$282,"T093",'Prácticas_Revisiones'!$T$2:$T$282,"SOFTWARE ENG. MODELS/METH. &gt; Analysis of Models")+COUNTIFS('Prácticas_Snowballing'!$AB$2:$AB$281,"T093",'Prácticas_Snowballing'!$AC$2:$AC$281,"SOFTWARE ENG. MODELS/METH. &gt; Analysis of Models")</f>
        <v>0</v>
      </c>
      <c r="BX109" s="17">
        <f>COUNTIFS('Prácticas_Revisiones'!$S$2:$S$282,"T093",'Prácticas_Revisiones'!$T$2:$T$282,"SOFTWARE ENG. MODELS/METH. &gt; Software Engineering Methods")+COUNTIFS('Prácticas_Snowballing'!$AB$2:$AB$281,"T093",'Prácticas_Snowballing'!$AC$2:$AC$281,"SOFTWARE ENG. MODELS/METH. &gt; Software Engineering Methods")</f>
        <v>0</v>
      </c>
      <c r="BY109" s="17">
        <f>COUNTIFS('Prácticas_Revisiones'!$S$2:$S$282,"T093",'Prácticas_Revisiones'!$T$2:$T$282,"SOFTWARE ENG. MODELS/METH. &gt; Subárea no determinable")+COUNTIFS('Prácticas_Snowballing'!$AB$2:$AB$281,"T093",'Prácticas_Snowballing'!$AC$2:$AC$281,"SOFTWARE ENG. MODELS/METH. &gt; Subárea no determinable")</f>
        <v>0</v>
      </c>
      <c r="BZ109" s="29">
        <f t="shared" si="95"/>
        <v>0</v>
      </c>
      <c r="CA109" s="17">
        <f>COUNTIFS('Prácticas_Revisiones'!$S$2:$S$282,"T093",'Prácticas_Revisiones'!$T$2:$T$282,"SOFTWARE QUALITY &gt; Software Quality Fundamentals")+COUNTIFS('Prácticas_Snowballing'!$AB$2:$AB$281,"T093",'Prácticas_Snowballing'!$AC$2:$AC$281,"SOFTWARE QUALITY &gt; Software Quality Fundamentals")</f>
        <v>0</v>
      </c>
      <c r="CB109" s="17">
        <f>COUNTIFS('Prácticas_Revisiones'!$S$2:$S$282,"T093",'Prácticas_Revisiones'!$T$2:$T$282,"SOFTWARE QUALITY &gt; Software Quality Management Process")+COUNTIFS('Prácticas_Snowballing'!$AB$2:$AB$281,"T093",'Prácticas_Snowballing'!$AC$2:$AC$281,"SOFTWARE QUALITY &gt; Software Quality Management Process")</f>
        <v>0</v>
      </c>
      <c r="CC109" s="17">
        <f>COUNTIFS('Prácticas_Revisiones'!$S$2:$S$282,"T093",'Prácticas_Revisiones'!$T$2:$T$282,"SOFTWARE QUALITY &gt; Software Quality Assurance Process")+COUNTIFS('Prácticas_Snowballing'!$AB$2:$AB$281,"T093",'Prácticas_Snowballing'!$AC$2:$AC$281,"SOFTWARE QUALITY &gt; Software Quality Assurance Process")</f>
        <v>0</v>
      </c>
      <c r="CD109" s="17">
        <f>COUNTIFS('Prácticas_Revisiones'!$S$2:$S$282,"T093",'Prácticas_Revisiones'!$T$2:$T$282,"SOFTWARE QUALITY &gt; Software Quality Tools")+COUNTIFS('Prácticas_Snowballing'!$AB$2:$AB$281,"T093",'Prácticas_Snowballing'!$AC$2:$AC$281,"SOFTWARE QUALITY &gt; Software Quality Tools")</f>
        <v>0</v>
      </c>
      <c r="CE109" s="17">
        <f>COUNTIFS('Prácticas_Revisiones'!$S$2:$S$282,"T093",'Prácticas_Revisiones'!$T$2:$T$282,"SOFTWARE QUALITY &gt; Subárea no determinable")+COUNTIFS('Prácticas_Snowballing'!$AB$2:$AB$281,"T093",'Prácticas_Snowballing'!$AC$2:$AC$281,"SOFTWARE QUALITY &gt; Subárea no determinable")</f>
        <v>0</v>
      </c>
      <c r="CF109" s="29">
        <f t="shared" si="96"/>
        <v>0</v>
      </c>
      <c r="CG109" s="17">
        <f>COUNTIFS('Prácticas_Revisiones'!$S$2:$S$282,"T093",'Prácticas_Revisiones'!$T$2:$T$282,"SOFTWARE SECURITY &gt; Software Security Fundamentals")+COUNTIFS('Prácticas_Snowballing'!$AB$2:$AB$281,"T093",'Prácticas_Snowballing'!$AC$2:$AC$281,"SOFTWARE SECURITY &gt; Software Security Fundamentals")</f>
        <v>0</v>
      </c>
      <c r="CH109" s="17">
        <f>COUNTIFS('Prácticas_Revisiones'!$S$2:$S$282,"T093",'Prácticas_Revisiones'!$T$2:$T$282,"SOFTWARE SECURITY &gt; Security Management and Organization")+COUNTIFS('Prácticas_Snowballing'!$AB$2:$AB$281,"T093",'Prácticas_Snowballing'!$AC$2:$AC$281,"SOFTWARE SECURITY &gt; Security Management and Organization")</f>
        <v>0</v>
      </c>
      <c r="CI109" s="17">
        <f>COUNTIFS('Prácticas_Revisiones'!$S$2:$S$282,"T093",'Prácticas_Revisiones'!$T$2:$T$282,"SOFTWARE SECURITY &gt; Software Security Engineering and Process")+COUNTIFS('Prácticas_Snowballing'!$AB$2:$AB$281,"T093",'Prácticas_Snowballing'!$AC$2:$AC$281,"SOFTWARE SECURITY &gt; Software Security Engineering and Process")</f>
        <v>0</v>
      </c>
      <c r="CJ109" s="17">
        <f>COUNTIFS('Prácticas_Revisiones'!$S$2:$S$282,"T093",'Prácticas_Revisiones'!$T$2:$T$282,"SOFTWARE SECURITY &gt; Security Engineering for Software Systems")+COUNTIFS('Prácticas_Snowballing'!$AB$2:$AB$281,"T093",'Prácticas_Snowballing'!$AC$2:$AC$281,"SOFTWARE SECURITY &gt; Security Engineering for Software Systems")</f>
        <v>0</v>
      </c>
      <c r="CK109" s="17">
        <f>COUNTIFS('Prácticas_Revisiones'!$S$2:$S$282,"T093",'Prácticas_Revisiones'!$T$2:$T$282,"SOFTWARE SECURITY &gt; Software Security Tools")+COUNTIFS('Prácticas_Snowballing'!$AB$2:$AB$281,"T093",'Prácticas_Snowballing'!$AC$2:$AC$281,"SOFTWARE SECURITY &gt; Software Security Tools")</f>
        <v>0</v>
      </c>
      <c r="CL109" s="17">
        <f>COUNTIFS('Prácticas_Revisiones'!$S$2:$S$282,"T093",'Prácticas_Revisiones'!$T$2:$T$282,"SOFTWARE SECURITY &gt; Domain Specific Software Security")+COUNTIFS('Prácticas_Snowballing'!$AB$2:$AB$281,"T093",'Prácticas_Snowballing'!$AC$2:$AC$281,"SOFTWARE SECURITY &gt; Domain Specific Software Security")</f>
        <v>0</v>
      </c>
      <c r="CM109" s="17">
        <f>COUNTIFS('Prácticas_Revisiones'!$S$2:$S$282,"T093",'Prácticas_Revisiones'!$T$2:$T$282,"SOFTWARE SECURITY &gt; Subárea no determinable")+COUNTIFS('Prácticas_Snowballing'!$AB$2:$AB$281,"T093",'Prácticas_Snowballing'!$AC$2:$AC$281,"SOFTWARE SECURITY &gt; Subárea no determinable")</f>
        <v>0</v>
      </c>
      <c r="CN109" s="29">
        <f t="shared" si="97"/>
        <v>0</v>
      </c>
      <c r="CO109" s="17">
        <f>COUNTIFS('Prácticas_Revisiones'!$S$2:$S$282,"T093",'Prácticas_Revisiones'!$T$2:$T$282,"PROFESSIONAL PRACTICE &gt; Professionalism")+COUNTIFS('Prácticas_Snowballing'!$AB$2:$AB$281,"T093",'Prácticas_Snowballing'!$AC$2:$AC$281,"PROFESSIONAL PRACTICE &gt; Professionalism")</f>
        <v>0</v>
      </c>
      <c r="CP109" s="17">
        <f>COUNTIFS('Prácticas_Revisiones'!$S$2:$S$282,"T093",'Prácticas_Revisiones'!$T$2:$T$282,"PROFESSIONAL PRACTICE &gt; Group Dynamics and Psychology")+COUNTIFS('Prácticas_Snowballing'!$AB$2:$AB$281,"T093",'Prácticas_Snowballing'!$AC$2:$AC$281,"PROFESSIONAL PRACTICE &gt; Group Dynamics and Psychology")</f>
        <v>0</v>
      </c>
      <c r="CQ109" s="17">
        <f>COUNTIFS('Prácticas_Revisiones'!$S$2:$S$282,"T093",'Prácticas_Revisiones'!$T$2:$T$282,"PROFESSIONAL PRACTICE &gt; Communication Skills")+COUNTIFS('Prácticas_Snowballing'!$AB$2:$AB$281,"T093",'Prácticas_Snowballing'!$AC$2:$AC$281,"PROFESSIONAL PRACTICE &gt; Communication Skills")</f>
        <v>0</v>
      </c>
      <c r="CR109" s="17">
        <f>COUNTIFS('Prácticas_Revisiones'!$S$2:$S$282,"T093",'Prácticas_Revisiones'!$T$2:$T$282,"PROFESSIONAL PRACTICE &gt; Subárea no determinable")+COUNTIFS('Prácticas_Snowballing'!$AB$2:$AB$281,"T093",'Prácticas_Snowballing'!$AC$2:$AC$281,"PROFESSIONAL PRACTICE &gt; Subárea no determinable")</f>
        <v>0</v>
      </c>
      <c r="CS109" s="29">
        <f t="shared" si="98"/>
        <v>0</v>
      </c>
      <c r="CT109" s="17">
        <f>COUNTIFS('Prácticas_Revisiones'!$S$2:$S$282,"T093",'Prácticas_Revisiones'!$T$2:$T$282,"SOFTWARE ENG. ECONOMICS &gt; Software Engineering Economics Fundamentals")+COUNTIFS('Prácticas_Snowballing'!$AB$2:$AB$281,"T093",'Prácticas_Snowballing'!$AC$2:$AC$281,"SOFTWARE ENG. ECONOMICS &gt; Software Engineering Economics Fundamentals")</f>
        <v>0</v>
      </c>
      <c r="CU109" s="17">
        <f>COUNTIFS('Prácticas_Revisiones'!$S$2:$S$282,"T093",'Prácticas_Revisiones'!$T$2:$T$282,"SOFTWARE ENG. ECONOMICS &gt; The Engineering Decision-Making Process")+COUNTIFS('Prácticas_Snowballing'!$AB$2:$AB$281,"T093",'Prácticas_Snowballing'!$AC$2:$AC$281,"SOFTWARE ENG. ECONOMICS &gt; The Engineering Decision-Making Process")</f>
        <v>0</v>
      </c>
      <c r="CV109" s="17">
        <f>COUNTIFS('Prácticas_Revisiones'!$S$2:$S$282,"T093",'Prácticas_Revisiones'!$T$2:$T$282,"SOFTWARE ENG. ECONOMICS &gt; For-Profit Decision-Making")+COUNTIFS('Prácticas_Snowballing'!$AB$2:$AB$281,"T093",'Prácticas_Snowballing'!$AC$2:$AC$281,"SOFTWARE ENG. ECONOMICS &gt; For-Profit Decision-Making")</f>
        <v>0</v>
      </c>
      <c r="CW109" s="17">
        <f>COUNTIFS('Prácticas_Revisiones'!$S$2:$S$282,"T093",'Prácticas_Revisiones'!$T$2:$T$282,"SOFTWARE ENG. ECONOMICS &gt; Nonprofit Decision-Making")+COUNTIFS('Prácticas_Snowballing'!$AB$2:$AB$281,"T093",'Prácticas_Snowballing'!$AC$2:$AC$281,"SOFTWARE ENG. ECONOMICS &gt; Nonprofit Decision-Making")</f>
        <v>0</v>
      </c>
      <c r="CX109" s="17">
        <f>COUNTIFS('Prácticas_Revisiones'!$S$2:$S$282,"T093",'Prácticas_Revisiones'!$T$2:$T$282,"SOFTWARE ENG. ECONOMICS &gt; Present Economy Decision-Making")+COUNTIFS('Prácticas_Snowballing'!$AB$2:$AB$281,"T093",'Prácticas_Snowballing'!$AC$2:$AC$281,"SOFTWARE ENG. ECONOMICS &gt; Present Economy Decision-Making")</f>
        <v>0</v>
      </c>
      <c r="CY109" s="17">
        <f>COUNTIFS('Prácticas_Revisiones'!$S$2:$S$282,"T093",'Prácticas_Revisiones'!$T$2:$T$282,"SOFTWARE ENG. ECONOMICS &gt; Multiple-Attribute Decision-Making")+COUNTIFS('Prácticas_Snowballing'!$AB$2:$AB$281,"T093",'Prácticas_Snowballing'!$AC$2:$AC$281,"SOFTWARE ENG. ECONOMICS &gt; Multiple-Attribute Decision-Making")</f>
        <v>0</v>
      </c>
      <c r="CZ109" s="17">
        <f>COUNTIFS('Prácticas_Revisiones'!$S$2:$S$282,"T093",'Prácticas_Revisiones'!$T$2:$T$282,"SOFTWARE ENG. ECONOMICS &gt; Identifying and Characterizing Intangible Assets")+COUNTIFS('Prácticas_Snowballing'!$AB$2:$AB$281,"T093",'Prácticas_Snowballing'!$AC$2:$AC$281,"SOFTWARE ENG. ECONOMICS &gt; Identifying and Characterizing Intangible Assets")</f>
        <v>0</v>
      </c>
      <c r="DA109" s="17">
        <f>COUNTIFS('Prácticas_Revisiones'!$S$2:$S$282,"T093",'Prácticas_Revisiones'!$T$2:$T$282,"SOFTWARE ENG. ECONOMICS &gt; Estimation")+COUNTIFS('Prácticas_Snowballing'!$AB$2:$AB$281,"T093",'Prácticas_Snowballing'!$AC$2:$AC$281,"SOFTWARE ENG. ECONOMICS &gt; Estimation")</f>
        <v>0</v>
      </c>
      <c r="DB109" s="17">
        <f>COUNTIFS('Prácticas_Revisiones'!$S$2:$S$282,"T093",'Prácticas_Revisiones'!$T$2:$T$282,"SOFTWARE ENG. ECONOMICS &gt; Practical Considerations")+COUNTIFS('Prácticas_Snowballing'!$AB$2:$AB$281,"T093",'Prácticas_Snowballing'!$AC$2:$AC$281,"SOFTWARE ENG. ECONOMICS &gt; Practical Considerations")</f>
        <v>0</v>
      </c>
      <c r="DC109" s="17">
        <f>COUNTIFS('Prácticas_Revisiones'!$S$2:$S$282,"T093",'Prácticas_Revisiones'!$T$2:$T$282,"SOFTWARE ENG. ECONOMICS &gt; Related Concepts")+COUNTIFS('Prácticas_Snowballing'!$AB$2:$AB$281,"T093",'Prácticas_Snowballing'!$AC$2:$AC$281,"SOFTWARE ENG. ECONOMICS &gt; Related Concepts")</f>
        <v>0</v>
      </c>
      <c r="DD109" s="17">
        <f>COUNTIFS('Prácticas_Revisiones'!$S$2:$S$282,"T093",'Prácticas_Revisiones'!$T$2:$T$282,"SOFTWARE ENG. ECONOMICS &gt; Subárea no determinable")+COUNTIFS('Prácticas_Snowballing'!$AB$2:$AB$281,"T093",'Prácticas_Snowballing'!$AC$2:$AC$281,"SOFTWARE ENG. ECONOMICS &gt; Subárea no determinable")</f>
        <v>0</v>
      </c>
      <c r="DE109" s="29">
        <f t="shared" si="99"/>
        <v>0</v>
      </c>
      <c r="DF109" s="17">
        <f>COUNTIFS('Prácticas_Revisiones'!$S$2:$S$282,"T093",'Prácticas_Revisiones'!$T$2:$T$282,"SOFTWARE ENG. MANAGEMENT &gt; Software Engineering Management Fundamentals")+COUNTIFS('Prácticas_Snowballing'!$AB$2:$AB$281,"T093",'Prácticas_Snowballing'!$AC$2:$AC$281,"SOFTWARE ENG. MANAGEMENT &gt; Software Engineering Management Fundamentals")</f>
        <v>0</v>
      </c>
      <c r="DG109" s="17">
        <f>COUNTIFS('Prácticas_Revisiones'!$S$2:$S$282,"T093",'Prácticas_Revisiones'!$T$2:$T$282,"SOFTWARE ENG. MANAGEMENT &gt; Initiation and Scope Definition")+COUNTIFS('Prácticas_Snowballing'!$AB$2:$AB$281,"T093",'Prácticas_Snowballing'!$AC$2:$AC$281,"SOFTWARE ENG. MANAGEMENT &gt; Initiation and Scope Definition")</f>
        <v>0</v>
      </c>
      <c r="DH109" s="17">
        <f>COUNTIFS('Prácticas_Revisiones'!$S$2:$S$282,"T093",'Prácticas_Revisiones'!$T$2:$T$282,"SOFTWARE ENG. MANAGEMENT &gt; Software Project Planning")+COUNTIFS('Prácticas_Snowballing'!$AB$2:$AB$281,"T093",'Prácticas_Snowballing'!$AC$2:$AC$281,"SOFTWARE ENG. MANAGEMENT &gt; Software Project Planning")</f>
        <v>0</v>
      </c>
      <c r="DI109" s="17">
        <f>COUNTIFS('Prácticas_Revisiones'!$S$2:$S$282,"T093",'Prácticas_Revisiones'!$T$2:$T$282,"SOFTWARE ENG. MANAGEMENT &gt; Software Project Enactment")+COUNTIFS('Prácticas_Snowballing'!$AB$2:$AB$281,"T093",'Prácticas_Snowballing'!$AC$2:$AC$281,"SOFTWARE ENG. MANAGEMENT &gt; Software Project Enactment")</f>
        <v>0</v>
      </c>
      <c r="DJ109" s="17">
        <f>COUNTIFS('Prácticas_Revisiones'!$S$2:$S$282,"T093",'Prácticas_Revisiones'!$T$2:$T$282,"SOFTWARE ENG. MANAGEMENT &gt; Review and Evaluation")+COUNTIFS('Prácticas_Snowballing'!$AB$2:$AB$281,"T093",'Prácticas_Snowballing'!$AC$2:$AC$281,"SOFTWARE ENG. MANAGEMENT &gt; Review and Evaluation")</f>
        <v>0</v>
      </c>
      <c r="DK109" s="17">
        <f>COUNTIFS('Prácticas_Revisiones'!$S$2:$S$282,"T093",'Prácticas_Revisiones'!$T$2:$T$282,"SOFTWARE ENG. MANAGEMENT &gt; Closure")+COUNTIFS('Prácticas_Snowballing'!$AB$2:$AB$281,"T093",'Prácticas_Snowballing'!$AC$2:$AC$281,"SOFTWARE ENG. MANAGEMENT &gt; Closure")</f>
        <v>0</v>
      </c>
      <c r="DL109" s="17">
        <f>COUNTIFS('Prácticas_Revisiones'!$S$2:$S$282,"T093",'Prácticas_Revisiones'!$T$2:$T$282,"SOFTWARE ENG. MANAGEMENT &gt; Software Engineering Management Tools")+COUNTIFS('Prácticas_Snowballing'!$AB$2:$AB$281,"T093",'Prácticas_Snowballing'!$AC$2:$AC$281,"SOFTWARE ENG. MANAGEMENT &gt; Software Engineering Management Tools")</f>
        <v>0</v>
      </c>
      <c r="DM109" s="17">
        <f>COUNTIFS('Prácticas_Revisiones'!$S$2:$S$282,"T093",'Prácticas_Revisiones'!$T$2:$T$282,"SOFTWARE ENG. MANAGEMENT &gt; Subárea no determinable")+COUNTIFS('Prácticas_Snowballing'!$AB$2:$AB$281,"T093",'Prácticas_Snowballing'!$AC$2:$AC$281,"SOFTWARE ENG. MANAGEMENT &gt; Subárea no determinable")</f>
        <v>0</v>
      </c>
      <c r="DN109" s="29">
        <f t="shared" si="100"/>
        <v>0</v>
      </c>
      <c r="DO109" s="17">
        <f>COUNTIFS('Prácticas_Revisiones'!$S$2:$S$282,"T093",'Prácticas_Revisiones'!$T$2:$T$282,"Sin área SWEBOK")+COUNTIFS('Prácticas_Snowballing'!$AB$2:$AB$281,"T093",'Prácticas_Snowballing'!$AC$2:$AC$281,"Sin área SWEBOK")</f>
        <v>0</v>
      </c>
      <c r="DP109" s="27">
        <f t="shared" si="101"/>
        <v>0</v>
      </c>
    </row>
    <row r="110" ht="15.75" customHeight="1">
      <c r="A110" s="28"/>
      <c r="B110" s="16" t="s">
        <v>2864</v>
      </c>
      <c r="C110" s="17">
        <f>COUNTIFS('Prácticas_Revisiones'!$S$2:$S$282,"T094",'Prácticas_Revisiones'!$T$2:$T$282,"REQUIREMENTS &gt; Software Requirements Fundamentals")+COUNTIFS('Prácticas_Snowballing'!$AB$2:$AB$281,"T094",'Prácticas_Snowballing'!$AC$2:$AC$281,"REQUIREMENTS &gt; Software Requirements Fundamentals")</f>
        <v>0</v>
      </c>
      <c r="D110" s="17">
        <f>COUNTIFS('Prácticas_Revisiones'!$S$2:$S$282,"T094",'Prácticas_Revisiones'!$T$2:$T$282,"REQUIREMENTS &gt; Requirements Elicitation")+COUNTIFS('Prácticas_Snowballing'!$AB$2:$AB$281,"T094",'Prácticas_Snowballing'!$AC$2:$AC$281,"REQUIREMENTS &gt; Requirements Elicitation")</f>
        <v>0</v>
      </c>
      <c r="E110" s="17">
        <f>COUNTIFS('Prácticas_Revisiones'!$S$2:$S$282,"T094",'Prácticas_Revisiones'!$T$2:$T$282,"REQUIREMENTS &gt; Requirements Analysis")+COUNTIFS('Prácticas_Snowballing'!$AB$2:$AB$281,"T094",'Prácticas_Snowballing'!$AC$2:$AC$281,"REQUIREMENTS &gt; Requirements Analysis")</f>
        <v>0</v>
      </c>
      <c r="F110" s="17">
        <f>COUNTIFS('Prácticas_Revisiones'!$S$2:$S$282,"T094",'Prácticas_Revisiones'!$T$2:$T$282,"REQUIREMENTS &gt; Requirements Specification")+COUNTIFS('Prácticas_Snowballing'!$AB$2:$AB$281,"T094",'Prácticas_Snowballing'!$AC$2:$AC$281,"REQUIREMENTS &gt; Requirements Specification")</f>
        <v>0</v>
      </c>
      <c r="G110" s="17">
        <f>COUNTIFS('Prácticas_Revisiones'!$S$2:$S$282,"T094",'Prácticas_Revisiones'!$T$2:$T$282,"REQUIREMENTS &gt; Requirements Validation")+COUNTIFS('Prácticas_Snowballing'!$AB$2:$AB$281,"T094",'Prácticas_Snowballing'!$AC$2:$AC$281,"REQUIREMENTS &gt; Requirements Validation")</f>
        <v>0</v>
      </c>
      <c r="H110" s="17">
        <f>COUNTIFS('Prácticas_Revisiones'!$S$2:$S$282,"T094",'Prácticas_Revisiones'!$T$2:$T$282,"REQUIREMENTS &gt; Requirements Management Activities")+COUNTIFS('Prácticas_Snowballing'!$AB$2:$AB$281,"T094",'Prácticas_Snowballing'!$AC$2:$AC$281,"REQUIREMENTS &gt; Requirements Management Activities")</f>
        <v>0</v>
      </c>
      <c r="I110" s="17">
        <f>COUNTIFS('Prácticas_Revisiones'!$S$2:$S$282,"T094",'Prácticas_Revisiones'!$T$2:$T$282,"REQUIREMENTS &gt; Practical Considerations")+COUNTIFS('Prácticas_Snowballing'!$AB$2:$AB$281,"T094",'Prácticas_Snowballing'!$AC$2:$AC$281,"REQUIREMENTS &gt; Practical Considerations")</f>
        <v>0</v>
      </c>
      <c r="J110" s="17">
        <f>COUNTIFS('Prácticas_Revisiones'!$S$2:$S$282,"T094",'Prácticas_Revisiones'!$T$2:$T$282,"REQUIREMENTS &gt; Software Requirements Tools")+COUNTIFS('Prácticas_Snowballing'!$AB$2:$AB$281,"T094",'Prácticas_Snowballing'!$AC$2:$AC$281,"REQUIREMENTS &gt; Software Requirements Tools")</f>
        <v>0</v>
      </c>
      <c r="K110" s="17">
        <f>COUNTIFS('Prácticas_Revisiones'!$S$2:$S$282,"T094",'Prácticas_Revisiones'!$T$2:$T$282,"REQUIREMENTS &gt; Subárea no determinable")+COUNTIFS('Prácticas_Snowballing'!$AB$2:$AB$281,"T094",'Prácticas_Snowballing'!$AC$2:$AC$281,"REQUIREMENTS &gt; Subárea no determinable")</f>
        <v>0</v>
      </c>
      <c r="L110" s="29">
        <f t="shared" si="86"/>
        <v>0</v>
      </c>
      <c r="M110" s="17">
        <f>COUNTIFS('Prácticas_Revisiones'!$S$2:$S$282,"T094",'Prácticas_Revisiones'!$T$2:$T$282,"ARCHITECTURE &gt; Software Architecture Fundamentals")+COUNTIFS('Prácticas_Snowballing'!$AB$2:$AB$281,"T094",'Prácticas_Snowballing'!$AC$2:$AC$281,"ARCHITECTURE &gt; Software Architecture Fundamentals")</f>
        <v>0</v>
      </c>
      <c r="N110" s="17">
        <f>COUNTIFS('Prácticas_Revisiones'!$S$2:$S$282,"T094",'Prácticas_Revisiones'!$T$2:$T$282,"ARCHITECTURE &gt; Software Architecture Description")+COUNTIFS('Prácticas_Snowballing'!$AB$2:$AB$281,"T094",'Prácticas_Snowballing'!$AC$2:$AC$281,"ARCHITECTURE &gt; Software Architecture Description")</f>
        <v>0</v>
      </c>
      <c r="O110" s="17">
        <f>COUNTIFS('Prácticas_Revisiones'!$S$2:$S$282,"T094",'Prácticas_Revisiones'!$T$2:$T$282,"ARCHITECTURE &gt; Software Architecture Process")+COUNTIFS('Prácticas_Snowballing'!$AB$2:$AB$281,"T094",'Prácticas_Snowballing'!$AC$2:$AC$281,"ARCHITECTURE &gt; Software Architecture Process")</f>
        <v>0</v>
      </c>
      <c r="P110" s="17">
        <f>COUNTIFS('Prácticas_Revisiones'!$S$2:$S$282,"T094",'Prácticas_Revisiones'!$T$2:$T$282,"ARCHITECTURE &gt; Software Architecture Evaluation")+COUNTIFS('Prácticas_Snowballing'!$AB$2:$AB$281,"T094",'Prácticas_Snowballing'!$AC$2:$AC$281,"ARCHITECTURE &gt; Software Architecture Evaluation")</f>
        <v>0</v>
      </c>
      <c r="Q110" s="17">
        <f>COUNTIFS('Prácticas_Revisiones'!$S$2:$S$282,"T094",'Prácticas_Revisiones'!$T$2:$T$282,"ARCHITECTURE &gt; Subárea no determinable")+COUNTIFS('Prácticas_Snowballing'!$AB$2:$AB$281,"T094",'Prácticas_Snowballing'!$AC$2:$AC$281,"ARCHITECTURE &gt; Subárea no determinable")</f>
        <v>0</v>
      </c>
      <c r="R110" s="29">
        <f t="shared" si="87"/>
        <v>0</v>
      </c>
      <c r="S110" s="17">
        <f>COUNTIFS('Prácticas_Revisiones'!$S$2:$S$282,"T094",'Prácticas_Revisiones'!$T$2:$T$282,"DESIGN &gt; Software Design Fundamentals")+COUNTIFS('Prácticas_Snowballing'!$AB$2:$AB$281,"T094",'Prácticas_Snowballing'!$AC$2:$AC$281,"DESIGN &gt; Software Design Fundamentals")</f>
        <v>0</v>
      </c>
      <c r="T110" s="17">
        <f>COUNTIFS('Prácticas_Revisiones'!$S$2:$S$282,"T094",'Prácticas_Revisiones'!$T$2:$T$282,"DESIGN &gt; Software Design Processes")+COUNTIFS('Prácticas_Snowballing'!$AB$2:$AB$281,"T094",'Prácticas_Snowballing'!$AC$2:$AC$281,"DESIGN &gt; Software Design Processes")</f>
        <v>0</v>
      </c>
      <c r="U110" s="17">
        <f>COUNTIFS('Prácticas_Revisiones'!$S$2:$S$282,"T094",'Prácticas_Revisiones'!$T$2:$T$282,"DESIGN &gt; Software Design Qualities")+COUNTIFS('Prácticas_Snowballing'!$AB$2:$AB$281,"T094",'Prácticas_Snowballing'!$AC$2:$AC$281,"DESIGN &gt; Software Design Qualities")</f>
        <v>0</v>
      </c>
      <c r="V110" s="17">
        <f>COUNTIFS('Prácticas_Revisiones'!$S$2:$S$282,"T094",'Prácticas_Revisiones'!$T$2:$T$282,"DESIGN &gt; Recording Software Design")+COUNTIFS('Prácticas_Snowballing'!$AB$2:$AB$281,"T094",'Prácticas_Snowballing'!$AC$2:$AC$281,"DESIGN &gt; Recording Software Design")</f>
        <v>0</v>
      </c>
      <c r="W110" s="17">
        <f>COUNTIFS('Prácticas_Revisiones'!$S$2:$S$282,"T094",'Prácticas_Revisiones'!$T$2:$T$282,"DESIGN &gt; Software Design Strategies and Methods")+COUNTIFS('Prácticas_Snowballing'!$AB$2:$AB$281,"T094",'Prácticas_Snowballing'!$AC$2:$AC$281,"DESIGN &gt; Software Design Strategies and Methods")</f>
        <v>0</v>
      </c>
      <c r="X110" s="17">
        <f>COUNTIFS('Prácticas_Revisiones'!$S$2:$S$282,"T094",'Prácticas_Revisiones'!$T$2:$T$282,"DESIGN &gt; Software Design Analysis and Evaluations")+COUNTIFS('Prácticas_Snowballing'!$AB$2:$AB$281,"T094",'Prácticas_Snowballing'!$AC$2:$AC$281,"DESIGN &gt; Software Design Analysis and Evaluations")</f>
        <v>0</v>
      </c>
      <c r="Y110" s="17">
        <f>COUNTIFS('Prácticas_Revisiones'!$S$2:$S$282,"T094",'Prácticas_Revisiones'!$T$2:$T$282,"DESIGN &gt; Subárea no determinable")+COUNTIFS('Prácticas_Snowballing'!$AB$2:$AB$281,"T094",'Prácticas_Snowballing'!$AC$2:$AC$281,"DESIGN &gt; Subárea no determinable")</f>
        <v>0</v>
      </c>
      <c r="Z110" s="29">
        <f t="shared" si="88"/>
        <v>0</v>
      </c>
      <c r="AA110" s="17">
        <f>COUNTIFS('Prácticas_Revisiones'!$S$2:$S$282,"T094",'Prácticas_Revisiones'!$T$2:$T$282,"CONSTRUCTION &gt; Software Construction Fundamentals")+COUNTIFS('Prácticas_Snowballing'!$AB$2:$AB$281,"T094",'Prácticas_Snowballing'!$AC$2:$AC$281,"CONSTRUCTION &gt; Software Construction Fundamentals")</f>
        <v>0</v>
      </c>
      <c r="AB110" s="17">
        <f>COUNTIFS('Prácticas_Revisiones'!$S$2:$S$282,"T094",'Prácticas_Revisiones'!$T$2:$T$282,"CONSTRUCTION &gt; Managing Construction")+COUNTIFS('Prácticas_Snowballing'!$AB$2:$AB$281,"T094",'Prácticas_Snowballing'!$AC$2:$AC$281,"CONSTRUCTION &gt; Managing Construction")</f>
        <v>0</v>
      </c>
      <c r="AC110" s="17">
        <f>COUNTIFS('Prácticas_Revisiones'!$S$2:$S$282,"T094",'Prácticas_Revisiones'!$T$2:$T$282,"CONSTRUCTION &gt; Practical Considerations")+COUNTIFS('Prácticas_Snowballing'!$AB$2:$AB$281,"T094",'Prácticas_Snowballing'!$AC$2:$AC$281,"CONSTRUCTION &gt; Practical Considerations")</f>
        <v>0</v>
      </c>
      <c r="AD110" s="17">
        <f>COUNTIFS('Prácticas_Revisiones'!$S$2:$S$282,"T094",'Prácticas_Revisiones'!$T$2:$T$282,"CONSTRUCTION &gt; Construction Technologies")+COUNTIFS('Prácticas_Snowballing'!$AB$2:$AB$281,"T094",'Prácticas_Snowballing'!$AC$2:$AC$281,"CONSTRUCTION &gt; Construction Technologies")</f>
        <v>0</v>
      </c>
      <c r="AE110" s="17">
        <f>COUNTIFS('Prácticas_Revisiones'!$S$2:$S$282,"T094",'Prácticas_Revisiones'!$T$2:$T$282,"CONSTRUCTION &gt; Software Construction Tools")+COUNTIFS('Prácticas_Snowballing'!$AB$2:$AB$281,"T094",'Prácticas_Snowballing'!$AC$2:$AC$281,"CONSTRUCTION &gt; Software Construction Tools")</f>
        <v>0</v>
      </c>
      <c r="AF110" s="17">
        <f>COUNTIFS('Prácticas_Revisiones'!$S$2:$S$282,"T094",'Prácticas_Revisiones'!$T$2:$T$282,"CONSTRUCTION &gt; Subárea no determinable")+COUNTIFS('Prácticas_Snowballing'!$AB$2:$AB$281,"T094",'Prácticas_Snowballing'!$AC$2:$AC$281,"CONSTRUCTION &gt; Subárea no determinable")</f>
        <v>0</v>
      </c>
      <c r="AG110" s="29">
        <f t="shared" si="89"/>
        <v>0</v>
      </c>
      <c r="AH110" s="17">
        <f>COUNTIFS('Prácticas_Revisiones'!$S$2:$S$282,"T094",'Prácticas_Revisiones'!$T$2:$T$282,"SOFTWARE TESTING &gt; Software Testing Fundamentals")+COUNTIFS('Prácticas_Snowballing'!$AB$2:$AB$281,"T094",'Prácticas_Snowballing'!$AC$2:$AC$281,"SOFTWARE TESTING &gt; Software Testing Fundamentals")</f>
        <v>0</v>
      </c>
      <c r="AI110" s="17">
        <f>COUNTIFS('Prácticas_Revisiones'!$S$2:$S$282,"T094",'Prácticas_Revisiones'!$T$2:$T$282,"SOFTWARE TESTING &gt; Test Levels")+COUNTIFS('Prácticas_Snowballing'!$AB$2:$AB$281,"T094",'Prácticas_Snowballing'!$AC$2:$AC$281,"SOFTWARE TESTING &gt; Test Levels")</f>
        <v>0</v>
      </c>
      <c r="AJ110" s="17">
        <f>COUNTIFS('Prácticas_Revisiones'!$S$2:$S$282,"T094",'Prácticas_Revisiones'!$T$2:$T$282,"SOFTWARE TESTING &gt; Test Techniques")+COUNTIFS('Prácticas_Snowballing'!$AB$2:$AB$281,"T094",'Prácticas_Snowballing'!$AC$2:$AC$281,"SOFTWARE TESTING &gt; Test Techniques")</f>
        <v>0</v>
      </c>
      <c r="AK110" s="17">
        <f>COUNTIFS('Prácticas_Revisiones'!$S$2:$S$282,"T094",'Prácticas_Revisiones'!$T$2:$T$282,"SOFTWARE TESTING &gt; Test-Related Measures")+COUNTIFS('Prácticas_Snowballing'!$AB$2:$AB$281,"T094",'Prácticas_Snowballing'!$AC$2:$AC$281,"SOFTWARE TESTING &gt; Test-Related Measures")</f>
        <v>0</v>
      </c>
      <c r="AL110" s="17">
        <f>COUNTIFS('Prácticas_Revisiones'!$S$2:$S$282,"T094",'Prácticas_Revisiones'!$T$2:$T$282,"SOFTWARE TESTING &gt; Test Process")+COUNTIFS('Prácticas_Snowballing'!$AB$2:$AB$281,"T094",'Prácticas_Snowballing'!$AC$2:$AC$281,"SOFTWARE TESTING &gt; Test Process")</f>
        <v>0</v>
      </c>
      <c r="AM110" s="17">
        <f>COUNTIFS('Prácticas_Revisiones'!$S$2:$S$282,"T094",'Prácticas_Revisiones'!$T$2:$T$282,"SOFTWARE TESTING &gt; Software Testing in the Development Processes...")+COUNTIFS('Prácticas_Snowballing'!$AB$2:$AB$281,"T094",'Prácticas_Snowballing'!$AC$2:$AC$281,"SOFTWARE TESTING &gt; Software Testing in the Development Processes...")</f>
        <v>0</v>
      </c>
      <c r="AN110" s="17">
        <f>COUNTIFS('Prácticas_Revisiones'!$S$2:$S$282,"T094",'Prácticas_Revisiones'!$T$2:$T$282,"SOFTWARE TESTING &gt; Testing of and Testing Through Emerging Tech...")+COUNTIFS('Prácticas_Snowballing'!$AB$2:$AB$281,"T094",'Prácticas_Snowballing'!$AC$2:$AC$281,"SOFTWARE TESTING &gt; Testing of and Testing Through Emerging Tech...")</f>
        <v>0</v>
      </c>
      <c r="AO110" s="17">
        <f>COUNTIFS('Prácticas_Revisiones'!$S$2:$S$282,"T094",'Prácticas_Revisiones'!$T$2:$T$282,"SOFTWARE TESTING &gt; Software Testing Tools")+COUNTIFS('Prácticas_Snowballing'!$AB$2:$AB$281,"T094",'Prácticas_Snowballing'!$AC$2:$AC$281,"SOFTWARE TESTING &gt; Software Testing Tools")</f>
        <v>0</v>
      </c>
      <c r="AP110" s="17">
        <f>COUNTIFS('Prácticas_Revisiones'!$S$2:$S$282,"T094",'Prácticas_Revisiones'!$T$2:$T$282,"SOFTWARE TESTING &gt; Subárea no determinable")+COUNTIFS('Prácticas_Snowballing'!$AB$2:$AB$281,"T094",'Prácticas_Snowballing'!$AC$2:$AC$281,"SOFTWARE TESTING &gt; Subárea no determinable")</f>
        <v>0</v>
      </c>
      <c r="AQ110" s="29">
        <f t="shared" si="90"/>
        <v>0</v>
      </c>
      <c r="AR110" s="17">
        <f>COUNTIFS('Prácticas_Revisiones'!$S$2:$S$282,"T094",'Prácticas_Revisiones'!$T$2:$T$282,"SOFTWARE ENG. OPERATIONS &gt; Software Engineering Operations Fundamentals")+COUNTIFS('Prácticas_Snowballing'!$AB$2:$AB$281,"T094",'Prácticas_Snowballing'!$AC$2:$AC$281,"SOFTWARE ENG. OPERATIONS &gt; Software Engineering Operations Fundamentals")</f>
        <v>0</v>
      </c>
      <c r="AS110" s="17">
        <f>COUNTIFS('Prácticas_Revisiones'!$S$2:$S$282,"T094",'Prácticas_Revisiones'!$T$2:$T$282,"SOFTWARE ENG. OPERATIONS &gt; Software Engineering Operations Planning")+COUNTIFS('Prácticas_Snowballing'!$AB$2:$AB$281,"T094",'Prácticas_Snowballing'!$AC$2:$AC$281,"SOFTWARE ENG. OPERATIONS &gt; Software Engineering Operations Planning")</f>
        <v>0</v>
      </c>
      <c r="AT110" s="17">
        <f>COUNTIFS('Prácticas_Revisiones'!$S$2:$S$282,"T094",'Prácticas_Revisiones'!$T$2:$T$282,"SOFTWARE ENG. OPERATIONS &gt; Software Engineering Operations Delivery")+COUNTIFS('Prácticas_Snowballing'!$AB$2:$AB$281,"T094",'Prácticas_Snowballing'!$AC$2:$AC$281,"SOFTWARE ENG. OPERATIONS &gt; Software Engineering Operations Delivery")</f>
        <v>0</v>
      </c>
      <c r="AU110" s="17">
        <f>COUNTIFS('Prácticas_Revisiones'!$S$2:$S$282,"T094",'Prácticas_Revisiones'!$T$2:$T$282,"SOFTWARE ENG. OPERATIONS &gt; Software Engineering Operations Control")+COUNTIFS('Prácticas_Snowballing'!$AB$2:$AB$281,"T094",'Prácticas_Snowballing'!$AC$2:$AC$281,"SOFTWARE ENG. OPERATIONS &gt; Software Engineering Operations Control")</f>
        <v>0</v>
      </c>
      <c r="AV110" s="17">
        <f>COUNTIFS('Prácticas_Revisiones'!$S$2:$S$282,"T094",'Prácticas_Revisiones'!$T$2:$T$282,"SOFTWARE ENG. OPERATIONS &gt; Practical Considerations")+COUNTIFS('Prácticas_Snowballing'!$AB$2:$AB$281,"T094",'Prácticas_Snowballing'!$AC$2:$AC$281,"SOFTWARE ENG. OPERATIONS &gt; Practical Considerations")</f>
        <v>0</v>
      </c>
      <c r="AW110" s="17">
        <f>COUNTIFS('Prácticas_Revisiones'!$S$2:$S$282,"T094",'Prácticas_Revisiones'!$T$2:$T$282,"SOFTWARE ENG. OPERATIONS &gt; Software Engineering Operations Tools")+COUNTIFS('Prácticas_Snowballing'!$AB$2:$AB$281,"T094",'Prácticas_Snowballing'!$AC$2:$AC$281,"SOFTWARE ENG. OPERATIONS &gt; Software Engineering Operations Tools")</f>
        <v>0</v>
      </c>
      <c r="AX110" s="17">
        <f>COUNTIFS('Prácticas_Revisiones'!$S$2:$S$282,"T094",'Prácticas_Revisiones'!$T$2:$T$282,"SOFTWARE ENG. OPERATIONS &gt; Subárea no determinable")+COUNTIFS('Prácticas_Snowballing'!$AB$2:$AB$281,"T094",'Prácticas_Snowballing'!$AC$2:$AC$281,"SOFTWARE ENG. OPERATIONS &gt; Subárea no determinable")</f>
        <v>0</v>
      </c>
      <c r="AY110" s="29">
        <f t="shared" si="91"/>
        <v>0</v>
      </c>
      <c r="AZ110" s="17">
        <f>COUNTIFS('Prácticas_Revisiones'!$S$2:$S$282,"T094",'Prácticas_Revisiones'!$T$2:$T$282,"MAINTENANCE &gt; Software Maintenance Fundamentals")+COUNTIFS('Prácticas_Snowballing'!$AB$2:$AB$281,"T094",'Prácticas_Snowballing'!$AC$2:$AC$281,"MAINTENANCE &gt; Software Maintenance Fundamentals")</f>
        <v>0</v>
      </c>
      <c r="BA110" s="17">
        <f>COUNTIFS('Prácticas_Revisiones'!$S$2:$S$282,"T094",'Prácticas_Revisiones'!$T$2:$T$282,"MAINTENANCE &gt; Key Issues in Software Maintenance")+COUNTIFS('Prácticas_Snowballing'!$AB$2:$AB$281,"T094",'Prácticas_Snowballing'!$AC$2:$AC$281,"MAINTENANCE &gt; Key Issues in Software Maintenance")</f>
        <v>0</v>
      </c>
      <c r="BB110" s="17">
        <f>COUNTIFS('Prácticas_Revisiones'!$S$2:$S$282,"T094",'Prácticas_Revisiones'!$T$2:$T$282,"MAINTENANCE &gt; Software Maintenance Processes")+COUNTIFS('Prácticas_Snowballing'!$AB$2:$AB$281,"T094",'Prácticas_Snowballing'!$AC$2:$AC$281,"MAINTENANCE &gt; Software Maintenance Processes")</f>
        <v>0</v>
      </c>
      <c r="BC110" s="17">
        <f>COUNTIFS('Prácticas_Revisiones'!$S$2:$S$282,"T094",'Prácticas_Revisiones'!$T$2:$T$282,"MAINTENANCE &gt; Software Maintenance Techniques")+COUNTIFS('Prácticas_Snowballing'!$AB$2:$AB$281,"T094",'Prácticas_Snowballing'!$AC$2:$AC$281,"MAINTENANCE &gt; Software Maintenance Techniques")</f>
        <v>0</v>
      </c>
      <c r="BD110" s="17">
        <f>COUNTIFS('Prácticas_Revisiones'!$S$2:$S$282,"T094",'Prácticas_Revisiones'!$T$2:$T$282,"MAINTENANCE &gt; Software Maintenance Tools")+COUNTIFS('Prácticas_Snowballing'!$AB$2:$AB$281,"T094",'Prácticas_Snowballing'!$AC$2:$AC$281,"MAINTENANCE &gt; Software Maintenance Tools")</f>
        <v>0</v>
      </c>
      <c r="BE110" s="17">
        <f>COUNTIFS('Prácticas_Revisiones'!$S$2:$S$282,"T094",'Prácticas_Revisiones'!$T$2:$T$282,"MAINTENANCE &gt; Subárea no determinable")+COUNTIFS('Prácticas_Snowballing'!$AB$2:$AB$281,"T094",'Prácticas_Snowballing'!$AC$2:$AC$281,"MAINTENANCE &gt; Subárea no determinable")</f>
        <v>0</v>
      </c>
      <c r="BF110" s="29">
        <f t="shared" si="92"/>
        <v>0</v>
      </c>
      <c r="BG110" s="17">
        <f>COUNTIFS('Prácticas_Revisiones'!$S$2:$S$282,"T094",'Prácticas_Revisiones'!$T$2:$T$282,"SOFTWARE CONFIG. MGMT. &gt; Management of the SCM Process")+COUNTIFS('Prácticas_Snowballing'!$AB$2:$AB$281,"T094",'Prácticas_Snowballing'!$AC$2:$AC$281,"SOFTWARE CONFIG. MGMT. &gt; Management of the SCM Process")</f>
        <v>0</v>
      </c>
      <c r="BH110" s="17">
        <f>COUNTIFS('Prácticas_Revisiones'!$S$2:$S$282,"T094",'Prácticas_Revisiones'!$T$2:$T$282,"SOFTWARE CONFIG. MGMT. &gt; Software Configuration Identification")+COUNTIFS('Prácticas_Snowballing'!$AB$2:$AB$281,"T094",'Prácticas_Snowballing'!$AC$2:$AC$281,"SOFTWARE CONFIG. MGMT. &gt; Software Configuration Identification")</f>
        <v>0</v>
      </c>
      <c r="BI110" s="17">
        <f>COUNTIFS('Prácticas_Revisiones'!$S$2:$S$282,"T094",'Prácticas_Revisiones'!$T$2:$T$282,"SOFTWARE CONFIG. MGMT. &gt; Software Configuration Change Control")+COUNTIFS('Prácticas_Snowballing'!$AB$2:$AB$281,"T094",'Prácticas_Snowballing'!$AC$2:$AC$281,"SOFTWARE CONFIG. MGMT. &gt; Software Configuration Change Control")</f>
        <v>0</v>
      </c>
      <c r="BJ110" s="17">
        <f>COUNTIFS('Prácticas_Revisiones'!$S$2:$S$282,"T094",'Prácticas_Revisiones'!$T$2:$T$282,"SOFTWARE CONFIG. MGMT. &gt; Software Configuration Status Accounting")+COUNTIFS('Prácticas_Snowballing'!$AB$2:$AB$281,"T094",'Prácticas_Snowballing'!$AC$2:$AC$281,"SOFTWARE CONFIG. MGMT. &gt; Software Configuration Status Accounting")</f>
        <v>0</v>
      </c>
      <c r="BK110" s="17">
        <f>COUNTIFS('Prácticas_Revisiones'!$S$2:$S$282,"T094",'Prácticas_Revisiones'!$T$2:$T$282,"SOFTWARE CONFIG. MGMT. &gt; Software Configuration Auditing")+COUNTIFS('Prácticas_Snowballing'!$AB$2:$AB$281,"T094",'Prácticas_Snowballing'!$AC$2:$AC$281,"SOFTWARE CONFIG. MGMT. &gt; Software Configuration Auditing")</f>
        <v>0</v>
      </c>
      <c r="BL110" s="17">
        <f>COUNTIFS('Prácticas_Revisiones'!$S$2:$S$282,"T094",'Prácticas_Revisiones'!$T$2:$T$282,"SOFTWARE CONFIG. MGMT. &gt; Software Release Management and Delivery")+COUNTIFS('Prácticas_Snowballing'!$AB$2:$AB$281,"T094",'Prácticas_Snowballing'!$AC$2:$AC$281,"SOFTWARE CONFIG. MGMT. &gt; Software Release Management and Delivery")</f>
        <v>0</v>
      </c>
      <c r="BM110" s="17">
        <f>COUNTIFS('Prácticas_Revisiones'!$S$2:$S$282,"T094",'Prácticas_Revisiones'!$T$2:$T$282,"SOFTWARE CONFIG. MGMT. &gt; Software Configuration Management Tools")+COUNTIFS('Prácticas_Snowballing'!$AB$2:$AB$281,"T094",'Prácticas_Snowballing'!$AC$2:$AC$281,"SOFTWARE CONFIG. MGMT. &gt; Software Configuration Management Tools")</f>
        <v>0</v>
      </c>
      <c r="BN110" s="17">
        <f>COUNTIFS('Prácticas_Revisiones'!$S$2:$S$282,"T094",'Prácticas_Revisiones'!$T$2:$T$282,"SOFTWARE CONFIG. MGMT. &gt; Subárea no determinable")+COUNTIFS('Prácticas_Snowballing'!$AB$2:$AB$281,"T094",'Prácticas_Snowballing'!$AC$2:$AC$281,"SOFTWARE CONFIG. MGMT. &gt; Subárea no determinable")</f>
        <v>1</v>
      </c>
      <c r="BO110" s="29">
        <f t="shared" si="93"/>
        <v>1</v>
      </c>
      <c r="BP110" s="17">
        <f>COUNTIFS('Prácticas_Revisiones'!$S$2:$S$282,"T094",'Prácticas_Revisiones'!$T$2:$T$282,"SOFTWARE ENG. PROCESS &gt; Software Engineering Process Fundamentals")+COUNTIFS('Prácticas_Snowballing'!$AB$2:$AB$281,"T094",'Prácticas_Snowballing'!$AC$2:$AC$281,"SOFTWARE ENG. PROCESS &gt; Software Engineering Process Fundamentals")</f>
        <v>0</v>
      </c>
      <c r="BQ110" s="17">
        <f>COUNTIFS('Prácticas_Revisiones'!$S$2:$S$282,"T094",'Prácticas_Revisiones'!$T$2:$T$282,"SOFTWARE ENG. PROCESS &gt; Life Cycles")+COUNTIFS('Prácticas_Snowballing'!$AB$2:$AB$281,"T094",'Prácticas_Snowballing'!$AC$2:$AC$281,"SOFTWARE ENG. PROCESS &gt; Life Cycles")</f>
        <v>0</v>
      </c>
      <c r="BR110" s="17">
        <f>COUNTIFS('Prácticas_Revisiones'!$S$2:$S$282,"T094",'Prácticas_Revisiones'!$T$2:$T$282,"SOFTWARE ENG. PROCESS &gt; Software Process Assessment and Improvement")+COUNTIFS('Prácticas_Snowballing'!$AB$2:$AB$281,"T094",'Prácticas_Snowballing'!$AC$2:$AC$281,"SOFTWARE ENG. PROCESS &gt; Software Process Assessment and Improvement")</f>
        <v>0</v>
      </c>
      <c r="BS110" s="17">
        <f>COUNTIFS('Prácticas_Revisiones'!$S$2:$S$282,"T094",'Prácticas_Revisiones'!$T$2:$T$282,"SOFTWARE ENG. PROCESS &gt; Subárea no determinable")+COUNTIFS('Prácticas_Snowballing'!$AB$2:$AB$281,"T094",'Prácticas_Snowballing'!$AC$2:$AC$281,"SOFTWARE ENG. PROCESS &gt; Subárea no determinable")</f>
        <v>0</v>
      </c>
      <c r="BT110" s="29">
        <f t="shared" si="94"/>
        <v>0</v>
      </c>
      <c r="BU110" s="17">
        <f>COUNTIFS('Prácticas_Revisiones'!$S$2:$S$282,"T094",'Prácticas_Revisiones'!$T$2:$T$282,"SOFTWARE ENG. MODELS/METH. &gt; Modeling")+COUNTIFS('Prácticas_Snowballing'!$AB$2:$AB$281,"T094",'Prácticas_Snowballing'!$AC$2:$AC$281,"SOFTWARE ENG. MODELS/METH. &gt; Modeling")</f>
        <v>0</v>
      </c>
      <c r="BV110" s="17">
        <f>COUNTIFS('Prácticas_Revisiones'!$S$2:$S$282,"T094",'Prácticas_Revisiones'!$T$2:$T$282,"SOFTWARE ENG. MODELS/METH. &gt; Types of Models")+COUNTIFS('Prácticas_Snowballing'!$AB$2:$AB$281,"T094",'Prácticas_Snowballing'!$AC$2:$AC$281,"SOFTWARE ENG. MODELS/METH. &gt; Types of Models")</f>
        <v>0</v>
      </c>
      <c r="BW110" s="17">
        <f>COUNTIFS('Prácticas_Revisiones'!$S$2:$S$282,"T094",'Prácticas_Revisiones'!$T$2:$T$282,"SOFTWARE ENG. MODELS/METH. &gt; Analysis of Models")+COUNTIFS('Prácticas_Snowballing'!$AB$2:$AB$281,"T094",'Prácticas_Snowballing'!$AC$2:$AC$281,"SOFTWARE ENG. MODELS/METH. &gt; Analysis of Models")</f>
        <v>0</v>
      </c>
      <c r="BX110" s="17">
        <f>COUNTIFS('Prácticas_Revisiones'!$S$2:$S$282,"T094",'Prácticas_Revisiones'!$T$2:$T$282,"SOFTWARE ENG. MODELS/METH. &gt; Software Engineering Methods")+COUNTIFS('Prácticas_Snowballing'!$AB$2:$AB$281,"T094",'Prácticas_Snowballing'!$AC$2:$AC$281,"SOFTWARE ENG. MODELS/METH. &gt; Software Engineering Methods")</f>
        <v>0</v>
      </c>
      <c r="BY110" s="17">
        <f>COUNTIFS('Prácticas_Revisiones'!$S$2:$S$282,"T094",'Prácticas_Revisiones'!$T$2:$T$282,"SOFTWARE ENG. MODELS/METH. &gt; Subárea no determinable")+COUNTIFS('Prácticas_Snowballing'!$AB$2:$AB$281,"T094",'Prácticas_Snowballing'!$AC$2:$AC$281,"SOFTWARE ENG. MODELS/METH. &gt; Subárea no determinable")</f>
        <v>0</v>
      </c>
      <c r="BZ110" s="29">
        <f t="shared" si="95"/>
        <v>0</v>
      </c>
      <c r="CA110" s="17">
        <f>COUNTIFS('Prácticas_Revisiones'!$S$2:$S$282,"T094",'Prácticas_Revisiones'!$T$2:$T$282,"SOFTWARE QUALITY &gt; Software Quality Fundamentals")+COUNTIFS('Prácticas_Snowballing'!$AB$2:$AB$281,"T094",'Prácticas_Snowballing'!$AC$2:$AC$281,"SOFTWARE QUALITY &gt; Software Quality Fundamentals")</f>
        <v>0</v>
      </c>
      <c r="CB110" s="17">
        <f>COUNTIFS('Prácticas_Revisiones'!$S$2:$S$282,"T094",'Prácticas_Revisiones'!$T$2:$T$282,"SOFTWARE QUALITY &gt; Software Quality Management Process")+COUNTIFS('Prácticas_Snowballing'!$AB$2:$AB$281,"T094",'Prácticas_Snowballing'!$AC$2:$AC$281,"SOFTWARE QUALITY &gt; Software Quality Management Process")</f>
        <v>0</v>
      </c>
      <c r="CC110" s="17">
        <f>COUNTIFS('Prácticas_Revisiones'!$S$2:$S$282,"T094",'Prácticas_Revisiones'!$T$2:$T$282,"SOFTWARE QUALITY &gt; Software Quality Assurance Process")+COUNTIFS('Prácticas_Snowballing'!$AB$2:$AB$281,"T094",'Prácticas_Snowballing'!$AC$2:$AC$281,"SOFTWARE QUALITY &gt; Software Quality Assurance Process")</f>
        <v>0</v>
      </c>
      <c r="CD110" s="17">
        <f>COUNTIFS('Prácticas_Revisiones'!$S$2:$S$282,"T094",'Prácticas_Revisiones'!$T$2:$T$282,"SOFTWARE QUALITY &gt; Software Quality Tools")+COUNTIFS('Prácticas_Snowballing'!$AB$2:$AB$281,"T094",'Prácticas_Snowballing'!$AC$2:$AC$281,"SOFTWARE QUALITY &gt; Software Quality Tools")</f>
        <v>0</v>
      </c>
      <c r="CE110" s="17">
        <f>COUNTIFS('Prácticas_Revisiones'!$S$2:$S$282,"T094",'Prácticas_Revisiones'!$T$2:$T$282,"SOFTWARE QUALITY &gt; Subárea no determinable")+COUNTIFS('Prácticas_Snowballing'!$AB$2:$AB$281,"T094",'Prácticas_Snowballing'!$AC$2:$AC$281,"SOFTWARE QUALITY &gt; Subárea no determinable")</f>
        <v>0</v>
      </c>
      <c r="CF110" s="29">
        <f t="shared" si="96"/>
        <v>0</v>
      </c>
      <c r="CG110" s="17">
        <f>COUNTIFS('Prácticas_Revisiones'!$S$2:$S$282,"T094",'Prácticas_Revisiones'!$T$2:$T$282,"SOFTWARE SECURITY &gt; Software Security Fundamentals")+COUNTIFS('Prácticas_Snowballing'!$AB$2:$AB$281,"T094",'Prácticas_Snowballing'!$AC$2:$AC$281,"SOFTWARE SECURITY &gt; Software Security Fundamentals")</f>
        <v>0</v>
      </c>
      <c r="CH110" s="17">
        <f>COUNTIFS('Prácticas_Revisiones'!$S$2:$S$282,"T094",'Prácticas_Revisiones'!$T$2:$T$282,"SOFTWARE SECURITY &gt; Security Management and Organization")+COUNTIFS('Prácticas_Snowballing'!$AB$2:$AB$281,"T094",'Prácticas_Snowballing'!$AC$2:$AC$281,"SOFTWARE SECURITY &gt; Security Management and Organization")</f>
        <v>0</v>
      </c>
      <c r="CI110" s="17">
        <f>COUNTIFS('Prácticas_Revisiones'!$S$2:$S$282,"T094",'Prácticas_Revisiones'!$T$2:$T$282,"SOFTWARE SECURITY &gt; Software Security Engineering and Process")+COUNTIFS('Prácticas_Snowballing'!$AB$2:$AB$281,"T094",'Prácticas_Snowballing'!$AC$2:$AC$281,"SOFTWARE SECURITY &gt; Software Security Engineering and Process")</f>
        <v>0</v>
      </c>
      <c r="CJ110" s="17">
        <f>COUNTIFS('Prácticas_Revisiones'!$S$2:$S$282,"T094",'Prácticas_Revisiones'!$T$2:$T$282,"SOFTWARE SECURITY &gt; Security Engineering for Software Systems")+COUNTIFS('Prácticas_Snowballing'!$AB$2:$AB$281,"T094",'Prácticas_Snowballing'!$AC$2:$AC$281,"SOFTWARE SECURITY &gt; Security Engineering for Software Systems")</f>
        <v>0</v>
      </c>
      <c r="CK110" s="17">
        <f>COUNTIFS('Prácticas_Revisiones'!$S$2:$S$282,"T094",'Prácticas_Revisiones'!$T$2:$T$282,"SOFTWARE SECURITY &gt; Software Security Tools")+COUNTIFS('Prácticas_Snowballing'!$AB$2:$AB$281,"T094",'Prácticas_Snowballing'!$AC$2:$AC$281,"SOFTWARE SECURITY &gt; Software Security Tools")</f>
        <v>0</v>
      </c>
      <c r="CL110" s="17">
        <f>COUNTIFS('Prácticas_Revisiones'!$S$2:$S$282,"T094",'Prácticas_Revisiones'!$T$2:$T$282,"SOFTWARE SECURITY &gt; Domain Specific Software Security")+COUNTIFS('Prácticas_Snowballing'!$AB$2:$AB$281,"T094",'Prácticas_Snowballing'!$AC$2:$AC$281,"SOFTWARE SECURITY &gt; Domain Specific Software Security")</f>
        <v>0</v>
      </c>
      <c r="CM110" s="17">
        <f>COUNTIFS('Prácticas_Revisiones'!$S$2:$S$282,"T094",'Prácticas_Revisiones'!$T$2:$T$282,"SOFTWARE SECURITY &gt; Subárea no determinable")+COUNTIFS('Prácticas_Snowballing'!$AB$2:$AB$281,"T094",'Prácticas_Snowballing'!$AC$2:$AC$281,"SOFTWARE SECURITY &gt; Subárea no determinable")</f>
        <v>0</v>
      </c>
      <c r="CN110" s="29">
        <f t="shared" si="97"/>
        <v>0</v>
      </c>
      <c r="CO110" s="17">
        <f>COUNTIFS('Prácticas_Revisiones'!$S$2:$S$282,"T094",'Prácticas_Revisiones'!$T$2:$T$282,"PROFESSIONAL PRACTICE &gt; Professionalism")+COUNTIFS('Prácticas_Snowballing'!$AB$2:$AB$281,"T094",'Prácticas_Snowballing'!$AC$2:$AC$281,"PROFESSIONAL PRACTICE &gt; Professionalism")</f>
        <v>1</v>
      </c>
      <c r="CP110" s="17">
        <f>COUNTIFS('Prácticas_Revisiones'!$S$2:$S$282,"T094",'Prácticas_Revisiones'!$T$2:$T$282,"PROFESSIONAL PRACTICE &gt; Group Dynamics and Psychology")+COUNTIFS('Prácticas_Snowballing'!$AB$2:$AB$281,"T094",'Prácticas_Snowballing'!$AC$2:$AC$281,"PROFESSIONAL PRACTICE &gt; Group Dynamics and Psychology")</f>
        <v>0</v>
      </c>
      <c r="CQ110" s="17">
        <f>COUNTIFS('Prácticas_Revisiones'!$S$2:$S$282,"T094",'Prácticas_Revisiones'!$T$2:$T$282,"PROFESSIONAL PRACTICE &gt; Communication Skills")+COUNTIFS('Prácticas_Snowballing'!$AB$2:$AB$281,"T094",'Prácticas_Snowballing'!$AC$2:$AC$281,"PROFESSIONAL PRACTICE &gt; Communication Skills")</f>
        <v>0</v>
      </c>
      <c r="CR110" s="17">
        <f>COUNTIFS('Prácticas_Revisiones'!$S$2:$S$282,"T094",'Prácticas_Revisiones'!$T$2:$T$282,"PROFESSIONAL PRACTICE &gt; Subárea no determinable")+COUNTIFS('Prácticas_Snowballing'!$AB$2:$AB$281,"T094",'Prácticas_Snowballing'!$AC$2:$AC$281,"PROFESSIONAL PRACTICE &gt; Subárea no determinable")</f>
        <v>0</v>
      </c>
      <c r="CS110" s="29">
        <f t="shared" si="98"/>
        <v>1</v>
      </c>
      <c r="CT110" s="17">
        <f>COUNTIFS('Prácticas_Revisiones'!$S$2:$S$282,"T094",'Prácticas_Revisiones'!$T$2:$T$282,"SOFTWARE ENG. ECONOMICS &gt; Software Engineering Economics Fundamentals")+COUNTIFS('Prácticas_Snowballing'!$AB$2:$AB$281,"T094",'Prácticas_Snowballing'!$AC$2:$AC$281,"SOFTWARE ENG. ECONOMICS &gt; Software Engineering Economics Fundamentals")</f>
        <v>0</v>
      </c>
      <c r="CU110" s="17">
        <f>COUNTIFS('Prácticas_Revisiones'!$S$2:$S$282,"T094",'Prácticas_Revisiones'!$T$2:$T$282,"SOFTWARE ENG. ECONOMICS &gt; The Engineering Decision-Making Process")+COUNTIFS('Prácticas_Snowballing'!$AB$2:$AB$281,"T094",'Prácticas_Snowballing'!$AC$2:$AC$281,"SOFTWARE ENG. ECONOMICS &gt; The Engineering Decision-Making Process")</f>
        <v>0</v>
      </c>
      <c r="CV110" s="17">
        <f>COUNTIFS('Prácticas_Revisiones'!$S$2:$S$282,"T094",'Prácticas_Revisiones'!$T$2:$T$282,"SOFTWARE ENG. ECONOMICS &gt; For-Profit Decision-Making")+COUNTIFS('Prácticas_Snowballing'!$AB$2:$AB$281,"T094",'Prácticas_Snowballing'!$AC$2:$AC$281,"SOFTWARE ENG. ECONOMICS &gt; For-Profit Decision-Making")</f>
        <v>0</v>
      </c>
      <c r="CW110" s="17">
        <f>COUNTIFS('Prácticas_Revisiones'!$S$2:$S$282,"T094",'Prácticas_Revisiones'!$T$2:$T$282,"SOFTWARE ENG. ECONOMICS &gt; Nonprofit Decision-Making")+COUNTIFS('Prácticas_Snowballing'!$AB$2:$AB$281,"T094",'Prácticas_Snowballing'!$AC$2:$AC$281,"SOFTWARE ENG. ECONOMICS &gt; Nonprofit Decision-Making")</f>
        <v>0</v>
      </c>
      <c r="CX110" s="17">
        <f>COUNTIFS('Prácticas_Revisiones'!$S$2:$S$282,"T094",'Prácticas_Revisiones'!$T$2:$T$282,"SOFTWARE ENG. ECONOMICS &gt; Present Economy Decision-Making")+COUNTIFS('Prácticas_Snowballing'!$AB$2:$AB$281,"T094",'Prácticas_Snowballing'!$AC$2:$AC$281,"SOFTWARE ENG. ECONOMICS &gt; Present Economy Decision-Making")</f>
        <v>0</v>
      </c>
      <c r="CY110" s="17">
        <f>COUNTIFS('Prácticas_Revisiones'!$S$2:$S$282,"T094",'Prácticas_Revisiones'!$T$2:$T$282,"SOFTWARE ENG. ECONOMICS &gt; Multiple-Attribute Decision-Making")+COUNTIFS('Prácticas_Snowballing'!$AB$2:$AB$281,"T094",'Prácticas_Snowballing'!$AC$2:$AC$281,"SOFTWARE ENG. ECONOMICS &gt; Multiple-Attribute Decision-Making")</f>
        <v>0</v>
      </c>
      <c r="CZ110" s="17">
        <f>COUNTIFS('Prácticas_Revisiones'!$S$2:$S$282,"T094",'Prácticas_Revisiones'!$T$2:$T$282,"SOFTWARE ENG. ECONOMICS &gt; Identifying and Characterizing Intangible Assets")+COUNTIFS('Prácticas_Snowballing'!$AB$2:$AB$281,"T094",'Prácticas_Snowballing'!$AC$2:$AC$281,"SOFTWARE ENG. ECONOMICS &gt; Identifying and Characterizing Intangible Assets")</f>
        <v>0</v>
      </c>
      <c r="DA110" s="17">
        <f>COUNTIFS('Prácticas_Revisiones'!$S$2:$S$282,"T094",'Prácticas_Revisiones'!$T$2:$T$282,"SOFTWARE ENG. ECONOMICS &gt; Estimation")+COUNTIFS('Prácticas_Snowballing'!$AB$2:$AB$281,"T094",'Prácticas_Snowballing'!$AC$2:$AC$281,"SOFTWARE ENG. ECONOMICS &gt; Estimation")</f>
        <v>0</v>
      </c>
      <c r="DB110" s="17">
        <f>COUNTIFS('Prácticas_Revisiones'!$S$2:$S$282,"T094",'Prácticas_Revisiones'!$T$2:$T$282,"SOFTWARE ENG. ECONOMICS &gt; Practical Considerations")+COUNTIFS('Prácticas_Snowballing'!$AB$2:$AB$281,"T094",'Prácticas_Snowballing'!$AC$2:$AC$281,"SOFTWARE ENG. ECONOMICS &gt; Practical Considerations")</f>
        <v>0</v>
      </c>
      <c r="DC110" s="17">
        <f>COUNTIFS('Prácticas_Revisiones'!$S$2:$S$282,"T094",'Prácticas_Revisiones'!$T$2:$T$282,"SOFTWARE ENG. ECONOMICS &gt; Related Concepts")+COUNTIFS('Prácticas_Snowballing'!$AB$2:$AB$281,"T094",'Prácticas_Snowballing'!$AC$2:$AC$281,"SOFTWARE ENG. ECONOMICS &gt; Related Concepts")</f>
        <v>0</v>
      </c>
      <c r="DD110" s="17">
        <f>COUNTIFS('Prácticas_Revisiones'!$S$2:$S$282,"T094",'Prácticas_Revisiones'!$T$2:$T$282,"SOFTWARE ENG. ECONOMICS &gt; Subárea no determinable")+COUNTIFS('Prácticas_Snowballing'!$AB$2:$AB$281,"T094",'Prácticas_Snowballing'!$AC$2:$AC$281,"SOFTWARE ENG. ECONOMICS &gt; Subárea no determinable")</f>
        <v>0</v>
      </c>
      <c r="DE110" s="29">
        <f t="shared" si="99"/>
        <v>0</v>
      </c>
      <c r="DF110" s="17">
        <f>COUNTIFS('Prácticas_Revisiones'!$S$2:$S$282,"T094",'Prácticas_Revisiones'!$T$2:$T$282,"SOFTWARE ENG. MANAGEMENT &gt; Software Engineering Management Fundamentals")+COUNTIFS('Prácticas_Snowballing'!$AB$2:$AB$281,"T094",'Prácticas_Snowballing'!$AC$2:$AC$281,"SOFTWARE ENG. MANAGEMENT &gt; Software Engineering Management Fundamentals")</f>
        <v>0</v>
      </c>
      <c r="DG110" s="17">
        <f>COUNTIFS('Prácticas_Revisiones'!$S$2:$S$282,"T094",'Prácticas_Revisiones'!$T$2:$T$282,"SOFTWARE ENG. MANAGEMENT &gt; Initiation and Scope Definition")+COUNTIFS('Prácticas_Snowballing'!$AB$2:$AB$281,"T094",'Prácticas_Snowballing'!$AC$2:$AC$281,"SOFTWARE ENG. MANAGEMENT &gt; Initiation and Scope Definition")</f>
        <v>0</v>
      </c>
      <c r="DH110" s="17">
        <f>COUNTIFS('Prácticas_Revisiones'!$S$2:$S$282,"T094",'Prácticas_Revisiones'!$T$2:$T$282,"SOFTWARE ENG. MANAGEMENT &gt; Software Project Planning")+COUNTIFS('Prácticas_Snowballing'!$AB$2:$AB$281,"T094",'Prácticas_Snowballing'!$AC$2:$AC$281,"SOFTWARE ENG. MANAGEMENT &gt; Software Project Planning")</f>
        <v>0</v>
      </c>
      <c r="DI110" s="17">
        <f>COUNTIFS('Prácticas_Revisiones'!$S$2:$S$282,"T094",'Prácticas_Revisiones'!$T$2:$T$282,"SOFTWARE ENG. MANAGEMENT &gt; Software Project Enactment")+COUNTIFS('Prácticas_Snowballing'!$AB$2:$AB$281,"T094",'Prácticas_Snowballing'!$AC$2:$AC$281,"SOFTWARE ENG. MANAGEMENT &gt; Software Project Enactment")</f>
        <v>0</v>
      </c>
      <c r="DJ110" s="17">
        <f>COUNTIFS('Prácticas_Revisiones'!$S$2:$S$282,"T094",'Prácticas_Revisiones'!$T$2:$T$282,"SOFTWARE ENG. MANAGEMENT &gt; Review and Evaluation")+COUNTIFS('Prácticas_Snowballing'!$AB$2:$AB$281,"T094",'Prácticas_Snowballing'!$AC$2:$AC$281,"SOFTWARE ENG. MANAGEMENT &gt; Review and Evaluation")</f>
        <v>0</v>
      </c>
      <c r="DK110" s="17">
        <f>COUNTIFS('Prácticas_Revisiones'!$S$2:$S$282,"T094",'Prácticas_Revisiones'!$T$2:$T$282,"SOFTWARE ENG. MANAGEMENT &gt; Closure")+COUNTIFS('Prácticas_Snowballing'!$AB$2:$AB$281,"T094",'Prácticas_Snowballing'!$AC$2:$AC$281,"SOFTWARE ENG. MANAGEMENT &gt; Closure")</f>
        <v>0</v>
      </c>
      <c r="DL110" s="17">
        <f>COUNTIFS('Prácticas_Revisiones'!$S$2:$S$282,"T094",'Prácticas_Revisiones'!$T$2:$T$282,"SOFTWARE ENG. MANAGEMENT &gt; Software Engineering Management Tools")+COUNTIFS('Prácticas_Snowballing'!$AB$2:$AB$281,"T094",'Prácticas_Snowballing'!$AC$2:$AC$281,"SOFTWARE ENG. MANAGEMENT &gt; Software Engineering Management Tools")</f>
        <v>0</v>
      </c>
      <c r="DM110" s="17">
        <f>COUNTIFS('Prácticas_Revisiones'!$S$2:$S$282,"T094",'Prácticas_Revisiones'!$T$2:$T$282,"SOFTWARE ENG. MANAGEMENT &gt; Subárea no determinable")+COUNTIFS('Prácticas_Snowballing'!$AB$2:$AB$281,"T094",'Prácticas_Snowballing'!$AC$2:$AC$281,"SOFTWARE ENG. MANAGEMENT &gt; Subárea no determinable")</f>
        <v>0</v>
      </c>
      <c r="DN110" s="29">
        <f t="shared" si="100"/>
        <v>0</v>
      </c>
      <c r="DO110" s="17">
        <f>COUNTIFS('Prácticas_Revisiones'!$S$2:$S$282,"T094",'Prácticas_Revisiones'!$T$2:$T$282,"Sin área SWEBOK")+COUNTIFS('Prácticas_Snowballing'!$AB$2:$AB$281,"T094",'Prácticas_Snowballing'!$AC$2:$AC$281,"Sin área SWEBOK")</f>
        <v>0</v>
      </c>
      <c r="DP110" s="27">
        <f t="shared" si="101"/>
        <v>2</v>
      </c>
    </row>
    <row r="111" ht="15.75" customHeight="1">
      <c r="A111" s="28"/>
      <c r="B111" s="16" t="s">
        <v>2865</v>
      </c>
      <c r="C111" s="17">
        <f>COUNTIFS('Prácticas_Revisiones'!$S$2:$S$282,"T095",'Prácticas_Revisiones'!$T$2:$T$282,"REQUIREMENTS &gt; Software Requirements Fundamentals")+COUNTIFS('Prácticas_Snowballing'!$AB$2:$AB$281,"T095",'Prácticas_Snowballing'!$AC$2:$AC$281,"REQUIREMENTS &gt; Software Requirements Fundamentals")</f>
        <v>0</v>
      </c>
      <c r="D111" s="17">
        <f>COUNTIFS('Prácticas_Revisiones'!$S$2:$S$282,"T095",'Prácticas_Revisiones'!$T$2:$T$282,"REQUIREMENTS &gt; Requirements Elicitation")+COUNTIFS('Prácticas_Snowballing'!$AB$2:$AB$281,"T095",'Prácticas_Snowballing'!$AC$2:$AC$281,"REQUIREMENTS &gt; Requirements Elicitation")</f>
        <v>0</v>
      </c>
      <c r="E111" s="17">
        <f>COUNTIFS('Prácticas_Revisiones'!$S$2:$S$282,"T095",'Prácticas_Revisiones'!$T$2:$T$282,"REQUIREMENTS &gt; Requirements Analysis")+COUNTIFS('Prácticas_Snowballing'!$AB$2:$AB$281,"T095",'Prácticas_Snowballing'!$AC$2:$AC$281,"REQUIREMENTS &gt; Requirements Analysis")</f>
        <v>0</v>
      </c>
      <c r="F111" s="17">
        <f>COUNTIFS('Prácticas_Revisiones'!$S$2:$S$282,"T095",'Prácticas_Revisiones'!$T$2:$T$282,"REQUIREMENTS &gt; Requirements Specification")+COUNTIFS('Prácticas_Snowballing'!$AB$2:$AB$281,"T095",'Prácticas_Snowballing'!$AC$2:$AC$281,"REQUIREMENTS &gt; Requirements Specification")</f>
        <v>0</v>
      </c>
      <c r="G111" s="17">
        <f>COUNTIFS('Prácticas_Revisiones'!$S$2:$S$282,"T095",'Prácticas_Revisiones'!$T$2:$T$282,"REQUIREMENTS &gt; Requirements Validation")+COUNTIFS('Prácticas_Snowballing'!$AB$2:$AB$281,"T095",'Prácticas_Snowballing'!$AC$2:$AC$281,"REQUIREMENTS &gt; Requirements Validation")</f>
        <v>0</v>
      </c>
      <c r="H111" s="17">
        <f>COUNTIFS('Prácticas_Revisiones'!$S$2:$S$282,"T095",'Prácticas_Revisiones'!$T$2:$T$282,"REQUIREMENTS &gt; Requirements Management Activities")+COUNTIFS('Prácticas_Snowballing'!$AB$2:$AB$281,"T095",'Prácticas_Snowballing'!$AC$2:$AC$281,"REQUIREMENTS &gt; Requirements Management Activities")</f>
        <v>0</v>
      </c>
      <c r="I111" s="17">
        <f>COUNTIFS('Prácticas_Revisiones'!$S$2:$S$282,"T095",'Prácticas_Revisiones'!$T$2:$T$282,"REQUIREMENTS &gt; Practical Considerations")+COUNTIFS('Prácticas_Snowballing'!$AB$2:$AB$281,"T095",'Prácticas_Snowballing'!$AC$2:$AC$281,"REQUIREMENTS &gt; Practical Considerations")</f>
        <v>0</v>
      </c>
      <c r="J111" s="17">
        <f>COUNTIFS('Prácticas_Revisiones'!$S$2:$S$282,"T095",'Prácticas_Revisiones'!$T$2:$T$282,"REQUIREMENTS &gt; Software Requirements Tools")+COUNTIFS('Prácticas_Snowballing'!$AB$2:$AB$281,"T095",'Prácticas_Snowballing'!$AC$2:$AC$281,"REQUIREMENTS &gt; Software Requirements Tools")</f>
        <v>0</v>
      </c>
      <c r="K111" s="17">
        <f>COUNTIFS('Prácticas_Revisiones'!$S$2:$S$282,"T095",'Prácticas_Revisiones'!$T$2:$T$282,"REQUIREMENTS &gt; Subárea no determinable")+COUNTIFS('Prácticas_Snowballing'!$AB$2:$AB$281,"T095",'Prácticas_Snowballing'!$AC$2:$AC$281,"REQUIREMENTS &gt; Subárea no determinable")</f>
        <v>0</v>
      </c>
      <c r="L111" s="29">
        <f t="shared" si="86"/>
        <v>0</v>
      </c>
      <c r="M111" s="17">
        <f>COUNTIFS('Prácticas_Revisiones'!$S$2:$S$282,"T095",'Prácticas_Revisiones'!$T$2:$T$282,"ARCHITECTURE &gt; Software Architecture Fundamentals")+COUNTIFS('Prácticas_Snowballing'!$AB$2:$AB$281,"T095",'Prácticas_Snowballing'!$AC$2:$AC$281,"ARCHITECTURE &gt; Software Architecture Fundamentals")</f>
        <v>0</v>
      </c>
      <c r="N111" s="17">
        <f>COUNTIFS('Prácticas_Revisiones'!$S$2:$S$282,"T095",'Prácticas_Revisiones'!$T$2:$T$282,"ARCHITECTURE &gt; Software Architecture Description")+COUNTIFS('Prácticas_Snowballing'!$AB$2:$AB$281,"T095",'Prácticas_Snowballing'!$AC$2:$AC$281,"ARCHITECTURE &gt; Software Architecture Description")</f>
        <v>0</v>
      </c>
      <c r="O111" s="17">
        <f>COUNTIFS('Prácticas_Revisiones'!$S$2:$S$282,"T095",'Prácticas_Revisiones'!$T$2:$T$282,"ARCHITECTURE &gt; Software Architecture Process")+COUNTIFS('Prácticas_Snowballing'!$AB$2:$AB$281,"T095",'Prácticas_Snowballing'!$AC$2:$AC$281,"ARCHITECTURE &gt; Software Architecture Process")</f>
        <v>0</v>
      </c>
      <c r="P111" s="17">
        <f>COUNTIFS('Prácticas_Revisiones'!$S$2:$S$282,"T095",'Prácticas_Revisiones'!$T$2:$T$282,"ARCHITECTURE &gt; Software Architecture Evaluation")+COUNTIFS('Prácticas_Snowballing'!$AB$2:$AB$281,"T095",'Prácticas_Snowballing'!$AC$2:$AC$281,"ARCHITECTURE &gt; Software Architecture Evaluation")</f>
        <v>0</v>
      </c>
      <c r="Q111" s="17">
        <f>COUNTIFS('Prácticas_Revisiones'!$S$2:$S$282,"T095",'Prácticas_Revisiones'!$T$2:$T$282,"ARCHITECTURE &gt; Subárea no determinable")+COUNTIFS('Prácticas_Snowballing'!$AB$2:$AB$281,"T095",'Prácticas_Snowballing'!$AC$2:$AC$281,"ARCHITECTURE &gt; Subárea no determinable")</f>
        <v>0</v>
      </c>
      <c r="R111" s="29">
        <f t="shared" si="87"/>
        <v>0</v>
      </c>
      <c r="S111" s="17">
        <f>COUNTIFS('Prácticas_Revisiones'!$S$2:$S$282,"T095",'Prácticas_Revisiones'!$T$2:$T$282,"DESIGN &gt; Software Design Fundamentals")+COUNTIFS('Prácticas_Snowballing'!$AB$2:$AB$281,"T095",'Prácticas_Snowballing'!$AC$2:$AC$281,"DESIGN &gt; Software Design Fundamentals")</f>
        <v>0</v>
      </c>
      <c r="T111" s="17">
        <f>COUNTIFS('Prácticas_Revisiones'!$S$2:$S$282,"T095",'Prácticas_Revisiones'!$T$2:$T$282,"DESIGN &gt; Software Design Processes")+COUNTIFS('Prácticas_Snowballing'!$AB$2:$AB$281,"T095",'Prácticas_Snowballing'!$AC$2:$AC$281,"DESIGN &gt; Software Design Processes")</f>
        <v>0</v>
      </c>
      <c r="U111" s="17">
        <f>COUNTIFS('Prácticas_Revisiones'!$S$2:$S$282,"T095",'Prácticas_Revisiones'!$T$2:$T$282,"DESIGN &gt; Software Design Qualities")+COUNTIFS('Prácticas_Snowballing'!$AB$2:$AB$281,"T095",'Prácticas_Snowballing'!$AC$2:$AC$281,"DESIGN &gt; Software Design Qualities")</f>
        <v>0</v>
      </c>
      <c r="V111" s="17">
        <f>COUNTIFS('Prácticas_Revisiones'!$S$2:$S$282,"T095",'Prácticas_Revisiones'!$T$2:$T$282,"DESIGN &gt; Recording Software Design")+COUNTIFS('Prácticas_Snowballing'!$AB$2:$AB$281,"T095",'Prácticas_Snowballing'!$AC$2:$AC$281,"DESIGN &gt; Recording Software Design")</f>
        <v>0</v>
      </c>
      <c r="W111" s="17">
        <f>COUNTIFS('Prácticas_Revisiones'!$S$2:$S$282,"T095",'Prácticas_Revisiones'!$T$2:$T$282,"DESIGN &gt; Software Design Strategies and Methods")+COUNTIFS('Prácticas_Snowballing'!$AB$2:$AB$281,"T095",'Prácticas_Snowballing'!$AC$2:$AC$281,"DESIGN &gt; Software Design Strategies and Methods")</f>
        <v>0</v>
      </c>
      <c r="X111" s="17">
        <f>COUNTIFS('Prácticas_Revisiones'!$S$2:$S$282,"T095",'Prácticas_Revisiones'!$T$2:$T$282,"DESIGN &gt; Software Design Analysis and Evaluations")+COUNTIFS('Prácticas_Snowballing'!$AB$2:$AB$281,"T095",'Prácticas_Snowballing'!$AC$2:$AC$281,"DESIGN &gt; Software Design Analysis and Evaluations")</f>
        <v>0</v>
      </c>
      <c r="Y111" s="17">
        <f>COUNTIFS('Prácticas_Revisiones'!$S$2:$S$282,"T095",'Prácticas_Revisiones'!$T$2:$T$282,"DESIGN &gt; Subárea no determinable")+COUNTIFS('Prácticas_Snowballing'!$AB$2:$AB$281,"T095",'Prácticas_Snowballing'!$AC$2:$AC$281,"DESIGN &gt; Subárea no determinable")</f>
        <v>0</v>
      </c>
      <c r="Z111" s="29">
        <f t="shared" si="88"/>
        <v>0</v>
      </c>
      <c r="AA111" s="17">
        <f>COUNTIFS('Prácticas_Revisiones'!$S$2:$S$282,"T095",'Prácticas_Revisiones'!$T$2:$T$282,"CONSTRUCTION &gt; Software Construction Fundamentals")+COUNTIFS('Prácticas_Snowballing'!$AB$2:$AB$281,"T095",'Prácticas_Snowballing'!$AC$2:$AC$281,"CONSTRUCTION &gt; Software Construction Fundamentals")</f>
        <v>7</v>
      </c>
      <c r="AB111" s="17">
        <f>COUNTIFS('Prácticas_Revisiones'!$S$2:$S$282,"T095",'Prácticas_Revisiones'!$T$2:$T$282,"CONSTRUCTION &gt; Managing Construction")+COUNTIFS('Prácticas_Snowballing'!$AB$2:$AB$281,"T095",'Prácticas_Snowballing'!$AC$2:$AC$281,"CONSTRUCTION &gt; Managing Construction")</f>
        <v>0</v>
      </c>
      <c r="AC111" s="17">
        <f>COUNTIFS('Prácticas_Revisiones'!$S$2:$S$282,"T095",'Prácticas_Revisiones'!$T$2:$T$282,"CONSTRUCTION &gt; Practical Considerations")+COUNTIFS('Prácticas_Snowballing'!$AB$2:$AB$281,"T095",'Prácticas_Snowballing'!$AC$2:$AC$281,"CONSTRUCTION &gt; Practical Considerations")</f>
        <v>2</v>
      </c>
      <c r="AD111" s="17">
        <f>COUNTIFS('Prácticas_Revisiones'!$S$2:$S$282,"T095",'Prácticas_Revisiones'!$T$2:$T$282,"CONSTRUCTION &gt; Construction Technologies")+COUNTIFS('Prácticas_Snowballing'!$AB$2:$AB$281,"T095",'Prácticas_Snowballing'!$AC$2:$AC$281,"CONSTRUCTION &gt; Construction Technologies")</f>
        <v>1</v>
      </c>
      <c r="AE111" s="17">
        <f>COUNTIFS('Prácticas_Revisiones'!$S$2:$S$282,"T095",'Prácticas_Revisiones'!$T$2:$T$282,"CONSTRUCTION &gt; Software Construction Tools")+COUNTIFS('Prácticas_Snowballing'!$AB$2:$AB$281,"T095",'Prácticas_Snowballing'!$AC$2:$AC$281,"CONSTRUCTION &gt; Software Construction Tools")</f>
        <v>0</v>
      </c>
      <c r="AF111" s="17">
        <f>COUNTIFS('Prácticas_Revisiones'!$S$2:$S$282,"T095",'Prácticas_Revisiones'!$T$2:$T$282,"CONSTRUCTION &gt; Subárea no determinable")+COUNTIFS('Prácticas_Snowballing'!$AB$2:$AB$281,"T095",'Prácticas_Snowballing'!$AC$2:$AC$281,"CONSTRUCTION &gt; Subárea no determinable")</f>
        <v>0</v>
      </c>
      <c r="AG111" s="29">
        <f t="shared" si="89"/>
        <v>10</v>
      </c>
      <c r="AH111" s="17">
        <f>COUNTIFS('Prácticas_Revisiones'!$S$2:$S$282,"T095",'Prácticas_Revisiones'!$T$2:$T$282,"SOFTWARE TESTING &gt; Software Testing Fundamentals")+COUNTIFS('Prácticas_Snowballing'!$AB$2:$AB$281,"T095",'Prácticas_Snowballing'!$AC$2:$AC$281,"SOFTWARE TESTING &gt; Software Testing Fundamentals")</f>
        <v>0</v>
      </c>
      <c r="AI111" s="17">
        <f>COUNTIFS('Prácticas_Revisiones'!$S$2:$S$282,"T095",'Prácticas_Revisiones'!$T$2:$T$282,"SOFTWARE TESTING &gt; Test Levels")+COUNTIFS('Prácticas_Snowballing'!$AB$2:$AB$281,"T095",'Prácticas_Snowballing'!$AC$2:$AC$281,"SOFTWARE TESTING &gt; Test Levels")</f>
        <v>0</v>
      </c>
      <c r="AJ111" s="17">
        <f>COUNTIFS('Prácticas_Revisiones'!$S$2:$S$282,"T095",'Prácticas_Revisiones'!$T$2:$T$282,"SOFTWARE TESTING &gt; Test Techniques")+COUNTIFS('Prácticas_Snowballing'!$AB$2:$AB$281,"T095",'Prácticas_Snowballing'!$AC$2:$AC$281,"SOFTWARE TESTING &gt; Test Techniques")</f>
        <v>0</v>
      </c>
      <c r="AK111" s="17">
        <f>COUNTIFS('Prácticas_Revisiones'!$S$2:$S$282,"T095",'Prácticas_Revisiones'!$T$2:$T$282,"SOFTWARE TESTING &gt; Test-Related Measures")+COUNTIFS('Prácticas_Snowballing'!$AB$2:$AB$281,"T095",'Prácticas_Snowballing'!$AC$2:$AC$281,"SOFTWARE TESTING &gt; Test-Related Measures")</f>
        <v>0</v>
      </c>
      <c r="AL111" s="17">
        <f>COUNTIFS('Prácticas_Revisiones'!$S$2:$S$282,"T095",'Prácticas_Revisiones'!$T$2:$T$282,"SOFTWARE TESTING &gt; Test Process")+COUNTIFS('Prácticas_Snowballing'!$AB$2:$AB$281,"T095",'Prácticas_Snowballing'!$AC$2:$AC$281,"SOFTWARE TESTING &gt; Test Process")</f>
        <v>0</v>
      </c>
      <c r="AM111" s="17">
        <f>COUNTIFS('Prácticas_Revisiones'!$S$2:$S$282,"T095",'Prácticas_Revisiones'!$T$2:$T$282,"SOFTWARE TESTING &gt; Software Testing in the Development Processes...")+COUNTIFS('Prácticas_Snowballing'!$AB$2:$AB$281,"T095",'Prácticas_Snowballing'!$AC$2:$AC$281,"SOFTWARE TESTING &gt; Software Testing in the Development Processes...")</f>
        <v>0</v>
      </c>
      <c r="AN111" s="17">
        <f>COUNTIFS('Prácticas_Revisiones'!$S$2:$S$282,"T095",'Prácticas_Revisiones'!$T$2:$T$282,"SOFTWARE TESTING &gt; Testing of and Testing Through Emerging Tech...")+COUNTIFS('Prácticas_Snowballing'!$AB$2:$AB$281,"T095",'Prácticas_Snowballing'!$AC$2:$AC$281,"SOFTWARE TESTING &gt; Testing of and Testing Through Emerging Tech...")</f>
        <v>0</v>
      </c>
      <c r="AO111" s="17">
        <f>COUNTIFS('Prácticas_Revisiones'!$S$2:$S$282,"T095",'Prácticas_Revisiones'!$T$2:$T$282,"SOFTWARE TESTING &gt; Software Testing Tools")+COUNTIFS('Prácticas_Snowballing'!$AB$2:$AB$281,"T095",'Prácticas_Snowballing'!$AC$2:$AC$281,"SOFTWARE TESTING &gt; Software Testing Tools")</f>
        <v>0</v>
      </c>
      <c r="AP111" s="17">
        <f>COUNTIFS('Prácticas_Revisiones'!$S$2:$S$282,"T095",'Prácticas_Revisiones'!$T$2:$T$282,"SOFTWARE TESTING &gt; Subárea no determinable")+COUNTIFS('Prácticas_Snowballing'!$AB$2:$AB$281,"T095",'Prácticas_Snowballing'!$AC$2:$AC$281,"SOFTWARE TESTING &gt; Subárea no determinable")</f>
        <v>0</v>
      </c>
      <c r="AQ111" s="29">
        <f t="shared" si="90"/>
        <v>0</v>
      </c>
      <c r="AR111" s="17">
        <f>COUNTIFS('Prácticas_Revisiones'!$S$2:$S$282,"T095",'Prácticas_Revisiones'!$T$2:$T$282,"SOFTWARE ENG. OPERATIONS &gt; Software Engineering Operations Fundamentals")+COUNTIFS('Prácticas_Snowballing'!$AB$2:$AB$281,"T095",'Prácticas_Snowballing'!$AC$2:$AC$281,"SOFTWARE ENG. OPERATIONS &gt; Software Engineering Operations Fundamentals")</f>
        <v>0</v>
      </c>
      <c r="AS111" s="17">
        <f>COUNTIFS('Prácticas_Revisiones'!$S$2:$S$282,"T095",'Prácticas_Revisiones'!$T$2:$T$282,"SOFTWARE ENG. OPERATIONS &gt; Software Engineering Operations Planning")+COUNTIFS('Prácticas_Snowballing'!$AB$2:$AB$281,"T095",'Prácticas_Snowballing'!$AC$2:$AC$281,"SOFTWARE ENG. OPERATIONS &gt; Software Engineering Operations Planning")</f>
        <v>0</v>
      </c>
      <c r="AT111" s="17">
        <f>COUNTIFS('Prácticas_Revisiones'!$S$2:$S$282,"T095",'Prácticas_Revisiones'!$T$2:$T$282,"SOFTWARE ENG. OPERATIONS &gt; Software Engineering Operations Delivery")+COUNTIFS('Prácticas_Snowballing'!$AB$2:$AB$281,"T095",'Prácticas_Snowballing'!$AC$2:$AC$281,"SOFTWARE ENG. OPERATIONS &gt; Software Engineering Operations Delivery")</f>
        <v>0</v>
      </c>
      <c r="AU111" s="17">
        <f>COUNTIFS('Prácticas_Revisiones'!$S$2:$S$282,"T095",'Prácticas_Revisiones'!$T$2:$T$282,"SOFTWARE ENG. OPERATIONS &gt; Software Engineering Operations Control")+COUNTIFS('Prácticas_Snowballing'!$AB$2:$AB$281,"T095",'Prácticas_Snowballing'!$AC$2:$AC$281,"SOFTWARE ENG. OPERATIONS &gt; Software Engineering Operations Control")</f>
        <v>0</v>
      </c>
      <c r="AV111" s="17">
        <f>COUNTIFS('Prácticas_Revisiones'!$S$2:$S$282,"T095",'Prácticas_Revisiones'!$T$2:$T$282,"SOFTWARE ENG. OPERATIONS &gt; Practical Considerations")+COUNTIFS('Prácticas_Snowballing'!$AB$2:$AB$281,"T095",'Prácticas_Snowballing'!$AC$2:$AC$281,"SOFTWARE ENG. OPERATIONS &gt; Practical Considerations")</f>
        <v>0</v>
      </c>
      <c r="AW111" s="17">
        <f>COUNTIFS('Prácticas_Revisiones'!$S$2:$S$282,"T095",'Prácticas_Revisiones'!$T$2:$T$282,"SOFTWARE ENG. OPERATIONS &gt; Software Engineering Operations Tools")+COUNTIFS('Prácticas_Snowballing'!$AB$2:$AB$281,"T095",'Prácticas_Snowballing'!$AC$2:$AC$281,"SOFTWARE ENG. OPERATIONS &gt; Software Engineering Operations Tools")</f>
        <v>0</v>
      </c>
      <c r="AX111" s="17">
        <f>COUNTIFS('Prácticas_Revisiones'!$S$2:$S$282,"T095",'Prácticas_Revisiones'!$T$2:$T$282,"SOFTWARE ENG. OPERATIONS &gt; Subárea no determinable")+COUNTIFS('Prácticas_Snowballing'!$AB$2:$AB$281,"T095",'Prácticas_Snowballing'!$AC$2:$AC$281,"SOFTWARE ENG. OPERATIONS &gt; Subárea no determinable")</f>
        <v>0</v>
      </c>
      <c r="AY111" s="29">
        <f t="shared" si="91"/>
        <v>0</v>
      </c>
      <c r="AZ111" s="17">
        <f>COUNTIFS('Prácticas_Revisiones'!$S$2:$S$282,"T095",'Prácticas_Revisiones'!$T$2:$T$282,"MAINTENANCE &gt; Software Maintenance Fundamentals")+COUNTIFS('Prácticas_Snowballing'!$AB$2:$AB$281,"T095",'Prácticas_Snowballing'!$AC$2:$AC$281,"MAINTENANCE &gt; Software Maintenance Fundamentals")</f>
        <v>0</v>
      </c>
      <c r="BA111" s="17">
        <f>COUNTIFS('Prácticas_Revisiones'!$S$2:$S$282,"T095",'Prácticas_Revisiones'!$T$2:$T$282,"MAINTENANCE &gt; Key Issues in Software Maintenance")+COUNTIFS('Prácticas_Snowballing'!$AB$2:$AB$281,"T095",'Prácticas_Snowballing'!$AC$2:$AC$281,"MAINTENANCE &gt; Key Issues in Software Maintenance")</f>
        <v>0</v>
      </c>
      <c r="BB111" s="17">
        <f>COUNTIFS('Prácticas_Revisiones'!$S$2:$S$282,"T095",'Prácticas_Revisiones'!$T$2:$T$282,"MAINTENANCE &gt; Software Maintenance Processes")+COUNTIFS('Prácticas_Snowballing'!$AB$2:$AB$281,"T095",'Prácticas_Snowballing'!$AC$2:$AC$281,"MAINTENANCE &gt; Software Maintenance Processes")</f>
        <v>0</v>
      </c>
      <c r="BC111" s="17">
        <f>COUNTIFS('Prácticas_Revisiones'!$S$2:$S$282,"T095",'Prácticas_Revisiones'!$T$2:$T$282,"MAINTENANCE &gt; Software Maintenance Techniques")+COUNTIFS('Prácticas_Snowballing'!$AB$2:$AB$281,"T095",'Prácticas_Snowballing'!$AC$2:$AC$281,"MAINTENANCE &gt; Software Maintenance Techniques")</f>
        <v>0</v>
      </c>
      <c r="BD111" s="17">
        <f>COUNTIFS('Prácticas_Revisiones'!$S$2:$S$282,"T095",'Prácticas_Revisiones'!$T$2:$T$282,"MAINTENANCE &gt; Software Maintenance Tools")+COUNTIFS('Prácticas_Snowballing'!$AB$2:$AB$281,"T095",'Prácticas_Snowballing'!$AC$2:$AC$281,"MAINTENANCE &gt; Software Maintenance Tools")</f>
        <v>0</v>
      </c>
      <c r="BE111" s="17">
        <f>COUNTIFS('Prácticas_Revisiones'!$S$2:$S$282,"T095",'Prácticas_Revisiones'!$T$2:$T$282,"MAINTENANCE &gt; Subárea no determinable")+COUNTIFS('Prácticas_Snowballing'!$AB$2:$AB$281,"T095",'Prácticas_Snowballing'!$AC$2:$AC$281,"MAINTENANCE &gt; Subárea no determinable")</f>
        <v>0</v>
      </c>
      <c r="BF111" s="29">
        <f t="shared" si="92"/>
        <v>0</v>
      </c>
      <c r="BG111" s="17">
        <f>COUNTIFS('Prácticas_Revisiones'!$S$2:$S$282,"T095",'Prácticas_Revisiones'!$T$2:$T$282,"SOFTWARE CONFIG. MGMT. &gt; Management of the SCM Process")+COUNTIFS('Prácticas_Snowballing'!$AB$2:$AB$281,"T095",'Prácticas_Snowballing'!$AC$2:$AC$281,"SOFTWARE CONFIG. MGMT. &gt; Management of the SCM Process")</f>
        <v>0</v>
      </c>
      <c r="BH111" s="17">
        <f>COUNTIFS('Prácticas_Revisiones'!$S$2:$S$282,"T095",'Prácticas_Revisiones'!$T$2:$T$282,"SOFTWARE CONFIG. MGMT. &gt; Software Configuration Identification")+COUNTIFS('Prácticas_Snowballing'!$AB$2:$AB$281,"T095",'Prácticas_Snowballing'!$AC$2:$AC$281,"SOFTWARE CONFIG. MGMT. &gt; Software Configuration Identification")</f>
        <v>0</v>
      </c>
      <c r="BI111" s="17">
        <f>COUNTIFS('Prácticas_Revisiones'!$S$2:$S$282,"T095",'Prácticas_Revisiones'!$T$2:$T$282,"SOFTWARE CONFIG. MGMT. &gt; Software Configuration Change Control")+COUNTIFS('Prácticas_Snowballing'!$AB$2:$AB$281,"T095",'Prácticas_Snowballing'!$AC$2:$AC$281,"SOFTWARE CONFIG. MGMT. &gt; Software Configuration Change Control")</f>
        <v>0</v>
      </c>
      <c r="BJ111" s="17">
        <f>COUNTIFS('Prácticas_Revisiones'!$S$2:$S$282,"T095",'Prácticas_Revisiones'!$T$2:$T$282,"SOFTWARE CONFIG. MGMT. &gt; Software Configuration Status Accounting")+COUNTIFS('Prácticas_Snowballing'!$AB$2:$AB$281,"T095",'Prácticas_Snowballing'!$AC$2:$AC$281,"SOFTWARE CONFIG. MGMT. &gt; Software Configuration Status Accounting")</f>
        <v>0</v>
      </c>
      <c r="BK111" s="17">
        <f>COUNTIFS('Prácticas_Revisiones'!$S$2:$S$282,"T095",'Prácticas_Revisiones'!$T$2:$T$282,"SOFTWARE CONFIG. MGMT. &gt; Software Configuration Auditing")+COUNTIFS('Prácticas_Snowballing'!$AB$2:$AB$281,"T095",'Prácticas_Snowballing'!$AC$2:$AC$281,"SOFTWARE CONFIG. MGMT. &gt; Software Configuration Auditing")</f>
        <v>0</v>
      </c>
      <c r="BL111" s="17">
        <f>COUNTIFS('Prácticas_Revisiones'!$S$2:$S$282,"T095",'Prácticas_Revisiones'!$T$2:$T$282,"SOFTWARE CONFIG. MGMT. &gt; Software Release Management and Delivery")+COUNTIFS('Prácticas_Snowballing'!$AB$2:$AB$281,"T095",'Prácticas_Snowballing'!$AC$2:$AC$281,"SOFTWARE CONFIG. MGMT. &gt; Software Release Management and Delivery")</f>
        <v>0</v>
      </c>
      <c r="BM111" s="17">
        <f>COUNTIFS('Prácticas_Revisiones'!$S$2:$S$282,"T095",'Prácticas_Revisiones'!$T$2:$T$282,"SOFTWARE CONFIG. MGMT. &gt; Software Configuration Management Tools")+COUNTIFS('Prácticas_Snowballing'!$AB$2:$AB$281,"T095",'Prácticas_Snowballing'!$AC$2:$AC$281,"SOFTWARE CONFIG. MGMT. &gt; Software Configuration Management Tools")</f>
        <v>0</v>
      </c>
      <c r="BN111" s="17">
        <f>COUNTIFS('Prácticas_Revisiones'!$S$2:$S$282,"T095",'Prácticas_Revisiones'!$T$2:$T$282,"SOFTWARE CONFIG. MGMT. &gt; Subárea no determinable")+COUNTIFS('Prácticas_Snowballing'!$AB$2:$AB$281,"T095",'Prácticas_Snowballing'!$AC$2:$AC$281,"SOFTWARE CONFIG. MGMT. &gt; Subárea no determinable")</f>
        <v>0</v>
      </c>
      <c r="BO111" s="29">
        <f t="shared" si="93"/>
        <v>0</v>
      </c>
      <c r="BP111" s="17">
        <f>COUNTIFS('Prácticas_Revisiones'!$S$2:$S$282,"T095",'Prácticas_Revisiones'!$T$2:$T$282,"SOFTWARE ENG. PROCESS &gt; Software Engineering Process Fundamentals")+COUNTIFS('Prácticas_Snowballing'!$AB$2:$AB$281,"T095",'Prácticas_Snowballing'!$AC$2:$AC$281,"SOFTWARE ENG. PROCESS &gt; Software Engineering Process Fundamentals")</f>
        <v>0</v>
      </c>
      <c r="BQ111" s="17">
        <f>COUNTIFS('Prácticas_Revisiones'!$S$2:$S$282,"T095",'Prácticas_Revisiones'!$T$2:$T$282,"SOFTWARE ENG. PROCESS &gt; Life Cycles")+COUNTIFS('Prácticas_Snowballing'!$AB$2:$AB$281,"T095",'Prácticas_Snowballing'!$AC$2:$AC$281,"SOFTWARE ENG. PROCESS &gt; Life Cycles")</f>
        <v>0</v>
      </c>
      <c r="BR111" s="17">
        <f>COUNTIFS('Prácticas_Revisiones'!$S$2:$S$282,"T095",'Prácticas_Revisiones'!$T$2:$T$282,"SOFTWARE ENG. PROCESS &gt; Software Process Assessment and Improvement")+COUNTIFS('Prácticas_Snowballing'!$AB$2:$AB$281,"T095",'Prácticas_Snowballing'!$AC$2:$AC$281,"SOFTWARE ENG. PROCESS &gt; Software Process Assessment and Improvement")</f>
        <v>0</v>
      </c>
      <c r="BS111" s="17">
        <f>COUNTIFS('Prácticas_Revisiones'!$S$2:$S$282,"T095",'Prácticas_Revisiones'!$T$2:$T$282,"SOFTWARE ENG. PROCESS &gt; Subárea no determinable")+COUNTIFS('Prácticas_Snowballing'!$AB$2:$AB$281,"T095",'Prácticas_Snowballing'!$AC$2:$AC$281,"SOFTWARE ENG. PROCESS &gt; Subárea no determinable")</f>
        <v>0</v>
      </c>
      <c r="BT111" s="29">
        <f t="shared" si="94"/>
        <v>0</v>
      </c>
      <c r="BU111" s="17">
        <f>COUNTIFS('Prácticas_Revisiones'!$S$2:$S$282,"T095",'Prácticas_Revisiones'!$T$2:$T$282,"SOFTWARE ENG. MODELS/METH. &gt; Modeling")+COUNTIFS('Prácticas_Snowballing'!$AB$2:$AB$281,"T095",'Prácticas_Snowballing'!$AC$2:$AC$281,"SOFTWARE ENG. MODELS/METH. &gt; Modeling")</f>
        <v>0</v>
      </c>
      <c r="BV111" s="17">
        <f>COUNTIFS('Prácticas_Revisiones'!$S$2:$S$282,"T095",'Prácticas_Revisiones'!$T$2:$T$282,"SOFTWARE ENG. MODELS/METH. &gt; Types of Models")+COUNTIFS('Prácticas_Snowballing'!$AB$2:$AB$281,"T095",'Prácticas_Snowballing'!$AC$2:$AC$281,"SOFTWARE ENG. MODELS/METH. &gt; Types of Models")</f>
        <v>0</v>
      </c>
      <c r="BW111" s="17">
        <f>COUNTIFS('Prácticas_Revisiones'!$S$2:$S$282,"T095",'Prácticas_Revisiones'!$T$2:$T$282,"SOFTWARE ENG. MODELS/METH. &gt; Analysis of Models")+COUNTIFS('Prácticas_Snowballing'!$AB$2:$AB$281,"T095",'Prácticas_Snowballing'!$AC$2:$AC$281,"SOFTWARE ENG. MODELS/METH. &gt; Analysis of Models")</f>
        <v>0</v>
      </c>
      <c r="BX111" s="17">
        <f>COUNTIFS('Prácticas_Revisiones'!$S$2:$S$282,"T095",'Prácticas_Revisiones'!$T$2:$T$282,"SOFTWARE ENG. MODELS/METH. &gt; Software Engineering Methods")+COUNTIFS('Prácticas_Snowballing'!$AB$2:$AB$281,"T095",'Prácticas_Snowballing'!$AC$2:$AC$281,"SOFTWARE ENG. MODELS/METH. &gt; Software Engineering Methods")</f>
        <v>0</v>
      </c>
      <c r="BY111" s="17">
        <f>COUNTIFS('Prácticas_Revisiones'!$S$2:$S$282,"T095",'Prácticas_Revisiones'!$T$2:$T$282,"SOFTWARE ENG. MODELS/METH. &gt; Subárea no determinable")+COUNTIFS('Prácticas_Snowballing'!$AB$2:$AB$281,"T095",'Prácticas_Snowballing'!$AC$2:$AC$281,"SOFTWARE ENG. MODELS/METH. &gt; Subárea no determinable")</f>
        <v>0</v>
      </c>
      <c r="BZ111" s="29">
        <f t="shared" si="95"/>
        <v>0</v>
      </c>
      <c r="CA111" s="17">
        <f>COUNTIFS('Prácticas_Revisiones'!$S$2:$S$282,"T095",'Prácticas_Revisiones'!$T$2:$T$282,"SOFTWARE QUALITY &gt; Software Quality Fundamentals")+COUNTIFS('Prácticas_Snowballing'!$AB$2:$AB$281,"T095",'Prácticas_Snowballing'!$AC$2:$AC$281,"SOFTWARE QUALITY &gt; Software Quality Fundamentals")</f>
        <v>0</v>
      </c>
      <c r="CB111" s="17">
        <f>COUNTIFS('Prácticas_Revisiones'!$S$2:$S$282,"T095",'Prácticas_Revisiones'!$T$2:$T$282,"SOFTWARE QUALITY &gt; Software Quality Management Process")+COUNTIFS('Prácticas_Snowballing'!$AB$2:$AB$281,"T095",'Prácticas_Snowballing'!$AC$2:$AC$281,"SOFTWARE QUALITY &gt; Software Quality Management Process")</f>
        <v>0</v>
      </c>
      <c r="CC111" s="17">
        <f>COUNTIFS('Prácticas_Revisiones'!$S$2:$S$282,"T095",'Prácticas_Revisiones'!$T$2:$T$282,"SOFTWARE QUALITY &gt; Software Quality Assurance Process")+COUNTIFS('Prácticas_Snowballing'!$AB$2:$AB$281,"T095",'Prácticas_Snowballing'!$AC$2:$AC$281,"SOFTWARE QUALITY &gt; Software Quality Assurance Process")</f>
        <v>0</v>
      </c>
      <c r="CD111" s="17">
        <f>COUNTIFS('Prácticas_Revisiones'!$S$2:$S$282,"T095",'Prácticas_Revisiones'!$T$2:$T$282,"SOFTWARE QUALITY &gt; Software Quality Tools")+COUNTIFS('Prácticas_Snowballing'!$AB$2:$AB$281,"T095",'Prácticas_Snowballing'!$AC$2:$AC$281,"SOFTWARE QUALITY &gt; Software Quality Tools")</f>
        <v>0</v>
      </c>
      <c r="CE111" s="17">
        <f>COUNTIFS('Prácticas_Revisiones'!$S$2:$S$282,"T095",'Prácticas_Revisiones'!$T$2:$T$282,"SOFTWARE QUALITY &gt; Subárea no determinable")+COUNTIFS('Prácticas_Snowballing'!$AB$2:$AB$281,"T095",'Prácticas_Snowballing'!$AC$2:$AC$281,"SOFTWARE QUALITY &gt; Subárea no determinable")</f>
        <v>0</v>
      </c>
      <c r="CF111" s="29">
        <f t="shared" si="96"/>
        <v>0</v>
      </c>
      <c r="CG111" s="17">
        <f>COUNTIFS('Prácticas_Revisiones'!$S$2:$S$282,"T095",'Prácticas_Revisiones'!$T$2:$T$282,"SOFTWARE SECURITY &gt; Software Security Fundamentals")+COUNTIFS('Prácticas_Snowballing'!$AB$2:$AB$281,"T095",'Prácticas_Snowballing'!$AC$2:$AC$281,"SOFTWARE SECURITY &gt; Software Security Fundamentals")</f>
        <v>0</v>
      </c>
      <c r="CH111" s="17">
        <f>COUNTIFS('Prácticas_Revisiones'!$S$2:$S$282,"T095",'Prácticas_Revisiones'!$T$2:$T$282,"SOFTWARE SECURITY &gt; Security Management and Organization")+COUNTIFS('Prácticas_Snowballing'!$AB$2:$AB$281,"T095",'Prácticas_Snowballing'!$AC$2:$AC$281,"SOFTWARE SECURITY &gt; Security Management and Organization")</f>
        <v>0</v>
      </c>
      <c r="CI111" s="17">
        <f>COUNTIFS('Prácticas_Revisiones'!$S$2:$S$282,"T095",'Prácticas_Revisiones'!$T$2:$T$282,"SOFTWARE SECURITY &gt; Software Security Engineering and Process")+COUNTIFS('Prácticas_Snowballing'!$AB$2:$AB$281,"T095",'Prácticas_Snowballing'!$AC$2:$AC$281,"SOFTWARE SECURITY &gt; Software Security Engineering and Process")</f>
        <v>0</v>
      </c>
      <c r="CJ111" s="17">
        <f>COUNTIFS('Prácticas_Revisiones'!$S$2:$S$282,"T095",'Prácticas_Revisiones'!$T$2:$T$282,"SOFTWARE SECURITY &gt; Security Engineering for Software Systems")+COUNTIFS('Prácticas_Snowballing'!$AB$2:$AB$281,"T095",'Prácticas_Snowballing'!$AC$2:$AC$281,"SOFTWARE SECURITY &gt; Security Engineering for Software Systems")</f>
        <v>0</v>
      </c>
      <c r="CK111" s="17">
        <f>COUNTIFS('Prácticas_Revisiones'!$S$2:$S$282,"T095",'Prácticas_Revisiones'!$T$2:$T$282,"SOFTWARE SECURITY &gt; Software Security Tools")+COUNTIFS('Prácticas_Snowballing'!$AB$2:$AB$281,"T095",'Prácticas_Snowballing'!$AC$2:$AC$281,"SOFTWARE SECURITY &gt; Software Security Tools")</f>
        <v>0</v>
      </c>
      <c r="CL111" s="17">
        <f>COUNTIFS('Prácticas_Revisiones'!$S$2:$S$282,"T095",'Prácticas_Revisiones'!$T$2:$T$282,"SOFTWARE SECURITY &gt; Domain Specific Software Security")+COUNTIFS('Prácticas_Snowballing'!$AB$2:$AB$281,"T095",'Prácticas_Snowballing'!$AC$2:$AC$281,"SOFTWARE SECURITY &gt; Domain Specific Software Security")</f>
        <v>0</v>
      </c>
      <c r="CM111" s="17">
        <f>COUNTIFS('Prácticas_Revisiones'!$S$2:$S$282,"T095",'Prácticas_Revisiones'!$T$2:$T$282,"SOFTWARE SECURITY &gt; Subárea no determinable")+COUNTIFS('Prácticas_Snowballing'!$AB$2:$AB$281,"T095",'Prácticas_Snowballing'!$AC$2:$AC$281,"SOFTWARE SECURITY &gt; Subárea no determinable")</f>
        <v>0</v>
      </c>
      <c r="CN111" s="29">
        <f t="shared" si="97"/>
        <v>0</v>
      </c>
      <c r="CO111" s="17">
        <f>COUNTIFS('Prácticas_Revisiones'!$S$2:$S$282,"T095",'Prácticas_Revisiones'!$T$2:$T$282,"PROFESSIONAL PRACTICE &gt; Professionalism")+COUNTIFS('Prácticas_Snowballing'!$AB$2:$AB$281,"T095",'Prácticas_Snowballing'!$AC$2:$AC$281,"PROFESSIONAL PRACTICE &gt; Professionalism")</f>
        <v>0</v>
      </c>
      <c r="CP111" s="17">
        <f>COUNTIFS('Prácticas_Revisiones'!$S$2:$S$282,"T095",'Prácticas_Revisiones'!$T$2:$T$282,"PROFESSIONAL PRACTICE &gt; Group Dynamics and Psychology")+COUNTIFS('Prácticas_Snowballing'!$AB$2:$AB$281,"T095",'Prácticas_Snowballing'!$AC$2:$AC$281,"PROFESSIONAL PRACTICE &gt; Group Dynamics and Psychology")</f>
        <v>0</v>
      </c>
      <c r="CQ111" s="17">
        <f>COUNTIFS('Prácticas_Revisiones'!$S$2:$S$282,"T095",'Prácticas_Revisiones'!$T$2:$T$282,"PROFESSIONAL PRACTICE &gt; Communication Skills")+COUNTIFS('Prácticas_Snowballing'!$AB$2:$AB$281,"T095",'Prácticas_Snowballing'!$AC$2:$AC$281,"PROFESSIONAL PRACTICE &gt; Communication Skills")</f>
        <v>0</v>
      </c>
      <c r="CR111" s="17">
        <f>COUNTIFS('Prácticas_Revisiones'!$S$2:$S$282,"T095",'Prácticas_Revisiones'!$T$2:$T$282,"PROFESSIONAL PRACTICE &gt; Subárea no determinable")+COUNTIFS('Prácticas_Snowballing'!$AB$2:$AB$281,"T095",'Prácticas_Snowballing'!$AC$2:$AC$281,"PROFESSIONAL PRACTICE &gt; Subárea no determinable")</f>
        <v>0</v>
      </c>
      <c r="CS111" s="29">
        <f t="shared" si="98"/>
        <v>0</v>
      </c>
      <c r="CT111" s="17">
        <f>COUNTIFS('Prácticas_Revisiones'!$S$2:$S$282,"T095",'Prácticas_Revisiones'!$T$2:$T$282,"SOFTWARE ENG. ECONOMICS &gt; Software Engineering Economics Fundamentals")+COUNTIFS('Prácticas_Snowballing'!$AB$2:$AB$281,"T095",'Prácticas_Snowballing'!$AC$2:$AC$281,"SOFTWARE ENG. ECONOMICS &gt; Software Engineering Economics Fundamentals")</f>
        <v>0</v>
      </c>
      <c r="CU111" s="17">
        <f>COUNTIFS('Prácticas_Revisiones'!$S$2:$S$282,"T095",'Prácticas_Revisiones'!$T$2:$T$282,"SOFTWARE ENG. ECONOMICS &gt; The Engineering Decision-Making Process")+COUNTIFS('Prácticas_Snowballing'!$AB$2:$AB$281,"T095",'Prácticas_Snowballing'!$AC$2:$AC$281,"SOFTWARE ENG. ECONOMICS &gt; The Engineering Decision-Making Process")</f>
        <v>0</v>
      </c>
      <c r="CV111" s="17">
        <f>COUNTIFS('Prácticas_Revisiones'!$S$2:$S$282,"T095",'Prácticas_Revisiones'!$T$2:$T$282,"SOFTWARE ENG. ECONOMICS &gt; For-Profit Decision-Making")+COUNTIFS('Prácticas_Snowballing'!$AB$2:$AB$281,"T095",'Prácticas_Snowballing'!$AC$2:$AC$281,"SOFTWARE ENG. ECONOMICS &gt; For-Profit Decision-Making")</f>
        <v>0</v>
      </c>
      <c r="CW111" s="17">
        <f>COUNTIFS('Prácticas_Revisiones'!$S$2:$S$282,"T095",'Prácticas_Revisiones'!$T$2:$T$282,"SOFTWARE ENG. ECONOMICS &gt; Nonprofit Decision-Making")+COUNTIFS('Prácticas_Snowballing'!$AB$2:$AB$281,"T095",'Prácticas_Snowballing'!$AC$2:$AC$281,"SOFTWARE ENG. ECONOMICS &gt; Nonprofit Decision-Making")</f>
        <v>0</v>
      </c>
      <c r="CX111" s="17">
        <f>COUNTIFS('Prácticas_Revisiones'!$S$2:$S$282,"T095",'Prácticas_Revisiones'!$T$2:$T$282,"SOFTWARE ENG. ECONOMICS &gt; Present Economy Decision-Making")+COUNTIFS('Prácticas_Snowballing'!$AB$2:$AB$281,"T095",'Prácticas_Snowballing'!$AC$2:$AC$281,"SOFTWARE ENG. ECONOMICS &gt; Present Economy Decision-Making")</f>
        <v>0</v>
      </c>
      <c r="CY111" s="17">
        <f>COUNTIFS('Prácticas_Revisiones'!$S$2:$S$282,"T095",'Prácticas_Revisiones'!$T$2:$T$282,"SOFTWARE ENG. ECONOMICS &gt; Multiple-Attribute Decision-Making")+COUNTIFS('Prácticas_Snowballing'!$AB$2:$AB$281,"T095",'Prácticas_Snowballing'!$AC$2:$AC$281,"SOFTWARE ENG. ECONOMICS &gt; Multiple-Attribute Decision-Making")</f>
        <v>0</v>
      </c>
      <c r="CZ111" s="17">
        <f>COUNTIFS('Prácticas_Revisiones'!$S$2:$S$282,"T095",'Prácticas_Revisiones'!$T$2:$T$282,"SOFTWARE ENG. ECONOMICS &gt; Identifying and Characterizing Intangible Assets")+COUNTIFS('Prácticas_Snowballing'!$AB$2:$AB$281,"T095",'Prácticas_Snowballing'!$AC$2:$AC$281,"SOFTWARE ENG. ECONOMICS &gt; Identifying and Characterizing Intangible Assets")</f>
        <v>0</v>
      </c>
      <c r="DA111" s="17">
        <f>COUNTIFS('Prácticas_Revisiones'!$S$2:$S$282,"T095",'Prácticas_Revisiones'!$T$2:$T$282,"SOFTWARE ENG. ECONOMICS &gt; Estimation")+COUNTIFS('Prácticas_Snowballing'!$AB$2:$AB$281,"T095",'Prácticas_Snowballing'!$AC$2:$AC$281,"SOFTWARE ENG. ECONOMICS &gt; Estimation")</f>
        <v>0</v>
      </c>
      <c r="DB111" s="17">
        <f>COUNTIFS('Prácticas_Revisiones'!$S$2:$S$282,"T095",'Prácticas_Revisiones'!$T$2:$T$282,"SOFTWARE ENG. ECONOMICS &gt; Practical Considerations")+COUNTIFS('Prácticas_Snowballing'!$AB$2:$AB$281,"T095",'Prácticas_Snowballing'!$AC$2:$AC$281,"SOFTWARE ENG. ECONOMICS &gt; Practical Considerations")</f>
        <v>0</v>
      </c>
      <c r="DC111" s="17">
        <f>COUNTIFS('Prácticas_Revisiones'!$S$2:$S$282,"T095",'Prácticas_Revisiones'!$T$2:$T$282,"SOFTWARE ENG. ECONOMICS &gt; Related Concepts")+COUNTIFS('Prácticas_Snowballing'!$AB$2:$AB$281,"T095",'Prácticas_Snowballing'!$AC$2:$AC$281,"SOFTWARE ENG. ECONOMICS &gt; Related Concepts")</f>
        <v>0</v>
      </c>
      <c r="DD111" s="17">
        <f>COUNTIFS('Prácticas_Revisiones'!$S$2:$S$282,"T095",'Prácticas_Revisiones'!$T$2:$T$282,"SOFTWARE ENG. ECONOMICS &gt; Subárea no determinable")+COUNTIFS('Prácticas_Snowballing'!$AB$2:$AB$281,"T095",'Prácticas_Snowballing'!$AC$2:$AC$281,"SOFTWARE ENG. ECONOMICS &gt; Subárea no determinable")</f>
        <v>0</v>
      </c>
      <c r="DE111" s="29">
        <f t="shared" si="99"/>
        <v>0</v>
      </c>
      <c r="DF111" s="17">
        <f>COUNTIFS('Prácticas_Revisiones'!$S$2:$S$282,"T095",'Prácticas_Revisiones'!$T$2:$T$282,"SOFTWARE ENG. MANAGEMENT &gt; Software Engineering Management Fundamentals")+COUNTIFS('Prácticas_Snowballing'!$AB$2:$AB$281,"T095",'Prácticas_Snowballing'!$AC$2:$AC$281,"SOFTWARE ENG. MANAGEMENT &gt; Software Engineering Management Fundamentals")</f>
        <v>0</v>
      </c>
      <c r="DG111" s="17">
        <f>COUNTIFS('Prácticas_Revisiones'!$S$2:$S$282,"T095",'Prácticas_Revisiones'!$T$2:$T$282,"SOFTWARE ENG. MANAGEMENT &gt; Initiation and Scope Definition")+COUNTIFS('Prácticas_Snowballing'!$AB$2:$AB$281,"T095",'Prácticas_Snowballing'!$AC$2:$AC$281,"SOFTWARE ENG. MANAGEMENT &gt; Initiation and Scope Definition")</f>
        <v>0</v>
      </c>
      <c r="DH111" s="17">
        <f>COUNTIFS('Prácticas_Revisiones'!$S$2:$S$282,"T095",'Prácticas_Revisiones'!$T$2:$T$282,"SOFTWARE ENG. MANAGEMENT &gt; Software Project Planning")+COUNTIFS('Prácticas_Snowballing'!$AB$2:$AB$281,"T095",'Prácticas_Snowballing'!$AC$2:$AC$281,"SOFTWARE ENG. MANAGEMENT &gt; Software Project Planning")</f>
        <v>0</v>
      </c>
      <c r="DI111" s="17">
        <f>COUNTIFS('Prácticas_Revisiones'!$S$2:$S$282,"T095",'Prácticas_Revisiones'!$T$2:$T$282,"SOFTWARE ENG. MANAGEMENT &gt; Software Project Enactment")+COUNTIFS('Prácticas_Snowballing'!$AB$2:$AB$281,"T095",'Prácticas_Snowballing'!$AC$2:$AC$281,"SOFTWARE ENG. MANAGEMENT &gt; Software Project Enactment")</f>
        <v>0</v>
      </c>
      <c r="DJ111" s="17">
        <f>COUNTIFS('Prácticas_Revisiones'!$S$2:$S$282,"T095",'Prácticas_Revisiones'!$T$2:$T$282,"SOFTWARE ENG. MANAGEMENT &gt; Review and Evaluation")+COUNTIFS('Prácticas_Snowballing'!$AB$2:$AB$281,"T095",'Prácticas_Snowballing'!$AC$2:$AC$281,"SOFTWARE ENG. MANAGEMENT &gt; Review and Evaluation")</f>
        <v>0</v>
      </c>
      <c r="DK111" s="17">
        <f>COUNTIFS('Prácticas_Revisiones'!$S$2:$S$282,"T095",'Prácticas_Revisiones'!$T$2:$T$282,"SOFTWARE ENG. MANAGEMENT &gt; Closure")+COUNTIFS('Prácticas_Snowballing'!$AB$2:$AB$281,"T095",'Prácticas_Snowballing'!$AC$2:$AC$281,"SOFTWARE ENG. MANAGEMENT &gt; Closure")</f>
        <v>0</v>
      </c>
      <c r="DL111" s="17">
        <f>COUNTIFS('Prácticas_Revisiones'!$S$2:$S$282,"T095",'Prácticas_Revisiones'!$T$2:$T$282,"SOFTWARE ENG. MANAGEMENT &gt; Software Engineering Management Tools")+COUNTIFS('Prácticas_Snowballing'!$AB$2:$AB$281,"T095",'Prácticas_Snowballing'!$AC$2:$AC$281,"SOFTWARE ENG. MANAGEMENT &gt; Software Engineering Management Tools")</f>
        <v>0</v>
      </c>
      <c r="DM111" s="17">
        <f>COUNTIFS('Prácticas_Revisiones'!$S$2:$S$282,"T095",'Prácticas_Revisiones'!$T$2:$T$282,"SOFTWARE ENG. MANAGEMENT &gt; Subárea no determinable")+COUNTIFS('Prácticas_Snowballing'!$AB$2:$AB$281,"T095",'Prácticas_Snowballing'!$AC$2:$AC$281,"SOFTWARE ENG. MANAGEMENT &gt; Subárea no determinable")</f>
        <v>0</v>
      </c>
      <c r="DN111" s="29">
        <f t="shared" si="100"/>
        <v>0</v>
      </c>
      <c r="DO111" s="17">
        <f>COUNTIFS('Prácticas_Revisiones'!$S$2:$S$282,"T095",'Prácticas_Revisiones'!$T$2:$T$282,"Sin área SWEBOK")+COUNTIFS('Prácticas_Snowballing'!$AB$2:$AB$281,"T095",'Prácticas_Snowballing'!$AC$2:$AC$281,"Sin área SWEBOK")</f>
        <v>1</v>
      </c>
      <c r="DP111" s="27">
        <f t="shared" si="101"/>
        <v>11</v>
      </c>
    </row>
    <row r="112" ht="15.75" customHeight="1">
      <c r="A112" s="28"/>
      <c r="B112" s="16" t="s">
        <v>2866</v>
      </c>
      <c r="C112" s="17">
        <f>COUNTIFS('Prácticas_Revisiones'!$S$2:$S$282,"T096",'Prácticas_Revisiones'!$T$2:$T$282,"REQUIREMENTS &gt; Software Requirements Fundamentals")+COUNTIFS('Prácticas_Snowballing'!$AB$2:$AB$281,"T096",'Prácticas_Snowballing'!$AC$2:$AC$281,"REQUIREMENTS &gt; Software Requirements Fundamentals")</f>
        <v>0</v>
      </c>
      <c r="D112" s="17">
        <f>COUNTIFS('Prácticas_Revisiones'!$S$2:$S$282,"T096",'Prácticas_Revisiones'!$T$2:$T$282,"REQUIREMENTS &gt; Requirements Elicitation")+COUNTIFS('Prácticas_Snowballing'!$AB$2:$AB$281,"T096",'Prácticas_Snowballing'!$AC$2:$AC$281,"REQUIREMENTS &gt; Requirements Elicitation")</f>
        <v>0</v>
      </c>
      <c r="E112" s="17">
        <f>COUNTIFS('Prácticas_Revisiones'!$S$2:$S$282,"T096",'Prácticas_Revisiones'!$T$2:$T$282,"REQUIREMENTS &gt; Requirements Analysis")+COUNTIFS('Prácticas_Snowballing'!$AB$2:$AB$281,"T096",'Prácticas_Snowballing'!$AC$2:$AC$281,"REQUIREMENTS &gt; Requirements Analysis")</f>
        <v>0</v>
      </c>
      <c r="F112" s="17">
        <f>COUNTIFS('Prácticas_Revisiones'!$S$2:$S$282,"T096",'Prácticas_Revisiones'!$T$2:$T$282,"REQUIREMENTS &gt; Requirements Specification")+COUNTIFS('Prácticas_Snowballing'!$AB$2:$AB$281,"T096",'Prácticas_Snowballing'!$AC$2:$AC$281,"REQUIREMENTS &gt; Requirements Specification")</f>
        <v>1</v>
      </c>
      <c r="G112" s="17">
        <f>COUNTIFS('Prácticas_Revisiones'!$S$2:$S$282,"T096",'Prácticas_Revisiones'!$T$2:$T$282,"REQUIREMENTS &gt; Requirements Validation")+COUNTIFS('Prácticas_Snowballing'!$AB$2:$AB$281,"T096",'Prácticas_Snowballing'!$AC$2:$AC$281,"REQUIREMENTS &gt; Requirements Validation")</f>
        <v>0</v>
      </c>
      <c r="H112" s="17">
        <f>COUNTIFS('Prácticas_Revisiones'!$S$2:$S$282,"T096",'Prácticas_Revisiones'!$T$2:$T$282,"REQUIREMENTS &gt; Requirements Management Activities")+COUNTIFS('Prácticas_Snowballing'!$AB$2:$AB$281,"T096",'Prácticas_Snowballing'!$AC$2:$AC$281,"REQUIREMENTS &gt; Requirements Management Activities")</f>
        <v>0</v>
      </c>
      <c r="I112" s="17">
        <f>COUNTIFS('Prácticas_Revisiones'!$S$2:$S$282,"T096",'Prácticas_Revisiones'!$T$2:$T$282,"REQUIREMENTS &gt; Practical Considerations")+COUNTIFS('Prácticas_Snowballing'!$AB$2:$AB$281,"T096",'Prácticas_Snowballing'!$AC$2:$AC$281,"REQUIREMENTS &gt; Practical Considerations")</f>
        <v>0</v>
      </c>
      <c r="J112" s="17">
        <f>COUNTIFS('Prácticas_Revisiones'!$S$2:$S$282,"T096",'Prácticas_Revisiones'!$T$2:$T$282,"REQUIREMENTS &gt; Software Requirements Tools")+COUNTIFS('Prácticas_Snowballing'!$AB$2:$AB$281,"T096",'Prácticas_Snowballing'!$AC$2:$AC$281,"REQUIREMENTS &gt; Software Requirements Tools")</f>
        <v>0</v>
      </c>
      <c r="K112" s="17">
        <f>COUNTIFS('Prácticas_Revisiones'!$S$2:$S$282,"T096",'Prácticas_Revisiones'!$T$2:$T$282,"REQUIREMENTS &gt; Subárea no determinable")+COUNTIFS('Prácticas_Snowballing'!$AB$2:$AB$281,"T096",'Prácticas_Snowballing'!$AC$2:$AC$281,"REQUIREMENTS &gt; Subárea no determinable")</f>
        <v>0</v>
      </c>
      <c r="L112" s="29">
        <f t="shared" si="86"/>
        <v>1</v>
      </c>
      <c r="M112" s="17">
        <f>COUNTIFS('Prácticas_Revisiones'!$S$2:$S$282,"T096",'Prácticas_Revisiones'!$T$2:$T$282,"ARCHITECTURE &gt; Software Architecture Fundamentals")+COUNTIFS('Prácticas_Snowballing'!$AB$2:$AB$281,"T096",'Prácticas_Snowballing'!$AC$2:$AC$281,"ARCHITECTURE &gt; Software Architecture Fundamentals")</f>
        <v>0</v>
      </c>
      <c r="N112" s="17">
        <f>COUNTIFS('Prácticas_Revisiones'!$S$2:$S$282,"T096",'Prácticas_Revisiones'!$T$2:$T$282,"ARCHITECTURE &gt; Software Architecture Description")+COUNTIFS('Prácticas_Snowballing'!$AB$2:$AB$281,"T096",'Prácticas_Snowballing'!$AC$2:$AC$281,"ARCHITECTURE &gt; Software Architecture Description")</f>
        <v>0</v>
      </c>
      <c r="O112" s="17">
        <f>COUNTIFS('Prácticas_Revisiones'!$S$2:$S$282,"T096",'Prácticas_Revisiones'!$T$2:$T$282,"ARCHITECTURE &gt; Software Architecture Process")+COUNTIFS('Prácticas_Snowballing'!$AB$2:$AB$281,"T096",'Prácticas_Snowballing'!$AC$2:$AC$281,"ARCHITECTURE &gt; Software Architecture Process")</f>
        <v>0</v>
      </c>
      <c r="P112" s="17">
        <f>COUNTIFS('Prácticas_Revisiones'!$S$2:$S$282,"T096",'Prácticas_Revisiones'!$T$2:$T$282,"ARCHITECTURE &gt; Software Architecture Evaluation")+COUNTIFS('Prácticas_Snowballing'!$AB$2:$AB$281,"T096",'Prácticas_Snowballing'!$AC$2:$AC$281,"ARCHITECTURE &gt; Software Architecture Evaluation")</f>
        <v>1</v>
      </c>
      <c r="Q112" s="17">
        <f>COUNTIFS('Prácticas_Revisiones'!$S$2:$S$282,"T096",'Prácticas_Revisiones'!$T$2:$T$282,"ARCHITECTURE &gt; Subárea no determinable")+COUNTIFS('Prácticas_Snowballing'!$AB$2:$AB$281,"T096",'Prácticas_Snowballing'!$AC$2:$AC$281,"ARCHITECTURE &gt; Subárea no determinable")</f>
        <v>0</v>
      </c>
      <c r="R112" s="29">
        <f t="shared" si="87"/>
        <v>1</v>
      </c>
      <c r="S112" s="17">
        <f>COUNTIFS('Prácticas_Revisiones'!$S$2:$S$282,"T096",'Prácticas_Revisiones'!$T$2:$T$282,"DESIGN &gt; Software Design Fundamentals")+COUNTIFS('Prácticas_Snowballing'!$AB$2:$AB$281,"T096",'Prácticas_Snowballing'!$AC$2:$AC$281,"DESIGN &gt; Software Design Fundamentals")</f>
        <v>1</v>
      </c>
      <c r="T112" s="17">
        <f>COUNTIFS('Prácticas_Revisiones'!$S$2:$S$282,"T096",'Prácticas_Revisiones'!$T$2:$T$282,"DESIGN &gt; Software Design Processes")+COUNTIFS('Prácticas_Snowballing'!$AB$2:$AB$281,"T096",'Prácticas_Snowballing'!$AC$2:$AC$281,"DESIGN &gt; Software Design Processes")</f>
        <v>0</v>
      </c>
      <c r="U112" s="17">
        <f>COUNTIFS('Prácticas_Revisiones'!$S$2:$S$282,"T096",'Prácticas_Revisiones'!$T$2:$T$282,"DESIGN &gt; Software Design Qualities")+COUNTIFS('Prácticas_Snowballing'!$AB$2:$AB$281,"T096",'Prácticas_Snowballing'!$AC$2:$AC$281,"DESIGN &gt; Software Design Qualities")</f>
        <v>0</v>
      </c>
      <c r="V112" s="17">
        <f>COUNTIFS('Prácticas_Revisiones'!$S$2:$S$282,"T096",'Prácticas_Revisiones'!$T$2:$T$282,"DESIGN &gt; Recording Software Design")+COUNTIFS('Prácticas_Snowballing'!$AB$2:$AB$281,"T096",'Prácticas_Snowballing'!$AC$2:$AC$281,"DESIGN &gt; Recording Software Design")</f>
        <v>0</v>
      </c>
      <c r="W112" s="17">
        <f>COUNTIFS('Prácticas_Revisiones'!$S$2:$S$282,"T096",'Prácticas_Revisiones'!$T$2:$T$282,"DESIGN &gt; Software Design Strategies and Methods")+COUNTIFS('Prácticas_Snowballing'!$AB$2:$AB$281,"T096",'Prácticas_Snowballing'!$AC$2:$AC$281,"DESIGN &gt; Software Design Strategies and Methods")</f>
        <v>0</v>
      </c>
      <c r="X112" s="17">
        <f>COUNTIFS('Prácticas_Revisiones'!$S$2:$S$282,"T096",'Prácticas_Revisiones'!$T$2:$T$282,"DESIGN &gt; Software Design Analysis and Evaluations")+COUNTIFS('Prácticas_Snowballing'!$AB$2:$AB$281,"T096",'Prácticas_Snowballing'!$AC$2:$AC$281,"DESIGN &gt; Software Design Analysis and Evaluations")</f>
        <v>0</v>
      </c>
      <c r="Y112" s="17">
        <f>COUNTIFS('Prácticas_Revisiones'!$S$2:$S$282,"T096",'Prácticas_Revisiones'!$T$2:$T$282,"DESIGN &gt; Subárea no determinable")+COUNTIFS('Prácticas_Snowballing'!$AB$2:$AB$281,"T096",'Prácticas_Snowballing'!$AC$2:$AC$281,"DESIGN &gt; Subárea no determinable")</f>
        <v>0</v>
      </c>
      <c r="Z112" s="29">
        <f t="shared" si="88"/>
        <v>1</v>
      </c>
      <c r="AA112" s="17">
        <f>COUNTIFS('Prácticas_Revisiones'!$S$2:$S$282,"T096",'Prácticas_Revisiones'!$T$2:$T$282,"CONSTRUCTION &gt; Software Construction Fundamentals")+COUNTIFS('Prácticas_Snowballing'!$AB$2:$AB$281,"T096",'Prácticas_Snowballing'!$AC$2:$AC$281,"CONSTRUCTION &gt; Software Construction Fundamentals")</f>
        <v>5</v>
      </c>
      <c r="AB112" s="17">
        <f>COUNTIFS('Prácticas_Revisiones'!$S$2:$S$282,"T096",'Prácticas_Revisiones'!$T$2:$T$282,"CONSTRUCTION &gt; Managing Construction")+COUNTIFS('Prácticas_Snowballing'!$AB$2:$AB$281,"T096",'Prácticas_Snowballing'!$AC$2:$AC$281,"CONSTRUCTION &gt; Managing Construction")</f>
        <v>0</v>
      </c>
      <c r="AC112" s="17">
        <f>COUNTIFS('Prácticas_Revisiones'!$S$2:$S$282,"T096",'Prácticas_Revisiones'!$T$2:$T$282,"CONSTRUCTION &gt; Practical Considerations")+COUNTIFS('Prácticas_Snowballing'!$AB$2:$AB$281,"T096",'Prácticas_Snowballing'!$AC$2:$AC$281,"CONSTRUCTION &gt; Practical Considerations")</f>
        <v>4</v>
      </c>
      <c r="AD112" s="17">
        <f>COUNTIFS('Prácticas_Revisiones'!$S$2:$S$282,"T096",'Prácticas_Revisiones'!$T$2:$T$282,"CONSTRUCTION &gt; Construction Technologies")+COUNTIFS('Prácticas_Snowballing'!$AB$2:$AB$281,"T096",'Prácticas_Snowballing'!$AC$2:$AC$281,"CONSTRUCTION &gt; Construction Technologies")</f>
        <v>6</v>
      </c>
      <c r="AE112" s="17">
        <f>COUNTIFS('Prácticas_Revisiones'!$S$2:$S$282,"T096",'Prácticas_Revisiones'!$T$2:$T$282,"CONSTRUCTION &gt; Software Construction Tools")+COUNTIFS('Prácticas_Snowballing'!$AB$2:$AB$281,"T096",'Prácticas_Snowballing'!$AC$2:$AC$281,"CONSTRUCTION &gt; Software Construction Tools")</f>
        <v>2</v>
      </c>
      <c r="AF112" s="17">
        <f>COUNTIFS('Prácticas_Revisiones'!$S$2:$S$282,"T096",'Prácticas_Revisiones'!$T$2:$T$282,"CONSTRUCTION &gt; Subárea no determinable")+COUNTIFS('Prácticas_Snowballing'!$AB$2:$AB$281,"T096",'Prácticas_Snowballing'!$AC$2:$AC$281,"CONSTRUCTION &gt; Subárea no determinable")</f>
        <v>0</v>
      </c>
      <c r="AG112" s="29">
        <f t="shared" si="89"/>
        <v>17</v>
      </c>
      <c r="AH112" s="17">
        <f>COUNTIFS('Prácticas_Revisiones'!$S$2:$S$282,"T096",'Prácticas_Revisiones'!$T$2:$T$282,"SOFTWARE TESTING &gt; Software Testing Fundamentals")+COUNTIFS('Prácticas_Snowballing'!$AB$2:$AB$281,"T096",'Prácticas_Snowballing'!$AC$2:$AC$281,"SOFTWARE TESTING &gt; Software Testing Fundamentals")</f>
        <v>0</v>
      </c>
      <c r="AI112" s="17">
        <f>COUNTIFS('Prácticas_Revisiones'!$S$2:$S$282,"T096",'Prácticas_Revisiones'!$T$2:$T$282,"SOFTWARE TESTING &gt; Test Levels")+COUNTIFS('Prácticas_Snowballing'!$AB$2:$AB$281,"T096",'Prácticas_Snowballing'!$AC$2:$AC$281,"SOFTWARE TESTING &gt; Test Levels")</f>
        <v>0</v>
      </c>
      <c r="AJ112" s="17">
        <f>COUNTIFS('Prácticas_Revisiones'!$S$2:$S$282,"T096",'Prácticas_Revisiones'!$T$2:$T$282,"SOFTWARE TESTING &gt; Test Techniques")+COUNTIFS('Prácticas_Snowballing'!$AB$2:$AB$281,"T096",'Prácticas_Snowballing'!$AC$2:$AC$281,"SOFTWARE TESTING &gt; Test Techniques")</f>
        <v>1</v>
      </c>
      <c r="AK112" s="17">
        <f>COUNTIFS('Prácticas_Revisiones'!$S$2:$S$282,"T096",'Prácticas_Revisiones'!$T$2:$T$282,"SOFTWARE TESTING &gt; Test-Related Measures")+COUNTIFS('Prácticas_Snowballing'!$AB$2:$AB$281,"T096",'Prácticas_Snowballing'!$AC$2:$AC$281,"SOFTWARE TESTING &gt; Test-Related Measures")</f>
        <v>0</v>
      </c>
      <c r="AL112" s="17">
        <f>COUNTIFS('Prácticas_Revisiones'!$S$2:$S$282,"T096",'Prácticas_Revisiones'!$T$2:$T$282,"SOFTWARE TESTING &gt; Test Process")+COUNTIFS('Prácticas_Snowballing'!$AB$2:$AB$281,"T096",'Prácticas_Snowballing'!$AC$2:$AC$281,"SOFTWARE TESTING &gt; Test Process")</f>
        <v>1</v>
      </c>
      <c r="AM112" s="17">
        <f>COUNTIFS('Prácticas_Revisiones'!$S$2:$S$282,"T096",'Prácticas_Revisiones'!$T$2:$T$282,"SOFTWARE TESTING &gt; Software Testing in the Development Processes...")+COUNTIFS('Prácticas_Snowballing'!$AB$2:$AB$281,"T096",'Prácticas_Snowballing'!$AC$2:$AC$281,"SOFTWARE TESTING &gt; Software Testing in the Development Processes...")</f>
        <v>0</v>
      </c>
      <c r="AN112" s="17">
        <f>COUNTIFS('Prácticas_Revisiones'!$S$2:$S$282,"T096",'Prácticas_Revisiones'!$T$2:$T$282,"SOFTWARE TESTING &gt; Testing of and Testing Through Emerging Tech...")+COUNTIFS('Prácticas_Snowballing'!$AB$2:$AB$281,"T096",'Prácticas_Snowballing'!$AC$2:$AC$281,"SOFTWARE TESTING &gt; Testing of and Testing Through Emerging Tech...")</f>
        <v>0</v>
      </c>
      <c r="AO112" s="17">
        <f>COUNTIFS('Prácticas_Revisiones'!$S$2:$S$282,"T096",'Prácticas_Revisiones'!$T$2:$T$282,"SOFTWARE TESTING &gt; Software Testing Tools")+COUNTIFS('Prácticas_Snowballing'!$AB$2:$AB$281,"T096",'Prácticas_Snowballing'!$AC$2:$AC$281,"SOFTWARE TESTING &gt; Software Testing Tools")</f>
        <v>0</v>
      </c>
      <c r="AP112" s="17">
        <f>COUNTIFS('Prácticas_Revisiones'!$S$2:$S$282,"T096",'Prácticas_Revisiones'!$T$2:$T$282,"SOFTWARE TESTING &gt; Subárea no determinable")+COUNTIFS('Prácticas_Snowballing'!$AB$2:$AB$281,"T096",'Prácticas_Snowballing'!$AC$2:$AC$281,"SOFTWARE TESTING &gt; Subárea no determinable")</f>
        <v>0</v>
      </c>
      <c r="AQ112" s="29">
        <f t="shared" si="90"/>
        <v>2</v>
      </c>
      <c r="AR112" s="17">
        <f>COUNTIFS('Prácticas_Revisiones'!$S$2:$S$282,"T096",'Prácticas_Revisiones'!$T$2:$T$282,"SOFTWARE ENG. OPERATIONS &gt; Software Engineering Operations Fundamentals")+COUNTIFS('Prácticas_Snowballing'!$AB$2:$AB$281,"T096",'Prácticas_Snowballing'!$AC$2:$AC$281,"SOFTWARE ENG. OPERATIONS &gt; Software Engineering Operations Fundamentals")</f>
        <v>0</v>
      </c>
      <c r="AS112" s="17">
        <f>COUNTIFS('Prácticas_Revisiones'!$S$2:$S$282,"T096",'Prácticas_Revisiones'!$T$2:$T$282,"SOFTWARE ENG. OPERATIONS &gt; Software Engineering Operations Planning")+COUNTIFS('Prácticas_Snowballing'!$AB$2:$AB$281,"T096",'Prácticas_Snowballing'!$AC$2:$AC$281,"SOFTWARE ENG. OPERATIONS &gt; Software Engineering Operations Planning")</f>
        <v>0</v>
      </c>
      <c r="AT112" s="17">
        <f>COUNTIFS('Prácticas_Revisiones'!$S$2:$S$282,"T096",'Prácticas_Revisiones'!$T$2:$T$282,"SOFTWARE ENG. OPERATIONS &gt; Software Engineering Operations Delivery")+COUNTIFS('Prácticas_Snowballing'!$AB$2:$AB$281,"T096",'Prácticas_Snowballing'!$AC$2:$AC$281,"SOFTWARE ENG. OPERATIONS &gt; Software Engineering Operations Delivery")</f>
        <v>0</v>
      </c>
      <c r="AU112" s="17">
        <f>COUNTIFS('Prácticas_Revisiones'!$S$2:$S$282,"T096",'Prácticas_Revisiones'!$T$2:$T$282,"SOFTWARE ENG. OPERATIONS &gt; Software Engineering Operations Control")+COUNTIFS('Prácticas_Snowballing'!$AB$2:$AB$281,"T096",'Prácticas_Snowballing'!$AC$2:$AC$281,"SOFTWARE ENG. OPERATIONS &gt; Software Engineering Operations Control")</f>
        <v>0</v>
      </c>
      <c r="AV112" s="17">
        <f>COUNTIFS('Prácticas_Revisiones'!$S$2:$S$282,"T096",'Prácticas_Revisiones'!$T$2:$T$282,"SOFTWARE ENG. OPERATIONS &gt; Practical Considerations")+COUNTIFS('Prácticas_Snowballing'!$AB$2:$AB$281,"T096",'Prácticas_Snowballing'!$AC$2:$AC$281,"SOFTWARE ENG. OPERATIONS &gt; Practical Considerations")</f>
        <v>0</v>
      </c>
      <c r="AW112" s="17">
        <f>COUNTIFS('Prácticas_Revisiones'!$S$2:$S$282,"T096",'Prácticas_Revisiones'!$T$2:$T$282,"SOFTWARE ENG. OPERATIONS &gt; Software Engineering Operations Tools")+COUNTIFS('Prácticas_Snowballing'!$AB$2:$AB$281,"T096",'Prácticas_Snowballing'!$AC$2:$AC$281,"SOFTWARE ENG. OPERATIONS &gt; Software Engineering Operations Tools")</f>
        <v>0</v>
      </c>
      <c r="AX112" s="17">
        <f>COUNTIFS('Prácticas_Revisiones'!$S$2:$S$282,"T096",'Prácticas_Revisiones'!$T$2:$T$282,"SOFTWARE ENG. OPERATIONS &gt; Subárea no determinable")+COUNTIFS('Prácticas_Snowballing'!$AB$2:$AB$281,"T096",'Prácticas_Snowballing'!$AC$2:$AC$281,"SOFTWARE ENG. OPERATIONS &gt; Subárea no determinable")</f>
        <v>0</v>
      </c>
      <c r="AY112" s="29">
        <f t="shared" si="91"/>
        <v>0</v>
      </c>
      <c r="AZ112" s="17">
        <f>COUNTIFS('Prácticas_Revisiones'!$S$2:$S$282,"T096",'Prácticas_Revisiones'!$T$2:$T$282,"MAINTENANCE &gt; Software Maintenance Fundamentals")+COUNTIFS('Prácticas_Snowballing'!$AB$2:$AB$281,"T096",'Prácticas_Snowballing'!$AC$2:$AC$281,"MAINTENANCE &gt; Software Maintenance Fundamentals")</f>
        <v>0</v>
      </c>
      <c r="BA112" s="17">
        <f>COUNTIFS('Prácticas_Revisiones'!$S$2:$S$282,"T096",'Prácticas_Revisiones'!$T$2:$T$282,"MAINTENANCE &gt; Key Issues in Software Maintenance")+COUNTIFS('Prácticas_Snowballing'!$AB$2:$AB$281,"T096",'Prácticas_Snowballing'!$AC$2:$AC$281,"MAINTENANCE &gt; Key Issues in Software Maintenance")</f>
        <v>0</v>
      </c>
      <c r="BB112" s="17">
        <f>COUNTIFS('Prácticas_Revisiones'!$S$2:$S$282,"T096",'Prácticas_Revisiones'!$T$2:$T$282,"MAINTENANCE &gt; Software Maintenance Processes")+COUNTIFS('Prácticas_Snowballing'!$AB$2:$AB$281,"T096",'Prácticas_Snowballing'!$AC$2:$AC$281,"MAINTENANCE &gt; Software Maintenance Processes")</f>
        <v>0</v>
      </c>
      <c r="BC112" s="17">
        <f>COUNTIFS('Prácticas_Revisiones'!$S$2:$S$282,"T096",'Prácticas_Revisiones'!$T$2:$T$282,"MAINTENANCE &gt; Software Maintenance Techniques")+COUNTIFS('Prácticas_Snowballing'!$AB$2:$AB$281,"T096",'Prácticas_Snowballing'!$AC$2:$AC$281,"MAINTENANCE &gt; Software Maintenance Techniques")</f>
        <v>0</v>
      </c>
      <c r="BD112" s="17">
        <f>COUNTIFS('Prácticas_Revisiones'!$S$2:$S$282,"T096",'Prácticas_Revisiones'!$T$2:$T$282,"MAINTENANCE &gt; Software Maintenance Tools")+COUNTIFS('Prácticas_Snowballing'!$AB$2:$AB$281,"T096",'Prácticas_Snowballing'!$AC$2:$AC$281,"MAINTENANCE &gt; Software Maintenance Tools")</f>
        <v>0</v>
      </c>
      <c r="BE112" s="17">
        <f>COUNTIFS('Prácticas_Revisiones'!$S$2:$S$282,"T096",'Prácticas_Revisiones'!$T$2:$T$282,"MAINTENANCE &gt; Subárea no determinable")+COUNTIFS('Prácticas_Snowballing'!$AB$2:$AB$281,"T096",'Prácticas_Snowballing'!$AC$2:$AC$281,"MAINTENANCE &gt; Subárea no determinable")</f>
        <v>0</v>
      </c>
      <c r="BF112" s="29">
        <f t="shared" si="92"/>
        <v>0</v>
      </c>
      <c r="BG112" s="17">
        <f>COUNTIFS('Prácticas_Revisiones'!$S$2:$S$282,"T096",'Prácticas_Revisiones'!$T$2:$T$282,"SOFTWARE CONFIG. MGMT. &gt; Management of the SCM Process")+COUNTIFS('Prácticas_Snowballing'!$AB$2:$AB$281,"T096",'Prácticas_Snowballing'!$AC$2:$AC$281,"SOFTWARE CONFIG. MGMT. &gt; Management of the SCM Process")</f>
        <v>0</v>
      </c>
      <c r="BH112" s="17">
        <f>COUNTIFS('Prácticas_Revisiones'!$S$2:$S$282,"T096",'Prácticas_Revisiones'!$T$2:$T$282,"SOFTWARE CONFIG. MGMT. &gt; Software Configuration Identification")+COUNTIFS('Prácticas_Snowballing'!$AB$2:$AB$281,"T096",'Prácticas_Snowballing'!$AC$2:$AC$281,"SOFTWARE CONFIG. MGMT. &gt; Software Configuration Identification")</f>
        <v>0</v>
      </c>
      <c r="BI112" s="17">
        <f>COUNTIFS('Prácticas_Revisiones'!$S$2:$S$282,"T096",'Prácticas_Revisiones'!$T$2:$T$282,"SOFTWARE CONFIG. MGMT. &gt; Software Configuration Change Control")+COUNTIFS('Prácticas_Snowballing'!$AB$2:$AB$281,"T096",'Prácticas_Snowballing'!$AC$2:$AC$281,"SOFTWARE CONFIG. MGMT. &gt; Software Configuration Change Control")</f>
        <v>0</v>
      </c>
      <c r="BJ112" s="17">
        <f>COUNTIFS('Prácticas_Revisiones'!$S$2:$S$282,"T096",'Prácticas_Revisiones'!$T$2:$T$282,"SOFTWARE CONFIG. MGMT. &gt; Software Configuration Status Accounting")+COUNTIFS('Prácticas_Snowballing'!$AB$2:$AB$281,"T096",'Prácticas_Snowballing'!$AC$2:$AC$281,"SOFTWARE CONFIG. MGMT. &gt; Software Configuration Status Accounting")</f>
        <v>0</v>
      </c>
      <c r="BK112" s="17">
        <f>COUNTIFS('Prácticas_Revisiones'!$S$2:$S$282,"T096",'Prácticas_Revisiones'!$T$2:$T$282,"SOFTWARE CONFIG. MGMT. &gt; Software Configuration Auditing")+COUNTIFS('Prácticas_Snowballing'!$AB$2:$AB$281,"T096",'Prácticas_Snowballing'!$AC$2:$AC$281,"SOFTWARE CONFIG. MGMT. &gt; Software Configuration Auditing")</f>
        <v>0</v>
      </c>
      <c r="BL112" s="17">
        <f>COUNTIFS('Prácticas_Revisiones'!$S$2:$S$282,"T096",'Prácticas_Revisiones'!$T$2:$T$282,"SOFTWARE CONFIG. MGMT. &gt; Software Release Management and Delivery")+COUNTIFS('Prácticas_Snowballing'!$AB$2:$AB$281,"T096",'Prácticas_Snowballing'!$AC$2:$AC$281,"SOFTWARE CONFIG. MGMT. &gt; Software Release Management and Delivery")</f>
        <v>0</v>
      </c>
      <c r="BM112" s="17">
        <f>COUNTIFS('Prácticas_Revisiones'!$S$2:$S$282,"T096",'Prácticas_Revisiones'!$T$2:$T$282,"SOFTWARE CONFIG. MGMT. &gt; Software Configuration Management Tools")+COUNTIFS('Prácticas_Snowballing'!$AB$2:$AB$281,"T096",'Prácticas_Snowballing'!$AC$2:$AC$281,"SOFTWARE CONFIG. MGMT. &gt; Software Configuration Management Tools")</f>
        <v>0</v>
      </c>
      <c r="BN112" s="17">
        <f>COUNTIFS('Prácticas_Revisiones'!$S$2:$S$282,"T096",'Prácticas_Revisiones'!$T$2:$T$282,"SOFTWARE CONFIG. MGMT. &gt; Subárea no determinable")+COUNTIFS('Prácticas_Snowballing'!$AB$2:$AB$281,"T096",'Prácticas_Snowballing'!$AC$2:$AC$281,"SOFTWARE CONFIG. MGMT. &gt; Subárea no determinable")</f>
        <v>0</v>
      </c>
      <c r="BO112" s="29">
        <f t="shared" si="93"/>
        <v>0</v>
      </c>
      <c r="BP112" s="17">
        <f>COUNTIFS('Prácticas_Revisiones'!$S$2:$S$282,"T096",'Prácticas_Revisiones'!$T$2:$T$282,"SOFTWARE ENG. PROCESS &gt; Software Engineering Process Fundamentals")+COUNTIFS('Prácticas_Snowballing'!$AB$2:$AB$281,"T096",'Prácticas_Snowballing'!$AC$2:$AC$281,"SOFTWARE ENG. PROCESS &gt; Software Engineering Process Fundamentals")</f>
        <v>0</v>
      </c>
      <c r="BQ112" s="17">
        <f>COUNTIFS('Prácticas_Revisiones'!$S$2:$S$282,"T096",'Prácticas_Revisiones'!$T$2:$T$282,"SOFTWARE ENG. PROCESS &gt; Life Cycles")+COUNTIFS('Prácticas_Snowballing'!$AB$2:$AB$281,"T096",'Prácticas_Snowballing'!$AC$2:$AC$281,"SOFTWARE ENG. PROCESS &gt; Life Cycles")</f>
        <v>1</v>
      </c>
      <c r="BR112" s="17">
        <f>COUNTIFS('Prácticas_Revisiones'!$S$2:$S$282,"T096",'Prácticas_Revisiones'!$T$2:$T$282,"SOFTWARE ENG. PROCESS &gt; Software Process Assessment and Improvement")+COUNTIFS('Prácticas_Snowballing'!$AB$2:$AB$281,"T096",'Prácticas_Snowballing'!$AC$2:$AC$281,"SOFTWARE ENG. PROCESS &gt; Software Process Assessment and Improvement")</f>
        <v>0</v>
      </c>
      <c r="BS112" s="17">
        <f>COUNTIFS('Prácticas_Revisiones'!$S$2:$S$282,"T096",'Prácticas_Revisiones'!$T$2:$T$282,"SOFTWARE ENG. PROCESS &gt; Subárea no determinable")+COUNTIFS('Prácticas_Snowballing'!$AB$2:$AB$281,"T096",'Prácticas_Snowballing'!$AC$2:$AC$281,"SOFTWARE ENG. PROCESS &gt; Subárea no determinable")</f>
        <v>0</v>
      </c>
      <c r="BT112" s="29">
        <f t="shared" si="94"/>
        <v>1</v>
      </c>
      <c r="BU112" s="17">
        <f>COUNTIFS('Prácticas_Revisiones'!$S$2:$S$282,"T096",'Prácticas_Revisiones'!$T$2:$T$282,"SOFTWARE ENG. MODELS/METH. &gt; Modeling")+COUNTIFS('Prácticas_Snowballing'!$AB$2:$AB$281,"T096",'Prácticas_Snowballing'!$AC$2:$AC$281,"SOFTWARE ENG. MODELS/METH. &gt; Modeling")</f>
        <v>0</v>
      </c>
      <c r="BV112" s="17">
        <f>COUNTIFS('Prácticas_Revisiones'!$S$2:$S$282,"T096",'Prácticas_Revisiones'!$T$2:$T$282,"SOFTWARE ENG. MODELS/METH. &gt; Types of Models")+COUNTIFS('Prácticas_Snowballing'!$AB$2:$AB$281,"T096",'Prácticas_Snowballing'!$AC$2:$AC$281,"SOFTWARE ENG. MODELS/METH. &gt; Types of Models")</f>
        <v>0</v>
      </c>
      <c r="BW112" s="17">
        <f>COUNTIFS('Prácticas_Revisiones'!$S$2:$S$282,"T096",'Prácticas_Revisiones'!$T$2:$T$282,"SOFTWARE ENG. MODELS/METH. &gt; Analysis of Models")+COUNTIFS('Prácticas_Snowballing'!$AB$2:$AB$281,"T096",'Prácticas_Snowballing'!$AC$2:$AC$281,"SOFTWARE ENG. MODELS/METH. &gt; Analysis of Models")</f>
        <v>0</v>
      </c>
      <c r="BX112" s="17">
        <f>COUNTIFS('Prácticas_Revisiones'!$S$2:$S$282,"T096",'Prácticas_Revisiones'!$T$2:$T$282,"SOFTWARE ENG. MODELS/METH. &gt; Software Engineering Methods")+COUNTIFS('Prácticas_Snowballing'!$AB$2:$AB$281,"T096",'Prácticas_Snowballing'!$AC$2:$AC$281,"SOFTWARE ENG. MODELS/METH. &gt; Software Engineering Methods")</f>
        <v>0</v>
      </c>
      <c r="BY112" s="17">
        <f>COUNTIFS('Prácticas_Revisiones'!$S$2:$S$282,"T096",'Prácticas_Revisiones'!$T$2:$T$282,"SOFTWARE ENG. MODELS/METH. &gt; Subárea no determinable")+COUNTIFS('Prácticas_Snowballing'!$AB$2:$AB$281,"T096",'Prácticas_Snowballing'!$AC$2:$AC$281,"SOFTWARE ENG. MODELS/METH. &gt; Subárea no determinable")</f>
        <v>0</v>
      </c>
      <c r="BZ112" s="29">
        <f t="shared" si="95"/>
        <v>0</v>
      </c>
      <c r="CA112" s="17">
        <f>COUNTIFS('Prácticas_Revisiones'!$S$2:$S$282,"T096",'Prácticas_Revisiones'!$T$2:$T$282,"SOFTWARE QUALITY &gt; Software Quality Fundamentals")+COUNTIFS('Prácticas_Snowballing'!$AB$2:$AB$281,"T096",'Prácticas_Snowballing'!$AC$2:$AC$281,"SOFTWARE QUALITY &gt; Software Quality Fundamentals")</f>
        <v>0</v>
      </c>
      <c r="CB112" s="17">
        <f>COUNTIFS('Prácticas_Revisiones'!$S$2:$S$282,"T096",'Prácticas_Revisiones'!$T$2:$T$282,"SOFTWARE QUALITY &gt; Software Quality Management Process")+COUNTIFS('Prácticas_Snowballing'!$AB$2:$AB$281,"T096",'Prácticas_Snowballing'!$AC$2:$AC$281,"SOFTWARE QUALITY &gt; Software Quality Management Process")</f>
        <v>0</v>
      </c>
      <c r="CC112" s="17">
        <f>COUNTIFS('Prácticas_Revisiones'!$S$2:$S$282,"T096",'Prácticas_Revisiones'!$T$2:$T$282,"SOFTWARE QUALITY &gt; Software Quality Assurance Process")+COUNTIFS('Prácticas_Snowballing'!$AB$2:$AB$281,"T096",'Prácticas_Snowballing'!$AC$2:$AC$281,"SOFTWARE QUALITY &gt; Software Quality Assurance Process")</f>
        <v>0</v>
      </c>
      <c r="CD112" s="17">
        <f>COUNTIFS('Prácticas_Revisiones'!$S$2:$S$282,"T096",'Prácticas_Revisiones'!$T$2:$T$282,"SOFTWARE QUALITY &gt; Software Quality Tools")+COUNTIFS('Prácticas_Snowballing'!$AB$2:$AB$281,"T096",'Prácticas_Snowballing'!$AC$2:$AC$281,"SOFTWARE QUALITY &gt; Software Quality Tools")</f>
        <v>0</v>
      </c>
      <c r="CE112" s="17">
        <f>COUNTIFS('Prácticas_Revisiones'!$S$2:$S$282,"T096",'Prácticas_Revisiones'!$T$2:$T$282,"SOFTWARE QUALITY &gt; Subárea no determinable")+COUNTIFS('Prácticas_Snowballing'!$AB$2:$AB$281,"T096",'Prácticas_Snowballing'!$AC$2:$AC$281,"SOFTWARE QUALITY &gt; Subárea no determinable")</f>
        <v>0</v>
      </c>
      <c r="CF112" s="29">
        <f t="shared" si="96"/>
        <v>0</v>
      </c>
      <c r="CG112" s="17">
        <f>COUNTIFS('Prácticas_Revisiones'!$S$2:$S$282,"T096",'Prácticas_Revisiones'!$T$2:$T$282,"SOFTWARE SECURITY &gt; Software Security Fundamentals")+COUNTIFS('Prácticas_Snowballing'!$AB$2:$AB$281,"T096",'Prácticas_Snowballing'!$AC$2:$AC$281,"SOFTWARE SECURITY &gt; Software Security Fundamentals")</f>
        <v>0</v>
      </c>
      <c r="CH112" s="17">
        <f>COUNTIFS('Prácticas_Revisiones'!$S$2:$S$282,"T096",'Prácticas_Revisiones'!$T$2:$T$282,"SOFTWARE SECURITY &gt; Security Management and Organization")+COUNTIFS('Prácticas_Snowballing'!$AB$2:$AB$281,"T096",'Prácticas_Snowballing'!$AC$2:$AC$281,"SOFTWARE SECURITY &gt; Security Management and Organization")</f>
        <v>0</v>
      </c>
      <c r="CI112" s="17">
        <f>COUNTIFS('Prácticas_Revisiones'!$S$2:$S$282,"T096",'Prácticas_Revisiones'!$T$2:$T$282,"SOFTWARE SECURITY &gt; Software Security Engineering and Process")+COUNTIFS('Prácticas_Snowballing'!$AB$2:$AB$281,"T096",'Prácticas_Snowballing'!$AC$2:$AC$281,"SOFTWARE SECURITY &gt; Software Security Engineering and Process")</f>
        <v>0</v>
      </c>
      <c r="CJ112" s="17">
        <f>COUNTIFS('Prácticas_Revisiones'!$S$2:$S$282,"T096",'Prácticas_Revisiones'!$T$2:$T$282,"SOFTWARE SECURITY &gt; Security Engineering for Software Systems")+COUNTIFS('Prácticas_Snowballing'!$AB$2:$AB$281,"T096",'Prácticas_Snowballing'!$AC$2:$AC$281,"SOFTWARE SECURITY &gt; Security Engineering for Software Systems")</f>
        <v>0</v>
      </c>
      <c r="CK112" s="17">
        <f>COUNTIFS('Prácticas_Revisiones'!$S$2:$S$282,"T096",'Prácticas_Revisiones'!$T$2:$T$282,"SOFTWARE SECURITY &gt; Software Security Tools")+COUNTIFS('Prácticas_Snowballing'!$AB$2:$AB$281,"T096",'Prácticas_Snowballing'!$AC$2:$AC$281,"SOFTWARE SECURITY &gt; Software Security Tools")</f>
        <v>0</v>
      </c>
      <c r="CL112" s="17">
        <f>COUNTIFS('Prácticas_Revisiones'!$S$2:$S$282,"T096",'Prácticas_Revisiones'!$T$2:$T$282,"SOFTWARE SECURITY &gt; Domain Specific Software Security")+COUNTIFS('Prácticas_Snowballing'!$AB$2:$AB$281,"T096",'Prácticas_Snowballing'!$AC$2:$AC$281,"SOFTWARE SECURITY &gt; Domain Specific Software Security")</f>
        <v>0</v>
      </c>
      <c r="CM112" s="17">
        <f>COUNTIFS('Prácticas_Revisiones'!$S$2:$S$282,"T096",'Prácticas_Revisiones'!$T$2:$T$282,"SOFTWARE SECURITY &gt; Subárea no determinable")+COUNTIFS('Prácticas_Snowballing'!$AB$2:$AB$281,"T096",'Prácticas_Snowballing'!$AC$2:$AC$281,"SOFTWARE SECURITY &gt; Subárea no determinable")</f>
        <v>0</v>
      </c>
      <c r="CN112" s="29">
        <f t="shared" si="97"/>
        <v>0</v>
      </c>
      <c r="CO112" s="17">
        <f>COUNTIFS('Prácticas_Revisiones'!$S$2:$S$282,"T096",'Prácticas_Revisiones'!$T$2:$T$282,"PROFESSIONAL PRACTICE &gt; Professionalism")+COUNTIFS('Prácticas_Snowballing'!$AB$2:$AB$281,"T096",'Prácticas_Snowballing'!$AC$2:$AC$281,"PROFESSIONAL PRACTICE &gt; Professionalism")</f>
        <v>0</v>
      </c>
      <c r="CP112" s="17">
        <f>COUNTIFS('Prácticas_Revisiones'!$S$2:$S$282,"T096",'Prácticas_Revisiones'!$T$2:$T$282,"PROFESSIONAL PRACTICE &gt; Group Dynamics and Psychology")+COUNTIFS('Prácticas_Snowballing'!$AB$2:$AB$281,"T096",'Prácticas_Snowballing'!$AC$2:$AC$281,"PROFESSIONAL PRACTICE &gt; Group Dynamics and Psychology")</f>
        <v>0</v>
      </c>
      <c r="CQ112" s="17">
        <f>COUNTIFS('Prácticas_Revisiones'!$S$2:$S$282,"T096",'Prácticas_Revisiones'!$T$2:$T$282,"PROFESSIONAL PRACTICE &gt; Communication Skills")+COUNTIFS('Prácticas_Snowballing'!$AB$2:$AB$281,"T096",'Prácticas_Snowballing'!$AC$2:$AC$281,"PROFESSIONAL PRACTICE &gt; Communication Skills")</f>
        <v>1</v>
      </c>
      <c r="CR112" s="17">
        <f>COUNTIFS('Prácticas_Revisiones'!$S$2:$S$282,"T096",'Prácticas_Revisiones'!$T$2:$T$282,"PROFESSIONAL PRACTICE &gt; Subárea no determinable")+COUNTIFS('Prácticas_Snowballing'!$AB$2:$AB$281,"T096",'Prácticas_Snowballing'!$AC$2:$AC$281,"PROFESSIONAL PRACTICE &gt; Subárea no determinable")</f>
        <v>0</v>
      </c>
      <c r="CS112" s="29">
        <f t="shared" si="98"/>
        <v>1</v>
      </c>
      <c r="CT112" s="17">
        <f>COUNTIFS('Prácticas_Revisiones'!$S$2:$S$282,"T096",'Prácticas_Revisiones'!$T$2:$T$282,"SOFTWARE ENG. ECONOMICS &gt; Software Engineering Economics Fundamentals")+COUNTIFS('Prácticas_Snowballing'!$AB$2:$AB$281,"T096",'Prácticas_Snowballing'!$AC$2:$AC$281,"SOFTWARE ENG. ECONOMICS &gt; Software Engineering Economics Fundamentals")</f>
        <v>0</v>
      </c>
      <c r="CU112" s="17">
        <f>COUNTIFS('Prácticas_Revisiones'!$S$2:$S$282,"T096",'Prácticas_Revisiones'!$T$2:$T$282,"SOFTWARE ENG. ECONOMICS &gt; The Engineering Decision-Making Process")+COUNTIFS('Prácticas_Snowballing'!$AB$2:$AB$281,"T096",'Prácticas_Snowballing'!$AC$2:$AC$281,"SOFTWARE ENG. ECONOMICS &gt; The Engineering Decision-Making Process")</f>
        <v>0</v>
      </c>
      <c r="CV112" s="17">
        <f>COUNTIFS('Prácticas_Revisiones'!$S$2:$S$282,"T096",'Prácticas_Revisiones'!$T$2:$T$282,"SOFTWARE ENG. ECONOMICS &gt; For-Profit Decision-Making")+COUNTIFS('Prácticas_Snowballing'!$AB$2:$AB$281,"T096",'Prácticas_Snowballing'!$AC$2:$AC$281,"SOFTWARE ENG. ECONOMICS &gt; For-Profit Decision-Making")</f>
        <v>0</v>
      </c>
      <c r="CW112" s="17">
        <f>COUNTIFS('Prácticas_Revisiones'!$S$2:$S$282,"T096",'Prácticas_Revisiones'!$T$2:$T$282,"SOFTWARE ENG. ECONOMICS &gt; Nonprofit Decision-Making")+COUNTIFS('Prácticas_Snowballing'!$AB$2:$AB$281,"T096",'Prácticas_Snowballing'!$AC$2:$AC$281,"SOFTWARE ENG. ECONOMICS &gt; Nonprofit Decision-Making")</f>
        <v>0</v>
      </c>
      <c r="CX112" s="17">
        <f>COUNTIFS('Prácticas_Revisiones'!$S$2:$S$282,"T096",'Prácticas_Revisiones'!$T$2:$T$282,"SOFTWARE ENG. ECONOMICS &gt; Present Economy Decision-Making")+COUNTIFS('Prácticas_Snowballing'!$AB$2:$AB$281,"T096",'Prácticas_Snowballing'!$AC$2:$AC$281,"SOFTWARE ENG. ECONOMICS &gt; Present Economy Decision-Making")</f>
        <v>0</v>
      </c>
      <c r="CY112" s="17">
        <f>COUNTIFS('Prácticas_Revisiones'!$S$2:$S$282,"T096",'Prácticas_Revisiones'!$T$2:$T$282,"SOFTWARE ENG. ECONOMICS &gt; Multiple-Attribute Decision-Making")+COUNTIFS('Prácticas_Snowballing'!$AB$2:$AB$281,"T096",'Prácticas_Snowballing'!$AC$2:$AC$281,"SOFTWARE ENG. ECONOMICS &gt; Multiple-Attribute Decision-Making")</f>
        <v>0</v>
      </c>
      <c r="CZ112" s="17">
        <f>COUNTIFS('Prácticas_Revisiones'!$S$2:$S$282,"T096",'Prácticas_Revisiones'!$T$2:$T$282,"SOFTWARE ENG. ECONOMICS &gt; Identifying and Characterizing Intangible Assets")+COUNTIFS('Prácticas_Snowballing'!$AB$2:$AB$281,"T096",'Prácticas_Snowballing'!$AC$2:$AC$281,"SOFTWARE ENG. ECONOMICS &gt; Identifying and Characterizing Intangible Assets")</f>
        <v>0</v>
      </c>
      <c r="DA112" s="17">
        <f>COUNTIFS('Prácticas_Revisiones'!$S$2:$S$282,"T096",'Prácticas_Revisiones'!$T$2:$T$282,"SOFTWARE ENG. ECONOMICS &gt; Estimation")+COUNTIFS('Prácticas_Snowballing'!$AB$2:$AB$281,"T096",'Prácticas_Snowballing'!$AC$2:$AC$281,"SOFTWARE ENG. ECONOMICS &gt; Estimation")</f>
        <v>0</v>
      </c>
      <c r="DB112" s="17">
        <f>COUNTIFS('Prácticas_Revisiones'!$S$2:$S$282,"T096",'Prácticas_Revisiones'!$T$2:$T$282,"SOFTWARE ENG. ECONOMICS &gt; Practical Considerations")+COUNTIFS('Prácticas_Snowballing'!$AB$2:$AB$281,"T096",'Prácticas_Snowballing'!$AC$2:$AC$281,"SOFTWARE ENG. ECONOMICS &gt; Practical Considerations")</f>
        <v>0</v>
      </c>
      <c r="DC112" s="17">
        <f>COUNTIFS('Prácticas_Revisiones'!$S$2:$S$282,"T096",'Prácticas_Revisiones'!$T$2:$T$282,"SOFTWARE ENG. ECONOMICS &gt; Related Concepts")+COUNTIFS('Prácticas_Snowballing'!$AB$2:$AB$281,"T096",'Prácticas_Snowballing'!$AC$2:$AC$281,"SOFTWARE ENG. ECONOMICS &gt; Related Concepts")</f>
        <v>0</v>
      </c>
      <c r="DD112" s="17">
        <f>COUNTIFS('Prácticas_Revisiones'!$S$2:$S$282,"T096",'Prácticas_Revisiones'!$T$2:$T$282,"SOFTWARE ENG. ECONOMICS &gt; Subárea no determinable")+COUNTIFS('Prácticas_Snowballing'!$AB$2:$AB$281,"T096",'Prácticas_Snowballing'!$AC$2:$AC$281,"SOFTWARE ENG. ECONOMICS &gt; Subárea no determinable")</f>
        <v>0</v>
      </c>
      <c r="DE112" s="29">
        <f t="shared" si="99"/>
        <v>0</v>
      </c>
      <c r="DF112" s="17">
        <f>COUNTIFS('Prácticas_Revisiones'!$S$2:$S$282,"T096",'Prácticas_Revisiones'!$T$2:$T$282,"SOFTWARE ENG. MANAGEMENT &gt; Software Engineering Management Fundamentals")+COUNTIFS('Prácticas_Snowballing'!$AB$2:$AB$281,"T096",'Prácticas_Snowballing'!$AC$2:$AC$281,"SOFTWARE ENG. MANAGEMENT &gt; Software Engineering Management Fundamentals")</f>
        <v>0</v>
      </c>
      <c r="DG112" s="17">
        <f>COUNTIFS('Prácticas_Revisiones'!$S$2:$S$282,"T096",'Prácticas_Revisiones'!$T$2:$T$282,"SOFTWARE ENG. MANAGEMENT &gt; Initiation and Scope Definition")+COUNTIFS('Prácticas_Snowballing'!$AB$2:$AB$281,"T096",'Prácticas_Snowballing'!$AC$2:$AC$281,"SOFTWARE ENG. MANAGEMENT &gt; Initiation and Scope Definition")</f>
        <v>0</v>
      </c>
      <c r="DH112" s="17">
        <f>COUNTIFS('Prácticas_Revisiones'!$S$2:$S$282,"T096",'Prácticas_Revisiones'!$T$2:$T$282,"SOFTWARE ENG. MANAGEMENT &gt; Software Project Planning")+COUNTIFS('Prácticas_Snowballing'!$AB$2:$AB$281,"T096",'Prácticas_Snowballing'!$AC$2:$AC$281,"SOFTWARE ENG. MANAGEMENT &gt; Software Project Planning")</f>
        <v>1</v>
      </c>
      <c r="DI112" s="17">
        <f>COUNTIFS('Prácticas_Revisiones'!$S$2:$S$282,"T096",'Prácticas_Revisiones'!$T$2:$T$282,"SOFTWARE ENG. MANAGEMENT &gt; Software Project Enactment")+COUNTIFS('Prácticas_Snowballing'!$AB$2:$AB$281,"T096",'Prácticas_Snowballing'!$AC$2:$AC$281,"SOFTWARE ENG. MANAGEMENT &gt; Software Project Enactment")</f>
        <v>0</v>
      </c>
      <c r="DJ112" s="17">
        <f>COUNTIFS('Prácticas_Revisiones'!$S$2:$S$282,"T096",'Prácticas_Revisiones'!$T$2:$T$282,"SOFTWARE ENG. MANAGEMENT &gt; Review and Evaluation")+COUNTIFS('Prácticas_Snowballing'!$AB$2:$AB$281,"T096",'Prácticas_Snowballing'!$AC$2:$AC$281,"SOFTWARE ENG. MANAGEMENT &gt; Review and Evaluation")</f>
        <v>0</v>
      </c>
      <c r="DK112" s="17">
        <f>COUNTIFS('Prácticas_Revisiones'!$S$2:$S$282,"T096",'Prácticas_Revisiones'!$T$2:$T$282,"SOFTWARE ENG. MANAGEMENT &gt; Closure")+COUNTIFS('Prácticas_Snowballing'!$AB$2:$AB$281,"T096",'Prácticas_Snowballing'!$AC$2:$AC$281,"SOFTWARE ENG. MANAGEMENT &gt; Closure")</f>
        <v>0</v>
      </c>
      <c r="DL112" s="17">
        <f>COUNTIFS('Prácticas_Revisiones'!$S$2:$S$282,"T096",'Prácticas_Revisiones'!$T$2:$T$282,"SOFTWARE ENG. MANAGEMENT &gt; Software Engineering Management Tools")+COUNTIFS('Prácticas_Snowballing'!$AB$2:$AB$281,"T096",'Prácticas_Snowballing'!$AC$2:$AC$281,"SOFTWARE ENG. MANAGEMENT &gt; Software Engineering Management Tools")</f>
        <v>0</v>
      </c>
      <c r="DM112" s="17">
        <f>COUNTIFS('Prácticas_Revisiones'!$S$2:$S$282,"T096",'Prácticas_Revisiones'!$T$2:$T$282,"SOFTWARE ENG. MANAGEMENT &gt; Subárea no determinable")+COUNTIFS('Prácticas_Snowballing'!$AB$2:$AB$281,"T096",'Prácticas_Snowballing'!$AC$2:$AC$281,"SOFTWARE ENG. MANAGEMENT &gt; Subárea no determinable")</f>
        <v>0</v>
      </c>
      <c r="DN112" s="29">
        <f t="shared" si="100"/>
        <v>1</v>
      </c>
      <c r="DO112" s="17">
        <f>COUNTIFS('Prácticas_Revisiones'!$S$2:$S$282,"T096",'Prácticas_Revisiones'!$T$2:$T$282,"Sin área SWEBOK")+COUNTIFS('Prácticas_Snowballing'!$AB$2:$AB$281,"T096",'Prácticas_Snowballing'!$AC$2:$AC$281,"Sin área SWEBOK")</f>
        <v>1</v>
      </c>
      <c r="DP112" s="27">
        <f t="shared" si="101"/>
        <v>26</v>
      </c>
    </row>
    <row r="113" ht="15.75" customHeight="1">
      <c r="A113" s="28"/>
      <c r="B113" s="16" t="s">
        <v>2791</v>
      </c>
      <c r="C113" s="17">
        <f>COUNTIFS('Prácticas_Revisiones'!$S$2:$S$282,"T097",'Prácticas_Revisiones'!$T$2:$T$282,"REQUIREMENTS &gt; Software Requirements Fundamentals")+COUNTIFS('Prácticas_Snowballing'!$AB$2:$AB$281,"T097",'Prácticas_Snowballing'!$AC$2:$AC$281,"REQUIREMENTS &gt; Software Requirements Fundamentals")</f>
        <v>0</v>
      </c>
      <c r="D113" s="17">
        <f>COUNTIFS('Prácticas_Revisiones'!$S$2:$S$282,"T097",'Prácticas_Revisiones'!$T$2:$T$282,"REQUIREMENTS &gt; Requirements Elicitation")+COUNTIFS('Prácticas_Snowballing'!$AB$2:$AB$281,"T097",'Prácticas_Snowballing'!$AC$2:$AC$281,"REQUIREMENTS &gt; Requirements Elicitation")</f>
        <v>0</v>
      </c>
      <c r="E113" s="17">
        <f>COUNTIFS('Prácticas_Revisiones'!$S$2:$S$282,"T097",'Prácticas_Revisiones'!$T$2:$T$282,"REQUIREMENTS &gt; Requirements Analysis")+COUNTIFS('Prácticas_Snowballing'!$AB$2:$AB$281,"T097",'Prácticas_Snowballing'!$AC$2:$AC$281,"REQUIREMENTS &gt; Requirements Analysis")</f>
        <v>0</v>
      </c>
      <c r="F113" s="17">
        <f>COUNTIFS('Prácticas_Revisiones'!$S$2:$S$282,"T097",'Prácticas_Revisiones'!$T$2:$T$282,"REQUIREMENTS &gt; Requirements Specification")+COUNTIFS('Prácticas_Snowballing'!$AB$2:$AB$281,"T097",'Prácticas_Snowballing'!$AC$2:$AC$281,"REQUIREMENTS &gt; Requirements Specification")</f>
        <v>0</v>
      </c>
      <c r="G113" s="17">
        <f>COUNTIFS('Prácticas_Revisiones'!$S$2:$S$282,"T097",'Prácticas_Revisiones'!$T$2:$T$282,"REQUIREMENTS &gt; Requirements Validation")+COUNTIFS('Prácticas_Snowballing'!$AB$2:$AB$281,"T097",'Prácticas_Snowballing'!$AC$2:$AC$281,"REQUIREMENTS &gt; Requirements Validation")</f>
        <v>0</v>
      </c>
      <c r="H113" s="17">
        <f>COUNTIFS('Prácticas_Revisiones'!$S$2:$S$282,"T097",'Prácticas_Revisiones'!$T$2:$T$282,"REQUIREMENTS &gt; Requirements Management Activities")+COUNTIFS('Prácticas_Snowballing'!$AB$2:$AB$281,"T097",'Prácticas_Snowballing'!$AC$2:$AC$281,"REQUIREMENTS &gt; Requirements Management Activities")</f>
        <v>0</v>
      </c>
      <c r="I113" s="17">
        <f>COUNTIFS('Prácticas_Revisiones'!$S$2:$S$282,"T097",'Prácticas_Revisiones'!$T$2:$T$282,"REQUIREMENTS &gt; Practical Considerations")+COUNTIFS('Prácticas_Snowballing'!$AB$2:$AB$281,"T097",'Prácticas_Snowballing'!$AC$2:$AC$281,"REQUIREMENTS &gt; Practical Considerations")</f>
        <v>0</v>
      </c>
      <c r="J113" s="17">
        <f>COUNTIFS('Prácticas_Revisiones'!$S$2:$S$282,"T097",'Prácticas_Revisiones'!$T$2:$T$282,"REQUIREMENTS &gt; Software Requirements Tools")+COUNTIFS('Prácticas_Snowballing'!$AB$2:$AB$281,"T097",'Prácticas_Snowballing'!$AC$2:$AC$281,"REQUIREMENTS &gt; Software Requirements Tools")</f>
        <v>0</v>
      </c>
      <c r="K113" s="17">
        <f>COUNTIFS('Prácticas_Revisiones'!$S$2:$S$282,"T097",'Prácticas_Revisiones'!$T$2:$T$282,"REQUIREMENTS &gt; Subárea no determinable")+COUNTIFS('Prácticas_Snowballing'!$AB$2:$AB$281,"T097",'Prácticas_Snowballing'!$AC$2:$AC$281,"REQUIREMENTS &gt; Subárea no determinable")</f>
        <v>0</v>
      </c>
      <c r="L113" s="29">
        <f t="shared" si="86"/>
        <v>0</v>
      </c>
      <c r="M113" s="17">
        <f>COUNTIFS('Prácticas_Revisiones'!$S$2:$S$282,"T097",'Prácticas_Revisiones'!$T$2:$T$282,"ARCHITECTURE &gt; Software Architecture Fundamentals")+COUNTIFS('Prácticas_Snowballing'!$AB$2:$AB$281,"T097",'Prácticas_Snowballing'!$AC$2:$AC$281,"ARCHITECTURE &gt; Software Architecture Fundamentals")</f>
        <v>0</v>
      </c>
      <c r="N113" s="17">
        <f>COUNTIFS('Prácticas_Revisiones'!$S$2:$S$282,"T097",'Prácticas_Revisiones'!$T$2:$T$282,"ARCHITECTURE &gt; Software Architecture Description")+COUNTIFS('Prácticas_Snowballing'!$AB$2:$AB$281,"T097",'Prácticas_Snowballing'!$AC$2:$AC$281,"ARCHITECTURE &gt; Software Architecture Description")</f>
        <v>0</v>
      </c>
      <c r="O113" s="17">
        <f>COUNTIFS('Prácticas_Revisiones'!$S$2:$S$282,"T097",'Prácticas_Revisiones'!$T$2:$T$282,"ARCHITECTURE &gt; Software Architecture Process")+COUNTIFS('Prácticas_Snowballing'!$AB$2:$AB$281,"T097",'Prácticas_Snowballing'!$AC$2:$AC$281,"ARCHITECTURE &gt; Software Architecture Process")</f>
        <v>0</v>
      </c>
      <c r="P113" s="17">
        <f>COUNTIFS('Prácticas_Revisiones'!$S$2:$S$282,"T097",'Prácticas_Revisiones'!$T$2:$T$282,"ARCHITECTURE &gt; Software Architecture Evaluation")+COUNTIFS('Prácticas_Snowballing'!$AB$2:$AB$281,"T097",'Prácticas_Snowballing'!$AC$2:$AC$281,"ARCHITECTURE &gt; Software Architecture Evaluation")</f>
        <v>0</v>
      </c>
      <c r="Q113" s="17">
        <f>COUNTIFS('Prácticas_Revisiones'!$S$2:$S$282,"T097",'Prácticas_Revisiones'!$T$2:$T$282,"ARCHITECTURE &gt; Subárea no determinable")+COUNTIFS('Prácticas_Snowballing'!$AB$2:$AB$281,"T097",'Prácticas_Snowballing'!$AC$2:$AC$281,"ARCHITECTURE &gt; Subárea no determinable")</f>
        <v>0</v>
      </c>
      <c r="R113" s="29">
        <f t="shared" si="87"/>
        <v>0</v>
      </c>
      <c r="S113" s="17">
        <f>COUNTIFS('Prácticas_Revisiones'!$S$2:$S$282,"T097",'Prácticas_Revisiones'!$T$2:$T$282,"DESIGN &gt; Software Design Fundamentals")+COUNTIFS('Prácticas_Snowballing'!$AB$2:$AB$281,"T097",'Prácticas_Snowballing'!$AC$2:$AC$281,"DESIGN &gt; Software Design Fundamentals")</f>
        <v>0</v>
      </c>
      <c r="T113" s="17">
        <f>COUNTIFS('Prácticas_Revisiones'!$S$2:$S$282,"T097",'Prácticas_Revisiones'!$T$2:$T$282,"DESIGN &gt; Software Design Processes")+COUNTIFS('Prácticas_Snowballing'!$AB$2:$AB$281,"T097",'Prácticas_Snowballing'!$AC$2:$AC$281,"DESIGN &gt; Software Design Processes")</f>
        <v>0</v>
      </c>
      <c r="U113" s="17">
        <f>COUNTIFS('Prácticas_Revisiones'!$S$2:$S$282,"T097",'Prácticas_Revisiones'!$T$2:$T$282,"DESIGN &gt; Software Design Qualities")+COUNTIFS('Prácticas_Snowballing'!$AB$2:$AB$281,"T097",'Prácticas_Snowballing'!$AC$2:$AC$281,"DESIGN &gt; Software Design Qualities")</f>
        <v>0</v>
      </c>
      <c r="V113" s="17">
        <f>COUNTIFS('Prácticas_Revisiones'!$S$2:$S$282,"T097",'Prácticas_Revisiones'!$T$2:$T$282,"DESIGN &gt; Recording Software Design")+COUNTIFS('Prácticas_Snowballing'!$AB$2:$AB$281,"T097",'Prácticas_Snowballing'!$AC$2:$AC$281,"DESIGN &gt; Recording Software Design")</f>
        <v>0</v>
      </c>
      <c r="W113" s="17">
        <f>COUNTIFS('Prácticas_Revisiones'!$S$2:$S$282,"T097",'Prácticas_Revisiones'!$T$2:$T$282,"DESIGN &gt; Software Design Strategies and Methods")+COUNTIFS('Prácticas_Snowballing'!$AB$2:$AB$281,"T097",'Prácticas_Snowballing'!$AC$2:$AC$281,"DESIGN &gt; Software Design Strategies and Methods")</f>
        <v>0</v>
      </c>
      <c r="X113" s="17">
        <f>COUNTIFS('Prácticas_Revisiones'!$S$2:$S$282,"T097",'Prácticas_Revisiones'!$T$2:$T$282,"DESIGN &gt; Software Design Analysis and Evaluations")+COUNTIFS('Prácticas_Snowballing'!$AB$2:$AB$281,"T097",'Prácticas_Snowballing'!$AC$2:$AC$281,"DESIGN &gt; Software Design Analysis and Evaluations")</f>
        <v>0</v>
      </c>
      <c r="Y113" s="17">
        <f>COUNTIFS('Prácticas_Revisiones'!$S$2:$S$282,"T097",'Prácticas_Revisiones'!$T$2:$T$282,"DESIGN &gt; Subárea no determinable")+COUNTIFS('Prácticas_Snowballing'!$AB$2:$AB$281,"T097",'Prácticas_Snowballing'!$AC$2:$AC$281,"DESIGN &gt; Subárea no determinable")</f>
        <v>0</v>
      </c>
      <c r="Z113" s="29">
        <f t="shared" si="88"/>
        <v>0</v>
      </c>
      <c r="AA113" s="17">
        <f>COUNTIFS('Prácticas_Revisiones'!$S$2:$S$282,"T097",'Prácticas_Revisiones'!$T$2:$T$282,"CONSTRUCTION &gt; Software Construction Fundamentals")+COUNTIFS('Prácticas_Snowballing'!$AB$2:$AB$281,"T097",'Prácticas_Snowballing'!$AC$2:$AC$281,"CONSTRUCTION &gt; Software Construction Fundamentals")</f>
        <v>0</v>
      </c>
      <c r="AB113" s="17">
        <f>COUNTIFS('Prácticas_Revisiones'!$S$2:$S$282,"T097",'Prácticas_Revisiones'!$T$2:$T$282,"CONSTRUCTION &gt; Managing Construction")+COUNTIFS('Prácticas_Snowballing'!$AB$2:$AB$281,"T097",'Prácticas_Snowballing'!$AC$2:$AC$281,"CONSTRUCTION &gt; Managing Construction")</f>
        <v>0</v>
      </c>
      <c r="AC113" s="17">
        <f>COUNTIFS('Prácticas_Revisiones'!$S$2:$S$282,"T097",'Prácticas_Revisiones'!$T$2:$T$282,"CONSTRUCTION &gt; Practical Considerations")+COUNTIFS('Prácticas_Snowballing'!$AB$2:$AB$281,"T097",'Prácticas_Snowballing'!$AC$2:$AC$281,"CONSTRUCTION &gt; Practical Considerations")</f>
        <v>0</v>
      </c>
      <c r="AD113" s="17">
        <f>COUNTIFS('Prácticas_Revisiones'!$S$2:$S$282,"T097",'Prácticas_Revisiones'!$T$2:$T$282,"CONSTRUCTION &gt; Construction Technologies")+COUNTIFS('Prácticas_Snowballing'!$AB$2:$AB$281,"T097",'Prácticas_Snowballing'!$AC$2:$AC$281,"CONSTRUCTION &gt; Construction Technologies")</f>
        <v>0</v>
      </c>
      <c r="AE113" s="17">
        <f>COUNTIFS('Prácticas_Revisiones'!$S$2:$S$282,"T097",'Prácticas_Revisiones'!$T$2:$T$282,"CONSTRUCTION &gt; Software Construction Tools")+COUNTIFS('Prácticas_Snowballing'!$AB$2:$AB$281,"T097",'Prácticas_Snowballing'!$AC$2:$AC$281,"CONSTRUCTION &gt; Software Construction Tools")</f>
        <v>0</v>
      </c>
      <c r="AF113" s="17">
        <f>COUNTIFS('Prácticas_Revisiones'!$S$2:$S$282,"T097",'Prácticas_Revisiones'!$T$2:$T$282,"CONSTRUCTION &gt; Subárea no determinable")+COUNTIFS('Prácticas_Snowballing'!$AB$2:$AB$281,"T097",'Prácticas_Snowballing'!$AC$2:$AC$281,"CONSTRUCTION &gt; Subárea no determinable")</f>
        <v>0</v>
      </c>
      <c r="AG113" s="29">
        <f t="shared" si="89"/>
        <v>0</v>
      </c>
      <c r="AH113" s="17">
        <f>COUNTIFS('Prácticas_Revisiones'!$S$2:$S$282,"T097",'Prácticas_Revisiones'!$T$2:$T$282,"SOFTWARE TESTING &gt; Software Testing Fundamentals")+COUNTIFS('Prácticas_Snowballing'!$AB$2:$AB$281,"T097",'Prácticas_Snowballing'!$AC$2:$AC$281,"SOFTWARE TESTING &gt; Software Testing Fundamentals")</f>
        <v>0</v>
      </c>
      <c r="AI113" s="17">
        <f>COUNTIFS('Prácticas_Revisiones'!$S$2:$S$282,"T097",'Prácticas_Revisiones'!$T$2:$T$282,"SOFTWARE TESTING &gt; Test Levels")+COUNTIFS('Prácticas_Snowballing'!$AB$2:$AB$281,"T097",'Prácticas_Snowballing'!$AC$2:$AC$281,"SOFTWARE TESTING &gt; Test Levels")</f>
        <v>0</v>
      </c>
      <c r="AJ113" s="17">
        <f>COUNTIFS('Prácticas_Revisiones'!$S$2:$S$282,"T097",'Prácticas_Revisiones'!$T$2:$T$282,"SOFTWARE TESTING &gt; Test Techniques")+COUNTIFS('Prácticas_Snowballing'!$AB$2:$AB$281,"T097",'Prácticas_Snowballing'!$AC$2:$AC$281,"SOFTWARE TESTING &gt; Test Techniques")</f>
        <v>0</v>
      </c>
      <c r="AK113" s="17">
        <f>COUNTIFS('Prácticas_Revisiones'!$S$2:$S$282,"T097",'Prácticas_Revisiones'!$T$2:$T$282,"SOFTWARE TESTING &gt; Test-Related Measures")+COUNTIFS('Prácticas_Snowballing'!$AB$2:$AB$281,"T097",'Prácticas_Snowballing'!$AC$2:$AC$281,"SOFTWARE TESTING &gt; Test-Related Measures")</f>
        <v>0</v>
      </c>
      <c r="AL113" s="17">
        <f>COUNTIFS('Prácticas_Revisiones'!$S$2:$S$282,"T097",'Prácticas_Revisiones'!$T$2:$T$282,"SOFTWARE TESTING &gt; Test Process")+COUNTIFS('Prácticas_Snowballing'!$AB$2:$AB$281,"T097",'Prácticas_Snowballing'!$AC$2:$AC$281,"SOFTWARE TESTING &gt; Test Process")</f>
        <v>0</v>
      </c>
      <c r="AM113" s="17">
        <f>COUNTIFS('Prácticas_Revisiones'!$S$2:$S$282,"T097",'Prácticas_Revisiones'!$T$2:$T$282,"SOFTWARE TESTING &gt; Software Testing in the Development Processes...")+COUNTIFS('Prácticas_Snowballing'!$AB$2:$AB$281,"T097",'Prácticas_Snowballing'!$AC$2:$AC$281,"SOFTWARE TESTING &gt; Software Testing in the Development Processes...")</f>
        <v>0</v>
      </c>
      <c r="AN113" s="17">
        <f>COUNTIFS('Prácticas_Revisiones'!$S$2:$S$282,"T097",'Prácticas_Revisiones'!$T$2:$T$282,"SOFTWARE TESTING &gt; Testing of and Testing Through Emerging Tech...")+COUNTIFS('Prácticas_Snowballing'!$AB$2:$AB$281,"T097",'Prácticas_Snowballing'!$AC$2:$AC$281,"SOFTWARE TESTING &gt; Testing of and Testing Through Emerging Tech...")</f>
        <v>0</v>
      </c>
      <c r="AO113" s="17">
        <f>COUNTIFS('Prácticas_Revisiones'!$S$2:$S$282,"T097",'Prácticas_Revisiones'!$T$2:$T$282,"SOFTWARE TESTING &gt; Software Testing Tools")+COUNTIFS('Prácticas_Snowballing'!$AB$2:$AB$281,"T097",'Prácticas_Snowballing'!$AC$2:$AC$281,"SOFTWARE TESTING &gt; Software Testing Tools")</f>
        <v>0</v>
      </c>
      <c r="AP113" s="17">
        <f>COUNTIFS('Prácticas_Revisiones'!$S$2:$S$282,"T097",'Prácticas_Revisiones'!$T$2:$T$282,"SOFTWARE TESTING &gt; Subárea no determinable")+COUNTIFS('Prácticas_Snowballing'!$AB$2:$AB$281,"T097",'Prácticas_Snowballing'!$AC$2:$AC$281,"SOFTWARE TESTING &gt; Subárea no determinable")</f>
        <v>0</v>
      </c>
      <c r="AQ113" s="29">
        <f t="shared" si="90"/>
        <v>0</v>
      </c>
      <c r="AR113" s="17">
        <f>COUNTIFS('Prácticas_Revisiones'!$S$2:$S$282,"T097",'Prácticas_Revisiones'!$T$2:$T$282,"SOFTWARE ENG. OPERATIONS &gt; Software Engineering Operations Fundamentals")+COUNTIFS('Prácticas_Snowballing'!$AB$2:$AB$281,"T097",'Prácticas_Snowballing'!$AC$2:$AC$281,"SOFTWARE ENG. OPERATIONS &gt; Software Engineering Operations Fundamentals")</f>
        <v>0</v>
      </c>
      <c r="AS113" s="17">
        <f>COUNTIFS('Prácticas_Revisiones'!$S$2:$S$282,"T097",'Prácticas_Revisiones'!$T$2:$T$282,"SOFTWARE ENG. OPERATIONS &gt; Software Engineering Operations Planning")+COUNTIFS('Prácticas_Snowballing'!$AB$2:$AB$281,"T097",'Prácticas_Snowballing'!$AC$2:$AC$281,"SOFTWARE ENG. OPERATIONS &gt; Software Engineering Operations Planning")</f>
        <v>0</v>
      </c>
      <c r="AT113" s="17">
        <f>COUNTIFS('Prácticas_Revisiones'!$S$2:$S$282,"T097",'Prácticas_Revisiones'!$T$2:$T$282,"SOFTWARE ENG. OPERATIONS &gt; Software Engineering Operations Delivery")+COUNTIFS('Prácticas_Snowballing'!$AB$2:$AB$281,"T097",'Prácticas_Snowballing'!$AC$2:$AC$281,"SOFTWARE ENG. OPERATIONS &gt; Software Engineering Operations Delivery")</f>
        <v>0</v>
      </c>
      <c r="AU113" s="17">
        <f>COUNTIFS('Prácticas_Revisiones'!$S$2:$S$282,"T097",'Prácticas_Revisiones'!$T$2:$T$282,"SOFTWARE ENG. OPERATIONS &gt; Software Engineering Operations Control")+COUNTIFS('Prácticas_Snowballing'!$AB$2:$AB$281,"T097",'Prácticas_Snowballing'!$AC$2:$AC$281,"SOFTWARE ENG. OPERATIONS &gt; Software Engineering Operations Control")</f>
        <v>0</v>
      </c>
      <c r="AV113" s="17">
        <f>COUNTIFS('Prácticas_Revisiones'!$S$2:$S$282,"T097",'Prácticas_Revisiones'!$T$2:$T$282,"SOFTWARE ENG. OPERATIONS &gt; Practical Considerations")+COUNTIFS('Prácticas_Snowballing'!$AB$2:$AB$281,"T097",'Prácticas_Snowballing'!$AC$2:$AC$281,"SOFTWARE ENG. OPERATIONS &gt; Practical Considerations")</f>
        <v>0</v>
      </c>
      <c r="AW113" s="17">
        <f>COUNTIFS('Prácticas_Revisiones'!$S$2:$S$282,"T097",'Prácticas_Revisiones'!$T$2:$T$282,"SOFTWARE ENG. OPERATIONS &gt; Software Engineering Operations Tools")+COUNTIFS('Prácticas_Snowballing'!$AB$2:$AB$281,"T097",'Prácticas_Snowballing'!$AC$2:$AC$281,"SOFTWARE ENG. OPERATIONS &gt; Software Engineering Operations Tools")</f>
        <v>0</v>
      </c>
      <c r="AX113" s="17">
        <f>COUNTIFS('Prácticas_Revisiones'!$S$2:$S$282,"T097",'Prácticas_Revisiones'!$T$2:$T$282,"SOFTWARE ENG. OPERATIONS &gt; Subárea no determinable")+COUNTIFS('Prácticas_Snowballing'!$AB$2:$AB$281,"T097",'Prácticas_Snowballing'!$AC$2:$AC$281,"SOFTWARE ENG. OPERATIONS &gt; Subárea no determinable")</f>
        <v>0</v>
      </c>
      <c r="AY113" s="29">
        <f t="shared" si="91"/>
        <v>0</v>
      </c>
      <c r="AZ113" s="17">
        <f>COUNTIFS('Prácticas_Revisiones'!$S$2:$S$282,"T097",'Prácticas_Revisiones'!$T$2:$T$282,"MAINTENANCE &gt; Software Maintenance Fundamentals")+COUNTIFS('Prácticas_Snowballing'!$AB$2:$AB$281,"T097",'Prácticas_Snowballing'!$AC$2:$AC$281,"MAINTENANCE &gt; Software Maintenance Fundamentals")</f>
        <v>0</v>
      </c>
      <c r="BA113" s="17">
        <f>COUNTIFS('Prácticas_Revisiones'!$S$2:$S$282,"T097",'Prácticas_Revisiones'!$T$2:$T$282,"MAINTENANCE &gt; Key Issues in Software Maintenance")+COUNTIFS('Prácticas_Snowballing'!$AB$2:$AB$281,"T097",'Prácticas_Snowballing'!$AC$2:$AC$281,"MAINTENANCE &gt; Key Issues in Software Maintenance")</f>
        <v>0</v>
      </c>
      <c r="BB113" s="17">
        <f>COUNTIFS('Prácticas_Revisiones'!$S$2:$S$282,"T097",'Prácticas_Revisiones'!$T$2:$T$282,"MAINTENANCE &gt; Software Maintenance Processes")+COUNTIFS('Prácticas_Snowballing'!$AB$2:$AB$281,"T097",'Prácticas_Snowballing'!$AC$2:$AC$281,"MAINTENANCE &gt; Software Maintenance Processes")</f>
        <v>0</v>
      </c>
      <c r="BC113" s="17">
        <f>COUNTIFS('Prácticas_Revisiones'!$S$2:$S$282,"T097",'Prácticas_Revisiones'!$T$2:$T$282,"MAINTENANCE &gt; Software Maintenance Techniques")+COUNTIFS('Prácticas_Snowballing'!$AB$2:$AB$281,"T097",'Prácticas_Snowballing'!$AC$2:$AC$281,"MAINTENANCE &gt; Software Maintenance Techniques")</f>
        <v>0</v>
      </c>
      <c r="BD113" s="17">
        <f>COUNTIFS('Prácticas_Revisiones'!$S$2:$S$282,"T097",'Prácticas_Revisiones'!$T$2:$T$282,"MAINTENANCE &gt; Software Maintenance Tools")+COUNTIFS('Prácticas_Snowballing'!$AB$2:$AB$281,"T097",'Prácticas_Snowballing'!$AC$2:$AC$281,"MAINTENANCE &gt; Software Maintenance Tools")</f>
        <v>0</v>
      </c>
      <c r="BE113" s="17">
        <f>COUNTIFS('Prácticas_Revisiones'!$S$2:$S$282,"T097",'Prácticas_Revisiones'!$T$2:$T$282,"MAINTENANCE &gt; Subárea no determinable")+COUNTIFS('Prácticas_Snowballing'!$AB$2:$AB$281,"T097",'Prácticas_Snowballing'!$AC$2:$AC$281,"MAINTENANCE &gt; Subárea no determinable")</f>
        <v>0</v>
      </c>
      <c r="BF113" s="29">
        <f t="shared" si="92"/>
        <v>0</v>
      </c>
      <c r="BG113" s="17">
        <f>COUNTIFS('Prácticas_Revisiones'!$S$2:$S$282,"T097",'Prácticas_Revisiones'!$T$2:$T$282,"SOFTWARE CONFIG. MGMT. &gt; Management of the SCM Process")+COUNTIFS('Prácticas_Snowballing'!$AB$2:$AB$281,"T097",'Prácticas_Snowballing'!$AC$2:$AC$281,"SOFTWARE CONFIG. MGMT. &gt; Management of the SCM Process")</f>
        <v>0</v>
      </c>
      <c r="BH113" s="17">
        <f>COUNTIFS('Prácticas_Revisiones'!$S$2:$S$282,"T097",'Prácticas_Revisiones'!$T$2:$T$282,"SOFTWARE CONFIG. MGMT. &gt; Software Configuration Identification")+COUNTIFS('Prácticas_Snowballing'!$AB$2:$AB$281,"T097",'Prácticas_Snowballing'!$AC$2:$AC$281,"SOFTWARE CONFIG. MGMT. &gt; Software Configuration Identification")</f>
        <v>0</v>
      </c>
      <c r="BI113" s="17">
        <f>COUNTIFS('Prácticas_Revisiones'!$S$2:$S$282,"T097",'Prácticas_Revisiones'!$T$2:$T$282,"SOFTWARE CONFIG. MGMT. &gt; Software Configuration Change Control")+COUNTIFS('Prácticas_Snowballing'!$AB$2:$AB$281,"T097",'Prácticas_Snowballing'!$AC$2:$AC$281,"SOFTWARE CONFIG. MGMT. &gt; Software Configuration Change Control")</f>
        <v>0</v>
      </c>
      <c r="BJ113" s="17">
        <f>COUNTIFS('Prácticas_Revisiones'!$S$2:$S$282,"T097",'Prácticas_Revisiones'!$T$2:$T$282,"SOFTWARE CONFIG. MGMT. &gt; Software Configuration Status Accounting")+COUNTIFS('Prácticas_Snowballing'!$AB$2:$AB$281,"T097",'Prácticas_Snowballing'!$AC$2:$AC$281,"SOFTWARE CONFIG. MGMT. &gt; Software Configuration Status Accounting")</f>
        <v>0</v>
      </c>
      <c r="BK113" s="17">
        <f>COUNTIFS('Prácticas_Revisiones'!$S$2:$S$282,"T097",'Prácticas_Revisiones'!$T$2:$T$282,"SOFTWARE CONFIG. MGMT. &gt; Software Configuration Auditing")+COUNTIFS('Prácticas_Snowballing'!$AB$2:$AB$281,"T097",'Prácticas_Snowballing'!$AC$2:$AC$281,"SOFTWARE CONFIG. MGMT. &gt; Software Configuration Auditing")</f>
        <v>0</v>
      </c>
      <c r="BL113" s="17">
        <f>COUNTIFS('Prácticas_Revisiones'!$S$2:$S$282,"T097",'Prácticas_Revisiones'!$T$2:$T$282,"SOFTWARE CONFIG. MGMT. &gt; Software Release Management and Delivery")+COUNTIFS('Prácticas_Snowballing'!$AB$2:$AB$281,"T097",'Prácticas_Snowballing'!$AC$2:$AC$281,"SOFTWARE CONFIG. MGMT. &gt; Software Release Management and Delivery")</f>
        <v>0</v>
      </c>
      <c r="BM113" s="17">
        <f>COUNTIFS('Prácticas_Revisiones'!$S$2:$S$282,"T097",'Prácticas_Revisiones'!$T$2:$T$282,"SOFTWARE CONFIG. MGMT. &gt; Software Configuration Management Tools")+COUNTIFS('Prácticas_Snowballing'!$AB$2:$AB$281,"T097",'Prácticas_Snowballing'!$AC$2:$AC$281,"SOFTWARE CONFIG. MGMT. &gt; Software Configuration Management Tools")</f>
        <v>0</v>
      </c>
      <c r="BN113" s="17">
        <f>COUNTIFS('Prácticas_Revisiones'!$S$2:$S$282,"T097",'Prácticas_Revisiones'!$T$2:$T$282,"SOFTWARE CONFIG. MGMT. &gt; Subárea no determinable")+COUNTIFS('Prácticas_Snowballing'!$AB$2:$AB$281,"T097",'Prácticas_Snowballing'!$AC$2:$AC$281,"SOFTWARE CONFIG. MGMT. &gt; Subárea no determinable")</f>
        <v>0</v>
      </c>
      <c r="BO113" s="29">
        <f t="shared" si="93"/>
        <v>0</v>
      </c>
      <c r="BP113" s="17">
        <f>COUNTIFS('Prácticas_Revisiones'!$S$2:$S$282,"T097",'Prácticas_Revisiones'!$T$2:$T$282,"SOFTWARE ENG. PROCESS &gt; Software Engineering Process Fundamentals")+COUNTIFS('Prácticas_Snowballing'!$AB$2:$AB$281,"T097",'Prácticas_Snowballing'!$AC$2:$AC$281,"SOFTWARE ENG. PROCESS &gt; Software Engineering Process Fundamentals")</f>
        <v>0</v>
      </c>
      <c r="BQ113" s="17">
        <f>COUNTIFS('Prácticas_Revisiones'!$S$2:$S$282,"T097",'Prácticas_Revisiones'!$T$2:$T$282,"SOFTWARE ENG. PROCESS &gt; Life Cycles")+COUNTIFS('Prácticas_Snowballing'!$AB$2:$AB$281,"T097",'Prácticas_Snowballing'!$AC$2:$AC$281,"SOFTWARE ENG. PROCESS &gt; Life Cycles")</f>
        <v>0</v>
      </c>
      <c r="BR113" s="17">
        <f>COUNTIFS('Prácticas_Revisiones'!$S$2:$S$282,"T097",'Prácticas_Revisiones'!$T$2:$T$282,"SOFTWARE ENG. PROCESS &gt; Software Process Assessment and Improvement")+COUNTIFS('Prácticas_Snowballing'!$AB$2:$AB$281,"T097",'Prácticas_Snowballing'!$AC$2:$AC$281,"SOFTWARE ENG. PROCESS &gt; Software Process Assessment and Improvement")</f>
        <v>0</v>
      </c>
      <c r="BS113" s="17">
        <f>COUNTIFS('Prácticas_Revisiones'!$S$2:$S$282,"T097",'Prácticas_Revisiones'!$T$2:$T$282,"SOFTWARE ENG. PROCESS &gt; Subárea no determinable")+COUNTIFS('Prácticas_Snowballing'!$AB$2:$AB$281,"T097",'Prácticas_Snowballing'!$AC$2:$AC$281,"SOFTWARE ENG. PROCESS &gt; Subárea no determinable")</f>
        <v>0</v>
      </c>
      <c r="BT113" s="29">
        <f t="shared" si="94"/>
        <v>0</v>
      </c>
      <c r="BU113" s="17">
        <f>COUNTIFS('Prácticas_Revisiones'!$S$2:$S$282,"T097",'Prácticas_Revisiones'!$T$2:$T$282,"SOFTWARE ENG. MODELS/METH. &gt; Modeling")+COUNTIFS('Prácticas_Snowballing'!$AB$2:$AB$281,"T097",'Prácticas_Snowballing'!$AC$2:$AC$281,"SOFTWARE ENG. MODELS/METH. &gt; Modeling")</f>
        <v>0</v>
      </c>
      <c r="BV113" s="17">
        <f>COUNTIFS('Prácticas_Revisiones'!$S$2:$S$282,"T097",'Prácticas_Revisiones'!$T$2:$T$282,"SOFTWARE ENG. MODELS/METH. &gt; Types of Models")+COUNTIFS('Prácticas_Snowballing'!$AB$2:$AB$281,"T097",'Prácticas_Snowballing'!$AC$2:$AC$281,"SOFTWARE ENG. MODELS/METH. &gt; Types of Models")</f>
        <v>0</v>
      </c>
      <c r="BW113" s="17">
        <f>COUNTIFS('Prácticas_Revisiones'!$S$2:$S$282,"T097",'Prácticas_Revisiones'!$T$2:$T$282,"SOFTWARE ENG. MODELS/METH. &gt; Analysis of Models")+COUNTIFS('Prácticas_Snowballing'!$AB$2:$AB$281,"T097",'Prácticas_Snowballing'!$AC$2:$AC$281,"SOFTWARE ENG. MODELS/METH. &gt; Analysis of Models")</f>
        <v>0</v>
      </c>
      <c r="BX113" s="17">
        <f>COUNTIFS('Prácticas_Revisiones'!$S$2:$S$282,"T097",'Prácticas_Revisiones'!$T$2:$T$282,"SOFTWARE ENG. MODELS/METH. &gt; Software Engineering Methods")+COUNTIFS('Prácticas_Snowballing'!$AB$2:$AB$281,"T097",'Prácticas_Snowballing'!$AC$2:$AC$281,"SOFTWARE ENG. MODELS/METH. &gt; Software Engineering Methods")</f>
        <v>0</v>
      </c>
      <c r="BY113" s="17">
        <f>COUNTIFS('Prácticas_Revisiones'!$S$2:$S$282,"T097",'Prácticas_Revisiones'!$T$2:$T$282,"SOFTWARE ENG. MODELS/METH. &gt; Subárea no determinable")+COUNTIFS('Prácticas_Snowballing'!$AB$2:$AB$281,"T097",'Prácticas_Snowballing'!$AC$2:$AC$281,"SOFTWARE ENG. MODELS/METH. &gt; Subárea no determinable")</f>
        <v>0</v>
      </c>
      <c r="BZ113" s="29">
        <f t="shared" si="95"/>
        <v>0</v>
      </c>
      <c r="CA113" s="17">
        <f>COUNTIFS('Prácticas_Revisiones'!$S$2:$S$282,"T097",'Prácticas_Revisiones'!$T$2:$T$282,"SOFTWARE QUALITY &gt; Software Quality Fundamentals")+COUNTIFS('Prácticas_Snowballing'!$AB$2:$AB$281,"T097",'Prácticas_Snowballing'!$AC$2:$AC$281,"SOFTWARE QUALITY &gt; Software Quality Fundamentals")</f>
        <v>0</v>
      </c>
      <c r="CB113" s="17">
        <f>COUNTIFS('Prácticas_Revisiones'!$S$2:$S$282,"T097",'Prácticas_Revisiones'!$T$2:$T$282,"SOFTWARE QUALITY &gt; Software Quality Management Process")+COUNTIFS('Prácticas_Snowballing'!$AB$2:$AB$281,"T097",'Prácticas_Snowballing'!$AC$2:$AC$281,"SOFTWARE QUALITY &gt; Software Quality Management Process")</f>
        <v>0</v>
      </c>
      <c r="CC113" s="17">
        <f>COUNTIFS('Prácticas_Revisiones'!$S$2:$S$282,"T097",'Prácticas_Revisiones'!$T$2:$T$282,"SOFTWARE QUALITY &gt; Software Quality Assurance Process")+COUNTIFS('Prácticas_Snowballing'!$AB$2:$AB$281,"T097",'Prácticas_Snowballing'!$AC$2:$AC$281,"SOFTWARE QUALITY &gt; Software Quality Assurance Process")</f>
        <v>0</v>
      </c>
      <c r="CD113" s="17">
        <f>COUNTIFS('Prácticas_Revisiones'!$S$2:$S$282,"T097",'Prácticas_Revisiones'!$T$2:$T$282,"SOFTWARE QUALITY &gt; Software Quality Tools")+COUNTIFS('Prácticas_Snowballing'!$AB$2:$AB$281,"T097",'Prácticas_Snowballing'!$AC$2:$AC$281,"SOFTWARE QUALITY &gt; Software Quality Tools")</f>
        <v>0</v>
      </c>
      <c r="CE113" s="17">
        <f>COUNTIFS('Prácticas_Revisiones'!$S$2:$S$282,"T097",'Prácticas_Revisiones'!$T$2:$T$282,"SOFTWARE QUALITY &gt; Subárea no determinable")+COUNTIFS('Prácticas_Snowballing'!$AB$2:$AB$281,"T097",'Prácticas_Snowballing'!$AC$2:$AC$281,"SOFTWARE QUALITY &gt; Subárea no determinable")</f>
        <v>0</v>
      </c>
      <c r="CF113" s="29">
        <f t="shared" si="96"/>
        <v>0</v>
      </c>
      <c r="CG113" s="17">
        <f>COUNTIFS('Prácticas_Revisiones'!$S$2:$S$282,"T097",'Prácticas_Revisiones'!$T$2:$T$282,"SOFTWARE SECURITY &gt; Software Security Fundamentals")+COUNTIFS('Prácticas_Snowballing'!$AB$2:$AB$281,"T097",'Prácticas_Snowballing'!$AC$2:$AC$281,"SOFTWARE SECURITY &gt; Software Security Fundamentals")</f>
        <v>0</v>
      </c>
      <c r="CH113" s="17">
        <f>COUNTIFS('Prácticas_Revisiones'!$S$2:$S$282,"T097",'Prácticas_Revisiones'!$T$2:$T$282,"SOFTWARE SECURITY &gt; Security Management and Organization")+COUNTIFS('Prácticas_Snowballing'!$AB$2:$AB$281,"T097",'Prácticas_Snowballing'!$AC$2:$AC$281,"SOFTWARE SECURITY &gt; Security Management and Organization")</f>
        <v>0</v>
      </c>
      <c r="CI113" s="17">
        <f>COUNTIFS('Prácticas_Revisiones'!$S$2:$S$282,"T097",'Prácticas_Revisiones'!$T$2:$T$282,"SOFTWARE SECURITY &gt; Software Security Engineering and Process")+COUNTIFS('Prácticas_Snowballing'!$AB$2:$AB$281,"T097",'Prácticas_Snowballing'!$AC$2:$AC$281,"SOFTWARE SECURITY &gt; Software Security Engineering and Process")</f>
        <v>0</v>
      </c>
      <c r="CJ113" s="17">
        <f>COUNTIFS('Prácticas_Revisiones'!$S$2:$S$282,"T097",'Prácticas_Revisiones'!$T$2:$T$282,"SOFTWARE SECURITY &gt; Security Engineering for Software Systems")+COUNTIFS('Prácticas_Snowballing'!$AB$2:$AB$281,"T097",'Prácticas_Snowballing'!$AC$2:$AC$281,"SOFTWARE SECURITY &gt; Security Engineering for Software Systems")</f>
        <v>0</v>
      </c>
      <c r="CK113" s="17">
        <f>COUNTIFS('Prácticas_Revisiones'!$S$2:$S$282,"T097",'Prácticas_Revisiones'!$T$2:$T$282,"SOFTWARE SECURITY &gt; Software Security Tools")+COUNTIFS('Prácticas_Snowballing'!$AB$2:$AB$281,"T097",'Prácticas_Snowballing'!$AC$2:$AC$281,"SOFTWARE SECURITY &gt; Software Security Tools")</f>
        <v>0</v>
      </c>
      <c r="CL113" s="17">
        <f>COUNTIFS('Prácticas_Revisiones'!$S$2:$S$282,"T097",'Prácticas_Revisiones'!$T$2:$T$282,"SOFTWARE SECURITY &gt; Domain Specific Software Security")+COUNTIFS('Prácticas_Snowballing'!$AB$2:$AB$281,"T097",'Prácticas_Snowballing'!$AC$2:$AC$281,"SOFTWARE SECURITY &gt; Domain Specific Software Security")</f>
        <v>0</v>
      </c>
      <c r="CM113" s="17">
        <f>COUNTIFS('Prácticas_Revisiones'!$S$2:$S$282,"T097",'Prácticas_Revisiones'!$T$2:$T$282,"SOFTWARE SECURITY &gt; Subárea no determinable")+COUNTIFS('Prácticas_Snowballing'!$AB$2:$AB$281,"T097",'Prácticas_Snowballing'!$AC$2:$AC$281,"SOFTWARE SECURITY &gt; Subárea no determinable")</f>
        <v>0</v>
      </c>
      <c r="CN113" s="29">
        <f t="shared" si="97"/>
        <v>0</v>
      </c>
      <c r="CO113" s="17">
        <f>COUNTIFS('Prácticas_Revisiones'!$S$2:$S$282,"T097",'Prácticas_Revisiones'!$T$2:$T$282,"PROFESSIONAL PRACTICE &gt; Professionalism")+COUNTIFS('Prácticas_Snowballing'!$AB$2:$AB$281,"T097",'Prácticas_Snowballing'!$AC$2:$AC$281,"PROFESSIONAL PRACTICE &gt; Professionalism")</f>
        <v>0</v>
      </c>
      <c r="CP113" s="17">
        <f>COUNTIFS('Prácticas_Revisiones'!$S$2:$S$282,"T097",'Prácticas_Revisiones'!$T$2:$T$282,"PROFESSIONAL PRACTICE &gt; Group Dynamics and Psychology")+COUNTIFS('Prácticas_Snowballing'!$AB$2:$AB$281,"T097",'Prácticas_Snowballing'!$AC$2:$AC$281,"PROFESSIONAL PRACTICE &gt; Group Dynamics and Psychology")</f>
        <v>0</v>
      </c>
      <c r="CQ113" s="17">
        <f>COUNTIFS('Prácticas_Revisiones'!$S$2:$S$282,"T097",'Prácticas_Revisiones'!$T$2:$T$282,"PROFESSIONAL PRACTICE &gt; Communication Skills")+COUNTIFS('Prácticas_Snowballing'!$AB$2:$AB$281,"T097",'Prácticas_Snowballing'!$AC$2:$AC$281,"PROFESSIONAL PRACTICE &gt; Communication Skills")</f>
        <v>0</v>
      </c>
      <c r="CR113" s="17">
        <f>COUNTIFS('Prácticas_Revisiones'!$S$2:$S$282,"T097",'Prácticas_Revisiones'!$T$2:$T$282,"PROFESSIONAL PRACTICE &gt; Subárea no determinable")+COUNTIFS('Prácticas_Snowballing'!$AB$2:$AB$281,"T097",'Prácticas_Snowballing'!$AC$2:$AC$281,"PROFESSIONAL PRACTICE &gt; Subárea no determinable")</f>
        <v>0</v>
      </c>
      <c r="CS113" s="29">
        <f t="shared" si="98"/>
        <v>0</v>
      </c>
      <c r="CT113" s="17">
        <f>COUNTIFS('Prácticas_Revisiones'!$S$2:$S$282,"T097",'Prácticas_Revisiones'!$T$2:$T$282,"SOFTWARE ENG. ECONOMICS &gt; Software Engineering Economics Fundamentals")+COUNTIFS('Prácticas_Snowballing'!$AB$2:$AB$281,"T097",'Prácticas_Snowballing'!$AC$2:$AC$281,"SOFTWARE ENG. ECONOMICS &gt; Software Engineering Economics Fundamentals")</f>
        <v>0</v>
      </c>
      <c r="CU113" s="17">
        <f>COUNTIFS('Prácticas_Revisiones'!$S$2:$S$282,"T097",'Prácticas_Revisiones'!$T$2:$T$282,"SOFTWARE ENG. ECONOMICS &gt; The Engineering Decision-Making Process")+COUNTIFS('Prácticas_Snowballing'!$AB$2:$AB$281,"T097",'Prácticas_Snowballing'!$AC$2:$AC$281,"SOFTWARE ENG. ECONOMICS &gt; The Engineering Decision-Making Process")</f>
        <v>0</v>
      </c>
      <c r="CV113" s="17">
        <f>COUNTIFS('Prácticas_Revisiones'!$S$2:$S$282,"T097",'Prácticas_Revisiones'!$T$2:$T$282,"SOFTWARE ENG. ECONOMICS &gt; For-Profit Decision-Making")+COUNTIFS('Prácticas_Snowballing'!$AB$2:$AB$281,"T097",'Prácticas_Snowballing'!$AC$2:$AC$281,"SOFTWARE ENG. ECONOMICS &gt; For-Profit Decision-Making")</f>
        <v>0</v>
      </c>
      <c r="CW113" s="17">
        <f>COUNTIFS('Prácticas_Revisiones'!$S$2:$S$282,"T097",'Prácticas_Revisiones'!$T$2:$T$282,"SOFTWARE ENG. ECONOMICS &gt; Nonprofit Decision-Making")+COUNTIFS('Prácticas_Snowballing'!$AB$2:$AB$281,"T097",'Prácticas_Snowballing'!$AC$2:$AC$281,"SOFTWARE ENG. ECONOMICS &gt; Nonprofit Decision-Making")</f>
        <v>0</v>
      </c>
      <c r="CX113" s="17">
        <f>COUNTIFS('Prácticas_Revisiones'!$S$2:$S$282,"T097",'Prácticas_Revisiones'!$T$2:$T$282,"SOFTWARE ENG. ECONOMICS &gt; Present Economy Decision-Making")+COUNTIFS('Prácticas_Snowballing'!$AB$2:$AB$281,"T097",'Prácticas_Snowballing'!$AC$2:$AC$281,"SOFTWARE ENG. ECONOMICS &gt; Present Economy Decision-Making")</f>
        <v>0</v>
      </c>
      <c r="CY113" s="17">
        <f>COUNTIFS('Prácticas_Revisiones'!$S$2:$S$282,"T097",'Prácticas_Revisiones'!$T$2:$T$282,"SOFTWARE ENG. ECONOMICS &gt; Multiple-Attribute Decision-Making")+COUNTIFS('Prácticas_Snowballing'!$AB$2:$AB$281,"T097",'Prácticas_Snowballing'!$AC$2:$AC$281,"SOFTWARE ENG. ECONOMICS &gt; Multiple-Attribute Decision-Making")</f>
        <v>0</v>
      </c>
      <c r="CZ113" s="17">
        <f>COUNTIFS('Prácticas_Revisiones'!$S$2:$S$282,"T097",'Prácticas_Revisiones'!$T$2:$T$282,"SOFTWARE ENG. ECONOMICS &gt; Identifying and Characterizing Intangible Assets")+COUNTIFS('Prácticas_Snowballing'!$AB$2:$AB$281,"T097",'Prácticas_Snowballing'!$AC$2:$AC$281,"SOFTWARE ENG. ECONOMICS &gt; Identifying and Characterizing Intangible Assets")</f>
        <v>0</v>
      </c>
      <c r="DA113" s="17">
        <f>COUNTIFS('Prácticas_Revisiones'!$S$2:$S$282,"T097",'Prácticas_Revisiones'!$T$2:$T$282,"SOFTWARE ENG. ECONOMICS &gt; Estimation")+COUNTIFS('Prácticas_Snowballing'!$AB$2:$AB$281,"T097",'Prácticas_Snowballing'!$AC$2:$AC$281,"SOFTWARE ENG. ECONOMICS &gt; Estimation")</f>
        <v>0</v>
      </c>
      <c r="DB113" s="17">
        <f>COUNTIFS('Prácticas_Revisiones'!$S$2:$S$282,"T097",'Prácticas_Revisiones'!$T$2:$T$282,"SOFTWARE ENG. ECONOMICS &gt; Practical Considerations")+COUNTIFS('Prácticas_Snowballing'!$AB$2:$AB$281,"T097",'Prácticas_Snowballing'!$AC$2:$AC$281,"SOFTWARE ENG. ECONOMICS &gt; Practical Considerations")</f>
        <v>0</v>
      </c>
      <c r="DC113" s="17">
        <f>COUNTIFS('Prácticas_Revisiones'!$S$2:$S$282,"T097",'Prácticas_Revisiones'!$T$2:$T$282,"SOFTWARE ENG. ECONOMICS &gt; Related Concepts")+COUNTIFS('Prácticas_Snowballing'!$AB$2:$AB$281,"T097",'Prácticas_Snowballing'!$AC$2:$AC$281,"SOFTWARE ENG. ECONOMICS &gt; Related Concepts")</f>
        <v>0</v>
      </c>
      <c r="DD113" s="17">
        <f>COUNTIFS('Prácticas_Revisiones'!$S$2:$S$282,"T097",'Prácticas_Revisiones'!$T$2:$T$282,"SOFTWARE ENG. ECONOMICS &gt; Subárea no determinable")+COUNTIFS('Prácticas_Snowballing'!$AB$2:$AB$281,"T097",'Prácticas_Snowballing'!$AC$2:$AC$281,"SOFTWARE ENG. ECONOMICS &gt; Subárea no determinable")</f>
        <v>0</v>
      </c>
      <c r="DE113" s="29">
        <f t="shared" si="99"/>
        <v>0</v>
      </c>
      <c r="DF113" s="17">
        <f>COUNTIFS('Prácticas_Revisiones'!$S$2:$S$282,"T097",'Prácticas_Revisiones'!$T$2:$T$282,"SOFTWARE ENG. MANAGEMENT &gt; Software Engineering Management Fundamentals")+COUNTIFS('Prácticas_Snowballing'!$AB$2:$AB$281,"T097",'Prácticas_Snowballing'!$AC$2:$AC$281,"SOFTWARE ENG. MANAGEMENT &gt; Software Engineering Management Fundamentals")</f>
        <v>0</v>
      </c>
      <c r="DG113" s="17">
        <f>COUNTIFS('Prácticas_Revisiones'!$S$2:$S$282,"T097",'Prácticas_Revisiones'!$T$2:$T$282,"SOFTWARE ENG. MANAGEMENT &gt; Initiation and Scope Definition")+COUNTIFS('Prácticas_Snowballing'!$AB$2:$AB$281,"T097",'Prácticas_Snowballing'!$AC$2:$AC$281,"SOFTWARE ENG. MANAGEMENT &gt; Initiation and Scope Definition")</f>
        <v>0</v>
      </c>
      <c r="DH113" s="17">
        <f>COUNTIFS('Prácticas_Revisiones'!$S$2:$S$282,"T097",'Prácticas_Revisiones'!$T$2:$T$282,"SOFTWARE ENG. MANAGEMENT &gt; Software Project Planning")+COUNTIFS('Prácticas_Snowballing'!$AB$2:$AB$281,"T097",'Prácticas_Snowballing'!$AC$2:$AC$281,"SOFTWARE ENG. MANAGEMENT &gt; Software Project Planning")</f>
        <v>0</v>
      </c>
      <c r="DI113" s="17">
        <f>COUNTIFS('Prácticas_Revisiones'!$S$2:$S$282,"T097",'Prácticas_Revisiones'!$T$2:$T$282,"SOFTWARE ENG. MANAGEMENT &gt; Software Project Enactment")+COUNTIFS('Prácticas_Snowballing'!$AB$2:$AB$281,"T097",'Prácticas_Snowballing'!$AC$2:$AC$281,"SOFTWARE ENG. MANAGEMENT &gt; Software Project Enactment")</f>
        <v>0</v>
      </c>
      <c r="DJ113" s="17">
        <f>COUNTIFS('Prácticas_Revisiones'!$S$2:$S$282,"T097",'Prácticas_Revisiones'!$T$2:$T$282,"SOFTWARE ENG. MANAGEMENT &gt; Review and Evaluation")+COUNTIFS('Prácticas_Snowballing'!$AB$2:$AB$281,"T097",'Prácticas_Snowballing'!$AC$2:$AC$281,"SOFTWARE ENG. MANAGEMENT &gt; Review and Evaluation")</f>
        <v>0</v>
      </c>
      <c r="DK113" s="17">
        <f>COUNTIFS('Prácticas_Revisiones'!$S$2:$S$282,"T097",'Prácticas_Revisiones'!$T$2:$T$282,"SOFTWARE ENG. MANAGEMENT &gt; Closure")+COUNTIFS('Prácticas_Snowballing'!$AB$2:$AB$281,"T097",'Prácticas_Snowballing'!$AC$2:$AC$281,"SOFTWARE ENG. MANAGEMENT &gt; Closure")</f>
        <v>0</v>
      </c>
      <c r="DL113" s="17">
        <f>COUNTIFS('Prácticas_Revisiones'!$S$2:$S$282,"T097",'Prácticas_Revisiones'!$T$2:$T$282,"SOFTWARE ENG. MANAGEMENT &gt; Software Engineering Management Tools")+COUNTIFS('Prácticas_Snowballing'!$AB$2:$AB$281,"T097",'Prácticas_Snowballing'!$AC$2:$AC$281,"SOFTWARE ENG. MANAGEMENT &gt; Software Engineering Management Tools")</f>
        <v>0</v>
      </c>
      <c r="DM113" s="17">
        <f>COUNTIFS('Prácticas_Revisiones'!$S$2:$S$282,"T097",'Prácticas_Revisiones'!$T$2:$T$282,"SOFTWARE ENG. MANAGEMENT &gt; Subárea no determinable")+COUNTIFS('Prácticas_Snowballing'!$AB$2:$AB$281,"T097",'Prácticas_Snowballing'!$AC$2:$AC$281,"SOFTWARE ENG. MANAGEMENT &gt; Subárea no determinable")</f>
        <v>0</v>
      </c>
      <c r="DN113" s="29">
        <f t="shared" si="100"/>
        <v>0</v>
      </c>
      <c r="DO113" s="17">
        <f>COUNTIFS('Prácticas_Revisiones'!$S$2:$S$282,"T097",'Prácticas_Revisiones'!$T$2:$T$282,"Sin área SWEBOK")+COUNTIFS('Prácticas_Snowballing'!$AB$2:$AB$281,"T097",'Prácticas_Snowballing'!$AC$2:$AC$281,"Sin área SWEBOK")</f>
        <v>0</v>
      </c>
      <c r="DP113" s="27">
        <f t="shared" si="101"/>
        <v>0</v>
      </c>
    </row>
    <row r="114" ht="15.75" customHeight="1">
      <c r="A114" s="28"/>
      <c r="B114" s="16" t="s">
        <v>2868</v>
      </c>
      <c r="C114" s="17">
        <f>COUNTIFS('Prácticas_Revisiones'!$S$2:$S$282,"T098",'Prácticas_Revisiones'!$T$2:$T$282,"REQUIREMENTS &gt; Software Requirements Fundamentals")+COUNTIFS('Prácticas_Snowballing'!$AB$2:$AB$281,"T098",'Prácticas_Snowballing'!$AC$2:$AC$281,"REQUIREMENTS &gt; Software Requirements Fundamentals")</f>
        <v>0</v>
      </c>
      <c r="D114" s="17">
        <f>COUNTIFS('Prácticas_Revisiones'!$S$2:$S$282,"T098",'Prácticas_Revisiones'!$T$2:$T$282,"REQUIREMENTS &gt; Requirements Elicitation")+COUNTIFS('Prácticas_Snowballing'!$AB$2:$AB$281,"T098",'Prácticas_Snowballing'!$AC$2:$AC$281,"REQUIREMENTS &gt; Requirements Elicitation")</f>
        <v>0</v>
      </c>
      <c r="E114" s="17">
        <f>COUNTIFS('Prácticas_Revisiones'!$S$2:$S$282,"T098",'Prácticas_Revisiones'!$T$2:$T$282,"REQUIREMENTS &gt; Requirements Analysis")+COUNTIFS('Prácticas_Snowballing'!$AB$2:$AB$281,"T098",'Prácticas_Snowballing'!$AC$2:$AC$281,"REQUIREMENTS &gt; Requirements Analysis")</f>
        <v>0</v>
      </c>
      <c r="F114" s="17">
        <f>COUNTIFS('Prácticas_Revisiones'!$S$2:$S$282,"T098",'Prácticas_Revisiones'!$T$2:$T$282,"REQUIREMENTS &gt; Requirements Specification")+COUNTIFS('Prácticas_Snowballing'!$AB$2:$AB$281,"T098",'Prácticas_Snowballing'!$AC$2:$AC$281,"REQUIREMENTS &gt; Requirements Specification")</f>
        <v>0</v>
      </c>
      <c r="G114" s="17">
        <f>COUNTIFS('Prácticas_Revisiones'!$S$2:$S$282,"T098",'Prácticas_Revisiones'!$T$2:$T$282,"REQUIREMENTS &gt; Requirements Validation")+COUNTIFS('Prácticas_Snowballing'!$AB$2:$AB$281,"T098",'Prácticas_Snowballing'!$AC$2:$AC$281,"REQUIREMENTS &gt; Requirements Validation")</f>
        <v>0</v>
      </c>
      <c r="H114" s="17">
        <f>COUNTIFS('Prácticas_Revisiones'!$S$2:$S$282,"T098",'Prácticas_Revisiones'!$T$2:$T$282,"REQUIREMENTS &gt; Requirements Management Activities")+COUNTIFS('Prácticas_Snowballing'!$AB$2:$AB$281,"T098",'Prácticas_Snowballing'!$AC$2:$AC$281,"REQUIREMENTS &gt; Requirements Management Activities")</f>
        <v>0</v>
      </c>
      <c r="I114" s="17">
        <f>COUNTIFS('Prácticas_Revisiones'!$S$2:$S$282,"T098",'Prácticas_Revisiones'!$T$2:$T$282,"REQUIREMENTS &gt; Practical Considerations")+COUNTIFS('Prácticas_Snowballing'!$AB$2:$AB$281,"T098",'Prácticas_Snowballing'!$AC$2:$AC$281,"REQUIREMENTS &gt; Practical Considerations")</f>
        <v>0</v>
      </c>
      <c r="J114" s="17">
        <f>COUNTIFS('Prácticas_Revisiones'!$S$2:$S$282,"T098",'Prácticas_Revisiones'!$T$2:$T$282,"REQUIREMENTS &gt; Software Requirements Tools")+COUNTIFS('Prácticas_Snowballing'!$AB$2:$AB$281,"T098",'Prácticas_Snowballing'!$AC$2:$AC$281,"REQUIREMENTS &gt; Software Requirements Tools")</f>
        <v>0</v>
      </c>
      <c r="K114" s="17">
        <f>COUNTIFS('Prácticas_Revisiones'!$S$2:$S$282,"T098",'Prácticas_Revisiones'!$T$2:$T$282,"REQUIREMENTS &gt; Subárea no determinable")+COUNTIFS('Prácticas_Snowballing'!$AB$2:$AB$281,"T098",'Prácticas_Snowballing'!$AC$2:$AC$281,"REQUIREMENTS &gt; Subárea no determinable")</f>
        <v>0</v>
      </c>
      <c r="L114" s="29">
        <f t="shared" si="86"/>
        <v>0</v>
      </c>
      <c r="M114" s="17">
        <f>COUNTIFS('Prácticas_Revisiones'!$S$2:$S$282,"T098",'Prácticas_Revisiones'!$T$2:$T$282,"ARCHITECTURE &gt; Software Architecture Fundamentals")+COUNTIFS('Prácticas_Snowballing'!$AB$2:$AB$281,"T098",'Prácticas_Snowballing'!$AC$2:$AC$281,"ARCHITECTURE &gt; Software Architecture Fundamentals")</f>
        <v>0</v>
      </c>
      <c r="N114" s="17">
        <f>COUNTIFS('Prácticas_Revisiones'!$S$2:$S$282,"T098",'Prácticas_Revisiones'!$T$2:$T$282,"ARCHITECTURE &gt; Software Architecture Description")+COUNTIFS('Prácticas_Snowballing'!$AB$2:$AB$281,"T098",'Prácticas_Snowballing'!$AC$2:$AC$281,"ARCHITECTURE &gt; Software Architecture Description")</f>
        <v>0</v>
      </c>
      <c r="O114" s="17">
        <f>COUNTIFS('Prácticas_Revisiones'!$S$2:$S$282,"T098",'Prácticas_Revisiones'!$T$2:$T$282,"ARCHITECTURE &gt; Software Architecture Process")+COUNTIFS('Prácticas_Snowballing'!$AB$2:$AB$281,"T098",'Prácticas_Snowballing'!$AC$2:$AC$281,"ARCHITECTURE &gt; Software Architecture Process")</f>
        <v>0</v>
      </c>
      <c r="P114" s="17">
        <f>COUNTIFS('Prácticas_Revisiones'!$S$2:$S$282,"T098",'Prácticas_Revisiones'!$T$2:$T$282,"ARCHITECTURE &gt; Software Architecture Evaluation")+COUNTIFS('Prácticas_Snowballing'!$AB$2:$AB$281,"T098",'Prácticas_Snowballing'!$AC$2:$AC$281,"ARCHITECTURE &gt; Software Architecture Evaluation")</f>
        <v>0</v>
      </c>
      <c r="Q114" s="17">
        <f>COUNTIFS('Prácticas_Revisiones'!$S$2:$S$282,"T098",'Prácticas_Revisiones'!$T$2:$T$282,"ARCHITECTURE &gt; Subárea no determinable")+COUNTIFS('Prácticas_Snowballing'!$AB$2:$AB$281,"T098",'Prácticas_Snowballing'!$AC$2:$AC$281,"ARCHITECTURE &gt; Subárea no determinable")</f>
        <v>0</v>
      </c>
      <c r="R114" s="29">
        <f t="shared" si="87"/>
        <v>0</v>
      </c>
      <c r="S114" s="17">
        <f>COUNTIFS('Prácticas_Revisiones'!$S$2:$S$282,"T098",'Prácticas_Revisiones'!$T$2:$T$282,"DESIGN &gt; Software Design Fundamentals")+COUNTIFS('Prácticas_Snowballing'!$AB$2:$AB$281,"T098",'Prácticas_Snowballing'!$AC$2:$AC$281,"DESIGN &gt; Software Design Fundamentals")</f>
        <v>0</v>
      </c>
      <c r="T114" s="17">
        <f>COUNTIFS('Prácticas_Revisiones'!$S$2:$S$282,"T098",'Prácticas_Revisiones'!$T$2:$T$282,"DESIGN &gt; Software Design Processes")+COUNTIFS('Prácticas_Snowballing'!$AB$2:$AB$281,"T098",'Prácticas_Snowballing'!$AC$2:$AC$281,"DESIGN &gt; Software Design Processes")</f>
        <v>0</v>
      </c>
      <c r="U114" s="17">
        <f>COUNTIFS('Prácticas_Revisiones'!$S$2:$S$282,"T098",'Prácticas_Revisiones'!$T$2:$T$282,"DESIGN &gt; Software Design Qualities")+COUNTIFS('Prácticas_Snowballing'!$AB$2:$AB$281,"T098",'Prácticas_Snowballing'!$AC$2:$AC$281,"DESIGN &gt; Software Design Qualities")</f>
        <v>0</v>
      </c>
      <c r="V114" s="17">
        <f>COUNTIFS('Prácticas_Revisiones'!$S$2:$S$282,"T098",'Prácticas_Revisiones'!$T$2:$T$282,"DESIGN &gt; Recording Software Design")+COUNTIFS('Prácticas_Snowballing'!$AB$2:$AB$281,"T098",'Prácticas_Snowballing'!$AC$2:$AC$281,"DESIGN &gt; Recording Software Design")</f>
        <v>0</v>
      </c>
      <c r="W114" s="17">
        <f>COUNTIFS('Prácticas_Revisiones'!$S$2:$S$282,"T098",'Prácticas_Revisiones'!$T$2:$T$282,"DESIGN &gt; Software Design Strategies and Methods")+COUNTIFS('Prácticas_Snowballing'!$AB$2:$AB$281,"T098",'Prácticas_Snowballing'!$AC$2:$AC$281,"DESIGN &gt; Software Design Strategies and Methods")</f>
        <v>0</v>
      </c>
      <c r="X114" s="17">
        <f>COUNTIFS('Prácticas_Revisiones'!$S$2:$S$282,"T098",'Prácticas_Revisiones'!$T$2:$T$282,"DESIGN &gt; Software Design Analysis and Evaluations")+COUNTIFS('Prácticas_Snowballing'!$AB$2:$AB$281,"T098",'Prácticas_Snowballing'!$AC$2:$AC$281,"DESIGN &gt; Software Design Analysis and Evaluations")</f>
        <v>0</v>
      </c>
      <c r="Y114" s="17">
        <f>COUNTIFS('Prácticas_Revisiones'!$S$2:$S$282,"T098",'Prácticas_Revisiones'!$T$2:$T$282,"DESIGN &gt; Subárea no determinable")+COUNTIFS('Prácticas_Snowballing'!$AB$2:$AB$281,"T098",'Prácticas_Snowballing'!$AC$2:$AC$281,"DESIGN &gt; Subárea no determinable")</f>
        <v>0</v>
      </c>
      <c r="Z114" s="29">
        <f t="shared" si="88"/>
        <v>0</v>
      </c>
      <c r="AA114" s="17">
        <f>COUNTIFS('Prácticas_Revisiones'!$S$2:$S$282,"T098",'Prácticas_Revisiones'!$T$2:$T$282,"CONSTRUCTION &gt; Software Construction Fundamentals")+COUNTIFS('Prácticas_Snowballing'!$AB$2:$AB$281,"T098",'Prácticas_Snowballing'!$AC$2:$AC$281,"CONSTRUCTION &gt; Software Construction Fundamentals")</f>
        <v>4</v>
      </c>
      <c r="AB114" s="17">
        <f>COUNTIFS('Prácticas_Revisiones'!$S$2:$S$282,"T098",'Prácticas_Revisiones'!$T$2:$T$282,"CONSTRUCTION &gt; Managing Construction")+COUNTIFS('Prácticas_Snowballing'!$AB$2:$AB$281,"T098",'Prácticas_Snowballing'!$AC$2:$AC$281,"CONSTRUCTION &gt; Managing Construction")</f>
        <v>0</v>
      </c>
      <c r="AC114" s="17">
        <f>COUNTIFS('Prácticas_Revisiones'!$S$2:$S$282,"T098",'Prácticas_Revisiones'!$T$2:$T$282,"CONSTRUCTION &gt; Practical Considerations")+COUNTIFS('Prácticas_Snowballing'!$AB$2:$AB$281,"T098",'Prácticas_Snowballing'!$AC$2:$AC$281,"CONSTRUCTION &gt; Practical Considerations")</f>
        <v>2</v>
      </c>
      <c r="AD114" s="17">
        <f>COUNTIFS('Prácticas_Revisiones'!$S$2:$S$282,"T098",'Prácticas_Revisiones'!$T$2:$T$282,"CONSTRUCTION &gt; Construction Technologies")+COUNTIFS('Prácticas_Snowballing'!$AB$2:$AB$281,"T098",'Prácticas_Snowballing'!$AC$2:$AC$281,"CONSTRUCTION &gt; Construction Technologies")</f>
        <v>0</v>
      </c>
      <c r="AE114" s="17">
        <f>COUNTIFS('Prácticas_Revisiones'!$S$2:$S$282,"T098",'Prácticas_Revisiones'!$T$2:$T$282,"CONSTRUCTION &gt; Software Construction Tools")+COUNTIFS('Prácticas_Snowballing'!$AB$2:$AB$281,"T098",'Prácticas_Snowballing'!$AC$2:$AC$281,"CONSTRUCTION &gt; Software Construction Tools")</f>
        <v>1</v>
      </c>
      <c r="AF114" s="17">
        <f>COUNTIFS('Prácticas_Revisiones'!$S$2:$S$282,"T098",'Prácticas_Revisiones'!$T$2:$T$282,"CONSTRUCTION &gt; Subárea no determinable")+COUNTIFS('Prácticas_Snowballing'!$AB$2:$AB$281,"T098",'Prácticas_Snowballing'!$AC$2:$AC$281,"CONSTRUCTION &gt; Subárea no determinable")</f>
        <v>0</v>
      </c>
      <c r="AG114" s="29">
        <f t="shared" si="89"/>
        <v>7</v>
      </c>
      <c r="AH114" s="17">
        <f>COUNTIFS('Prácticas_Revisiones'!$S$2:$S$282,"T098",'Prácticas_Revisiones'!$T$2:$T$282,"SOFTWARE TESTING &gt; Software Testing Fundamentals")+COUNTIFS('Prácticas_Snowballing'!$AB$2:$AB$281,"T098",'Prácticas_Snowballing'!$AC$2:$AC$281,"SOFTWARE TESTING &gt; Software Testing Fundamentals")</f>
        <v>0</v>
      </c>
      <c r="AI114" s="17">
        <f>COUNTIFS('Prácticas_Revisiones'!$S$2:$S$282,"T098",'Prácticas_Revisiones'!$T$2:$T$282,"SOFTWARE TESTING &gt; Test Levels")+COUNTIFS('Prácticas_Snowballing'!$AB$2:$AB$281,"T098",'Prácticas_Snowballing'!$AC$2:$AC$281,"SOFTWARE TESTING &gt; Test Levels")</f>
        <v>0</v>
      </c>
      <c r="AJ114" s="17">
        <f>COUNTIFS('Prácticas_Revisiones'!$S$2:$S$282,"T098",'Prácticas_Revisiones'!$T$2:$T$282,"SOFTWARE TESTING &gt; Test Techniques")+COUNTIFS('Prácticas_Snowballing'!$AB$2:$AB$281,"T098",'Prácticas_Snowballing'!$AC$2:$AC$281,"SOFTWARE TESTING &gt; Test Techniques")</f>
        <v>0</v>
      </c>
      <c r="AK114" s="17">
        <f>COUNTIFS('Prácticas_Revisiones'!$S$2:$S$282,"T098",'Prácticas_Revisiones'!$T$2:$T$282,"SOFTWARE TESTING &gt; Test-Related Measures")+COUNTIFS('Prácticas_Snowballing'!$AB$2:$AB$281,"T098",'Prácticas_Snowballing'!$AC$2:$AC$281,"SOFTWARE TESTING &gt; Test-Related Measures")</f>
        <v>0</v>
      </c>
      <c r="AL114" s="17">
        <f>COUNTIFS('Prácticas_Revisiones'!$S$2:$S$282,"T098",'Prácticas_Revisiones'!$T$2:$T$282,"SOFTWARE TESTING &gt; Test Process")+COUNTIFS('Prácticas_Snowballing'!$AB$2:$AB$281,"T098",'Prácticas_Snowballing'!$AC$2:$AC$281,"SOFTWARE TESTING &gt; Test Process")</f>
        <v>0</v>
      </c>
      <c r="AM114" s="17">
        <f>COUNTIFS('Prácticas_Revisiones'!$S$2:$S$282,"T098",'Prácticas_Revisiones'!$T$2:$T$282,"SOFTWARE TESTING &gt; Software Testing in the Development Processes...")+COUNTIFS('Prácticas_Snowballing'!$AB$2:$AB$281,"T098",'Prácticas_Snowballing'!$AC$2:$AC$281,"SOFTWARE TESTING &gt; Software Testing in the Development Processes...")</f>
        <v>0</v>
      </c>
      <c r="AN114" s="17">
        <f>COUNTIFS('Prácticas_Revisiones'!$S$2:$S$282,"T098",'Prácticas_Revisiones'!$T$2:$T$282,"SOFTWARE TESTING &gt; Testing of and Testing Through Emerging Tech...")+COUNTIFS('Prácticas_Snowballing'!$AB$2:$AB$281,"T098",'Prácticas_Snowballing'!$AC$2:$AC$281,"SOFTWARE TESTING &gt; Testing of and Testing Through Emerging Tech...")</f>
        <v>0</v>
      </c>
      <c r="AO114" s="17">
        <f>COUNTIFS('Prácticas_Revisiones'!$S$2:$S$282,"T098",'Prácticas_Revisiones'!$T$2:$T$282,"SOFTWARE TESTING &gt; Software Testing Tools")+COUNTIFS('Prácticas_Snowballing'!$AB$2:$AB$281,"T098",'Prácticas_Snowballing'!$AC$2:$AC$281,"SOFTWARE TESTING &gt; Software Testing Tools")</f>
        <v>0</v>
      </c>
      <c r="AP114" s="17">
        <f>COUNTIFS('Prácticas_Revisiones'!$S$2:$S$282,"T098",'Prácticas_Revisiones'!$T$2:$T$282,"SOFTWARE TESTING &gt; Subárea no determinable")+COUNTIFS('Prácticas_Snowballing'!$AB$2:$AB$281,"T098",'Prácticas_Snowballing'!$AC$2:$AC$281,"SOFTWARE TESTING &gt; Subárea no determinable")</f>
        <v>0</v>
      </c>
      <c r="AQ114" s="29">
        <f t="shared" si="90"/>
        <v>0</v>
      </c>
      <c r="AR114" s="17">
        <f>COUNTIFS('Prácticas_Revisiones'!$S$2:$S$282,"T098",'Prácticas_Revisiones'!$T$2:$T$282,"SOFTWARE ENG. OPERATIONS &gt; Software Engineering Operations Fundamentals")+COUNTIFS('Prácticas_Snowballing'!$AB$2:$AB$281,"T098",'Prácticas_Snowballing'!$AC$2:$AC$281,"SOFTWARE ENG. OPERATIONS &gt; Software Engineering Operations Fundamentals")</f>
        <v>0</v>
      </c>
      <c r="AS114" s="17">
        <f>COUNTIFS('Prácticas_Revisiones'!$S$2:$S$282,"T098",'Prácticas_Revisiones'!$T$2:$T$282,"SOFTWARE ENG. OPERATIONS &gt; Software Engineering Operations Planning")+COUNTIFS('Prácticas_Snowballing'!$AB$2:$AB$281,"T098",'Prácticas_Snowballing'!$AC$2:$AC$281,"SOFTWARE ENG. OPERATIONS &gt; Software Engineering Operations Planning")</f>
        <v>0</v>
      </c>
      <c r="AT114" s="17">
        <f>COUNTIFS('Prácticas_Revisiones'!$S$2:$S$282,"T098",'Prácticas_Revisiones'!$T$2:$T$282,"SOFTWARE ENG. OPERATIONS &gt; Software Engineering Operations Delivery")+COUNTIFS('Prácticas_Snowballing'!$AB$2:$AB$281,"T098",'Prácticas_Snowballing'!$AC$2:$AC$281,"SOFTWARE ENG. OPERATIONS &gt; Software Engineering Operations Delivery")</f>
        <v>0</v>
      </c>
      <c r="AU114" s="17">
        <f>COUNTIFS('Prácticas_Revisiones'!$S$2:$S$282,"T098",'Prácticas_Revisiones'!$T$2:$T$282,"SOFTWARE ENG. OPERATIONS &gt; Software Engineering Operations Control")+COUNTIFS('Prácticas_Snowballing'!$AB$2:$AB$281,"T098",'Prácticas_Snowballing'!$AC$2:$AC$281,"SOFTWARE ENG. OPERATIONS &gt; Software Engineering Operations Control")</f>
        <v>0</v>
      </c>
      <c r="AV114" s="17">
        <f>COUNTIFS('Prácticas_Revisiones'!$S$2:$S$282,"T098",'Prácticas_Revisiones'!$T$2:$T$282,"SOFTWARE ENG. OPERATIONS &gt; Practical Considerations")+COUNTIFS('Prácticas_Snowballing'!$AB$2:$AB$281,"T098",'Prácticas_Snowballing'!$AC$2:$AC$281,"SOFTWARE ENG. OPERATIONS &gt; Practical Considerations")</f>
        <v>0</v>
      </c>
      <c r="AW114" s="17">
        <f>COUNTIFS('Prácticas_Revisiones'!$S$2:$S$282,"T098",'Prácticas_Revisiones'!$T$2:$T$282,"SOFTWARE ENG. OPERATIONS &gt; Software Engineering Operations Tools")+COUNTIFS('Prácticas_Snowballing'!$AB$2:$AB$281,"T098",'Prácticas_Snowballing'!$AC$2:$AC$281,"SOFTWARE ENG. OPERATIONS &gt; Software Engineering Operations Tools")</f>
        <v>0</v>
      </c>
      <c r="AX114" s="17">
        <f>COUNTIFS('Prácticas_Revisiones'!$S$2:$S$282,"T098",'Prácticas_Revisiones'!$T$2:$T$282,"SOFTWARE ENG. OPERATIONS &gt; Subárea no determinable")+COUNTIFS('Prácticas_Snowballing'!$AB$2:$AB$281,"T098",'Prácticas_Snowballing'!$AC$2:$AC$281,"SOFTWARE ENG. OPERATIONS &gt; Subárea no determinable")</f>
        <v>0</v>
      </c>
      <c r="AY114" s="29">
        <f t="shared" si="91"/>
        <v>0</v>
      </c>
      <c r="AZ114" s="17">
        <f>COUNTIFS('Prácticas_Revisiones'!$S$2:$S$282,"T098",'Prácticas_Revisiones'!$T$2:$T$282,"MAINTENANCE &gt; Software Maintenance Fundamentals")+COUNTIFS('Prácticas_Snowballing'!$AB$2:$AB$281,"T098",'Prácticas_Snowballing'!$AC$2:$AC$281,"MAINTENANCE &gt; Software Maintenance Fundamentals")</f>
        <v>0</v>
      </c>
      <c r="BA114" s="17">
        <f>COUNTIFS('Prácticas_Revisiones'!$S$2:$S$282,"T098",'Prácticas_Revisiones'!$T$2:$T$282,"MAINTENANCE &gt; Key Issues in Software Maintenance")+COUNTIFS('Prácticas_Snowballing'!$AB$2:$AB$281,"T098",'Prácticas_Snowballing'!$AC$2:$AC$281,"MAINTENANCE &gt; Key Issues in Software Maintenance")</f>
        <v>0</v>
      </c>
      <c r="BB114" s="17">
        <f>COUNTIFS('Prácticas_Revisiones'!$S$2:$S$282,"T098",'Prácticas_Revisiones'!$T$2:$T$282,"MAINTENANCE &gt; Software Maintenance Processes")+COUNTIFS('Prácticas_Snowballing'!$AB$2:$AB$281,"T098",'Prácticas_Snowballing'!$AC$2:$AC$281,"MAINTENANCE &gt; Software Maintenance Processes")</f>
        <v>0</v>
      </c>
      <c r="BC114" s="17">
        <f>COUNTIFS('Prácticas_Revisiones'!$S$2:$S$282,"T098",'Prácticas_Revisiones'!$T$2:$T$282,"MAINTENANCE &gt; Software Maintenance Techniques")+COUNTIFS('Prácticas_Snowballing'!$AB$2:$AB$281,"T098",'Prácticas_Snowballing'!$AC$2:$AC$281,"MAINTENANCE &gt; Software Maintenance Techniques")</f>
        <v>0</v>
      </c>
      <c r="BD114" s="17">
        <f>COUNTIFS('Prácticas_Revisiones'!$S$2:$S$282,"T098",'Prácticas_Revisiones'!$T$2:$T$282,"MAINTENANCE &gt; Software Maintenance Tools")+COUNTIFS('Prácticas_Snowballing'!$AB$2:$AB$281,"T098",'Prácticas_Snowballing'!$AC$2:$AC$281,"MAINTENANCE &gt; Software Maintenance Tools")</f>
        <v>0</v>
      </c>
      <c r="BE114" s="17">
        <f>COUNTIFS('Prácticas_Revisiones'!$S$2:$S$282,"T098",'Prácticas_Revisiones'!$T$2:$T$282,"MAINTENANCE &gt; Subárea no determinable")+COUNTIFS('Prácticas_Snowballing'!$AB$2:$AB$281,"T098",'Prácticas_Snowballing'!$AC$2:$AC$281,"MAINTENANCE &gt; Subárea no determinable")</f>
        <v>0</v>
      </c>
      <c r="BF114" s="29">
        <f t="shared" si="92"/>
        <v>0</v>
      </c>
      <c r="BG114" s="17">
        <f>COUNTIFS('Prácticas_Revisiones'!$S$2:$S$282,"T098",'Prácticas_Revisiones'!$T$2:$T$282,"SOFTWARE CONFIG. MGMT. &gt; Management of the SCM Process")+COUNTIFS('Prácticas_Snowballing'!$AB$2:$AB$281,"T098",'Prácticas_Snowballing'!$AC$2:$AC$281,"SOFTWARE CONFIG. MGMT. &gt; Management of the SCM Process")</f>
        <v>0</v>
      </c>
      <c r="BH114" s="17">
        <f>COUNTIFS('Prácticas_Revisiones'!$S$2:$S$282,"T098",'Prácticas_Revisiones'!$T$2:$T$282,"SOFTWARE CONFIG. MGMT. &gt; Software Configuration Identification")+COUNTIFS('Prácticas_Snowballing'!$AB$2:$AB$281,"T098",'Prácticas_Snowballing'!$AC$2:$AC$281,"SOFTWARE CONFIG. MGMT. &gt; Software Configuration Identification")</f>
        <v>0</v>
      </c>
      <c r="BI114" s="17">
        <f>COUNTIFS('Prácticas_Revisiones'!$S$2:$S$282,"T098",'Prácticas_Revisiones'!$T$2:$T$282,"SOFTWARE CONFIG. MGMT. &gt; Software Configuration Change Control")+COUNTIFS('Prácticas_Snowballing'!$AB$2:$AB$281,"T098",'Prácticas_Snowballing'!$AC$2:$AC$281,"SOFTWARE CONFIG. MGMT. &gt; Software Configuration Change Control")</f>
        <v>0</v>
      </c>
      <c r="BJ114" s="17">
        <f>COUNTIFS('Prácticas_Revisiones'!$S$2:$S$282,"T098",'Prácticas_Revisiones'!$T$2:$T$282,"SOFTWARE CONFIG. MGMT. &gt; Software Configuration Status Accounting")+COUNTIFS('Prácticas_Snowballing'!$AB$2:$AB$281,"T098",'Prácticas_Snowballing'!$AC$2:$AC$281,"SOFTWARE CONFIG. MGMT. &gt; Software Configuration Status Accounting")</f>
        <v>0</v>
      </c>
      <c r="BK114" s="17">
        <f>COUNTIFS('Prácticas_Revisiones'!$S$2:$S$282,"T098",'Prácticas_Revisiones'!$T$2:$T$282,"SOFTWARE CONFIG. MGMT. &gt; Software Configuration Auditing")+COUNTIFS('Prácticas_Snowballing'!$AB$2:$AB$281,"T098",'Prácticas_Snowballing'!$AC$2:$AC$281,"SOFTWARE CONFIG. MGMT. &gt; Software Configuration Auditing")</f>
        <v>0</v>
      </c>
      <c r="BL114" s="17">
        <f>COUNTIFS('Prácticas_Revisiones'!$S$2:$S$282,"T098",'Prácticas_Revisiones'!$T$2:$T$282,"SOFTWARE CONFIG. MGMT. &gt; Software Release Management and Delivery")+COUNTIFS('Prácticas_Snowballing'!$AB$2:$AB$281,"T098",'Prácticas_Snowballing'!$AC$2:$AC$281,"SOFTWARE CONFIG. MGMT. &gt; Software Release Management and Delivery")</f>
        <v>0</v>
      </c>
      <c r="BM114" s="17">
        <f>COUNTIFS('Prácticas_Revisiones'!$S$2:$S$282,"T098",'Prácticas_Revisiones'!$T$2:$T$282,"SOFTWARE CONFIG. MGMT. &gt; Software Configuration Management Tools")+COUNTIFS('Prácticas_Snowballing'!$AB$2:$AB$281,"T098",'Prácticas_Snowballing'!$AC$2:$AC$281,"SOFTWARE CONFIG. MGMT. &gt; Software Configuration Management Tools")</f>
        <v>0</v>
      </c>
      <c r="BN114" s="17">
        <f>COUNTIFS('Prácticas_Revisiones'!$S$2:$S$282,"T098",'Prácticas_Revisiones'!$T$2:$T$282,"SOFTWARE CONFIG. MGMT. &gt; Subárea no determinable")+COUNTIFS('Prácticas_Snowballing'!$AB$2:$AB$281,"T098",'Prácticas_Snowballing'!$AC$2:$AC$281,"SOFTWARE CONFIG. MGMT. &gt; Subárea no determinable")</f>
        <v>0</v>
      </c>
      <c r="BO114" s="29">
        <f t="shared" si="93"/>
        <v>0</v>
      </c>
      <c r="BP114" s="17">
        <f>COUNTIFS('Prácticas_Revisiones'!$S$2:$S$282,"T098",'Prácticas_Revisiones'!$T$2:$T$282,"SOFTWARE ENG. PROCESS &gt; Software Engineering Process Fundamentals")+COUNTIFS('Prácticas_Snowballing'!$AB$2:$AB$281,"T098",'Prácticas_Snowballing'!$AC$2:$AC$281,"SOFTWARE ENG. PROCESS &gt; Software Engineering Process Fundamentals")</f>
        <v>0</v>
      </c>
      <c r="BQ114" s="17">
        <f>COUNTIFS('Prácticas_Revisiones'!$S$2:$S$282,"T098",'Prácticas_Revisiones'!$T$2:$T$282,"SOFTWARE ENG. PROCESS &gt; Life Cycles")+COUNTIFS('Prácticas_Snowballing'!$AB$2:$AB$281,"T098",'Prácticas_Snowballing'!$AC$2:$AC$281,"SOFTWARE ENG. PROCESS &gt; Life Cycles")</f>
        <v>0</v>
      </c>
      <c r="BR114" s="17">
        <f>COUNTIFS('Prácticas_Revisiones'!$S$2:$S$282,"T098",'Prácticas_Revisiones'!$T$2:$T$282,"SOFTWARE ENG. PROCESS &gt; Software Process Assessment and Improvement")+COUNTIFS('Prácticas_Snowballing'!$AB$2:$AB$281,"T098",'Prácticas_Snowballing'!$AC$2:$AC$281,"SOFTWARE ENG. PROCESS &gt; Software Process Assessment and Improvement")</f>
        <v>0</v>
      </c>
      <c r="BS114" s="17">
        <f>COUNTIFS('Prácticas_Revisiones'!$S$2:$S$282,"T098",'Prácticas_Revisiones'!$T$2:$T$282,"SOFTWARE ENG. PROCESS &gt; Subárea no determinable")+COUNTIFS('Prácticas_Snowballing'!$AB$2:$AB$281,"T098",'Prácticas_Snowballing'!$AC$2:$AC$281,"SOFTWARE ENG. PROCESS &gt; Subárea no determinable")</f>
        <v>0</v>
      </c>
      <c r="BT114" s="29">
        <f t="shared" si="94"/>
        <v>0</v>
      </c>
      <c r="BU114" s="17">
        <f>COUNTIFS('Prácticas_Revisiones'!$S$2:$S$282,"T098",'Prácticas_Revisiones'!$T$2:$T$282,"SOFTWARE ENG. MODELS/METH. &gt; Modeling")+COUNTIFS('Prácticas_Snowballing'!$AB$2:$AB$281,"T098",'Prácticas_Snowballing'!$AC$2:$AC$281,"SOFTWARE ENG. MODELS/METH. &gt; Modeling")</f>
        <v>1</v>
      </c>
      <c r="BV114" s="17">
        <f>COUNTIFS('Prácticas_Revisiones'!$S$2:$S$282,"T098",'Prácticas_Revisiones'!$T$2:$T$282,"SOFTWARE ENG. MODELS/METH. &gt; Types of Models")+COUNTIFS('Prácticas_Snowballing'!$AB$2:$AB$281,"T098",'Prácticas_Snowballing'!$AC$2:$AC$281,"SOFTWARE ENG. MODELS/METH. &gt; Types of Models")</f>
        <v>0</v>
      </c>
      <c r="BW114" s="17">
        <f>COUNTIFS('Prácticas_Revisiones'!$S$2:$S$282,"T098",'Prácticas_Revisiones'!$T$2:$T$282,"SOFTWARE ENG. MODELS/METH. &gt; Analysis of Models")+COUNTIFS('Prácticas_Snowballing'!$AB$2:$AB$281,"T098",'Prácticas_Snowballing'!$AC$2:$AC$281,"SOFTWARE ENG. MODELS/METH. &gt; Analysis of Models")</f>
        <v>0</v>
      </c>
      <c r="BX114" s="17">
        <f>COUNTIFS('Prácticas_Revisiones'!$S$2:$S$282,"T098",'Prácticas_Revisiones'!$T$2:$T$282,"SOFTWARE ENG. MODELS/METH. &gt; Software Engineering Methods")+COUNTIFS('Prácticas_Snowballing'!$AB$2:$AB$281,"T098",'Prácticas_Snowballing'!$AC$2:$AC$281,"SOFTWARE ENG. MODELS/METH. &gt; Software Engineering Methods")</f>
        <v>0</v>
      </c>
      <c r="BY114" s="17">
        <f>COUNTIFS('Prácticas_Revisiones'!$S$2:$S$282,"T098",'Prácticas_Revisiones'!$T$2:$T$282,"SOFTWARE ENG. MODELS/METH. &gt; Subárea no determinable")+COUNTIFS('Prácticas_Snowballing'!$AB$2:$AB$281,"T098",'Prácticas_Snowballing'!$AC$2:$AC$281,"SOFTWARE ENG. MODELS/METH. &gt; Subárea no determinable")</f>
        <v>0</v>
      </c>
      <c r="BZ114" s="29">
        <f t="shared" si="95"/>
        <v>1</v>
      </c>
      <c r="CA114" s="17">
        <f>COUNTIFS('Prácticas_Revisiones'!$S$2:$S$282,"T098",'Prácticas_Revisiones'!$T$2:$T$282,"SOFTWARE QUALITY &gt; Software Quality Fundamentals")+COUNTIFS('Prácticas_Snowballing'!$AB$2:$AB$281,"T098",'Prácticas_Snowballing'!$AC$2:$AC$281,"SOFTWARE QUALITY &gt; Software Quality Fundamentals")</f>
        <v>0</v>
      </c>
      <c r="CB114" s="17">
        <f>COUNTIFS('Prácticas_Revisiones'!$S$2:$S$282,"T098",'Prácticas_Revisiones'!$T$2:$T$282,"SOFTWARE QUALITY &gt; Software Quality Management Process")+COUNTIFS('Prácticas_Snowballing'!$AB$2:$AB$281,"T098",'Prácticas_Snowballing'!$AC$2:$AC$281,"SOFTWARE QUALITY &gt; Software Quality Management Process")</f>
        <v>0</v>
      </c>
      <c r="CC114" s="17">
        <f>COUNTIFS('Prácticas_Revisiones'!$S$2:$S$282,"T098",'Prácticas_Revisiones'!$T$2:$T$282,"SOFTWARE QUALITY &gt; Software Quality Assurance Process")+COUNTIFS('Prácticas_Snowballing'!$AB$2:$AB$281,"T098",'Prácticas_Snowballing'!$AC$2:$AC$281,"SOFTWARE QUALITY &gt; Software Quality Assurance Process")</f>
        <v>0</v>
      </c>
      <c r="CD114" s="17">
        <f>COUNTIFS('Prácticas_Revisiones'!$S$2:$S$282,"T098",'Prácticas_Revisiones'!$T$2:$T$282,"SOFTWARE QUALITY &gt; Software Quality Tools")+COUNTIFS('Prácticas_Snowballing'!$AB$2:$AB$281,"T098",'Prácticas_Snowballing'!$AC$2:$AC$281,"SOFTWARE QUALITY &gt; Software Quality Tools")</f>
        <v>0</v>
      </c>
      <c r="CE114" s="17">
        <f>COUNTIFS('Prácticas_Revisiones'!$S$2:$S$282,"T098",'Prácticas_Revisiones'!$T$2:$T$282,"SOFTWARE QUALITY &gt; Subárea no determinable")+COUNTIFS('Prácticas_Snowballing'!$AB$2:$AB$281,"T098",'Prácticas_Snowballing'!$AC$2:$AC$281,"SOFTWARE QUALITY &gt; Subárea no determinable")</f>
        <v>0</v>
      </c>
      <c r="CF114" s="29">
        <f t="shared" si="96"/>
        <v>0</v>
      </c>
      <c r="CG114" s="17">
        <f>COUNTIFS('Prácticas_Revisiones'!$S$2:$S$282,"T098",'Prácticas_Revisiones'!$T$2:$T$282,"SOFTWARE SECURITY &gt; Software Security Fundamentals")+COUNTIFS('Prácticas_Snowballing'!$AB$2:$AB$281,"T098",'Prácticas_Snowballing'!$AC$2:$AC$281,"SOFTWARE SECURITY &gt; Software Security Fundamentals")</f>
        <v>0</v>
      </c>
      <c r="CH114" s="17">
        <f>COUNTIFS('Prácticas_Revisiones'!$S$2:$S$282,"T098",'Prácticas_Revisiones'!$T$2:$T$282,"SOFTWARE SECURITY &gt; Security Management and Organization")+COUNTIFS('Prácticas_Snowballing'!$AB$2:$AB$281,"T098",'Prácticas_Snowballing'!$AC$2:$AC$281,"SOFTWARE SECURITY &gt; Security Management and Organization")</f>
        <v>0</v>
      </c>
      <c r="CI114" s="17">
        <f>COUNTIFS('Prácticas_Revisiones'!$S$2:$S$282,"T098",'Prácticas_Revisiones'!$T$2:$T$282,"SOFTWARE SECURITY &gt; Software Security Engineering and Process")+COUNTIFS('Prácticas_Snowballing'!$AB$2:$AB$281,"T098",'Prácticas_Snowballing'!$AC$2:$AC$281,"SOFTWARE SECURITY &gt; Software Security Engineering and Process")</f>
        <v>0</v>
      </c>
      <c r="CJ114" s="17">
        <f>COUNTIFS('Prácticas_Revisiones'!$S$2:$S$282,"T098",'Prácticas_Revisiones'!$T$2:$T$282,"SOFTWARE SECURITY &gt; Security Engineering for Software Systems")+COUNTIFS('Prácticas_Snowballing'!$AB$2:$AB$281,"T098",'Prácticas_Snowballing'!$AC$2:$AC$281,"SOFTWARE SECURITY &gt; Security Engineering for Software Systems")</f>
        <v>0</v>
      </c>
      <c r="CK114" s="17">
        <f>COUNTIFS('Prácticas_Revisiones'!$S$2:$S$282,"T098",'Prácticas_Revisiones'!$T$2:$T$282,"SOFTWARE SECURITY &gt; Software Security Tools")+COUNTIFS('Prácticas_Snowballing'!$AB$2:$AB$281,"T098",'Prácticas_Snowballing'!$AC$2:$AC$281,"SOFTWARE SECURITY &gt; Software Security Tools")</f>
        <v>0</v>
      </c>
      <c r="CL114" s="17">
        <f>COUNTIFS('Prácticas_Revisiones'!$S$2:$S$282,"T098",'Prácticas_Revisiones'!$T$2:$T$282,"SOFTWARE SECURITY &gt; Domain Specific Software Security")+COUNTIFS('Prácticas_Snowballing'!$AB$2:$AB$281,"T098",'Prácticas_Snowballing'!$AC$2:$AC$281,"SOFTWARE SECURITY &gt; Domain Specific Software Security")</f>
        <v>0</v>
      </c>
      <c r="CM114" s="17">
        <f>COUNTIFS('Prácticas_Revisiones'!$S$2:$S$282,"T098",'Prácticas_Revisiones'!$T$2:$T$282,"SOFTWARE SECURITY &gt; Subárea no determinable")+COUNTIFS('Prácticas_Snowballing'!$AB$2:$AB$281,"T098",'Prácticas_Snowballing'!$AC$2:$AC$281,"SOFTWARE SECURITY &gt; Subárea no determinable")</f>
        <v>0</v>
      </c>
      <c r="CN114" s="29">
        <f t="shared" si="97"/>
        <v>0</v>
      </c>
      <c r="CO114" s="17">
        <f>COUNTIFS('Prácticas_Revisiones'!$S$2:$S$282,"T098",'Prácticas_Revisiones'!$T$2:$T$282,"PROFESSIONAL PRACTICE &gt; Professionalism")+COUNTIFS('Prácticas_Snowballing'!$AB$2:$AB$281,"T098",'Prácticas_Snowballing'!$AC$2:$AC$281,"PROFESSIONAL PRACTICE &gt; Professionalism")</f>
        <v>0</v>
      </c>
      <c r="CP114" s="17">
        <f>COUNTIFS('Prácticas_Revisiones'!$S$2:$S$282,"T098",'Prácticas_Revisiones'!$T$2:$T$282,"PROFESSIONAL PRACTICE &gt; Group Dynamics and Psychology")+COUNTIFS('Prácticas_Snowballing'!$AB$2:$AB$281,"T098",'Prácticas_Snowballing'!$AC$2:$AC$281,"PROFESSIONAL PRACTICE &gt; Group Dynamics and Psychology")</f>
        <v>0</v>
      </c>
      <c r="CQ114" s="17">
        <f>COUNTIFS('Prácticas_Revisiones'!$S$2:$S$282,"T098",'Prácticas_Revisiones'!$T$2:$T$282,"PROFESSIONAL PRACTICE &gt; Communication Skills")+COUNTIFS('Prácticas_Snowballing'!$AB$2:$AB$281,"T098",'Prácticas_Snowballing'!$AC$2:$AC$281,"PROFESSIONAL PRACTICE &gt; Communication Skills")</f>
        <v>0</v>
      </c>
      <c r="CR114" s="17">
        <f>COUNTIFS('Prácticas_Revisiones'!$S$2:$S$282,"T098",'Prácticas_Revisiones'!$T$2:$T$282,"PROFESSIONAL PRACTICE &gt; Subárea no determinable")+COUNTIFS('Prácticas_Snowballing'!$AB$2:$AB$281,"T098",'Prácticas_Snowballing'!$AC$2:$AC$281,"PROFESSIONAL PRACTICE &gt; Subárea no determinable")</f>
        <v>0</v>
      </c>
      <c r="CS114" s="29">
        <f t="shared" si="98"/>
        <v>0</v>
      </c>
      <c r="CT114" s="17">
        <f>COUNTIFS('Prácticas_Revisiones'!$S$2:$S$282,"T098",'Prácticas_Revisiones'!$T$2:$T$282,"SOFTWARE ENG. ECONOMICS &gt; Software Engineering Economics Fundamentals")+COUNTIFS('Prácticas_Snowballing'!$AB$2:$AB$281,"T098",'Prácticas_Snowballing'!$AC$2:$AC$281,"SOFTWARE ENG. ECONOMICS &gt; Software Engineering Economics Fundamentals")</f>
        <v>0</v>
      </c>
      <c r="CU114" s="17">
        <f>COUNTIFS('Prácticas_Revisiones'!$S$2:$S$282,"T098",'Prácticas_Revisiones'!$T$2:$T$282,"SOFTWARE ENG. ECONOMICS &gt; The Engineering Decision-Making Process")+COUNTIFS('Prácticas_Snowballing'!$AB$2:$AB$281,"T098",'Prácticas_Snowballing'!$AC$2:$AC$281,"SOFTWARE ENG. ECONOMICS &gt; The Engineering Decision-Making Process")</f>
        <v>0</v>
      </c>
      <c r="CV114" s="17">
        <f>COUNTIFS('Prácticas_Revisiones'!$S$2:$S$282,"T098",'Prácticas_Revisiones'!$T$2:$T$282,"SOFTWARE ENG. ECONOMICS &gt; For-Profit Decision-Making")+COUNTIFS('Prácticas_Snowballing'!$AB$2:$AB$281,"T098",'Prácticas_Snowballing'!$AC$2:$AC$281,"SOFTWARE ENG. ECONOMICS &gt; For-Profit Decision-Making")</f>
        <v>0</v>
      </c>
      <c r="CW114" s="17">
        <f>COUNTIFS('Prácticas_Revisiones'!$S$2:$S$282,"T098",'Prácticas_Revisiones'!$T$2:$T$282,"SOFTWARE ENG. ECONOMICS &gt; Nonprofit Decision-Making")+COUNTIFS('Prácticas_Snowballing'!$AB$2:$AB$281,"T098",'Prácticas_Snowballing'!$AC$2:$AC$281,"SOFTWARE ENG. ECONOMICS &gt; Nonprofit Decision-Making")</f>
        <v>0</v>
      </c>
      <c r="CX114" s="17">
        <f>COUNTIFS('Prácticas_Revisiones'!$S$2:$S$282,"T098",'Prácticas_Revisiones'!$T$2:$T$282,"SOFTWARE ENG. ECONOMICS &gt; Present Economy Decision-Making")+COUNTIFS('Prácticas_Snowballing'!$AB$2:$AB$281,"T098",'Prácticas_Snowballing'!$AC$2:$AC$281,"SOFTWARE ENG. ECONOMICS &gt; Present Economy Decision-Making")</f>
        <v>0</v>
      </c>
      <c r="CY114" s="17">
        <f>COUNTIFS('Prácticas_Revisiones'!$S$2:$S$282,"T098",'Prácticas_Revisiones'!$T$2:$T$282,"SOFTWARE ENG. ECONOMICS &gt; Multiple-Attribute Decision-Making")+COUNTIFS('Prácticas_Snowballing'!$AB$2:$AB$281,"T098",'Prácticas_Snowballing'!$AC$2:$AC$281,"SOFTWARE ENG. ECONOMICS &gt; Multiple-Attribute Decision-Making")</f>
        <v>0</v>
      </c>
      <c r="CZ114" s="17">
        <f>COUNTIFS('Prácticas_Revisiones'!$S$2:$S$282,"T098",'Prácticas_Revisiones'!$T$2:$T$282,"SOFTWARE ENG. ECONOMICS &gt; Identifying and Characterizing Intangible Assets")+COUNTIFS('Prácticas_Snowballing'!$AB$2:$AB$281,"T098",'Prácticas_Snowballing'!$AC$2:$AC$281,"SOFTWARE ENG. ECONOMICS &gt; Identifying and Characterizing Intangible Assets")</f>
        <v>0</v>
      </c>
      <c r="DA114" s="17">
        <f>COUNTIFS('Prácticas_Revisiones'!$S$2:$S$282,"T098",'Prácticas_Revisiones'!$T$2:$T$282,"SOFTWARE ENG. ECONOMICS &gt; Estimation")+COUNTIFS('Prácticas_Snowballing'!$AB$2:$AB$281,"T098",'Prácticas_Snowballing'!$AC$2:$AC$281,"SOFTWARE ENG. ECONOMICS &gt; Estimation")</f>
        <v>0</v>
      </c>
      <c r="DB114" s="17">
        <f>COUNTIFS('Prácticas_Revisiones'!$S$2:$S$282,"T098",'Prácticas_Revisiones'!$T$2:$T$282,"SOFTWARE ENG. ECONOMICS &gt; Practical Considerations")+COUNTIFS('Prácticas_Snowballing'!$AB$2:$AB$281,"T098",'Prácticas_Snowballing'!$AC$2:$AC$281,"SOFTWARE ENG. ECONOMICS &gt; Practical Considerations")</f>
        <v>0</v>
      </c>
      <c r="DC114" s="17">
        <f>COUNTIFS('Prácticas_Revisiones'!$S$2:$S$282,"T098",'Prácticas_Revisiones'!$T$2:$T$282,"SOFTWARE ENG. ECONOMICS &gt; Related Concepts")+COUNTIFS('Prácticas_Snowballing'!$AB$2:$AB$281,"T098",'Prácticas_Snowballing'!$AC$2:$AC$281,"SOFTWARE ENG. ECONOMICS &gt; Related Concepts")</f>
        <v>0</v>
      </c>
      <c r="DD114" s="17">
        <f>COUNTIFS('Prácticas_Revisiones'!$S$2:$S$282,"T098",'Prácticas_Revisiones'!$T$2:$T$282,"SOFTWARE ENG. ECONOMICS &gt; Subárea no determinable")+COUNTIFS('Prácticas_Snowballing'!$AB$2:$AB$281,"T098",'Prácticas_Snowballing'!$AC$2:$AC$281,"SOFTWARE ENG. ECONOMICS &gt; Subárea no determinable")</f>
        <v>0</v>
      </c>
      <c r="DE114" s="29">
        <f t="shared" si="99"/>
        <v>0</v>
      </c>
      <c r="DF114" s="17">
        <f>COUNTIFS('Prácticas_Revisiones'!$S$2:$S$282,"T098",'Prácticas_Revisiones'!$T$2:$T$282,"SOFTWARE ENG. MANAGEMENT &gt; Software Engineering Management Fundamentals")+COUNTIFS('Prácticas_Snowballing'!$AB$2:$AB$281,"T098",'Prácticas_Snowballing'!$AC$2:$AC$281,"SOFTWARE ENG. MANAGEMENT &gt; Software Engineering Management Fundamentals")</f>
        <v>0</v>
      </c>
      <c r="DG114" s="17">
        <f>COUNTIFS('Prácticas_Revisiones'!$S$2:$S$282,"T098",'Prácticas_Revisiones'!$T$2:$T$282,"SOFTWARE ENG. MANAGEMENT &gt; Initiation and Scope Definition")+COUNTIFS('Prácticas_Snowballing'!$AB$2:$AB$281,"T098",'Prácticas_Snowballing'!$AC$2:$AC$281,"SOFTWARE ENG. MANAGEMENT &gt; Initiation and Scope Definition")</f>
        <v>0</v>
      </c>
      <c r="DH114" s="17">
        <f>COUNTIFS('Prácticas_Revisiones'!$S$2:$S$282,"T098",'Prácticas_Revisiones'!$T$2:$T$282,"SOFTWARE ENG. MANAGEMENT &gt; Software Project Planning")+COUNTIFS('Prácticas_Snowballing'!$AB$2:$AB$281,"T098",'Prácticas_Snowballing'!$AC$2:$AC$281,"SOFTWARE ENG. MANAGEMENT &gt; Software Project Planning")</f>
        <v>0</v>
      </c>
      <c r="DI114" s="17">
        <f>COUNTIFS('Prácticas_Revisiones'!$S$2:$S$282,"T098",'Prácticas_Revisiones'!$T$2:$T$282,"SOFTWARE ENG. MANAGEMENT &gt; Software Project Enactment")+COUNTIFS('Prácticas_Snowballing'!$AB$2:$AB$281,"T098",'Prácticas_Snowballing'!$AC$2:$AC$281,"SOFTWARE ENG. MANAGEMENT &gt; Software Project Enactment")</f>
        <v>0</v>
      </c>
      <c r="DJ114" s="17">
        <f>COUNTIFS('Prácticas_Revisiones'!$S$2:$S$282,"T098",'Prácticas_Revisiones'!$T$2:$T$282,"SOFTWARE ENG. MANAGEMENT &gt; Review and Evaluation")+COUNTIFS('Prácticas_Snowballing'!$AB$2:$AB$281,"T098",'Prácticas_Snowballing'!$AC$2:$AC$281,"SOFTWARE ENG. MANAGEMENT &gt; Review and Evaluation")</f>
        <v>0</v>
      </c>
      <c r="DK114" s="17">
        <f>COUNTIFS('Prácticas_Revisiones'!$S$2:$S$282,"T098",'Prácticas_Revisiones'!$T$2:$T$282,"SOFTWARE ENG. MANAGEMENT &gt; Closure")+COUNTIFS('Prácticas_Snowballing'!$AB$2:$AB$281,"T098",'Prácticas_Snowballing'!$AC$2:$AC$281,"SOFTWARE ENG. MANAGEMENT &gt; Closure")</f>
        <v>0</v>
      </c>
      <c r="DL114" s="17">
        <f>COUNTIFS('Prácticas_Revisiones'!$S$2:$S$282,"T098",'Prácticas_Revisiones'!$T$2:$T$282,"SOFTWARE ENG. MANAGEMENT &gt; Software Engineering Management Tools")+COUNTIFS('Prácticas_Snowballing'!$AB$2:$AB$281,"T098",'Prácticas_Snowballing'!$AC$2:$AC$281,"SOFTWARE ENG. MANAGEMENT &gt; Software Engineering Management Tools")</f>
        <v>0</v>
      </c>
      <c r="DM114" s="17">
        <f>COUNTIFS('Prácticas_Revisiones'!$S$2:$S$282,"T098",'Prácticas_Revisiones'!$T$2:$T$282,"SOFTWARE ENG. MANAGEMENT &gt; Subárea no determinable")+COUNTIFS('Prácticas_Snowballing'!$AB$2:$AB$281,"T098",'Prácticas_Snowballing'!$AC$2:$AC$281,"SOFTWARE ENG. MANAGEMENT &gt; Subárea no determinable")</f>
        <v>0</v>
      </c>
      <c r="DN114" s="29">
        <f t="shared" si="100"/>
        <v>0</v>
      </c>
      <c r="DO114" s="17">
        <f>COUNTIFS('Prácticas_Revisiones'!$S$2:$S$282,"T098",'Prácticas_Revisiones'!$T$2:$T$282,"Sin área SWEBOK")+COUNTIFS('Prácticas_Snowballing'!$AB$2:$AB$281,"T098",'Prácticas_Snowballing'!$AC$2:$AC$281,"Sin área SWEBOK")</f>
        <v>0</v>
      </c>
      <c r="DP114" s="27">
        <f t="shared" si="101"/>
        <v>8</v>
      </c>
    </row>
    <row r="115" ht="15.75" customHeight="1">
      <c r="A115" s="28"/>
      <c r="B115" s="16" t="s">
        <v>2869</v>
      </c>
      <c r="C115" s="17">
        <f>COUNTIFS('Prácticas_Revisiones'!$S$2:$S$282,"T099",'Prácticas_Revisiones'!$T$2:$T$282,"REQUIREMENTS &gt; Software Requirements Fundamentals")+COUNTIFS('Prácticas_Snowballing'!$AB$2:$AB$281,"T099",'Prácticas_Snowballing'!$AC$2:$AC$281,"REQUIREMENTS &gt; Software Requirements Fundamentals")</f>
        <v>0</v>
      </c>
      <c r="D115" s="17">
        <f>COUNTIFS('Prácticas_Revisiones'!$S$2:$S$282,"T099",'Prácticas_Revisiones'!$T$2:$T$282,"REQUIREMENTS &gt; Requirements Elicitation")+COUNTIFS('Prácticas_Snowballing'!$AB$2:$AB$281,"T099",'Prácticas_Snowballing'!$AC$2:$AC$281,"REQUIREMENTS &gt; Requirements Elicitation")</f>
        <v>2</v>
      </c>
      <c r="E115" s="17">
        <f>COUNTIFS('Prácticas_Revisiones'!$S$2:$S$282,"T099",'Prácticas_Revisiones'!$T$2:$T$282,"REQUIREMENTS &gt; Requirements Analysis")+COUNTIFS('Prácticas_Snowballing'!$AB$2:$AB$281,"T099",'Prácticas_Snowballing'!$AC$2:$AC$281,"REQUIREMENTS &gt; Requirements Analysis")</f>
        <v>0</v>
      </c>
      <c r="F115" s="17">
        <f>COUNTIFS('Prácticas_Revisiones'!$S$2:$S$282,"T099",'Prácticas_Revisiones'!$T$2:$T$282,"REQUIREMENTS &gt; Requirements Specification")+COUNTIFS('Prácticas_Snowballing'!$AB$2:$AB$281,"T099",'Prácticas_Snowballing'!$AC$2:$AC$281,"REQUIREMENTS &gt; Requirements Specification")</f>
        <v>0</v>
      </c>
      <c r="G115" s="17">
        <f>COUNTIFS('Prácticas_Revisiones'!$S$2:$S$282,"T099",'Prácticas_Revisiones'!$T$2:$T$282,"REQUIREMENTS &gt; Requirements Validation")+COUNTIFS('Prácticas_Snowballing'!$AB$2:$AB$281,"T099",'Prácticas_Snowballing'!$AC$2:$AC$281,"REQUIREMENTS &gt; Requirements Validation")</f>
        <v>0</v>
      </c>
      <c r="H115" s="17">
        <f>COUNTIFS('Prácticas_Revisiones'!$S$2:$S$282,"T099",'Prácticas_Revisiones'!$T$2:$T$282,"REQUIREMENTS &gt; Requirements Management Activities")+COUNTIFS('Prácticas_Snowballing'!$AB$2:$AB$281,"T099",'Prácticas_Snowballing'!$AC$2:$AC$281,"REQUIREMENTS &gt; Requirements Management Activities")</f>
        <v>0</v>
      </c>
      <c r="I115" s="17">
        <f>COUNTIFS('Prácticas_Revisiones'!$S$2:$S$282,"T099",'Prácticas_Revisiones'!$T$2:$T$282,"REQUIREMENTS &gt; Practical Considerations")+COUNTIFS('Prácticas_Snowballing'!$AB$2:$AB$281,"T099",'Prácticas_Snowballing'!$AC$2:$AC$281,"REQUIREMENTS &gt; Practical Considerations")</f>
        <v>0</v>
      </c>
      <c r="J115" s="17">
        <f>COUNTIFS('Prácticas_Revisiones'!$S$2:$S$282,"T099",'Prácticas_Revisiones'!$T$2:$T$282,"REQUIREMENTS &gt; Software Requirements Tools")+COUNTIFS('Prácticas_Snowballing'!$AB$2:$AB$281,"T099",'Prácticas_Snowballing'!$AC$2:$AC$281,"REQUIREMENTS &gt; Software Requirements Tools")</f>
        <v>0</v>
      </c>
      <c r="K115" s="17">
        <f>COUNTIFS('Prácticas_Revisiones'!$S$2:$S$282,"T099",'Prácticas_Revisiones'!$T$2:$T$282,"REQUIREMENTS &gt; Subárea no determinable")+COUNTIFS('Prácticas_Snowballing'!$AB$2:$AB$281,"T099",'Prácticas_Snowballing'!$AC$2:$AC$281,"REQUIREMENTS &gt; Subárea no determinable")</f>
        <v>0</v>
      </c>
      <c r="L115" s="29">
        <f t="shared" si="86"/>
        <v>2</v>
      </c>
      <c r="M115" s="17">
        <f>COUNTIFS('Prácticas_Revisiones'!$S$2:$S$282,"T099",'Prácticas_Revisiones'!$T$2:$T$282,"ARCHITECTURE &gt; Software Architecture Fundamentals")+COUNTIFS('Prácticas_Snowballing'!$AB$2:$AB$281,"T099",'Prácticas_Snowballing'!$AC$2:$AC$281,"ARCHITECTURE &gt; Software Architecture Fundamentals")</f>
        <v>0</v>
      </c>
      <c r="N115" s="17">
        <f>COUNTIFS('Prácticas_Revisiones'!$S$2:$S$282,"T099",'Prácticas_Revisiones'!$T$2:$T$282,"ARCHITECTURE &gt; Software Architecture Description")+COUNTIFS('Prácticas_Snowballing'!$AB$2:$AB$281,"T099",'Prácticas_Snowballing'!$AC$2:$AC$281,"ARCHITECTURE &gt; Software Architecture Description")</f>
        <v>0</v>
      </c>
      <c r="O115" s="17">
        <f>COUNTIFS('Prácticas_Revisiones'!$S$2:$S$282,"T099",'Prácticas_Revisiones'!$T$2:$T$282,"ARCHITECTURE &gt; Software Architecture Process")+COUNTIFS('Prácticas_Snowballing'!$AB$2:$AB$281,"T099",'Prácticas_Snowballing'!$AC$2:$AC$281,"ARCHITECTURE &gt; Software Architecture Process")</f>
        <v>0</v>
      </c>
      <c r="P115" s="17">
        <f>COUNTIFS('Prácticas_Revisiones'!$S$2:$S$282,"T099",'Prácticas_Revisiones'!$T$2:$T$282,"ARCHITECTURE &gt; Software Architecture Evaluation")+COUNTIFS('Prácticas_Snowballing'!$AB$2:$AB$281,"T099",'Prácticas_Snowballing'!$AC$2:$AC$281,"ARCHITECTURE &gt; Software Architecture Evaluation")</f>
        <v>0</v>
      </c>
      <c r="Q115" s="17">
        <f>COUNTIFS('Prácticas_Revisiones'!$S$2:$S$282,"T099",'Prácticas_Revisiones'!$T$2:$T$282,"ARCHITECTURE &gt; Subárea no determinable")+COUNTIFS('Prácticas_Snowballing'!$AB$2:$AB$281,"T099",'Prácticas_Snowballing'!$AC$2:$AC$281,"ARCHITECTURE &gt; Subárea no determinable")</f>
        <v>0</v>
      </c>
      <c r="R115" s="29">
        <f t="shared" si="87"/>
        <v>0</v>
      </c>
      <c r="S115" s="17">
        <f>COUNTIFS('Prácticas_Revisiones'!$S$2:$S$282,"T099",'Prácticas_Revisiones'!$T$2:$T$282,"DESIGN &gt; Software Design Fundamentals")+COUNTIFS('Prácticas_Snowballing'!$AB$2:$AB$281,"T099",'Prácticas_Snowballing'!$AC$2:$AC$281,"DESIGN &gt; Software Design Fundamentals")</f>
        <v>0</v>
      </c>
      <c r="T115" s="17">
        <f>COUNTIFS('Prácticas_Revisiones'!$S$2:$S$282,"T099",'Prácticas_Revisiones'!$T$2:$T$282,"DESIGN &gt; Software Design Processes")+COUNTIFS('Prácticas_Snowballing'!$AB$2:$AB$281,"T099",'Prácticas_Snowballing'!$AC$2:$AC$281,"DESIGN &gt; Software Design Processes")</f>
        <v>0</v>
      </c>
      <c r="U115" s="17">
        <f>COUNTIFS('Prácticas_Revisiones'!$S$2:$S$282,"T099",'Prácticas_Revisiones'!$T$2:$T$282,"DESIGN &gt; Software Design Qualities")+COUNTIFS('Prácticas_Snowballing'!$AB$2:$AB$281,"T099",'Prácticas_Snowballing'!$AC$2:$AC$281,"DESIGN &gt; Software Design Qualities")</f>
        <v>0</v>
      </c>
      <c r="V115" s="17">
        <f>COUNTIFS('Prácticas_Revisiones'!$S$2:$S$282,"T099",'Prácticas_Revisiones'!$T$2:$T$282,"DESIGN &gt; Recording Software Design")+COUNTIFS('Prácticas_Snowballing'!$AB$2:$AB$281,"T099",'Prácticas_Snowballing'!$AC$2:$AC$281,"DESIGN &gt; Recording Software Design")</f>
        <v>1</v>
      </c>
      <c r="W115" s="17">
        <f>COUNTIFS('Prácticas_Revisiones'!$S$2:$S$282,"T099",'Prácticas_Revisiones'!$T$2:$T$282,"DESIGN &gt; Software Design Strategies and Methods")+COUNTIFS('Prácticas_Snowballing'!$AB$2:$AB$281,"T099",'Prácticas_Snowballing'!$AC$2:$AC$281,"DESIGN &gt; Software Design Strategies and Methods")</f>
        <v>1</v>
      </c>
      <c r="X115" s="17">
        <f>COUNTIFS('Prácticas_Revisiones'!$S$2:$S$282,"T099",'Prácticas_Revisiones'!$T$2:$T$282,"DESIGN &gt; Software Design Analysis and Evaluations")+COUNTIFS('Prácticas_Snowballing'!$AB$2:$AB$281,"T099",'Prácticas_Snowballing'!$AC$2:$AC$281,"DESIGN &gt; Software Design Analysis and Evaluations")</f>
        <v>0</v>
      </c>
      <c r="Y115" s="17">
        <f>COUNTIFS('Prácticas_Revisiones'!$S$2:$S$282,"T099",'Prácticas_Revisiones'!$T$2:$T$282,"DESIGN &gt; Subárea no determinable")+COUNTIFS('Prácticas_Snowballing'!$AB$2:$AB$281,"T099",'Prácticas_Snowballing'!$AC$2:$AC$281,"DESIGN &gt; Subárea no determinable")</f>
        <v>0</v>
      </c>
      <c r="Z115" s="29">
        <f t="shared" si="88"/>
        <v>2</v>
      </c>
      <c r="AA115" s="17">
        <f>COUNTIFS('Prácticas_Revisiones'!$S$2:$S$282,"T099",'Prácticas_Revisiones'!$T$2:$T$282,"CONSTRUCTION &gt; Software Construction Fundamentals")+COUNTIFS('Prácticas_Snowballing'!$AB$2:$AB$281,"T099",'Prácticas_Snowballing'!$AC$2:$AC$281,"CONSTRUCTION &gt; Software Construction Fundamentals")</f>
        <v>3</v>
      </c>
      <c r="AB115" s="17">
        <f>COUNTIFS('Prácticas_Revisiones'!$S$2:$S$282,"T099",'Prácticas_Revisiones'!$T$2:$T$282,"CONSTRUCTION &gt; Managing Construction")+COUNTIFS('Prácticas_Snowballing'!$AB$2:$AB$281,"T099",'Prácticas_Snowballing'!$AC$2:$AC$281,"CONSTRUCTION &gt; Managing Construction")</f>
        <v>0</v>
      </c>
      <c r="AC115" s="17">
        <f>COUNTIFS('Prácticas_Revisiones'!$S$2:$S$282,"T099",'Prácticas_Revisiones'!$T$2:$T$282,"CONSTRUCTION &gt; Practical Considerations")+COUNTIFS('Prácticas_Snowballing'!$AB$2:$AB$281,"T099",'Prácticas_Snowballing'!$AC$2:$AC$281,"CONSTRUCTION &gt; Practical Considerations")</f>
        <v>0</v>
      </c>
      <c r="AD115" s="17">
        <f>COUNTIFS('Prácticas_Revisiones'!$S$2:$S$282,"T099",'Prácticas_Revisiones'!$T$2:$T$282,"CONSTRUCTION &gt; Construction Technologies")+COUNTIFS('Prácticas_Snowballing'!$AB$2:$AB$281,"T099",'Prácticas_Snowballing'!$AC$2:$AC$281,"CONSTRUCTION &gt; Construction Technologies")</f>
        <v>0</v>
      </c>
      <c r="AE115" s="17">
        <f>COUNTIFS('Prácticas_Revisiones'!$S$2:$S$282,"T099",'Prácticas_Revisiones'!$T$2:$T$282,"CONSTRUCTION &gt; Software Construction Tools")+COUNTIFS('Prácticas_Snowballing'!$AB$2:$AB$281,"T099",'Prácticas_Snowballing'!$AC$2:$AC$281,"CONSTRUCTION &gt; Software Construction Tools")</f>
        <v>0</v>
      </c>
      <c r="AF115" s="17">
        <f>COUNTIFS('Prácticas_Revisiones'!$S$2:$S$282,"T099",'Prácticas_Revisiones'!$T$2:$T$282,"CONSTRUCTION &gt; Subárea no determinable")+COUNTIFS('Prácticas_Snowballing'!$AB$2:$AB$281,"T099",'Prácticas_Snowballing'!$AC$2:$AC$281,"CONSTRUCTION &gt; Subárea no determinable")</f>
        <v>0</v>
      </c>
      <c r="AG115" s="29">
        <f t="shared" si="89"/>
        <v>3</v>
      </c>
      <c r="AH115" s="17">
        <f>COUNTIFS('Prácticas_Revisiones'!$S$2:$S$282,"T099",'Prácticas_Revisiones'!$T$2:$T$282,"SOFTWARE TESTING &gt; Software Testing Fundamentals")+COUNTIFS('Prácticas_Snowballing'!$AB$2:$AB$281,"T099",'Prácticas_Snowballing'!$AC$2:$AC$281,"SOFTWARE TESTING &gt; Software Testing Fundamentals")</f>
        <v>0</v>
      </c>
      <c r="AI115" s="17">
        <f>COUNTIFS('Prácticas_Revisiones'!$S$2:$S$282,"T099",'Prácticas_Revisiones'!$T$2:$T$282,"SOFTWARE TESTING &gt; Test Levels")+COUNTIFS('Prácticas_Snowballing'!$AB$2:$AB$281,"T099",'Prácticas_Snowballing'!$AC$2:$AC$281,"SOFTWARE TESTING &gt; Test Levels")</f>
        <v>0</v>
      </c>
      <c r="AJ115" s="17">
        <f>COUNTIFS('Prácticas_Revisiones'!$S$2:$S$282,"T099",'Prácticas_Revisiones'!$T$2:$T$282,"SOFTWARE TESTING &gt; Test Techniques")+COUNTIFS('Prácticas_Snowballing'!$AB$2:$AB$281,"T099",'Prácticas_Snowballing'!$AC$2:$AC$281,"SOFTWARE TESTING &gt; Test Techniques")</f>
        <v>0</v>
      </c>
      <c r="AK115" s="17">
        <f>COUNTIFS('Prácticas_Revisiones'!$S$2:$S$282,"T099",'Prácticas_Revisiones'!$T$2:$T$282,"SOFTWARE TESTING &gt; Test-Related Measures")+COUNTIFS('Prácticas_Snowballing'!$AB$2:$AB$281,"T099",'Prácticas_Snowballing'!$AC$2:$AC$281,"SOFTWARE TESTING &gt; Test-Related Measures")</f>
        <v>0</v>
      </c>
      <c r="AL115" s="17">
        <f>COUNTIFS('Prácticas_Revisiones'!$S$2:$S$282,"T099",'Prácticas_Revisiones'!$T$2:$T$282,"SOFTWARE TESTING &gt; Test Process")+COUNTIFS('Prácticas_Snowballing'!$AB$2:$AB$281,"T099",'Prácticas_Snowballing'!$AC$2:$AC$281,"SOFTWARE TESTING &gt; Test Process")</f>
        <v>0</v>
      </c>
      <c r="AM115" s="17">
        <f>COUNTIFS('Prácticas_Revisiones'!$S$2:$S$282,"T099",'Prácticas_Revisiones'!$T$2:$T$282,"SOFTWARE TESTING &gt; Software Testing in the Development Processes...")+COUNTIFS('Prácticas_Snowballing'!$AB$2:$AB$281,"T099",'Prácticas_Snowballing'!$AC$2:$AC$281,"SOFTWARE TESTING &gt; Software Testing in the Development Processes...")</f>
        <v>0</v>
      </c>
      <c r="AN115" s="17">
        <f>COUNTIFS('Prácticas_Revisiones'!$S$2:$S$282,"T099",'Prácticas_Revisiones'!$T$2:$T$282,"SOFTWARE TESTING &gt; Testing of and Testing Through Emerging Tech...")+COUNTIFS('Prácticas_Snowballing'!$AB$2:$AB$281,"T099",'Prácticas_Snowballing'!$AC$2:$AC$281,"SOFTWARE TESTING &gt; Testing of and Testing Through Emerging Tech...")</f>
        <v>0</v>
      </c>
      <c r="AO115" s="17">
        <f>COUNTIFS('Prácticas_Revisiones'!$S$2:$S$282,"T099",'Prácticas_Revisiones'!$T$2:$T$282,"SOFTWARE TESTING &gt; Software Testing Tools")+COUNTIFS('Prácticas_Snowballing'!$AB$2:$AB$281,"T099",'Prácticas_Snowballing'!$AC$2:$AC$281,"SOFTWARE TESTING &gt; Software Testing Tools")</f>
        <v>0</v>
      </c>
      <c r="AP115" s="17">
        <f>COUNTIFS('Prácticas_Revisiones'!$S$2:$S$282,"T099",'Prácticas_Revisiones'!$T$2:$T$282,"SOFTWARE TESTING &gt; Subárea no determinable")+COUNTIFS('Prácticas_Snowballing'!$AB$2:$AB$281,"T099",'Prácticas_Snowballing'!$AC$2:$AC$281,"SOFTWARE TESTING &gt; Subárea no determinable")</f>
        <v>0</v>
      </c>
      <c r="AQ115" s="29">
        <f t="shared" si="90"/>
        <v>0</v>
      </c>
      <c r="AR115" s="17">
        <f>COUNTIFS('Prácticas_Revisiones'!$S$2:$S$282,"T099",'Prácticas_Revisiones'!$T$2:$T$282,"SOFTWARE ENG. OPERATIONS &gt; Software Engineering Operations Fundamentals")+COUNTIFS('Prácticas_Snowballing'!$AB$2:$AB$281,"T099",'Prácticas_Snowballing'!$AC$2:$AC$281,"SOFTWARE ENG. OPERATIONS &gt; Software Engineering Operations Fundamentals")</f>
        <v>0</v>
      </c>
      <c r="AS115" s="17">
        <f>COUNTIFS('Prácticas_Revisiones'!$S$2:$S$282,"T099",'Prácticas_Revisiones'!$T$2:$T$282,"SOFTWARE ENG. OPERATIONS &gt; Software Engineering Operations Planning")+COUNTIFS('Prácticas_Snowballing'!$AB$2:$AB$281,"T099",'Prácticas_Snowballing'!$AC$2:$AC$281,"SOFTWARE ENG. OPERATIONS &gt; Software Engineering Operations Planning")</f>
        <v>0</v>
      </c>
      <c r="AT115" s="17">
        <f>COUNTIFS('Prácticas_Revisiones'!$S$2:$S$282,"T099",'Prácticas_Revisiones'!$T$2:$T$282,"SOFTWARE ENG. OPERATIONS &gt; Software Engineering Operations Delivery")+COUNTIFS('Prácticas_Snowballing'!$AB$2:$AB$281,"T099",'Prácticas_Snowballing'!$AC$2:$AC$281,"SOFTWARE ENG. OPERATIONS &gt; Software Engineering Operations Delivery")</f>
        <v>0</v>
      </c>
      <c r="AU115" s="17">
        <f>COUNTIFS('Prácticas_Revisiones'!$S$2:$S$282,"T099",'Prácticas_Revisiones'!$T$2:$T$282,"SOFTWARE ENG. OPERATIONS &gt; Software Engineering Operations Control")+COUNTIFS('Prácticas_Snowballing'!$AB$2:$AB$281,"T099",'Prácticas_Snowballing'!$AC$2:$AC$281,"SOFTWARE ENG. OPERATIONS &gt; Software Engineering Operations Control")</f>
        <v>0</v>
      </c>
      <c r="AV115" s="17">
        <f>COUNTIFS('Prácticas_Revisiones'!$S$2:$S$282,"T099",'Prácticas_Revisiones'!$T$2:$T$282,"SOFTWARE ENG. OPERATIONS &gt; Practical Considerations")+COUNTIFS('Prácticas_Snowballing'!$AB$2:$AB$281,"T099",'Prácticas_Snowballing'!$AC$2:$AC$281,"SOFTWARE ENG. OPERATIONS &gt; Practical Considerations")</f>
        <v>0</v>
      </c>
      <c r="AW115" s="17">
        <f>COUNTIFS('Prácticas_Revisiones'!$S$2:$S$282,"T099",'Prácticas_Revisiones'!$T$2:$T$282,"SOFTWARE ENG. OPERATIONS &gt; Software Engineering Operations Tools")+COUNTIFS('Prácticas_Snowballing'!$AB$2:$AB$281,"T099",'Prácticas_Snowballing'!$AC$2:$AC$281,"SOFTWARE ENG. OPERATIONS &gt; Software Engineering Operations Tools")</f>
        <v>0</v>
      </c>
      <c r="AX115" s="17">
        <f>COUNTIFS('Prácticas_Revisiones'!$S$2:$S$282,"T099",'Prácticas_Revisiones'!$T$2:$T$282,"SOFTWARE ENG. OPERATIONS &gt; Subárea no determinable")+COUNTIFS('Prácticas_Snowballing'!$AB$2:$AB$281,"T099",'Prácticas_Snowballing'!$AC$2:$AC$281,"SOFTWARE ENG. OPERATIONS &gt; Subárea no determinable")</f>
        <v>0</v>
      </c>
      <c r="AY115" s="29">
        <f t="shared" si="91"/>
        <v>0</v>
      </c>
      <c r="AZ115" s="17">
        <f>COUNTIFS('Prácticas_Revisiones'!$S$2:$S$282,"T099",'Prácticas_Revisiones'!$T$2:$T$282,"MAINTENANCE &gt; Software Maintenance Fundamentals")+COUNTIFS('Prácticas_Snowballing'!$AB$2:$AB$281,"T099",'Prácticas_Snowballing'!$AC$2:$AC$281,"MAINTENANCE &gt; Software Maintenance Fundamentals")</f>
        <v>0</v>
      </c>
      <c r="BA115" s="17">
        <f>COUNTIFS('Prácticas_Revisiones'!$S$2:$S$282,"T099",'Prácticas_Revisiones'!$T$2:$T$282,"MAINTENANCE &gt; Key Issues in Software Maintenance")+COUNTIFS('Prácticas_Snowballing'!$AB$2:$AB$281,"T099",'Prácticas_Snowballing'!$AC$2:$AC$281,"MAINTENANCE &gt; Key Issues in Software Maintenance")</f>
        <v>0</v>
      </c>
      <c r="BB115" s="17">
        <f>COUNTIFS('Prácticas_Revisiones'!$S$2:$S$282,"T099",'Prácticas_Revisiones'!$T$2:$T$282,"MAINTENANCE &gt; Software Maintenance Processes")+COUNTIFS('Prácticas_Snowballing'!$AB$2:$AB$281,"T099",'Prácticas_Snowballing'!$AC$2:$AC$281,"MAINTENANCE &gt; Software Maintenance Processes")</f>
        <v>0</v>
      </c>
      <c r="BC115" s="17">
        <f>COUNTIFS('Prácticas_Revisiones'!$S$2:$S$282,"T099",'Prácticas_Revisiones'!$T$2:$T$282,"MAINTENANCE &gt; Software Maintenance Techniques")+COUNTIFS('Prácticas_Snowballing'!$AB$2:$AB$281,"T099",'Prácticas_Snowballing'!$AC$2:$AC$281,"MAINTENANCE &gt; Software Maintenance Techniques")</f>
        <v>0</v>
      </c>
      <c r="BD115" s="17">
        <f>COUNTIFS('Prácticas_Revisiones'!$S$2:$S$282,"T099",'Prácticas_Revisiones'!$T$2:$T$282,"MAINTENANCE &gt; Software Maintenance Tools")+COUNTIFS('Prácticas_Snowballing'!$AB$2:$AB$281,"T099",'Prácticas_Snowballing'!$AC$2:$AC$281,"MAINTENANCE &gt; Software Maintenance Tools")</f>
        <v>0</v>
      </c>
      <c r="BE115" s="17">
        <f>COUNTIFS('Prácticas_Revisiones'!$S$2:$S$282,"T099",'Prácticas_Revisiones'!$T$2:$T$282,"MAINTENANCE &gt; Subárea no determinable")+COUNTIFS('Prácticas_Snowballing'!$AB$2:$AB$281,"T099",'Prácticas_Snowballing'!$AC$2:$AC$281,"MAINTENANCE &gt; Subárea no determinable")</f>
        <v>0</v>
      </c>
      <c r="BF115" s="29">
        <f t="shared" si="92"/>
        <v>0</v>
      </c>
      <c r="BG115" s="17">
        <f>COUNTIFS('Prácticas_Revisiones'!$S$2:$S$282,"T099",'Prácticas_Revisiones'!$T$2:$T$282,"SOFTWARE CONFIG. MGMT. &gt; Management of the SCM Process")+COUNTIFS('Prácticas_Snowballing'!$AB$2:$AB$281,"T099",'Prácticas_Snowballing'!$AC$2:$AC$281,"SOFTWARE CONFIG. MGMT. &gt; Management of the SCM Process")</f>
        <v>0</v>
      </c>
      <c r="BH115" s="17">
        <f>COUNTIFS('Prácticas_Revisiones'!$S$2:$S$282,"T099",'Prácticas_Revisiones'!$T$2:$T$282,"SOFTWARE CONFIG. MGMT. &gt; Software Configuration Identification")+COUNTIFS('Prácticas_Snowballing'!$AB$2:$AB$281,"T099",'Prácticas_Snowballing'!$AC$2:$AC$281,"SOFTWARE CONFIG. MGMT. &gt; Software Configuration Identification")</f>
        <v>0</v>
      </c>
      <c r="BI115" s="17">
        <f>COUNTIFS('Prácticas_Revisiones'!$S$2:$S$282,"T099",'Prácticas_Revisiones'!$T$2:$T$282,"SOFTWARE CONFIG. MGMT. &gt; Software Configuration Change Control")+COUNTIFS('Prácticas_Snowballing'!$AB$2:$AB$281,"T099",'Prácticas_Snowballing'!$AC$2:$AC$281,"SOFTWARE CONFIG. MGMT. &gt; Software Configuration Change Control")</f>
        <v>0</v>
      </c>
      <c r="BJ115" s="17">
        <f>COUNTIFS('Prácticas_Revisiones'!$S$2:$S$282,"T099",'Prácticas_Revisiones'!$T$2:$T$282,"SOFTWARE CONFIG. MGMT. &gt; Software Configuration Status Accounting")+COUNTIFS('Prácticas_Snowballing'!$AB$2:$AB$281,"T099",'Prácticas_Snowballing'!$AC$2:$AC$281,"SOFTWARE CONFIG. MGMT. &gt; Software Configuration Status Accounting")</f>
        <v>0</v>
      </c>
      <c r="BK115" s="17">
        <f>COUNTIFS('Prácticas_Revisiones'!$S$2:$S$282,"T099",'Prácticas_Revisiones'!$T$2:$T$282,"SOFTWARE CONFIG. MGMT. &gt; Software Configuration Auditing")+COUNTIFS('Prácticas_Snowballing'!$AB$2:$AB$281,"T099",'Prácticas_Snowballing'!$AC$2:$AC$281,"SOFTWARE CONFIG. MGMT. &gt; Software Configuration Auditing")</f>
        <v>0</v>
      </c>
      <c r="BL115" s="17">
        <f>COUNTIFS('Prácticas_Revisiones'!$S$2:$S$282,"T099",'Prácticas_Revisiones'!$T$2:$T$282,"SOFTWARE CONFIG. MGMT. &gt; Software Release Management and Delivery")+COUNTIFS('Prácticas_Snowballing'!$AB$2:$AB$281,"T099",'Prácticas_Snowballing'!$AC$2:$AC$281,"SOFTWARE CONFIG. MGMT. &gt; Software Release Management and Delivery")</f>
        <v>0</v>
      </c>
      <c r="BM115" s="17">
        <f>COUNTIFS('Prácticas_Revisiones'!$S$2:$S$282,"T099",'Prácticas_Revisiones'!$T$2:$T$282,"SOFTWARE CONFIG. MGMT. &gt; Software Configuration Management Tools")+COUNTIFS('Prácticas_Snowballing'!$AB$2:$AB$281,"T099",'Prácticas_Snowballing'!$AC$2:$AC$281,"SOFTWARE CONFIG. MGMT. &gt; Software Configuration Management Tools")</f>
        <v>0</v>
      </c>
      <c r="BN115" s="17">
        <f>COUNTIFS('Prácticas_Revisiones'!$S$2:$S$282,"T099",'Prácticas_Revisiones'!$T$2:$T$282,"SOFTWARE CONFIG. MGMT. &gt; Subárea no determinable")+COUNTIFS('Prácticas_Snowballing'!$AB$2:$AB$281,"T099",'Prácticas_Snowballing'!$AC$2:$AC$281,"SOFTWARE CONFIG. MGMT. &gt; Subárea no determinable")</f>
        <v>0</v>
      </c>
      <c r="BO115" s="29">
        <f t="shared" si="93"/>
        <v>0</v>
      </c>
      <c r="BP115" s="17">
        <f>COUNTIFS('Prácticas_Revisiones'!$S$2:$S$282,"T099",'Prácticas_Revisiones'!$T$2:$T$282,"SOFTWARE ENG. PROCESS &gt; Software Engineering Process Fundamentals")+COUNTIFS('Prácticas_Snowballing'!$AB$2:$AB$281,"T099",'Prácticas_Snowballing'!$AC$2:$AC$281,"SOFTWARE ENG. PROCESS &gt; Software Engineering Process Fundamentals")</f>
        <v>0</v>
      </c>
      <c r="BQ115" s="17">
        <f>COUNTIFS('Prácticas_Revisiones'!$S$2:$S$282,"T099",'Prácticas_Revisiones'!$T$2:$T$282,"SOFTWARE ENG. PROCESS &gt; Life Cycles")+COUNTIFS('Prácticas_Snowballing'!$AB$2:$AB$281,"T099",'Prácticas_Snowballing'!$AC$2:$AC$281,"SOFTWARE ENG. PROCESS &gt; Life Cycles")</f>
        <v>0</v>
      </c>
      <c r="BR115" s="17">
        <f>COUNTIFS('Prácticas_Revisiones'!$S$2:$S$282,"T099",'Prácticas_Revisiones'!$T$2:$T$282,"SOFTWARE ENG. PROCESS &gt; Software Process Assessment and Improvement")+COUNTIFS('Prácticas_Snowballing'!$AB$2:$AB$281,"T099",'Prácticas_Snowballing'!$AC$2:$AC$281,"SOFTWARE ENG. PROCESS &gt; Software Process Assessment and Improvement")</f>
        <v>0</v>
      </c>
      <c r="BS115" s="17">
        <f>COUNTIFS('Prácticas_Revisiones'!$S$2:$S$282,"T099",'Prácticas_Revisiones'!$T$2:$T$282,"SOFTWARE ENG. PROCESS &gt; Subárea no determinable")+COUNTIFS('Prácticas_Snowballing'!$AB$2:$AB$281,"T099",'Prácticas_Snowballing'!$AC$2:$AC$281,"SOFTWARE ENG. PROCESS &gt; Subárea no determinable")</f>
        <v>0</v>
      </c>
      <c r="BT115" s="29">
        <f t="shared" si="94"/>
        <v>0</v>
      </c>
      <c r="BU115" s="17">
        <f>COUNTIFS('Prácticas_Revisiones'!$S$2:$S$282,"T099",'Prácticas_Revisiones'!$T$2:$T$282,"SOFTWARE ENG. MODELS/METH. &gt; Modeling")+COUNTIFS('Prácticas_Snowballing'!$AB$2:$AB$281,"T099",'Prácticas_Snowballing'!$AC$2:$AC$281,"SOFTWARE ENG. MODELS/METH. &gt; Modeling")</f>
        <v>0</v>
      </c>
      <c r="BV115" s="17">
        <f>COUNTIFS('Prácticas_Revisiones'!$S$2:$S$282,"T099",'Prácticas_Revisiones'!$T$2:$T$282,"SOFTWARE ENG. MODELS/METH. &gt; Types of Models")+COUNTIFS('Prácticas_Snowballing'!$AB$2:$AB$281,"T099",'Prácticas_Snowballing'!$AC$2:$AC$281,"SOFTWARE ENG. MODELS/METH. &gt; Types of Models")</f>
        <v>0</v>
      </c>
      <c r="BW115" s="17">
        <f>COUNTIFS('Prácticas_Revisiones'!$S$2:$S$282,"T099",'Prácticas_Revisiones'!$T$2:$T$282,"SOFTWARE ENG. MODELS/METH. &gt; Analysis of Models")+COUNTIFS('Prácticas_Snowballing'!$AB$2:$AB$281,"T099",'Prácticas_Snowballing'!$AC$2:$AC$281,"SOFTWARE ENG. MODELS/METH. &gt; Analysis of Models")</f>
        <v>0</v>
      </c>
      <c r="BX115" s="17">
        <f>COUNTIFS('Prácticas_Revisiones'!$S$2:$S$282,"T099",'Prácticas_Revisiones'!$T$2:$T$282,"SOFTWARE ENG. MODELS/METH. &gt; Software Engineering Methods")+COUNTIFS('Prácticas_Snowballing'!$AB$2:$AB$281,"T099",'Prácticas_Snowballing'!$AC$2:$AC$281,"SOFTWARE ENG. MODELS/METH. &gt; Software Engineering Methods")</f>
        <v>0</v>
      </c>
      <c r="BY115" s="17">
        <f>COUNTIFS('Prácticas_Revisiones'!$S$2:$S$282,"T099",'Prácticas_Revisiones'!$T$2:$T$282,"SOFTWARE ENG. MODELS/METH. &gt; Subárea no determinable")+COUNTIFS('Prácticas_Snowballing'!$AB$2:$AB$281,"T099",'Prácticas_Snowballing'!$AC$2:$AC$281,"SOFTWARE ENG. MODELS/METH. &gt; Subárea no determinable")</f>
        <v>0</v>
      </c>
      <c r="BZ115" s="29">
        <f t="shared" si="95"/>
        <v>0</v>
      </c>
      <c r="CA115" s="17">
        <f>COUNTIFS('Prácticas_Revisiones'!$S$2:$S$282,"T099",'Prácticas_Revisiones'!$T$2:$T$282,"SOFTWARE QUALITY &gt; Software Quality Fundamentals")+COUNTIFS('Prácticas_Snowballing'!$AB$2:$AB$281,"T099",'Prácticas_Snowballing'!$AC$2:$AC$281,"SOFTWARE QUALITY &gt; Software Quality Fundamentals")</f>
        <v>0</v>
      </c>
      <c r="CB115" s="17">
        <f>COUNTIFS('Prácticas_Revisiones'!$S$2:$S$282,"T099",'Prácticas_Revisiones'!$T$2:$T$282,"SOFTWARE QUALITY &gt; Software Quality Management Process")+COUNTIFS('Prácticas_Snowballing'!$AB$2:$AB$281,"T099",'Prácticas_Snowballing'!$AC$2:$AC$281,"SOFTWARE QUALITY &gt; Software Quality Management Process")</f>
        <v>0</v>
      </c>
      <c r="CC115" s="17">
        <f>COUNTIFS('Prácticas_Revisiones'!$S$2:$S$282,"T099",'Prácticas_Revisiones'!$T$2:$T$282,"SOFTWARE QUALITY &gt; Software Quality Assurance Process")+COUNTIFS('Prácticas_Snowballing'!$AB$2:$AB$281,"T099",'Prácticas_Snowballing'!$AC$2:$AC$281,"SOFTWARE QUALITY &gt; Software Quality Assurance Process")</f>
        <v>0</v>
      </c>
      <c r="CD115" s="17">
        <f>COUNTIFS('Prácticas_Revisiones'!$S$2:$S$282,"T099",'Prácticas_Revisiones'!$T$2:$T$282,"SOFTWARE QUALITY &gt; Software Quality Tools")+COUNTIFS('Prácticas_Snowballing'!$AB$2:$AB$281,"T099",'Prácticas_Snowballing'!$AC$2:$AC$281,"SOFTWARE QUALITY &gt; Software Quality Tools")</f>
        <v>0</v>
      </c>
      <c r="CE115" s="17">
        <f>COUNTIFS('Prácticas_Revisiones'!$S$2:$S$282,"T099",'Prácticas_Revisiones'!$T$2:$T$282,"SOFTWARE QUALITY &gt; Subárea no determinable")+COUNTIFS('Prácticas_Snowballing'!$AB$2:$AB$281,"T099",'Prácticas_Snowballing'!$AC$2:$AC$281,"SOFTWARE QUALITY &gt; Subárea no determinable")</f>
        <v>0</v>
      </c>
      <c r="CF115" s="29">
        <f t="shared" si="96"/>
        <v>0</v>
      </c>
      <c r="CG115" s="17">
        <f>COUNTIFS('Prácticas_Revisiones'!$S$2:$S$282,"T099",'Prácticas_Revisiones'!$T$2:$T$282,"SOFTWARE SECURITY &gt; Software Security Fundamentals")+COUNTIFS('Prácticas_Snowballing'!$AB$2:$AB$281,"T099",'Prácticas_Snowballing'!$AC$2:$AC$281,"SOFTWARE SECURITY &gt; Software Security Fundamentals")</f>
        <v>0</v>
      </c>
      <c r="CH115" s="17">
        <f>COUNTIFS('Prácticas_Revisiones'!$S$2:$S$282,"T099",'Prácticas_Revisiones'!$T$2:$T$282,"SOFTWARE SECURITY &gt; Security Management and Organization")+COUNTIFS('Prácticas_Snowballing'!$AB$2:$AB$281,"T099",'Prácticas_Snowballing'!$AC$2:$AC$281,"SOFTWARE SECURITY &gt; Security Management and Organization")</f>
        <v>0</v>
      </c>
      <c r="CI115" s="17">
        <f>COUNTIFS('Prácticas_Revisiones'!$S$2:$S$282,"T099",'Prácticas_Revisiones'!$T$2:$T$282,"SOFTWARE SECURITY &gt; Software Security Engineering and Process")+COUNTIFS('Prácticas_Snowballing'!$AB$2:$AB$281,"T099",'Prácticas_Snowballing'!$AC$2:$AC$281,"SOFTWARE SECURITY &gt; Software Security Engineering and Process")</f>
        <v>0</v>
      </c>
      <c r="CJ115" s="17">
        <f>COUNTIFS('Prácticas_Revisiones'!$S$2:$S$282,"T099",'Prácticas_Revisiones'!$T$2:$T$282,"SOFTWARE SECURITY &gt; Security Engineering for Software Systems")+COUNTIFS('Prácticas_Snowballing'!$AB$2:$AB$281,"T099",'Prácticas_Snowballing'!$AC$2:$AC$281,"SOFTWARE SECURITY &gt; Security Engineering for Software Systems")</f>
        <v>0</v>
      </c>
      <c r="CK115" s="17">
        <f>COUNTIFS('Prácticas_Revisiones'!$S$2:$S$282,"T099",'Prácticas_Revisiones'!$T$2:$T$282,"SOFTWARE SECURITY &gt; Software Security Tools")+COUNTIFS('Prácticas_Snowballing'!$AB$2:$AB$281,"T099",'Prácticas_Snowballing'!$AC$2:$AC$281,"SOFTWARE SECURITY &gt; Software Security Tools")</f>
        <v>0</v>
      </c>
      <c r="CL115" s="17">
        <f>COUNTIFS('Prácticas_Revisiones'!$S$2:$S$282,"T099",'Prácticas_Revisiones'!$T$2:$T$282,"SOFTWARE SECURITY &gt; Domain Specific Software Security")+COUNTIFS('Prácticas_Snowballing'!$AB$2:$AB$281,"T099",'Prácticas_Snowballing'!$AC$2:$AC$281,"SOFTWARE SECURITY &gt; Domain Specific Software Security")</f>
        <v>0</v>
      </c>
      <c r="CM115" s="17">
        <f>COUNTIFS('Prácticas_Revisiones'!$S$2:$S$282,"T099",'Prácticas_Revisiones'!$T$2:$T$282,"SOFTWARE SECURITY &gt; Subárea no determinable")+COUNTIFS('Prácticas_Snowballing'!$AB$2:$AB$281,"T099",'Prácticas_Snowballing'!$AC$2:$AC$281,"SOFTWARE SECURITY &gt; Subárea no determinable")</f>
        <v>0</v>
      </c>
      <c r="CN115" s="29">
        <f t="shared" si="97"/>
        <v>0</v>
      </c>
      <c r="CO115" s="17">
        <f>COUNTIFS('Prácticas_Revisiones'!$S$2:$S$282,"T099",'Prácticas_Revisiones'!$T$2:$T$282,"PROFESSIONAL PRACTICE &gt; Professionalism")+COUNTIFS('Prácticas_Snowballing'!$AB$2:$AB$281,"T099",'Prácticas_Snowballing'!$AC$2:$AC$281,"PROFESSIONAL PRACTICE &gt; Professionalism")</f>
        <v>1</v>
      </c>
      <c r="CP115" s="17">
        <f>COUNTIFS('Prácticas_Revisiones'!$S$2:$S$282,"T099",'Prácticas_Revisiones'!$T$2:$T$282,"PROFESSIONAL PRACTICE &gt; Group Dynamics and Psychology")+COUNTIFS('Prácticas_Snowballing'!$AB$2:$AB$281,"T099",'Prácticas_Snowballing'!$AC$2:$AC$281,"PROFESSIONAL PRACTICE &gt; Group Dynamics and Psychology")</f>
        <v>0</v>
      </c>
      <c r="CQ115" s="17">
        <f>COUNTIFS('Prácticas_Revisiones'!$S$2:$S$282,"T099",'Prácticas_Revisiones'!$T$2:$T$282,"PROFESSIONAL PRACTICE &gt; Communication Skills")+COUNTIFS('Prácticas_Snowballing'!$AB$2:$AB$281,"T099",'Prácticas_Snowballing'!$AC$2:$AC$281,"PROFESSIONAL PRACTICE &gt; Communication Skills")</f>
        <v>0</v>
      </c>
      <c r="CR115" s="17">
        <f>COUNTIFS('Prácticas_Revisiones'!$S$2:$S$282,"T099",'Prácticas_Revisiones'!$T$2:$T$282,"PROFESSIONAL PRACTICE &gt; Subárea no determinable")+COUNTIFS('Prácticas_Snowballing'!$AB$2:$AB$281,"T099",'Prácticas_Snowballing'!$AC$2:$AC$281,"PROFESSIONAL PRACTICE &gt; Subárea no determinable")</f>
        <v>0</v>
      </c>
      <c r="CS115" s="29">
        <f t="shared" si="98"/>
        <v>1</v>
      </c>
      <c r="CT115" s="17">
        <f>COUNTIFS('Prácticas_Revisiones'!$S$2:$S$282,"T099",'Prácticas_Revisiones'!$T$2:$T$282,"SOFTWARE ENG. ECONOMICS &gt; Software Engineering Economics Fundamentals")+COUNTIFS('Prácticas_Snowballing'!$AB$2:$AB$281,"T099",'Prácticas_Snowballing'!$AC$2:$AC$281,"SOFTWARE ENG. ECONOMICS &gt; Software Engineering Economics Fundamentals")</f>
        <v>0</v>
      </c>
      <c r="CU115" s="17">
        <f>COUNTIFS('Prácticas_Revisiones'!$S$2:$S$282,"T099",'Prácticas_Revisiones'!$T$2:$T$282,"SOFTWARE ENG. ECONOMICS &gt; The Engineering Decision-Making Process")+COUNTIFS('Prácticas_Snowballing'!$AB$2:$AB$281,"T099",'Prácticas_Snowballing'!$AC$2:$AC$281,"SOFTWARE ENG. ECONOMICS &gt; The Engineering Decision-Making Process")</f>
        <v>0</v>
      </c>
      <c r="CV115" s="17">
        <f>COUNTIFS('Prácticas_Revisiones'!$S$2:$S$282,"T099",'Prácticas_Revisiones'!$T$2:$T$282,"SOFTWARE ENG. ECONOMICS &gt; For-Profit Decision-Making")+COUNTIFS('Prácticas_Snowballing'!$AB$2:$AB$281,"T099",'Prácticas_Snowballing'!$AC$2:$AC$281,"SOFTWARE ENG. ECONOMICS &gt; For-Profit Decision-Making")</f>
        <v>0</v>
      </c>
      <c r="CW115" s="17">
        <f>COUNTIFS('Prácticas_Revisiones'!$S$2:$S$282,"T099",'Prácticas_Revisiones'!$T$2:$T$282,"SOFTWARE ENG. ECONOMICS &gt; Nonprofit Decision-Making")+COUNTIFS('Prácticas_Snowballing'!$AB$2:$AB$281,"T099",'Prácticas_Snowballing'!$AC$2:$AC$281,"SOFTWARE ENG. ECONOMICS &gt; Nonprofit Decision-Making")</f>
        <v>0</v>
      </c>
      <c r="CX115" s="17">
        <f>COUNTIFS('Prácticas_Revisiones'!$S$2:$S$282,"T099",'Prácticas_Revisiones'!$T$2:$T$282,"SOFTWARE ENG. ECONOMICS &gt; Present Economy Decision-Making")+COUNTIFS('Prácticas_Snowballing'!$AB$2:$AB$281,"T099",'Prácticas_Snowballing'!$AC$2:$AC$281,"SOFTWARE ENG. ECONOMICS &gt; Present Economy Decision-Making")</f>
        <v>0</v>
      </c>
      <c r="CY115" s="17">
        <f>COUNTIFS('Prácticas_Revisiones'!$S$2:$S$282,"T099",'Prácticas_Revisiones'!$T$2:$T$282,"SOFTWARE ENG. ECONOMICS &gt; Multiple-Attribute Decision-Making")+COUNTIFS('Prácticas_Snowballing'!$AB$2:$AB$281,"T099",'Prácticas_Snowballing'!$AC$2:$AC$281,"SOFTWARE ENG. ECONOMICS &gt; Multiple-Attribute Decision-Making")</f>
        <v>0</v>
      </c>
      <c r="CZ115" s="17">
        <f>COUNTIFS('Prácticas_Revisiones'!$S$2:$S$282,"T099",'Prácticas_Revisiones'!$T$2:$T$282,"SOFTWARE ENG. ECONOMICS &gt; Identifying and Characterizing Intangible Assets")+COUNTIFS('Prácticas_Snowballing'!$AB$2:$AB$281,"T099",'Prácticas_Snowballing'!$AC$2:$AC$281,"SOFTWARE ENG. ECONOMICS &gt; Identifying and Characterizing Intangible Assets")</f>
        <v>0</v>
      </c>
      <c r="DA115" s="17">
        <f>COUNTIFS('Prácticas_Revisiones'!$S$2:$S$282,"T099",'Prácticas_Revisiones'!$T$2:$T$282,"SOFTWARE ENG. ECONOMICS &gt; Estimation")+COUNTIFS('Prácticas_Snowballing'!$AB$2:$AB$281,"T099",'Prácticas_Snowballing'!$AC$2:$AC$281,"SOFTWARE ENG. ECONOMICS &gt; Estimation")</f>
        <v>0</v>
      </c>
      <c r="DB115" s="17">
        <f>COUNTIFS('Prácticas_Revisiones'!$S$2:$S$282,"T099",'Prácticas_Revisiones'!$T$2:$T$282,"SOFTWARE ENG. ECONOMICS &gt; Practical Considerations")+COUNTIFS('Prácticas_Snowballing'!$AB$2:$AB$281,"T099",'Prácticas_Snowballing'!$AC$2:$AC$281,"SOFTWARE ENG. ECONOMICS &gt; Practical Considerations")</f>
        <v>0</v>
      </c>
      <c r="DC115" s="17">
        <f>COUNTIFS('Prácticas_Revisiones'!$S$2:$S$282,"T099",'Prácticas_Revisiones'!$T$2:$T$282,"SOFTWARE ENG. ECONOMICS &gt; Related Concepts")+COUNTIFS('Prácticas_Snowballing'!$AB$2:$AB$281,"T099",'Prácticas_Snowballing'!$AC$2:$AC$281,"SOFTWARE ENG. ECONOMICS &gt; Related Concepts")</f>
        <v>0</v>
      </c>
      <c r="DD115" s="17">
        <f>COUNTIFS('Prácticas_Revisiones'!$S$2:$S$282,"T099",'Prácticas_Revisiones'!$T$2:$T$282,"SOFTWARE ENG. ECONOMICS &gt; Subárea no determinable")+COUNTIFS('Prácticas_Snowballing'!$AB$2:$AB$281,"T099",'Prácticas_Snowballing'!$AC$2:$AC$281,"SOFTWARE ENG. ECONOMICS &gt; Subárea no determinable")</f>
        <v>0</v>
      </c>
      <c r="DE115" s="29">
        <f t="shared" si="99"/>
        <v>0</v>
      </c>
      <c r="DF115" s="17">
        <f>COUNTIFS('Prácticas_Revisiones'!$S$2:$S$282,"T099",'Prácticas_Revisiones'!$T$2:$T$282,"SOFTWARE ENG. MANAGEMENT &gt; Software Engineering Management Fundamentals")+COUNTIFS('Prácticas_Snowballing'!$AB$2:$AB$281,"T099",'Prácticas_Snowballing'!$AC$2:$AC$281,"SOFTWARE ENG. MANAGEMENT &gt; Software Engineering Management Fundamentals")</f>
        <v>0</v>
      </c>
      <c r="DG115" s="17">
        <f>COUNTIFS('Prácticas_Revisiones'!$S$2:$S$282,"T099",'Prácticas_Revisiones'!$T$2:$T$282,"SOFTWARE ENG. MANAGEMENT &gt; Initiation and Scope Definition")+COUNTIFS('Prácticas_Snowballing'!$AB$2:$AB$281,"T099",'Prácticas_Snowballing'!$AC$2:$AC$281,"SOFTWARE ENG. MANAGEMENT &gt; Initiation and Scope Definition")</f>
        <v>0</v>
      </c>
      <c r="DH115" s="17">
        <f>COUNTIFS('Prácticas_Revisiones'!$S$2:$S$282,"T099",'Prácticas_Revisiones'!$T$2:$T$282,"SOFTWARE ENG. MANAGEMENT &gt; Software Project Planning")+COUNTIFS('Prácticas_Snowballing'!$AB$2:$AB$281,"T099",'Prácticas_Snowballing'!$AC$2:$AC$281,"SOFTWARE ENG. MANAGEMENT &gt; Software Project Planning")</f>
        <v>1</v>
      </c>
      <c r="DI115" s="17">
        <f>COUNTIFS('Prácticas_Revisiones'!$S$2:$S$282,"T099",'Prácticas_Revisiones'!$T$2:$T$282,"SOFTWARE ENG. MANAGEMENT &gt; Software Project Enactment")+COUNTIFS('Prácticas_Snowballing'!$AB$2:$AB$281,"T099",'Prácticas_Snowballing'!$AC$2:$AC$281,"SOFTWARE ENG. MANAGEMENT &gt; Software Project Enactment")</f>
        <v>0</v>
      </c>
      <c r="DJ115" s="17">
        <f>COUNTIFS('Prácticas_Revisiones'!$S$2:$S$282,"T099",'Prácticas_Revisiones'!$T$2:$T$282,"SOFTWARE ENG. MANAGEMENT &gt; Review and Evaluation")+COUNTIFS('Prácticas_Snowballing'!$AB$2:$AB$281,"T099",'Prácticas_Snowballing'!$AC$2:$AC$281,"SOFTWARE ENG. MANAGEMENT &gt; Review and Evaluation")</f>
        <v>0</v>
      </c>
      <c r="DK115" s="17">
        <f>COUNTIFS('Prácticas_Revisiones'!$S$2:$S$282,"T099",'Prácticas_Revisiones'!$T$2:$T$282,"SOFTWARE ENG. MANAGEMENT &gt; Closure")+COUNTIFS('Prácticas_Snowballing'!$AB$2:$AB$281,"T099",'Prácticas_Snowballing'!$AC$2:$AC$281,"SOFTWARE ENG. MANAGEMENT &gt; Closure")</f>
        <v>0</v>
      </c>
      <c r="DL115" s="17">
        <f>COUNTIFS('Prácticas_Revisiones'!$S$2:$S$282,"T099",'Prácticas_Revisiones'!$T$2:$T$282,"SOFTWARE ENG. MANAGEMENT &gt; Software Engineering Management Tools")+COUNTIFS('Prácticas_Snowballing'!$AB$2:$AB$281,"T099",'Prácticas_Snowballing'!$AC$2:$AC$281,"SOFTWARE ENG. MANAGEMENT &gt; Software Engineering Management Tools")</f>
        <v>0</v>
      </c>
      <c r="DM115" s="17">
        <f>COUNTIFS('Prácticas_Revisiones'!$S$2:$S$282,"T099",'Prácticas_Revisiones'!$T$2:$T$282,"SOFTWARE ENG. MANAGEMENT &gt; Subárea no determinable")+COUNTIFS('Prácticas_Snowballing'!$AB$2:$AB$281,"T099",'Prácticas_Snowballing'!$AC$2:$AC$281,"SOFTWARE ENG. MANAGEMENT &gt; Subárea no determinable")</f>
        <v>0</v>
      </c>
      <c r="DN115" s="29">
        <f t="shared" si="100"/>
        <v>1</v>
      </c>
      <c r="DO115" s="17">
        <f>COUNTIFS('Prácticas_Revisiones'!$S$2:$S$282,"T099",'Prácticas_Revisiones'!$T$2:$T$282,"Sin área SWEBOK")+COUNTIFS('Prácticas_Snowballing'!$AB$2:$AB$281,"T099",'Prácticas_Snowballing'!$AC$2:$AC$281,"Sin área SWEBOK")</f>
        <v>0</v>
      </c>
      <c r="DP115" s="27">
        <f t="shared" si="101"/>
        <v>9</v>
      </c>
    </row>
    <row r="116" ht="15.75" customHeight="1">
      <c r="A116" s="28"/>
      <c r="B116" s="16" t="s">
        <v>2764</v>
      </c>
      <c r="C116" s="17">
        <f>COUNTIFS('Prácticas_Revisiones'!$S$2:$S$282,"T100",'Prácticas_Revisiones'!$T$2:$T$282,"REQUIREMENTS &gt; Software Requirements Fundamentals")+COUNTIFS('Prácticas_Snowballing'!$AB$2:$AB$281,"T100",'Prácticas_Snowballing'!$AC$2:$AC$281,"REQUIREMENTS &gt; Software Requirements Fundamentals")</f>
        <v>0</v>
      </c>
      <c r="D116" s="17">
        <f>COUNTIFS('Prácticas_Revisiones'!$S$2:$S$282,"T100",'Prácticas_Revisiones'!$T$2:$T$282,"REQUIREMENTS &gt; Requirements Elicitation")+COUNTIFS('Prácticas_Snowballing'!$AB$2:$AB$281,"T100",'Prácticas_Snowballing'!$AC$2:$AC$281,"REQUIREMENTS &gt; Requirements Elicitation")</f>
        <v>0</v>
      </c>
      <c r="E116" s="17">
        <f>COUNTIFS('Prácticas_Revisiones'!$S$2:$S$282,"T100",'Prácticas_Revisiones'!$T$2:$T$282,"REQUIREMENTS &gt; Requirements Analysis")+COUNTIFS('Prácticas_Snowballing'!$AB$2:$AB$281,"T100",'Prácticas_Snowballing'!$AC$2:$AC$281,"REQUIREMENTS &gt; Requirements Analysis")</f>
        <v>0</v>
      </c>
      <c r="F116" s="17">
        <f>COUNTIFS('Prácticas_Revisiones'!$S$2:$S$282,"T100",'Prácticas_Revisiones'!$T$2:$T$282,"REQUIREMENTS &gt; Requirements Specification")+COUNTIFS('Prácticas_Snowballing'!$AB$2:$AB$281,"T100",'Prácticas_Snowballing'!$AC$2:$AC$281,"REQUIREMENTS &gt; Requirements Specification")</f>
        <v>0</v>
      </c>
      <c r="G116" s="17">
        <f>COUNTIFS('Prácticas_Revisiones'!$S$2:$S$282,"T100",'Prácticas_Revisiones'!$T$2:$T$282,"REQUIREMENTS &gt; Requirements Validation")+COUNTIFS('Prácticas_Snowballing'!$AB$2:$AB$281,"T100",'Prácticas_Snowballing'!$AC$2:$AC$281,"REQUIREMENTS &gt; Requirements Validation")</f>
        <v>0</v>
      </c>
      <c r="H116" s="17">
        <f>COUNTIFS('Prácticas_Revisiones'!$S$2:$S$282,"T100",'Prácticas_Revisiones'!$T$2:$T$282,"REQUIREMENTS &gt; Requirements Management Activities")+COUNTIFS('Prácticas_Snowballing'!$AB$2:$AB$281,"T100",'Prácticas_Snowballing'!$AC$2:$AC$281,"REQUIREMENTS &gt; Requirements Management Activities")</f>
        <v>0</v>
      </c>
      <c r="I116" s="17">
        <f>COUNTIFS('Prácticas_Revisiones'!$S$2:$S$282,"T100",'Prácticas_Revisiones'!$T$2:$T$282,"REQUIREMENTS &gt; Practical Considerations")+COUNTIFS('Prácticas_Snowballing'!$AB$2:$AB$281,"T100",'Prácticas_Snowballing'!$AC$2:$AC$281,"REQUIREMENTS &gt; Practical Considerations")</f>
        <v>0</v>
      </c>
      <c r="J116" s="17">
        <f>COUNTIFS('Prácticas_Revisiones'!$S$2:$S$282,"T100",'Prácticas_Revisiones'!$T$2:$T$282,"REQUIREMENTS &gt; Software Requirements Tools")+COUNTIFS('Prácticas_Snowballing'!$AB$2:$AB$281,"T100",'Prácticas_Snowballing'!$AC$2:$AC$281,"REQUIREMENTS &gt; Software Requirements Tools")</f>
        <v>0</v>
      </c>
      <c r="K116" s="17">
        <f>COUNTIFS('Prácticas_Revisiones'!$S$2:$S$282,"T100",'Prácticas_Revisiones'!$T$2:$T$282,"REQUIREMENTS &gt; Subárea no determinable")+COUNTIFS('Prácticas_Snowballing'!$AB$2:$AB$281,"T100",'Prácticas_Snowballing'!$AC$2:$AC$281,"REQUIREMENTS &gt; Subárea no determinable")</f>
        <v>0</v>
      </c>
      <c r="L116" s="29">
        <f t="shared" si="86"/>
        <v>0</v>
      </c>
      <c r="M116" s="17">
        <f>COUNTIFS('Prácticas_Revisiones'!$S$2:$S$282,"T100",'Prácticas_Revisiones'!$T$2:$T$282,"ARCHITECTURE &gt; Software Architecture Fundamentals")+COUNTIFS('Prácticas_Snowballing'!$AB$2:$AB$281,"T100",'Prácticas_Snowballing'!$AC$2:$AC$281,"ARCHITECTURE &gt; Software Architecture Fundamentals")</f>
        <v>0</v>
      </c>
      <c r="N116" s="17">
        <f>COUNTIFS('Prácticas_Revisiones'!$S$2:$S$282,"T100",'Prácticas_Revisiones'!$T$2:$T$282,"ARCHITECTURE &gt; Software Architecture Description")+COUNTIFS('Prácticas_Snowballing'!$AB$2:$AB$281,"T100",'Prácticas_Snowballing'!$AC$2:$AC$281,"ARCHITECTURE &gt; Software Architecture Description")</f>
        <v>0</v>
      </c>
      <c r="O116" s="17">
        <f>COUNTIFS('Prácticas_Revisiones'!$S$2:$S$282,"T100",'Prácticas_Revisiones'!$T$2:$T$282,"ARCHITECTURE &gt; Software Architecture Process")+COUNTIFS('Prácticas_Snowballing'!$AB$2:$AB$281,"T100",'Prácticas_Snowballing'!$AC$2:$AC$281,"ARCHITECTURE &gt; Software Architecture Process")</f>
        <v>0</v>
      </c>
      <c r="P116" s="17">
        <f>COUNTIFS('Prácticas_Revisiones'!$S$2:$S$282,"T100",'Prácticas_Revisiones'!$T$2:$T$282,"ARCHITECTURE &gt; Software Architecture Evaluation")+COUNTIFS('Prácticas_Snowballing'!$AB$2:$AB$281,"T100",'Prácticas_Snowballing'!$AC$2:$AC$281,"ARCHITECTURE &gt; Software Architecture Evaluation")</f>
        <v>0</v>
      </c>
      <c r="Q116" s="17">
        <f>COUNTIFS('Prácticas_Revisiones'!$S$2:$S$282,"T100",'Prácticas_Revisiones'!$T$2:$T$282,"ARCHITECTURE &gt; Subárea no determinable")+COUNTIFS('Prácticas_Snowballing'!$AB$2:$AB$281,"T100",'Prácticas_Snowballing'!$AC$2:$AC$281,"ARCHITECTURE &gt; Subárea no determinable")</f>
        <v>0</v>
      </c>
      <c r="R116" s="29">
        <f t="shared" si="87"/>
        <v>0</v>
      </c>
      <c r="S116" s="17">
        <f>COUNTIFS('Prácticas_Revisiones'!$S$2:$S$282,"T100",'Prácticas_Revisiones'!$T$2:$T$282,"DESIGN &gt; Software Design Fundamentals")+COUNTIFS('Prácticas_Snowballing'!$AB$2:$AB$281,"T100",'Prácticas_Snowballing'!$AC$2:$AC$281,"DESIGN &gt; Software Design Fundamentals")</f>
        <v>0</v>
      </c>
      <c r="T116" s="17">
        <f>COUNTIFS('Prácticas_Revisiones'!$S$2:$S$282,"T100",'Prácticas_Revisiones'!$T$2:$T$282,"DESIGN &gt; Software Design Processes")+COUNTIFS('Prácticas_Snowballing'!$AB$2:$AB$281,"T100",'Prácticas_Snowballing'!$AC$2:$AC$281,"DESIGN &gt; Software Design Processes")</f>
        <v>0</v>
      </c>
      <c r="U116" s="17">
        <f>COUNTIFS('Prácticas_Revisiones'!$S$2:$S$282,"T100",'Prácticas_Revisiones'!$T$2:$T$282,"DESIGN &gt; Software Design Qualities")+COUNTIFS('Prácticas_Snowballing'!$AB$2:$AB$281,"T100",'Prácticas_Snowballing'!$AC$2:$AC$281,"DESIGN &gt; Software Design Qualities")</f>
        <v>0</v>
      </c>
      <c r="V116" s="17">
        <f>COUNTIFS('Prácticas_Revisiones'!$S$2:$S$282,"T100",'Prácticas_Revisiones'!$T$2:$T$282,"DESIGN &gt; Recording Software Design")+COUNTIFS('Prácticas_Snowballing'!$AB$2:$AB$281,"T100",'Prácticas_Snowballing'!$AC$2:$AC$281,"DESIGN &gt; Recording Software Design")</f>
        <v>0</v>
      </c>
      <c r="W116" s="17">
        <f>COUNTIFS('Prácticas_Revisiones'!$S$2:$S$282,"T100",'Prácticas_Revisiones'!$T$2:$T$282,"DESIGN &gt; Software Design Strategies and Methods")+COUNTIFS('Prácticas_Snowballing'!$AB$2:$AB$281,"T100",'Prácticas_Snowballing'!$AC$2:$AC$281,"DESIGN &gt; Software Design Strategies and Methods")</f>
        <v>0</v>
      </c>
      <c r="X116" s="17">
        <f>COUNTIFS('Prácticas_Revisiones'!$S$2:$S$282,"T100",'Prácticas_Revisiones'!$T$2:$T$282,"DESIGN &gt; Software Design Analysis and Evaluations")+COUNTIFS('Prácticas_Snowballing'!$AB$2:$AB$281,"T100",'Prácticas_Snowballing'!$AC$2:$AC$281,"DESIGN &gt; Software Design Analysis and Evaluations")</f>
        <v>0</v>
      </c>
      <c r="Y116" s="17">
        <f>COUNTIFS('Prácticas_Revisiones'!$S$2:$S$282,"T100",'Prácticas_Revisiones'!$T$2:$T$282,"DESIGN &gt; Subárea no determinable")+COUNTIFS('Prácticas_Snowballing'!$AB$2:$AB$281,"T100",'Prácticas_Snowballing'!$AC$2:$AC$281,"DESIGN &gt; Subárea no determinable")</f>
        <v>0</v>
      </c>
      <c r="Z116" s="29">
        <f t="shared" si="88"/>
        <v>0</v>
      </c>
      <c r="AA116" s="17">
        <f>COUNTIFS('Prácticas_Revisiones'!$S$2:$S$282,"T100",'Prácticas_Revisiones'!$T$2:$T$282,"CONSTRUCTION &gt; Software Construction Fundamentals")+COUNTIFS('Prácticas_Snowballing'!$AB$2:$AB$281,"T100",'Prácticas_Snowballing'!$AC$2:$AC$281,"CONSTRUCTION &gt; Software Construction Fundamentals")</f>
        <v>0</v>
      </c>
      <c r="AB116" s="17">
        <f>COUNTIFS('Prácticas_Revisiones'!$S$2:$S$282,"T100",'Prácticas_Revisiones'!$T$2:$T$282,"CONSTRUCTION &gt; Managing Construction")+COUNTIFS('Prácticas_Snowballing'!$AB$2:$AB$281,"T100",'Prácticas_Snowballing'!$AC$2:$AC$281,"CONSTRUCTION &gt; Managing Construction")</f>
        <v>0</v>
      </c>
      <c r="AC116" s="17">
        <f>COUNTIFS('Prácticas_Revisiones'!$S$2:$S$282,"T100",'Prácticas_Revisiones'!$T$2:$T$282,"CONSTRUCTION &gt; Practical Considerations")+COUNTIFS('Prácticas_Snowballing'!$AB$2:$AB$281,"T100",'Prácticas_Snowballing'!$AC$2:$AC$281,"CONSTRUCTION &gt; Practical Considerations")</f>
        <v>0</v>
      </c>
      <c r="AD116" s="17">
        <f>COUNTIFS('Prácticas_Revisiones'!$S$2:$S$282,"T100",'Prácticas_Revisiones'!$T$2:$T$282,"CONSTRUCTION &gt; Construction Technologies")+COUNTIFS('Prácticas_Snowballing'!$AB$2:$AB$281,"T100",'Prácticas_Snowballing'!$AC$2:$AC$281,"CONSTRUCTION &gt; Construction Technologies")</f>
        <v>0</v>
      </c>
      <c r="AE116" s="17">
        <f>COUNTIFS('Prácticas_Revisiones'!$S$2:$S$282,"T100",'Prácticas_Revisiones'!$T$2:$T$282,"CONSTRUCTION &gt; Software Construction Tools")+COUNTIFS('Prácticas_Snowballing'!$AB$2:$AB$281,"T100",'Prácticas_Snowballing'!$AC$2:$AC$281,"CONSTRUCTION &gt; Software Construction Tools")</f>
        <v>0</v>
      </c>
      <c r="AF116" s="17">
        <f>COUNTIFS('Prácticas_Revisiones'!$S$2:$S$282,"T100",'Prácticas_Revisiones'!$T$2:$T$282,"CONSTRUCTION &gt; Subárea no determinable")+COUNTIFS('Prácticas_Snowballing'!$AB$2:$AB$281,"T100",'Prácticas_Snowballing'!$AC$2:$AC$281,"CONSTRUCTION &gt; Subárea no determinable")</f>
        <v>0</v>
      </c>
      <c r="AG116" s="29">
        <f t="shared" si="89"/>
        <v>0</v>
      </c>
      <c r="AH116" s="17">
        <f>COUNTIFS('Prácticas_Revisiones'!$S$2:$S$282,"T100",'Prácticas_Revisiones'!$T$2:$T$282,"SOFTWARE TESTING &gt; Software Testing Fundamentals")+COUNTIFS('Prácticas_Snowballing'!$AB$2:$AB$281,"T100",'Prácticas_Snowballing'!$AC$2:$AC$281,"SOFTWARE TESTING &gt; Software Testing Fundamentals")</f>
        <v>0</v>
      </c>
      <c r="AI116" s="17">
        <f>COUNTIFS('Prácticas_Revisiones'!$S$2:$S$282,"T100",'Prácticas_Revisiones'!$T$2:$T$282,"SOFTWARE TESTING &gt; Test Levels")+COUNTIFS('Prácticas_Snowballing'!$AB$2:$AB$281,"T100",'Prácticas_Snowballing'!$AC$2:$AC$281,"SOFTWARE TESTING &gt; Test Levels")</f>
        <v>0</v>
      </c>
      <c r="AJ116" s="17">
        <f>COUNTIFS('Prácticas_Revisiones'!$S$2:$S$282,"T100",'Prácticas_Revisiones'!$T$2:$T$282,"SOFTWARE TESTING &gt; Test Techniques")+COUNTIFS('Prácticas_Snowballing'!$AB$2:$AB$281,"T100",'Prácticas_Snowballing'!$AC$2:$AC$281,"SOFTWARE TESTING &gt; Test Techniques")</f>
        <v>0</v>
      </c>
      <c r="AK116" s="17">
        <f>COUNTIFS('Prácticas_Revisiones'!$S$2:$S$282,"T100",'Prácticas_Revisiones'!$T$2:$T$282,"SOFTWARE TESTING &gt; Test-Related Measures")+COUNTIFS('Prácticas_Snowballing'!$AB$2:$AB$281,"T100",'Prácticas_Snowballing'!$AC$2:$AC$281,"SOFTWARE TESTING &gt; Test-Related Measures")</f>
        <v>0</v>
      </c>
      <c r="AL116" s="17">
        <f>COUNTIFS('Prácticas_Revisiones'!$S$2:$S$282,"T100",'Prácticas_Revisiones'!$T$2:$T$282,"SOFTWARE TESTING &gt; Test Process")+COUNTIFS('Prácticas_Snowballing'!$AB$2:$AB$281,"T100",'Prácticas_Snowballing'!$AC$2:$AC$281,"SOFTWARE TESTING &gt; Test Process")</f>
        <v>0</v>
      </c>
      <c r="AM116" s="17">
        <f>COUNTIFS('Prácticas_Revisiones'!$S$2:$S$282,"T100",'Prácticas_Revisiones'!$T$2:$T$282,"SOFTWARE TESTING &gt; Software Testing in the Development Processes...")+COUNTIFS('Prácticas_Snowballing'!$AB$2:$AB$281,"T100",'Prácticas_Snowballing'!$AC$2:$AC$281,"SOFTWARE TESTING &gt; Software Testing in the Development Processes...")</f>
        <v>0</v>
      </c>
      <c r="AN116" s="17">
        <f>COUNTIFS('Prácticas_Revisiones'!$S$2:$S$282,"T100",'Prácticas_Revisiones'!$T$2:$T$282,"SOFTWARE TESTING &gt; Testing of and Testing Through Emerging Tech...")+COUNTIFS('Prácticas_Snowballing'!$AB$2:$AB$281,"T100",'Prácticas_Snowballing'!$AC$2:$AC$281,"SOFTWARE TESTING &gt; Testing of and Testing Through Emerging Tech...")</f>
        <v>0</v>
      </c>
      <c r="AO116" s="17">
        <f>COUNTIFS('Prácticas_Revisiones'!$S$2:$S$282,"T100",'Prácticas_Revisiones'!$T$2:$T$282,"SOFTWARE TESTING &gt; Software Testing Tools")+COUNTIFS('Prácticas_Snowballing'!$AB$2:$AB$281,"T100",'Prácticas_Snowballing'!$AC$2:$AC$281,"SOFTWARE TESTING &gt; Software Testing Tools")</f>
        <v>0</v>
      </c>
      <c r="AP116" s="17">
        <f>COUNTIFS('Prácticas_Revisiones'!$S$2:$S$282,"T100",'Prácticas_Revisiones'!$T$2:$T$282,"SOFTWARE TESTING &gt; Subárea no determinable")+COUNTIFS('Prácticas_Snowballing'!$AB$2:$AB$281,"T100",'Prácticas_Snowballing'!$AC$2:$AC$281,"SOFTWARE TESTING &gt; Subárea no determinable")</f>
        <v>0</v>
      </c>
      <c r="AQ116" s="29">
        <f t="shared" si="90"/>
        <v>0</v>
      </c>
      <c r="AR116" s="17">
        <f>COUNTIFS('Prácticas_Revisiones'!$S$2:$S$282,"T100",'Prácticas_Revisiones'!$T$2:$T$282,"SOFTWARE ENG. OPERATIONS &gt; Software Engineering Operations Fundamentals")+COUNTIFS('Prácticas_Snowballing'!$AB$2:$AB$281,"T100",'Prácticas_Snowballing'!$AC$2:$AC$281,"SOFTWARE ENG. OPERATIONS &gt; Software Engineering Operations Fundamentals")</f>
        <v>0</v>
      </c>
      <c r="AS116" s="17">
        <f>COUNTIFS('Prácticas_Revisiones'!$S$2:$S$282,"T100",'Prácticas_Revisiones'!$T$2:$T$282,"SOFTWARE ENG. OPERATIONS &gt; Software Engineering Operations Planning")+COUNTIFS('Prácticas_Snowballing'!$AB$2:$AB$281,"T100",'Prácticas_Snowballing'!$AC$2:$AC$281,"SOFTWARE ENG. OPERATIONS &gt; Software Engineering Operations Planning")</f>
        <v>0</v>
      </c>
      <c r="AT116" s="17">
        <f>COUNTIFS('Prácticas_Revisiones'!$S$2:$S$282,"T100",'Prácticas_Revisiones'!$T$2:$T$282,"SOFTWARE ENG. OPERATIONS &gt; Software Engineering Operations Delivery")+COUNTIFS('Prácticas_Snowballing'!$AB$2:$AB$281,"T100",'Prácticas_Snowballing'!$AC$2:$AC$281,"SOFTWARE ENG. OPERATIONS &gt; Software Engineering Operations Delivery")</f>
        <v>0</v>
      </c>
      <c r="AU116" s="17">
        <f>COUNTIFS('Prácticas_Revisiones'!$S$2:$S$282,"T100",'Prácticas_Revisiones'!$T$2:$T$282,"SOFTWARE ENG. OPERATIONS &gt; Software Engineering Operations Control")+COUNTIFS('Prácticas_Snowballing'!$AB$2:$AB$281,"T100",'Prácticas_Snowballing'!$AC$2:$AC$281,"SOFTWARE ENG. OPERATIONS &gt; Software Engineering Operations Control")</f>
        <v>0</v>
      </c>
      <c r="AV116" s="17">
        <f>COUNTIFS('Prácticas_Revisiones'!$S$2:$S$282,"T100",'Prácticas_Revisiones'!$T$2:$T$282,"SOFTWARE ENG. OPERATIONS &gt; Practical Considerations")+COUNTIFS('Prácticas_Snowballing'!$AB$2:$AB$281,"T100",'Prácticas_Snowballing'!$AC$2:$AC$281,"SOFTWARE ENG. OPERATIONS &gt; Practical Considerations")</f>
        <v>0</v>
      </c>
      <c r="AW116" s="17">
        <f>COUNTIFS('Prácticas_Revisiones'!$S$2:$S$282,"T100",'Prácticas_Revisiones'!$T$2:$T$282,"SOFTWARE ENG. OPERATIONS &gt; Software Engineering Operations Tools")+COUNTIFS('Prácticas_Snowballing'!$AB$2:$AB$281,"T100",'Prácticas_Snowballing'!$AC$2:$AC$281,"SOFTWARE ENG. OPERATIONS &gt; Software Engineering Operations Tools")</f>
        <v>0</v>
      </c>
      <c r="AX116" s="17">
        <f>COUNTIFS('Prácticas_Revisiones'!$S$2:$S$282,"T100",'Prácticas_Revisiones'!$T$2:$T$282,"SOFTWARE ENG. OPERATIONS &gt; Subárea no determinable")+COUNTIFS('Prácticas_Snowballing'!$AB$2:$AB$281,"T100",'Prácticas_Snowballing'!$AC$2:$AC$281,"SOFTWARE ENG. OPERATIONS &gt; Subárea no determinable")</f>
        <v>0</v>
      </c>
      <c r="AY116" s="29">
        <f t="shared" si="91"/>
        <v>0</v>
      </c>
      <c r="AZ116" s="17">
        <f>COUNTIFS('Prácticas_Revisiones'!$S$2:$S$282,"T100",'Prácticas_Revisiones'!$T$2:$T$282,"MAINTENANCE &gt; Software Maintenance Fundamentals")+COUNTIFS('Prácticas_Snowballing'!$AB$2:$AB$281,"T100",'Prácticas_Snowballing'!$AC$2:$AC$281,"MAINTENANCE &gt; Software Maintenance Fundamentals")</f>
        <v>0</v>
      </c>
      <c r="BA116" s="17">
        <f>COUNTIFS('Prácticas_Revisiones'!$S$2:$S$282,"T100",'Prácticas_Revisiones'!$T$2:$T$282,"MAINTENANCE &gt; Key Issues in Software Maintenance")+COUNTIFS('Prácticas_Snowballing'!$AB$2:$AB$281,"T100",'Prácticas_Snowballing'!$AC$2:$AC$281,"MAINTENANCE &gt; Key Issues in Software Maintenance")</f>
        <v>0</v>
      </c>
      <c r="BB116" s="17">
        <f>COUNTIFS('Prácticas_Revisiones'!$S$2:$S$282,"T100",'Prácticas_Revisiones'!$T$2:$T$282,"MAINTENANCE &gt; Software Maintenance Processes")+COUNTIFS('Prácticas_Snowballing'!$AB$2:$AB$281,"T100",'Prácticas_Snowballing'!$AC$2:$AC$281,"MAINTENANCE &gt; Software Maintenance Processes")</f>
        <v>0</v>
      </c>
      <c r="BC116" s="17">
        <f>COUNTIFS('Prácticas_Revisiones'!$S$2:$S$282,"T100",'Prácticas_Revisiones'!$T$2:$T$282,"MAINTENANCE &gt; Software Maintenance Techniques")+COUNTIFS('Prácticas_Snowballing'!$AB$2:$AB$281,"T100",'Prácticas_Snowballing'!$AC$2:$AC$281,"MAINTENANCE &gt; Software Maintenance Techniques")</f>
        <v>1</v>
      </c>
      <c r="BD116" s="17">
        <f>COUNTIFS('Prácticas_Revisiones'!$S$2:$S$282,"T100",'Prácticas_Revisiones'!$T$2:$T$282,"MAINTENANCE &gt; Software Maintenance Tools")+COUNTIFS('Prácticas_Snowballing'!$AB$2:$AB$281,"T100",'Prácticas_Snowballing'!$AC$2:$AC$281,"MAINTENANCE &gt; Software Maintenance Tools")</f>
        <v>0</v>
      </c>
      <c r="BE116" s="17">
        <f>COUNTIFS('Prácticas_Revisiones'!$S$2:$S$282,"T100",'Prácticas_Revisiones'!$T$2:$T$282,"MAINTENANCE &gt; Subárea no determinable")+COUNTIFS('Prácticas_Snowballing'!$AB$2:$AB$281,"T100",'Prácticas_Snowballing'!$AC$2:$AC$281,"MAINTENANCE &gt; Subárea no determinable")</f>
        <v>0</v>
      </c>
      <c r="BF116" s="29">
        <f t="shared" si="92"/>
        <v>1</v>
      </c>
      <c r="BG116" s="17">
        <f>COUNTIFS('Prácticas_Revisiones'!$S$2:$S$282,"T100",'Prácticas_Revisiones'!$T$2:$T$282,"SOFTWARE CONFIG. MGMT. &gt; Management of the SCM Process")+COUNTIFS('Prácticas_Snowballing'!$AB$2:$AB$281,"T100",'Prácticas_Snowballing'!$AC$2:$AC$281,"SOFTWARE CONFIG. MGMT. &gt; Management of the SCM Process")</f>
        <v>0</v>
      </c>
      <c r="BH116" s="17">
        <f>COUNTIFS('Prácticas_Revisiones'!$S$2:$S$282,"T100",'Prácticas_Revisiones'!$T$2:$T$282,"SOFTWARE CONFIG. MGMT. &gt; Software Configuration Identification")+COUNTIFS('Prácticas_Snowballing'!$AB$2:$AB$281,"T100",'Prácticas_Snowballing'!$AC$2:$AC$281,"SOFTWARE CONFIG. MGMT. &gt; Software Configuration Identification")</f>
        <v>0</v>
      </c>
      <c r="BI116" s="17">
        <f>COUNTIFS('Prácticas_Revisiones'!$S$2:$S$282,"T100",'Prácticas_Revisiones'!$T$2:$T$282,"SOFTWARE CONFIG. MGMT. &gt; Software Configuration Change Control")+COUNTIFS('Prácticas_Snowballing'!$AB$2:$AB$281,"T100",'Prácticas_Snowballing'!$AC$2:$AC$281,"SOFTWARE CONFIG. MGMT. &gt; Software Configuration Change Control")</f>
        <v>0</v>
      </c>
      <c r="BJ116" s="17">
        <f>COUNTIFS('Prácticas_Revisiones'!$S$2:$S$282,"T100",'Prácticas_Revisiones'!$T$2:$T$282,"SOFTWARE CONFIG. MGMT. &gt; Software Configuration Status Accounting")+COUNTIFS('Prácticas_Snowballing'!$AB$2:$AB$281,"T100",'Prácticas_Snowballing'!$AC$2:$AC$281,"SOFTWARE CONFIG. MGMT. &gt; Software Configuration Status Accounting")</f>
        <v>0</v>
      </c>
      <c r="BK116" s="17">
        <f>COUNTIFS('Prácticas_Revisiones'!$S$2:$S$282,"T100",'Prácticas_Revisiones'!$T$2:$T$282,"SOFTWARE CONFIG. MGMT. &gt; Software Configuration Auditing")+COUNTIFS('Prácticas_Snowballing'!$AB$2:$AB$281,"T100",'Prácticas_Snowballing'!$AC$2:$AC$281,"SOFTWARE CONFIG. MGMT. &gt; Software Configuration Auditing")</f>
        <v>0</v>
      </c>
      <c r="BL116" s="17">
        <f>COUNTIFS('Prácticas_Revisiones'!$S$2:$S$282,"T100",'Prácticas_Revisiones'!$T$2:$T$282,"SOFTWARE CONFIG. MGMT. &gt; Software Release Management and Delivery")+COUNTIFS('Prácticas_Snowballing'!$AB$2:$AB$281,"T100",'Prácticas_Snowballing'!$AC$2:$AC$281,"SOFTWARE CONFIG. MGMT. &gt; Software Release Management and Delivery")</f>
        <v>0</v>
      </c>
      <c r="BM116" s="17">
        <f>COUNTIFS('Prácticas_Revisiones'!$S$2:$S$282,"T100",'Prácticas_Revisiones'!$T$2:$T$282,"SOFTWARE CONFIG. MGMT. &gt; Software Configuration Management Tools")+COUNTIFS('Prácticas_Snowballing'!$AB$2:$AB$281,"T100",'Prácticas_Snowballing'!$AC$2:$AC$281,"SOFTWARE CONFIG. MGMT. &gt; Software Configuration Management Tools")</f>
        <v>0</v>
      </c>
      <c r="BN116" s="17">
        <f>COUNTIFS('Prácticas_Revisiones'!$S$2:$S$282,"T100",'Prácticas_Revisiones'!$T$2:$T$282,"SOFTWARE CONFIG. MGMT. &gt; Subárea no determinable")+COUNTIFS('Prácticas_Snowballing'!$AB$2:$AB$281,"T100",'Prácticas_Snowballing'!$AC$2:$AC$281,"SOFTWARE CONFIG. MGMT. &gt; Subárea no determinable")</f>
        <v>0</v>
      </c>
      <c r="BO116" s="29">
        <f t="shared" si="93"/>
        <v>0</v>
      </c>
      <c r="BP116" s="17">
        <f>COUNTIFS('Prácticas_Revisiones'!$S$2:$S$282,"T100",'Prácticas_Revisiones'!$T$2:$T$282,"SOFTWARE ENG. PROCESS &gt; Software Engineering Process Fundamentals")+COUNTIFS('Prácticas_Snowballing'!$AB$2:$AB$281,"T100",'Prácticas_Snowballing'!$AC$2:$AC$281,"SOFTWARE ENG. PROCESS &gt; Software Engineering Process Fundamentals")</f>
        <v>0</v>
      </c>
      <c r="BQ116" s="17">
        <f>COUNTIFS('Prácticas_Revisiones'!$S$2:$S$282,"T100",'Prácticas_Revisiones'!$T$2:$T$282,"SOFTWARE ENG. PROCESS &gt; Life Cycles")+COUNTIFS('Prácticas_Snowballing'!$AB$2:$AB$281,"T100",'Prácticas_Snowballing'!$AC$2:$AC$281,"SOFTWARE ENG. PROCESS &gt; Life Cycles")</f>
        <v>0</v>
      </c>
      <c r="BR116" s="17">
        <f>COUNTIFS('Prácticas_Revisiones'!$S$2:$S$282,"T100",'Prácticas_Revisiones'!$T$2:$T$282,"SOFTWARE ENG. PROCESS &gt; Software Process Assessment and Improvement")+COUNTIFS('Prácticas_Snowballing'!$AB$2:$AB$281,"T100",'Prácticas_Snowballing'!$AC$2:$AC$281,"SOFTWARE ENG. PROCESS &gt; Software Process Assessment and Improvement")</f>
        <v>0</v>
      </c>
      <c r="BS116" s="17">
        <f>COUNTIFS('Prácticas_Revisiones'!$S$2:$S$282,"T100",'Prácticas_Revisiones'!$T$2:$T$282,"SOFTWARE ENG. PROCESS &gt; Subárea no determinable")+COUNTIFS('Prácticas_Snowballing'!$AB$2:$AB$281,"T100",'Prácticas_Snowballing'!$AC$2:$AC$281,"SOFTWARE ENG. PROCESS &gt; Subárea no determinable")</f>
        <v>0</v>
      </c>
      <c r="BT116" s="29">
        <f t="shared" si="94"/>
        <v>0</v>
      </c>
      <c r="BU116" s="17">
        <f>COUNTIFS('Prácticas_Revisiones'!$S$2:$S$282,"T100",'Prácticas_Revisiones'!$T$2:$T$282,"SOFTWARE ENG. MODELS/METH. &gt; Modeling")+COUNTIFS('Prácticas_Snowballing'!$AB$2:$AB$281,"T100",'Prácticas_Snowballing'!$AC$2:$AC$281,"SOFTWARE ENG. MODELS/METH. &gt; Modeling")</f>
        <v>0</v>
      </c>
      <c r="BV116" s="17">
        <f>COUNTIFS('Prácticas_Revisiones'!$S$2:$S$282,"T100",'Prácticas_Revisiones'!$T$2:$T$282,"SOFTWARE ENG. MODELS/METH. &gt; Types of Models")+COUNTIFS('Prácticas_Snowballing'!$AB$2:$AB$281,"T100",'Prácticas_Snowballing'!$AC$2:$AC$281,"SOFTWARE ENG. MODELS/METH. &gt; Types of Models")</f>
        <v>0</v>
      </c>
      <c r="BW116" s="17">
        <f>COUNTIFS('Prácticas_Revisiones'!$S$2:$S$282,"T100",'Prácticas_Revisiones'!$T$2:$T$282,"SOFTWARE ENG. MODELS/METH. &gt; Analysis of Models")+COUNTIFS('Prácticas_Snowballing'!$AB$2:$AB$281,"T100",'Prácticas_Snowballing'!$AC$2:$AC$281,"SOFTWARE ENG. MODELS/METH. &gt; Analysis of Models")</f>
        <v>0</v>
      </c>
      <c r="BX116" s="17">
        <f>COUNTIFS('Prácticas_Revisiones'!$S$2:$S$282,"T100",'Prácticas_Revisiones'!$T$2:$T$282,"SOFTWARE ENG. MODELS/METH. &gt; Software Engineering Methods")+COUNTIFS('Prácticas_Snowballing'!$AB$2:$AB$281,"T100",'Prácticas_Snowballing'!$AC$2:$AC$281,"SOFTWARE ENG. MODELS/METH. &gt; Software Engineering Methods")</f>
        <v>0</v>
      </c>
      <c r="BY116" s="17">
        <f>COUNTIFS('Prácticas_Revisiones'!$S$2:$S$282,"T100",'Prácticas_Revisiones'!$T$2:$T$282,"SOFTWARE ENG. MODELS/METH. &gt; Subárea no determinable")+COUNTIFS('Prácticas_Snowballing'!$AB$2:$AB$281,"T100",'Prácticas_Snowballing'!$AC$2:$AC$281,"SOFTWARE ENG. MODELS/METH. &gt; Subárea no determinable")</f>
        <v>0</v>
      </c>
      <c r="BZ116" s="29">
        <f t="shared" si="95"/>
        <v>0</v>
      </c>
      <c r="CA116" s="17">
        <f>COUNTIFS('Prácticas_Revisiones'!$S$2:$S$282,"T100",'Prácticas_Revisiones'!$T$2:$T$282,"SOFTWARE QUALITY &gt; Software Quality Fundamentals")+COUNTIFS('Prácticas_Snowballing'!$AB$2:$AB$281,"T100",'Prácticas_Snowballing'!$AC$2:$AC$281,"SOFTWARE QUALITY &gt; Software Quality Fundamentals")</f>
        <v>0</v>
      </c>
      <c r="CB116" s="17">
        <f>COUNTIFS('Prácticas_Revisiones'!$S$2:$S$282,"T100",'Prácticas_Revisiones'!$T$2:$T$282,"SOFTWARE QUALITY &gt; Software Quality Management Process")+COUNTIFS('Prácticas_Snowballing'!$AB$2:$AB$281,"T100",'Prácticas_Snowballing'!$AC$2:$AC$281,"SOFTWARE QUALITY &gt; Software Quality Management Process")</f>
        <v>0</v>
      </c>
      <c r="CC116" s="17">
        <f>COUNTIFS('Prácticas_Revisiones'!$S$2:$S$282,"T100",'Prácticas_Revisiones'!$T$2:$T$282,"SOFTWARE QUALITY &gt; Software Quality Assurance Process")+COUNTIFS('Prácticas_Snowballing'!$AB$2:$AB$281,"T100",'Prácticas_Snowballing'!$AC$2:$AC$281,"SOFTWARE QUALITY &gt; Software Quality Assurance Process")</f>
        <v>0</v>
      </c>
      <c r="CD116" s="17">
        <f>COUNTIFS('Prácticas_Revisiones'!$S$2:$S$282,"T100",'Prácticas_Revisiones'!$T$2:$T$282,"SOFTWARE QUALITY &gt; Software Quality Tools")+COUNTIFS('Prácticas_Snowballing'!$AB$2:$AB$281,"T100",'Prácticas_Snowballing'!$AC$2:$AC$281,"SOFTWARE QUALITY &gt; Software Quality Tools")</f>
        <v>0</v>
      </c>
      <c r="CE116" s="17">
        <f>COUNTIFS('Prácticas_Revisiones'!$S$2:$S$282,"T100",'Prácticas_Revisiones'!$T$2:$T$282,"SOFTWARE QUALITY &gt; Subárea no determinable")+COUNTIFS('Prácticas_Snowballing'!$AB$2:$AB$281,"T100",'Prácticas_Snowballing'!$AC$2:$AC$281,"SOFTWARE QUALITY &gt; Subárea no determinable")</f>
        <v>0</v>
      </c>
      <c r="CF116" s="29">
        <f t="shared" si="96"/>
        <v>0</v>
      </c>
      <c r="CG116" s="17">
        <f>COUNTIFS('Prácticas_Revisiones'!$S$2:$S$282,"T100",'Prácticas_Revisiones'!$T$2:$T$282,"SOFTWARE SECURITY &gt; Software Security Fundamentals")+COUNTIFS('Prácticas_Snowballing'!$AB$2:$AB$281,"T100",'Prácticas_Snowballing'!$AC$2:$AC$281,"SOFTWARE SECURITY &gt; Software Security Fundamentals")</f>
        <v>0</v>
      </c>
      <c r="CH116" s="17">
        <f>COUNTIFS('Prácticas_Revisiones'!$S$2:$S$282,"T100",'Prácticas_Revisiones'!$T$2:$T$282,"SOFTWARE SECURITY &gt; Security Management and Organization")+COUNTIFS('Prácticas_Snowballing'!$AB$2:$AB$281,"T100",'Prácticas_Snowballing'!$AC$2:$AC$281,"SOFTWARE SECURITY &gt; Security Management and Organization")</f>
        <v>0</v>
      </c>
      <c r="CI116" s="17">
        <f>COUNTIFS('Prácticas_Revisiones'!$S$2:$S$282,"T100",'Prácticas_Revisiones'!$T$2:$T$282,"SOFTWARE SECURITY &gt; Software Security Engineering and Process")+COUNTIFS('Prácticas_Snowballing'!$AB$2:$AB$281,"T100",'Prácticas_Snowballing'!$AC$2:$AC$281,"SOFTWARE SECURITY &gt; Software Security Engineering and Process")</f>
        <v>0</v>
      </c>
      <c r="CJ116" s="17">
        <f>COUNTIFS('Prácticas_Revisiones'!$S$2:$S$282,"T100",'Prácticas_Revisiones'!$T$2:$T$282,"SOFTWARE SECURITY &gt; Security Engineering for Software Systems")+COUNTIFS('Prácticas_Snowballing'!$AB$2:$AB$281,"T100",'Prácticas_Snowballing'!$AC$2:$AC$281,"SOFTWARE SECURITY &gt; Security Engineering for Software Systems")</f>
        <v>0</v>
      </c>
      <c r="CK116" s="17">
        <f>COUNTIFS('Prácticas_Revisiones'!$S$2:$S$282,"T100",'Prácticas_Revisiones'!$T$2:$T$282,"SOFTWARE SECURITY &gt; Software Security Tools")+COUNTIFS('Prácticas_Snowballing'!$AB$2:$AB$281,"T100",'Prácticas_Snowballing'!$AC$2:$AC$281,"SOFTWARE SECURITY &gt; Software Security Tools")</f>
        <v>0</v>
      </c>
      <c r="CL116" s="17">
        <f>COUNTIFS('Prácticas_Revisiones'!$S$2:$S$282,"T100",'Prácticas_Revisiones'!$T$2:$T$282,"SOFTWARE SECURITY &gt; Domain Specific Software Security")+COUNTIFS('Prácticas_Snowballing'!$AB$2:$AB$281,"T100",'Prácticas_Snowballing'!$AC$2:$AC$281,"SOFTWARE SECURITY &gt; Domain Specific Software Security")</f>
        <v>0</v>
      </c>
      <c r="CM116" s="17">
        <f>COUNTIFS('Prácticas_Revisiones'!$S$2:$S$282,"T100",'Prácticas_Revisiones'!$T$2:$T$282,"SOFTWARE SECURITY &gt; Subárea no determinable")+COUNTIFS('Prácticas_Snowballing'!$AB$2:$AB$281,"T100",'Prácticas_Snowballing'!$AC$2:$AC$281,"SOFTWARE SECURITY &gt; Subárea no determinable")</f>
        <v>0</v>
      </c>
      <c r="CN116" s="29">
        <f t="shared" si="97"/>
        <v>0</v>
      </c>
      <c r="CO116" s="17">
        <f>COUNTIFS('Prácticas_Revisiones'!$S$2:$S$282,"T100",'Prácticas_Revisiones'!$T$2:$T$282,"PROFESSIONAL PRACTICE &gt; Professionalism")+COUNTIFS('Prácticas_Snowballing'!$AB$2:$AB$281,"T100",'Prácticas_Snowballing'!$AC$2:$AC$281,"PROFESSIONAL PRACTICE &gt; Professionalism")</f>
        <v>0</v>
      </c>
      <c r="CP116" s="17">
        <f>COUNTIFS('Prácticas_Revisiones'!$S$2:$S$282,"T100",'Prácticas_Revisiones'!$T$2:$T$282,"PROFESSIONAL PRACTICE &gt; Group Dynamics and Psychology")+COUNTIFS('Prácticas_Snowballing'!$AB$2:$AB$281,"T100",'Prácticas_Snowballing'!$AC$2:$AC$281,"PROFESSIONAL PRACTICE &gt; Group Dynamics and Psychology")</f>
        <v>0</v>
      </c>
      <c r="CQ116" s="17">
        <f>COUNTIFS('Prácticas_Revisiones'!$S$2:$S$282,"T100",'Prácticas_Revisiones'!$T$2:$T$282,"PROFESSIONAL PRACTICE &gt; Communication Skills")+COUNTIFS('Prácticas_Snowballing'!$AB$2:$AB$281,"T100",'Prácticas_Snowballing'!$AC$2:$AC$281,"PROFESSIONAL PRACTICE &gt; Communication Skills")</f>
        <v>0</v>
      </c>
      <c r="CR116" s="17">
        <f>COUNTIFS('Prácticas_Revisiones'!$S$2:$S$282,"T100",'Prácticas_Revisiones'!$T$2:$T$282,"PROFESSIONAL PRACTICE &gt; Subárea no determinable")+COUNTIFS('Prácticas_Snowballing'!$AB$2:$AB$281,"T100",'Prácticas_Snowballing'!$AC$2:$AC$281,"PROFESSIONAL PRACTICE &gt; Subárea no determinable")</f>
        <v>0</v>
      </c>
      <c r="CS116" s="29">
        <f t="shared" si="98"/>
        <v>0</v>
      </c>
      <c r="CT116" s="17">
        <f>COUNTIFS('Prácticas_Revisiones'!$S$2:$S$282,"T100",'Prácticas_Revisiones'!$T$2:$T$282,"SOFTWARE ENG. ECONOMICS &gt; Software Engineering Economics Fundamentals")+COUNTIFS('Prácticas_Snowballing'!$AB$2:$AB$281,"T100",'Prácticas_Snowballing'!$AC$2:$AC$281,"SOFTWARE ENG. ECONOMICS &gt; Software Engineering Economics Fundamentals")</f>
        <v>0</v>
      </c>
      <c r="CU116" s="17">
        <f>COUNTIFS('Prácticas_Revisiones'!$S$2:$S$282,"T100",'Prácticas_Revisiones'!$T$2:$T$282,"SOFTWARE ENG. ECONOMICS &gt; The Engineering Decision-Making Process")+COUNTIFS('Prácticas_Snowballing'!$AB$2:$AB$281,"T100",'Prácticas_Snowballing'!$AC$2:$AC$281,"SOFTWARE ENG. ECONOMICS &gt; The Engineering Decision-Making Process")</f>
        <v>0</v>
      </c>
      <c r="CV116" s="17">
        <f>COUNTIFS('Prácticas_Revisiones'!$S$2:$S$282,"T100",'Prácticas_Revisiones'!$T$2:$T$282,"SOFTWARE ENG. ECONOMICS &gt; For-Profit Decision-Making")+COUNTIFS('Prácticas_Snowballing'!$AB$2:$AB$281,"T100",'Prácticas_Snowballing'!$AC$2:$AC$281,"SOFTWARE ENG. ECONOMICS &gt; For-Profit Decision-Making")</f>
        <v>0</v>
      </c>
      <c r="CW116" s="17">
        <f>COUNTIFS('Prácticas_Revisiones'!$S$2:$S$282,"T100",'Prácticas_Revisiones'!$T$2:$T$282,"SOFTWARE ENG. ECONOMICS &gt; Nonprofit Decision-Making")+COUNTIFS('Prácticas_Snowballing'!$AB$2:$AB$281,"T100",'Prácticas_Snowballing'!$AC$2:$AC$281,"SOFTWARE ENG. ECONOMICS &gt; Nonprofit Decision-Making")</f>
        <v>0</v>
      </c>
      <c r="CX116" s="17">
        <f>COUNTIFS('Prácticas_Revisiones'!$S$2:$S$282,"T100",'Prácticas_Revisiones'!$T$2:$T$282,"SOFTWARE ENG. ECONOMICS &gt; Present Economy Decision-Making")+COUNTIFS('Prácticas_Snowballing'!$AB$2:$AB$281,"T100",'Prácticas_Snowballing'!$AC$2:$AC$281,"SOFTWARE ENG. ECONOMICS &gt; Present Economy Decision-Making")</f>
        <v>0</v>
      </c>
      <c r="CY116" s="17">
        <f>COUNTIFS('Prácticas_Revisiones'!$S$2:$S$282,"T100",'Prácticas_Revisiones'!$T$2:$T$282,"SOFTWARE ENG. ECONOMICS &gt; Multiple-Attribute Decision-Making")+COUNTIFS('Prácticas_Snowballing'!$AB$2:$AB$281,"T100",'Prácticas_Snowballing'!$AC$2:$AC$281,"SOFTWARE ENG. ECONOMICS &gt; Multiple-Attribute Decision-Making")</f>
        <v>0</v>
      </c>
      <c r="CZ116" s="17">
        <f>COUNTIFS('Prácticas_Revisiones'!$S$2:$S$282,"T100",'Prácticas_Revisiones'!$T$2:$T$282,"SOFTWARE ENG. ECONOMICS &gt; Identifying and Characterizing Intangible Assets")+COUNTIFS('Prácticas_Snowballing'!$AB$2:$AB$281,"T100",'Prácticas_Snowballing'!$AC$2:$AC$281,"SOFTWARE ENG. ECONOMICS &gt; Identifying and Characterizing Intangible Assets")</f>
        <v>0</v>
      </c>
      <c r="DA116" s="17">
        <f>COUNTIFS('Prácticas_Revisiones'!$S$2:$S$282,"T100",'Prácticas_Revisiones'!$T$2:$T$282,"SOFTWARE ENG. ECONOMICS &gt; Estimation")+COUNTIFS('Prácticas_Snowballing'!$AB$2:$AB$281,"T100",'Prácticas_Snowballing'!$AC$2:$AC$281,"SOFTWARE ENG. ECONOMICS &gt; Estimation")</f>
        <v>0</v>
      </c>
      <c r="DB116" s="17">
        <f>COUNTIFS('Prácticas_Revisiones'!$S$2:$S$282,"T100",'Prácticas_Revisiones'!$T$2:$T$282,"SOFTWARE ENG. ECONOMICS &gt; Practical Considerations")+COUNTIFS('Prácticas_Snowballing'!$AB$2:$AB$281,"T100",'Prácticas_Snowballing'!$AC$2:$AC$281,"SOFTWARE ENG. ECONOMICS &gt; Practical Considerations")</f>
        <v>0</v>
      </c>
      <c r="DC116" s="17">
        <f>COUNTIFS('Prácticas_Revisiones'!$S$2:$S$282,"T100",'Prácticas_Revisiones'!$T$2:$T$282,"SOFTWARE ENG. ECONOMICS &gt; Related Concepts")+COUNTIFS('Prácticas_Snowballing'!$AB$2:$AB$281,"T100",'Prácticas_Snowballing'!$AC$2:$AC$281,"SOFTWARE ENG. ECONOMICS &gt; Related Concepts")</f>
        <v>0</v>
      </c>
      <c r="DD116" s="17">
        <f>COUNTIFS('Prácticas_Revisiones'!$S$2:$S$282,"T100",'Prácticas_Revisiones'!$T$2:$T$282,"SOFTWARE ENG. ECONOMICS &gt; Subárea no determinable")+COUNTIFS('Prácticas_Snowballing'!$AB$2:$AB$281,"T100",'Prácticas_Snowballing'!$AC$2:$AC$281,"SOFTWARE ENG. ECONOMICS &gt; Subárea no determinable")</f>
        <v>0</v>
      </c>
      <c r="DE116" s="29">
        <f t="shared" si="99"/>
        <v>0</v>
      </c>
      <c r="DF116" s="17">
        <f>COUNTIFS('Prácticas_Revisiones'!$S$2:$S$282,"T100",'Prácticas_Revisiones'!$T$2:$T$282,"SOFTWARE ENG. MANAGEMENT &gt; Software Engineering Management Fundamentals")+COUNTIFS('Prácticas_Snowballing'!$AB$2:$AB$281,"T100",'Prácticas_Snowballing'!$AC$2:$AC$281,"SOFTWARE ENG. MANAGEMENT &gt; Software Engineering Management Fundamentals")</f>
        <v>0</v>
      </c>
      <c r="DG116" s="17">
        <f>COUNTIFS('Prácticas_Revisiones'!$S$2:$S$282,"T100",'Prácticas_Revisiones'!$T$2:$T$282,"SOFTWARE ENG. MANAGEMENT &gt; Initiation and Scope Definition")+COUNTIFS('Prácticas_Snowballing'!$AB$2:$AB$281,"T100",'Prácticas_Snowballing'!$AC$2:$AC$281,"SOFTWARE ENG. MANAGEMENT &gt; Initiation and Scope Definition")</f>
        <v>0</v>
      </c>
      <c r="DH116" s="17">
        <f>COUNTIFS('Prácticas_Revisiones'!$S$2:$S$282,"T100",'Prácticas_Revisiones'!$T$2:$T$282,"SOFTWARE ENG. MANAGEMENT &gt; Software Project Planning")+COUNTIFS('Prácticas_Snowballing'!$AB$2:$AB$281,"T100",'Prácticas_Snowballing'!$AC$2:$AC$281,"SOFTWARE ENG. MANAGEMENT &gt; Software Project Planning")</f>
        <v>0</v>
      </c>
      <c r="DI116" s="17">
        <f>COUNTIFS('Prácticas_Revisiones'!$S$2:$S$282,"T100",'Prácticas_Revisiones'!$T$2:$T$282,"SOFTWARE ENG. MANAGEMENT &gt; Software Project Enactment")+COUNTIFS('Prácticas_Snowballing'!$AB$2:$AB$281,"T100",'Prácticas_Snowballing'!$AC$2:$AC$281,"SOFTWARE ENG. MANAGEMENT &gt; Software Project Enactment")</f>
        <v>0</v>
      </c>
      <c r="DJ116" s="17">
        <f>COUNTIFS('Prácticas_Revisiones'!$S$2:$S$282,"T100",'Prácticas_Revisiones'!$T$2:$T$282,"SOFTWARE ENG. MANAGEMENT &gt; Review and Evaluation")+COUNTIFS('Prácticas_Snowballing'!$AB$2:$AB$281,"T100",'Prácticas_Snowballing'!$AC$2:$AC$281,"SOFTWARE ENG. MANAGEMENT &gt; Review and Evaluation")</f>
        <v>0</v>
      </c>
      <c r="DK116" s="17">
        <f>COUNTIFS('Prácticas_Revisiones'!$S$2:$S$282,"T100",'Prácticas_Revisiones'!$T$2:$T$282,"SOFTWARE ENG. MANAGEMENT &gt; Closure")+COUNTIFS('Prácticas_Snowballing'!$AB$2:$AB$281,"T100",'Prácticas_Snowballing'!$AC$2:$AC$281,"SOFTWARE ENG. MANAGEMENT &gt; Closure")</f>
        <v>0</v>
      </c>
      <c r="DL116" s="17">
        <f>COUNTIFS('Prácticas_Revisiones'!$S$2:$S$282,"T100",'Prácticas_Revisiones'!$T$2:$T$282,"SOFTWARE ENG. MANAGEMENT &gt; Software Engineering Management Tools")+COUNTIFS('Prácticas_Snowballing'!$AB$2:$AB$281,"T100",'Prácticas_Snowballing'!$AC$2:$AC$281,"SOFTWARE ENG. MANAGEMENT &gt; Software Engineering Management Tools")</f>
        <v>0</v>
      </c>
      <c r="DM116" s="17">
        <f>COUNTIFS('Prácticas_Revisiones'!$S$2:$S$282,"T100",'Prácticas_Revisiones'!$T$2:$T$282,"SOFTWARE ENG. MANAGEMENT &gt; Subárea no determinable")+COUNTIFS('Prácticas_Snowballing'!$AB$2:$AB$281,"T100",'Prácticas_Snowballing'!$AC$2:$AC$281,"SOFTWARE ENG. MANAGEMENT &gt; Subárea no determinable")</f>
        <v>0</v>
      </c>
      <c r="DN116" s="29">
        <f t="shared" si="100"/>
        <v>0</v>
      </c>
      <c r="DO116" s="17">
        <f>COUNTIFS('Prácticas_Revisiones'!$S$2:$S$282,"T100",'Prácticas_Revisiones'!$T$2:$T$282,"Sin área SWEBOK")+COUNTIFS('Prácticas_Snowballing'!$AB$2:$AB$281,"T100",'Prácticas_Snowballing'!$AC$2:$AC$281,"Sin área SWEBOK")</f>
        <v>0</v>
      </c>
      <c r="DP116" s="27">
        <f t="shared" si="101"/>
        <v>1</v>
      </c>
    </row>
    <row r="117" ht="15.75" customHeight="1">
      <c r="A117" s="23"/>
      <c r="B117" s="9" t="s">
        <v>2199</v>
      </c>
      <c r="C117" s="17">
        <f>COUNTIFS('Prácticas_Revisiones'!$S$2:$S$282,"Sin equivalente en catálogo (CONSTRUIR)",'Prácticas_Revisiones'!$T$2:$T$282,"REQUIREMENTS &gt; Software Requirements Fundamentals")+COUNTIFS('Prácticas_Snowballing'!$AB$2:$AB$281,"Sin equivalente en catálogo (CONSTRUIR)",'Prácticas_Snowballing'!$AC$2:$AC$281,"REQUIREMENTS &gt; Software Requirements Fundamentals")</f>
        <v>0</v>
      </c>
      <c r="D117" s="17">
        <f>COUNTIFS('Prácticas_Revisiones'!$S$2:$S$282,"Sin equivalente en catálogo (CONSTRUIR)",'Prácticas_Revisiones'!$T$2:$T$282,"REQUIREMENTS &gt; Requirements Elicitation")+COUNTIFS('Prácticas_Snowballing'!$AB$2:$AB$281,"Sin equivalente en catálogo (CONSTRUIR)",'Prácticas_Snowballing'!$AC$2:$AC$281,"REQUIREMENTS &gt; Requirements Elicitation")</f>
        <v>0</v>
      </c>
      <c r="E117" s="17">
        <f>COUNTIFS('Prácticas_Revisiones'!$S$2:$S$282,"Sin equivalente en catálogo (CONSTRUIR)",'Prácticas_Revisiones'!$T$2:$T$282,"REQUIREMENTS &gt; Requirements Analysis")+COUNTIFS('Prácticas_Snowballing'!$AB$2:$AB$281,"Sin equivalente en catálogo (CONSTRUIR)",'Prácticas_Snowballing'!$AC$2:$AC$281,"REQUIREMENTS &gt; Requirements Analysis")</f>
        <v>0</v>
      </c>
      <c r="F117" s="17">
        <f>COUNTIFS('Prácticas_Revisiones'!$S$2:$S$282,"Sin equivalente en catálogo (CONSTRUIR)",'Prácticas_Revisiones'!$T$2:$T$282,"REQUIREMENTS &gt; Requirements Specification")+COUNTIFS('Prácticas_Snowballing'!$AB$2:$AB$281,"Sin equivalente en catálogo (CONSTRUIR)",'Prácticas_Snowballing'!$AC$2:$AC$281,"REQUIREMENTS &gt; Requirements Specification")</f>
        <v>0</v>
      </c>
      <c r="G117" s="17">
        <f>COUNTIFS('Prácticas_Revisiones'!$S$2:$S$282,"Sin equivalente en catálogo (CONSTRUIR)",'Prácticas_Revisiones'!$T$2:$T$282,"REQUIREMENTS &gt; Requirements Validation")+COUNTIFS('Prácticas_Snowballing'!$AB$2:$AB$281,"Sin equivalente en catálogo (CONSTRUIR)",'Prácticas_Snowballing'!$AC$2:$AC$281,"REQUIREMENTS &gt; Requirements Validation")</f>
        <v>0</v>
      </c>
      <c r="H117" s="17">
        <f>COUNTIFS('Prácticas_Revisiones'!$S$2:$S$282,"Sin equivalente en catálogo (CONSTRUIR)",'Prácticas_Revisiones'!$T$2:$T$282,"REQUIREMENTS &gt; Requirements Management Activities")+COUNTIFS('Prácticas_Snowballing'!$AB$2:$AB$281,"Sin equivalente en catálogo (CONSTRUIR)",'Prácticas_Snowballing'!$AC$2:$AC$281,"REQUIREMENTS &gt; Requirements Management Activities")</f>
        <v>0</v>
      </c>
      <c r="I117" s="17">
        <f>COUNTIFS('Prácticas_Revisiones'!$S$2:$S$282,"Sin equivalente en catálogo (CONSTRUIR)",'Prácticas_Revisiones'!$T$2:$T$282,"REQUIREMENTS &gt; Practical Considerations")+COUNTIFS('Prácticas_Snowballing'!$AB$2:$AB$281,"Sin equivalente en catálogo (CONSTRUIR)",'Prácticas_Snowballing'!$AC$2:$AC$281,"REQUIREMENTS &gt; Practical Considerations")</f>
        <v>0</v>
      </c>
      <c r="J117" s="17">
        <f>COUNTIFS('Prácticas_Revisiones'!$S$2:$S$282,"Sin equivalente en catálogo (CONSTRUIR)",'Prácticas_Revisiones'!$T$2:$T$282,"REQUIREMENTS &gt; Software Requirements Tools")+COUNTIFS('Prácticas_Snowballing'!$AB$2:$AB$281,"Sin equivalente en catálogo (CONSTRUIR)",'Prácticas_Snowballing'!$AC$2:$AC$281,"REQUIREMENTS &gt; Software Requirements Tools")</f>
        <v>0</v>
      </c>
      <c r="K117" s="17">
        <f>COUNTIFS('Prácticas_Revisiones'!$S$2:$S$282,"Sin equivalente en catálogo (CONSTRUIR)",'Prácticas_Revisiones'!$T$2:$T$282,"REQUIREMENTS &gt; Subárea no determinable")+COUNTIFS('Prácticas_Snowballing'!$AB$2:$AB$281,"Sin equivalente en catálogo (CONSTRUIR)",'Prácticas_Snowballing'!$AC$2:$AC$281,"REQUIREMENTS &gt; Subárea no determinable")</f>
        <v>0</v>
      </c>
      <c r="L117" s="29">
        <f t="shared" si="86"/>
        <v>0</v>
      </c>
      <c r="M117" s="17">
        <f>COUNTIFS('Prácticas_Revisiones'!$S$2:$S$282,"Sin equivalente en catálogo (CONSTRUIR)",'Prácticas_Revisiones'!$T$2:$T$282,"ARCHITECTURE &gt; Software Architecture Fundamentals")+COUNTIFS('Prácticas_Snowballing'!$AB$2:$AB$281,"Sin equivalente en catálogo (CONSTRUIR)",'Prácticas_Snowballing'!$AC$2:$AC$281,"ARCHITECTURE &gt; Software Architecture Fundamentals")</f>
        <v>0</v>
      </c>
      <c r="N117" s="17">
        <f>COUNTIFS('Prácticas_Revisiones'!$S$2:$S$282,"Sin equivalente en catálogo (CONSTRUIR)",'Prácticas_Revisiones'!$T$2:$T$282,"ARCHITECTURE &gt; Software Architecture Description")+COUNTIFS('Prácticas_Snowballing'!$AB$2:$AB$281,"Sin equivalente en catálogo (CONSTRUIR)",'Prácticas_Snowballing'!$AC$2:$AC$281,"ARCHITECTURE &gt; Software Architecture Description")</f>
        <v>0</v>
      </c>
      <c r="O117" s="17">
        <f>COUNTIFS('Prácticas_Revisiones'!$S$2:$S$282,"Sin equivalente en catálogo (CONSTRUIR)",'Prácticas_Revisiones'!$T$2:$T$282,"ARCHITECTURE &gt; Software Architecture Process")+COUNTIFS('Prácticas_Snowballing'!$AB$2:$AB$281,"Sin equivalente en catálogo (CONSTRUIR)",'Prácticas_Snowballing'!$AC$2:$AC$281,"ARCHITECTURE &gt; Software Architecture Process")</f>
        <v>0</v>
      </c>
      <c r="P117" s="17">
        <f>COUNTIFS('Prácticas_Revisiones'!$S$2:$S$282,"Sin equivalente en catálogo (CONSTRUIR)",'Prácticas_Revisiones'!$T$2:$T$282,"ARCHITECTURE &gt; Software Architecture Evaluation")+COUNTIFS('Prácticas_Snowballing'!$AB$2:$AB$281,"Sin equivalente en catálogo (CONSTRUIR)",'Prácticas_Snowballing'!$AC$2:$AC$281,"ARCHITECTURE &gt; Software Architecture Evaluation")</f>
        <v>0</v>
      </c>
      <c r="Q117" s="17">
        <f>COUNTIFS('Prácticas_Revisiones'!$S$2:$S$282,"Sin equivalente en catálogo (CONSTRUIR)",'Prácticas_Revisiones'!$T$2:$T$282,"ARCHITECTURE &gt; Subárea no determinable")+COUNTIFS('Prácticas_Snowballing'!$AB$2:$AB$281,"Sin equivalente en catálogo (CONSTRUIR)",'Prácticas_Snowballing'!$AC$2:$AC$281,"ARCHITECTURE &gt; Subárea no determinable")</f>
        <v>0</v>
      </c>
      <c r="R117" s="29">
        <f t="shared" si="87"/>
        <v>0</v>
      </c>
      <c r="S117" s="17">
        <f>COUNTIFS('Prácticas_Revisiones'!$S$2:$S$282,"Sin equivalente en catálogo (CONSTRUIR)",'Prácticas_Revisiones'!$T$2:$T$282,"DESIGN &gt; Software Design Fundamentals")+COUNTIFS('Prácticas_Snowballing'!$AB$2:$AB$281,"Sin equivalente en catálogo (CONSTRUIR)",'Prácticas_Snowballing'!$AC$2:$AC$281,"DESIGN &gt; Software Design Fundamentals")</f>
        <v>0</v>
      </c>
      <c r="T117" s="17">
        <f>COUNTIFS('Prácticas_Revisiones'!$S$2:$S$282,"Sin equivalente en catálogo (CONSTRUIR)",'Prácticas_Revisiones'!$T$2:$T$282,"DESIGN &gt; Software Design Processes")+COUNTIFS('Prácticas_Snowballing'!$AB$2:$AB$281,"Sin equivalente en catálogo (CONSTRUIR)",'Prácticas_Snowballing'!$AC$2:$AC$281,"DESIGN &gt; Software Design Processes")</f>
        <v>0</v>
      </c>
      <c r="U117" s="17">
        <f>COUNTIFS('Prácticas_Revisiones'!$S$2:$S$282,"Sin equivalente en catálogo (CONSTRUIR)",'Prácticas_Revisiones'!$T$2:$T$282,"DESIGN &gt; Software Design Qualities")+COUNTIFS('Prácticas_Snowballing'!$AB$2:$AB$281,"Sin equivalente en catálogo (CONSTRUIR)",'Prácticas_Snowballing'!$AC$2:$AC$281,"DESIGN &gt; Software Design Qualities")</f>
        <v>0</v>
      </c>
      <c r="V117" s="17">
        <f>COUNTIFS('Prácticas_Revisiones'!$S$2:$S$282,"Sin equivalente en catálogo (CONSTRUIR)",'Prácticas_Revisiones'!$T$2:$T$282,"DESIGN &gt; Recording Software Design")+COUNTIFS('Prácticas_Snowballing'!$AB$2:$AB$281,"Sin equivalente en catálogo (CONSTRUIR)",'Prácticas_Snowballing'!$AC$2:$AC$281,"DESIGN &gt; Recording Software Design")</f>
        <v>0</v>
      </c>
      <c r="W117" s="17">
        <f>COUNTIFS('Prácticas_Revisiones'!$S$2:$S$282,"Sin equivalente en catálogo (CONSTRUIR)",'Prácticas_Revisiones'!$T$2:$T$282,"DESIGN &gt; Software Design Strategies and Methods")+COUNTIFS('Prácticas_Snowballing'!$AB$2:$AB$281,"Sin equivalente en catálogo (CONSTRUIR)",'Prácticas_Snowballing'!$AC$2:$AC$281,"DESIGN &gt; Software Design Strategies and Methods")</f>
        <v>0</v>
      </c>
      <c r="X117" s="17">
        <f>COUNTIFS('Prácticas_Revisiones'!$S$2:$S$282,"Sin equivalente en catálogo (CONSTRUIR)",'Prácticas_Revisiones'!$T$2:$T$282,"DESIGN &gt; Software Design Analysis and Evaluations")+COUNTIFS('Prácticas_Snowballing'!$AB$2:$AB$281,"Sin equivalente en catálogo (CONSTRUIR)",'Prácticas_Snowballing'!$AC$2:$AC$281,"DESIGN &gt; Software Design Analysis and Evaluations")</f>
        <v>0</v>
      </c>
      <c r="Y117" s="17">
        <f>COUNTIFS('Prácticas_Revisiones'!$S$2:$S$282,"Sin equivalente en catálogo (CONSTRUIR)",'Prácticas_Revisiones'!$T$2:$T$282,"DESIGN &gt; Subárea no determinable")+COUNTIFS('Prácticas_Snowballing'!$AB$2:$AB$281,"Sin equivalente en catálogo (CONSTRUIR)",'Prácticas_Snowballing'!$AC$2:$AC$281,"DESIGN &gt; Subárea no determinable")</f>
        <v>0</v>
      </c>
      <c r="Z117" s="29">
        <f t="shared" si="88"/>
        <v>0</v>
      </c>
      <c r="AA117" s="17">
        <f>COUNTIFS('Prácticas_Revisiones'!$S$2:$S$282,"Sin equivalente en catálogo (CONSTRUIR)",'Prácticas_Revisiones'!$T$2:$T$282,"CONSTRUCTION &gt; Software Construction Fundamentals")+COUNTIFS('Prácticas_Snowballing'!$AB$2:$AB$281,"Sin equivalente en catálogo (CONSTRUIR)",'Prácticas_Snowballing'!$AC$2:$AC$281,"CONSTRUCTION &gt; Software Construction Fundamentals")</f>
        <v>0</v>
      </c>
      <c r="AB117" s="17">
        <f>COUNTIFS('Prácticas_Revisiones'!$S$2:$S$282,"Sin equivalente en catálogo (CONSTRUIR)",'Prácticas_Revisiones'!$T$2:$T$282,"CONSTRUCTION &gt; Managing Construction")+COUNTIFS('Prácticas_Snowballing'!$AB$2:$AB$281,"Sin equivalente en catálogo (CONSTRUIR)",'Prácticas_Snowballing'!$AC$2:$AC$281,"CONSTRUCTION &gt; Managing Construction")</f>
        <v>0</v>
      </c>
      <c r="AC117" s="17">
        <f>COUNTIFS('Prácticas_Revisiones'!$S$2:$S$282,"Sin equivalente en catálogo (CONSTRUIR)",'Prácticas_Revisiones'!$T$2:$T$282,"CONSTRUCTION &gt; Practical Considerations")+COUNTIFS('Prácticas_Snowballing'!$AB$2:$AB$281,"Sin equivalente en catálogo (CONSTRUIR)",'Prácticas_Snowballing'!$AC$2:$AC$281,"CONSTRUCTION &gt; Practical Considerations")</f>
        <v>0</v>
      </c>
      <c r="AD117" s="17">
        <f>COUNTIFS('Prácticas_Revisiones'!$S$2:$S$282,"Sin equivalente en catálogo (CONSTRUIR)",'Prácticas_Revisiones'!$T$2:$T$282,"CONSTRUCTION &gt; Construction Technologies")+COUNTIFS('Prácticas_Snowballing'!$AB$2:$AB$281,"Sin equivalente en catálogo (CONSTRUIR)",'Prácticas_Snowballing'!$AC$2:$AC$281,"CONSTRUCTION &gt; Construction Technologies")</f>
        <v>0</v>
      </c>
      <c r="AE117" s="17">
        <f>COUNTIFS('Prácticas_Revisiones'!$S$2:$S$282,"Sin equivalente en catálogo (CONSTRUIR)",'Prácticas_Revisiones'!$T$2:$T$282,"CONSTRUCTION &gt; Software Construction Tools")+COUNTIFS('Prácticas_Snowballing'!$AB$2:$AB$281,"Sin equivalente en catálogo (CONSTRUIR)",'Prácticas_Snowballing'!$AC$2:$AC$281,"CONSTRUCTION &gt; Software Construction Tools")</f>
        <v>0</v>
      </c>
      <c r="AF117" s="17">
        <f>COUNTIFS('Prácticas_Revisiones'!$S$2:$S$282,"Sin equivalente en catálogo (CONSTRUIR)",'Prácticas_Revisiones'!$T$2:$T$282,"CONSTRUCTION &gt; Subárea no determinable")+COUNTIFS('Prácticas_Snowballing'!$AB$2:$AB$281,"Sin equivalente en catálogo (CONSTRUIR)",'Prácticas_Snowballing'!$AC$2:$AC$281,"CONSTRUCTION &gt; Subárea no determinable")</f>
        <v>0</v>
      </c>
      <c r="AG117" s="29">
        <f t="shared" si="89"/>
        <v>0</v>
      </c>
      <c r="AH117" s="17">
        <f>COUNTIFS('Prácticas_Revisiones'!$S$2:$S$282,"Sin equivalente en catálogo (CONSTRUIR)",'Prácticas_Revisiones'!$T$2:$T$282,"SOFTWARE TESTING &gt; Software Testing Fundamentals")+COUNTIFS('Prácticas_Snowballing'!$AB$2:$AB$281,"Sin equivalente en catálogo (CONSTRUIR)",'Prácticas_Snowballing'!$AC$2:$AC$281,"SOFTWARE TESTING &gt; Software Testing Fundamentals")</f>
        <v>0</v>
      </c>
      <c r="AI117" s="17">
        <f>COUNTIFS('Prácticas_Revisiones'!$S$2:$S$282,"Sin equivalente en catálogo (CONSTRUIR)",'Prácticas_Revisiones'!$T$2:$T$282,"SOFTWARE TESTING &gt; Test Levels")+COUNTIFS('Prácticas_Snowballing'!$AB$2:$AB$281,"Sin equivalente en catálogo (CONSTRUIR)",'Prácticas_Snowballing'!$AC$2:$AC$281,"SOFTWARE TESTING &gt; Test Levels")</f>
        <v>0</v>
      </c>
      <c r="AJ117" s="17">
        <f>COUNTIFS('Prácticas_Revisiones'!$S$2:$S$282,"Sin equivalente en catálogo (CONSTRUIR)",'Prácticas_Revisiones'!$T$2:$T$282,"SOFTWARE TESTING &gt; Test Techniques")+COUNTIFS('Prácticas_Snowballing'!$AB$2:$AB$281,"Sin equivalente en catálogo (CONSTRUIR)",'Prácticas_Snowballing'!$AC$2:$AC$281,"SOFTWARE TESTING &gt; Test Techniques")</f>
        <v>0</v>
      </c>
      <c r="AK117" s="17">
        <f>COUNTIFS('Prácticas_Revisiones'!$S$2:$S$282,"Sin equivalente en catálogo (CONSTRUIR)",'Prácticas_Revisiones'!$T$2:$T$282,"SOFTWARE TESTING &gt; Test-Related Measures")+COUNTIFS('Prácticas_Snowballing'!$AB$2:$AB$281,"Sin equivalente en catálogo (CONSTRUIR)",'Prácticas_Snowballing'!$AC$2:$AC$281,"SOFTWARE TESTING &gt; Test-Related Measures")</f>
        <v>0</v>
      </c>
      <c r="AL117" s="17">
        <f>COUNTIFS('Prácticas_Revisiones'!$S$2:$S$282,"Sin equivalente en catálogo (CONSTRUIR)",'Prácticas_Revisiones'!$T$2:$T$282,"SOFTWARE TESTING &gt; Test Process")+COUNTIFS('Prácticas_Snowballing'!$AB$2:$AB$281,"Sin equivalente en catálogo (CONSTRUIR)",'Prácticas_Snowballing'!$AC$2:$AC$281,"SOFTWARE TESTING &gt; Test Process")</f>
        <v>0</v>
      </c>
      <c r="AM117" s="17">
        <f>COUNTIFS('Prácticas_Revisiones'!$S$2:$S$282,"Sin equivalente en catálogo (CONSTRUIR)",'Prácticas_Revisiones'!$T$2:$T$282,"SOFTWARE TESTING &gt; Software Testing in the Development Processes...")+COUNTIFS('Prácticas_Snowballing'!$AB$2:$AB$281,"Sin equivalente en catálogo (CONSTRUIR)",'Prácticas_Snowballing'!$AC$2:$AC$281,"SOFTWARE TESTING &gt; Software Testing in the Development Processes...")</f>
        <v>0</v>
      </c>
      <c r="AN117" s="17">
        <f>COUNTIFS('Prácticas_Revisiones'!$S$2:$S$282,"Sin equivalente en catálogo (CONSTRUIR)",'Prácticas_Revisiones'!$T$2:$T$282,"SOFTWARE TESTING &gt; Testing of and Testing Through Emerging Tech...")+COUNTIFS('Prácticas_Snowballing'!$AB$2:$AB$281,"Sin equivalente en catálogo (CONSTRUIR)",'Prácticas_Snowballing'!$AC$2:$AC$281,"SOFTWARE TESTING &gt; Testing of and Testing Through Emerging Tech...")</f>
        <v>0</v>
      </c>
      <c r="AO117" s="17">
        <f>COUNTIFS('Prácticas_Revisiones'!$S$2:$S$282,"Sin equivalente en catálogo (CONSTRUIR)",'Prácticas_Revisiones'!$T$2:$T$282,"SOFTWARE TESTING &gt; Software Testing Tools")+COUNTIFS('Prácticas_Snowballing'!$AB$2:$AB$281,"Sin equivalente en catálogo (CONSTRUIR)",'Prácticas_Snowballing'!$AC$2:$AC$281,"SOFTWARE TESTING &gt; Software Testing Tools")</f>
        <v>0</v>
      </c>
      <c r="AP117" s="17">
        <f>COUNTIFS('Prácticas_Revisiones'!$S$2:$S$282,"Sin equivalente en catálogo (CONSTRUIR)",'Prácticas_Revisiones'!$T$2:$T$282,"SOFTWARE TESTING &gt; Subárea no determinable")+COUNTIFS('Prácticas_Snowballing'!$AB$2:$AB$281,"Sin equivalente en catálogo (CONSTRUIR)",'Prácticas_Snowballing'!$AC$2:$AC$281,"SOFTWARE TESTING &gt; Subárea no determinable")</f>
        <v>0</v>
      </c>
      <c r="AQ117" s="29">
        <f t="shared" si="90"/>
        <v>0</v>
      </c>
      <c r="AR117" s="17">
        <f>COUNTIFS('Prácticas_Revisiones'!$S$2:$S$282,"Sin equivalente en catálogo (CONSTRUIR)",'Prácticas_Revisiones'!$T$2:$T$282,"SOFTWARE ENG. OPERATIONS &gt; Software Engineering Operations Fundamentals")+COUNTIFS('Prácticas_Snowballing'!$AB$2:$AB$281,"Sin equivalente en catálogo (CONSTRUIR)",'Prácticas_Snowballing'!$AC$2:$AC$281,"SOFTWARE ENG. OPERATIONS &gt; Software Engineering Operations Fundamentals")</f>
        <v>0</v>
      </c>
      <c r="AS117" s="17">
        <f>COUNTIFS('Prácticas_Revisiones'!$S$2:$S$282,"Sin equivalente en catálogo (CONSTRUIR)",'Prácticas_Revisiones'!$T$2:$T$282,"SOFTWARE ENG. OPERATIONS &gt; Software Engineering Operations Planning")+COUNTIFS('Prácticas_Snowballing'!$AB$2:$AB$281,"Sin equivalente en catálogo (CONSTRUIR)",'Prácticas_Snowballing'!$AC$2:$AC$281,"SOFTWARE ENG. OPERATIONS &gt; Software Engineering Operations Planning")</f>
        <v>0</v>
      </c>
      <c r="AT117" s="17">
        <f>COUNTIFS('Prácticas_Revisiones'!$S$2:$S$282,"Sin equivalente en catálogo (CONSTRUIR)",'Prácticas_Revisiones'!$T$2:$T$282,"SOFTWARE ENG. OPERATIONS &gt; Software Engineering Operations Delivery")+COUNTIFS('Prácticas_Snowballing'!$AB$2:$AB$281,"Sin equivalente en catálogo (CONSTRUIR)",'Prácticas_Snowballing'!$AC$2:$AC$281,"SOFTWARE ENG. OPERATIONS &gt; Software Engineering Operations Delivery")</f>
        <v>0</v>
      </c>
      <c r="AU117" s="17">
        <f>COUNTIFS('Prácticas_Revisiones'!$S$2:$S$282,"Sin equivalente en catálogo (CONSTRUIR)",'Prácticas_Revisiones'!$T$2:$T$282,"SOFTWARE ENG. OPERATIONS &gt; Software Engineering Operations Control")+COUNTIFS('Prácticas_Snowballing'!$AB$2:$AB$281,"Sin equivalente en catálogo (CONSTRUIR)",'Prácticas_Snowballing'!$AC$2:$AC$281,"SOFTWARE ENG. OPERATIONS &gt; Software Engineering Operations Control")</f>
        <v>0</v>
      </c>
      <c r="AV117" s="17">
        <f>COUNTIFS('Prácticas_Revisiones'!$S$2:$S$282,"Sin equivalente en catálogo (CONSTRUIR)",'Prácticas_Revisiones'!$T$2:$T$282,"SOFTWARE ENG. OPERATIONS &gt; Practical Considerations")+COUNTIFS('Prácticas_Snowballing'!$AB$2:$AB$281,"Sin equivalente en catálogo (CONSTRUIR)",'Prácticas_Snowballing'!$AC$2:$AC$281,"SOFTWARE ENG. OPERATIONS &gt; Practical Considerations")</f>
        <v>0</v>
      </c>
      <c r="AW117" s="17">
        <f>COUNTIFS('Prácticas_Revisiones'!$S$2:$S$282,"Sin equivalente en catálogo (CONSTRUIR)",'Prácticas_Revisiones'!$T$2:$T$282,"SOFTWARE ENG. OPERATIONS &gt; Software Engineering Operations Tools")+COUNTIFS('Prácticas_Snowballing'!$AB$2:$AB$281,"Sin equivalente en catálogo (CONSTRUIR)",'Prácticas_Snowballing'!$AC$2:$AC$281,"SOFTWARE ENG. OPERATIONS &gt; Software Engineering Operations Tools")</f>
        <v>0</v>
      </c>
      <c r="AX117" s="17">
        <f>COUNTIFS('Prácticas_Revisiones'!$S$2:$S$282,"Sin equivalente en catálogo (CONSTRUIR)",'Prácticas_Revisiones'!$T$2:$T$282,"SOFTWARE ENG. OPERATIONS &gt; Subárea no determinable")+COUNTIFS('Prácticas_Snowballing'!$AB$2:$AB$281,"Sin equivalente en catálogo (CONSTRUIR)",'Prácticas_Snowballing'!$AC$2:$AC$281,"SOFTWARE ENG. OPERATIONS &gt; Subárea no determinable")</f>
        <v>0</v>
      </c>
      <c r="AY117" s="29">
        <f t="shared" si="91"/>
        <v>0</v>
      </c>
      <c r="AZ117" s="17">
        <f>COUNTIFS('Prácticas_Revisiones'!$S$2:$S$282,"Sin equivalente en catálogo (CONSTRUIR)",'Prácticas_Revisiones'!$T$2:$T$282,"MAINTENANCE &gt; Software Maintenance Fundamentals")+COUNTIFS('Prácticas_Snowballing'!$AB$2:$AB$281,"Sin equivalente en catálogo (CONSTRUIR)",'Prácticas_Snowballing'!$AC$2:$AC$281,"MAINTENANCE &gt; Software Maintenance Fundamentals")</f>
        <v>0</v>
      </c>
      <c r="BA117" s="17">
        <f>COUNTIFS('Prácticas_Revisiones'!$S$2:$S$282,"Sin equivalente en catálogo (CONSTRUIR)",'Prácticas_Revisiones'!$T$2:$T$282,"MAINTENANCE &gt; Key Issues in Software Maintenance")+COUNTIFS('Prácticas_Snowballing'!$AB$2:$AB$281,"Sin equivalente en catálogo (CONSTRUIR)",'Prácticas_Snowballing'!$AC$2:$AC$281,"MAINTENANCE &gt; Key Issues in Software Maintenance")</f>
        <v>0</v>
      </c>
      <c r="BB117" s="17">
        <f>COUNTIFS('Prácticas_Revisiones'!$S$2:$S$282,"Sin equivalente en catálogo (CONSTRUIR)",'Prácticas_Revisiones'!$T$2:$T$282,"MAINTENANCE &gt; Software Maintenance Processes")+COUNTIFS('Prácticas_Snowballing'!$AB$2:$AB$281,"Sin equivalente en catálogo (CONSTRUIR)",'Prácticas_Snowballing'!$AC$2:$AC$281,"MAINTENANCE &gt; Software Maintenance Processes")</f>
        <v>0</v>
      </c>
      <c r="BC117" s="17">
        <f>COUNTIFS('Prácticas_Revisiones'!$S$2:$S$282,"Sin equivalente en catálogo (CONSTRUIR)",'Prácticas_Revisiones'!$T$2:$T$282,"MAINTENANCE &gt; Software Maintenance Techniques")+COUNTIFS('Prácticas_Snowballing'!$AB$2:$AB$281,"Sin equivalente en catálogo (CONSTRUIR)",'Prácticas_Snowballing'!$AC$2:$AC$281,"MAINTENANCE &gt; Software Maintenance Techniques")</f>
        <v>0</v>
      </c>
      <c r="BD117" s="17">
        <f>COUNTIFS('Prácticas_Revisiones'!$S$2:$S$282,"Sin equivalente en catálogo (CONSTRUIR)",'Prácticas_Revisiones'!$T$2:$T$282,"MAINTENANCE &gt; Software Maintenance Tools")+COUNTIFS('Prácticas_Snowballing'!$AB$2:$AB$281,"Sin equivalente en catálogo (CONSTRUIR)",'Prácticas_Snowballing'!$AC$2:$AC$281,"MAINTENANCE &gt; Software Maintenance Tools")</f>
        <v>0</v>
      </c>
      <c r="BE117" s="17">
        <f>COUNTIFS('Prácticas_Revisiones'!$S$2:$S$282,"Sin equivalente en catálogo (CONSTRUIR)",'Prácticas_Revisiones'!$T$2:$T$282,"MAINTENANCE &gt; Subárea no determinable")+COUNTIFS('Prácticas_Snowballing'!$AB$2:$AB$281,"Sin equivalente en catálogo (CONSTRUIR)",'Prácticas_Snowballing'!$AC$2:$AC$281,"MAINTENANCE &gt; Subárea no determinable")</f>
        <v>0</v>
      </c>
      <c r="BF117" s="29">
        <f t="shared" si="92"/>
        <v>0</v>
      </c>
      <c r="BG117" s="17">
        <f>COUNTIFS('Prácticas_Revisiones'!$S$2:$S$282,"Sin equivalente en catálogo (CONSTRUIR)",'Prácticas_Revisiones'!$T$2:$T$282,"SOFTWARE CONFIG. MGMT. &gt; Management of the SCM Process")+COUNTIFS('Prácticas_Snowballing'!$AB$2:$AB$281,"Sin equivalente en catálogo (CONSTRUIR)",'Prácticas_Snowballing'!$AC$2:$AC$281,"SOFTWARE CONFIG. MGMT. &gt; Management of the SCM Process")</f>
        <v>0</v>
      </c>
      <c r="BH117" s="17">
        <f>COUNTIFS('Prácticas_Revisiones'!$S$2:$S$282,"Sin equivalente en catálogo (CONSTRUIR)",'Prácticas_Revisiones'!$T$2:$T$282,"SOFTWARE CONFIG. MGMT. &gt; Software Configuration Identification")+COUNTIFS('Prácticas_Snowballing'!$AB$2:$AB$281,"Sin equivalente en catálogo (CONSTRUIR)",'Prácticas_Snowballing'!$AC$2:$AC$281,"SOFTWARE CONFIG. MGMT. &gt; Software Configuration Identification")</f>
        <v>0</v>
      </c>
      <c r="BI117" s="17">
        <f>COUNTIFS('Prácticas_Revisiones'!$S$2:$S$282,"Sin equivalente en catálogo (CONSTRUIR)",'Prácticas_Revisiones'!$T$2:$T$282,"SOFTWARE CONFIG. MGMT. &gt; Software Configuration Change Control")+COUNTIFS('Prácticas_Snowballing'!$AB$2:$AB$281,"Sin equivalente en catálogo (CONSTRUIR)",'Prácticas_Snowballing'!$AC$2:$AC$281,"SOFTWARE CONFIG. MGMT. &gt; Software Configuration Change Control")</f>
        <v>0</v>
      </c>
      <c r="BJ117" s="17">
        <f>COUNTIFS('Prácticas_Revisiones'!$S$2:$S$282,"Sin equivalente en catálogo (CONSTRUIR)",'Prácticas_Revisiones'!$T$2:$T$282,"SOFTWARE CONFIG. MGMT. &gt; Software Configuration Status Accounting")+COUNTIFS('Prácticas_Snowballing'!$AB$2:$AB$281,"Sin equivalente en catálogo (CONSTRUIR)",'Prácticas_Snowballing'!$AC$2:$AC$281,"SOFTWARE CONFIG. MGMT. &gt; Software Configuration Status Accounting")</f>
        <v>0</v>
      </c>
      <c r="BK117" s="17">
        <f>COUNTIFS('Prácticas_Revisiones'!$S$2:$S$282,"Sin equivalente en catálogo (CONSTRUIR)",'Prácticas_Revisiones'!$T$2:$T$282,"SOFTWARE CONFIG. MGMT. &gt; Software Configuration Auditing")+COUNTIFS('Prácticas_Snowballing'!$AB$2:$AB$281,"Sin equivalente en catálogo (CONSTRUIR)",'Prácticas_Snowballing'!$AC$2:$AC$281,"SOFTWARE CONFIG. MGMT. &gt; Software Configuration Auditing")</f>
        <v>0</v>
      </c>
      <c r="BL117" s="17">
        <f>COUNTIFS('Prácticas_Revisiones'!$S$2:$S$282,"Sin equivalente en catálogo (CONSTRUIR)",'Prácticas_Revisiones'!$T$2:$T$282,"SOFTWARE CONFIG. MGMT. &gt; Software Release Management and Delivery")+COUNTIFS('Prácticas_Snowballing'!$AB$2:$AB$281,"Sin equivalente en catálogo (CONSTRUIR)",'Prácticas_Snowballing'!$AC$2:$AC$281,"SOFTWARE CONFIG. MGMT. &gt; Software Release Management and Delivery")</f>
        <v>0</v>
      </c>
      <c r="BM117" s="17">
        <f>COUNTIFS('Prácticas_Revisiones'!$S$2:$S$282,"Sin equivalente en catálogo (CONSTRUIR)",'Prácticas_Revisiones'!$T$2:$T$282,"SOFTWARE CONFIG. MGMT. &gt; Software Configuration Management Tools")+COUNTIFS('Prácticas_Snowballing'!$AB$2:$AB$281,"Sin equivalente en catálogo (CONSTRUIR)",'Prácticas_Snowballing'!$AC$2:$AC$281,"SOFTWARE CONFIG. MGMT. &gt; Software Configuration Management Tools")</f>
        <v>0</v>
      </c>
      <c r="BN117" s="17">
        <f>COUNTIFS('Prácticas_Revisiones'!$S$2:$S$282,"Sin equivalente en catálogo (CONSTRUIR)",'Prácticas_Revisiones'!$T$2:$T$282,"SOFTWARE CONFIG. MGMT. &gt; Subárea no determinable")+COUNTIFS('Prácticas_Snowballing'!$AB$2:$AB$281,"Sin equivalente en catálogo (CONSTRUIR)",'Prácticas_Snowballing'!$AC$2:$AC$281,"SOFTWARE CONFIG. MGMT. &gt; Subárea no determinable")</f>
        <v>0</v>
      </c>
      <c r="BO117" s="29">
        <f t="shared" si="93"/>
        <v>0</v>
      </c>
      <c r="BP117" s="17">
        <f>COUNTIFS('Prácticas_Revisiones'!$S$2:$S$282,"Sin equivalente en catálogo (CONSTRUIR)",'Prácticas_Revisiones'!$T$2:$T$282,"SOFTWARE ENG. PROCESS &gt; Software Engineering Process Fundamentals")+COUNTIFS('Prácticas_Snowballing'!$AB$2:$AB$281,"Sin equivalente en catálogo (CONSTRUIR)",'Prácticas_Snowballing'!$AC$2:$AC$281,"SOFTWARE ENG. PROCESS &gt; Software Engineering Process Fundamentals")</f>
        <v>0</v>
      </c>
      <c r="BQ117" s="17">
        <f>COUNTIFS('Prácticas_Revisiones'!$S$2:$S$282,"Sin equivalente en catálogo (CONSTRUIR)",'Prácticas_Revisiones'!$T$2:$T$282,"SOFTWARE ENG. PROCESS &gt; Life Cycles")+COUNTIFS('Prácticas_Snowballing'!$AB$2:$AB$281,"Sin equivalente en catálogo (CONSTRUIR)",'Prácticas_Snowballing'!$AC$2:$AC$281,"SOFTWARE ENG. PROCESS &gt; Life Cycles")</f>
        <v>0</v>
      </c>
      <c r="BR117" s="17">
        <f>COUNTIFS('Prácticas_Revisiones'!$S$2:$S$282,"Sin equivalente en catálogo (CONSTRUIR)",'Prácticas_Revisiones'!$T$2:$T$282,"SOFTWARE ENG. PROCESS &gt; Software Process Assessment and Improvement")+COUNTIFS('Prácticas_Snowballing'!$AB$2:$AB$281,"Sin equivalente en catálogo (CONSTRUIR)",'Prácticas_Snowballing'!$AC$2:$AC$281,"SOFTWARE ENG. PROCESS &gt; Software Process Assessment and Improvement")</f>
        <v>0</v>
      </c>
      <c r="BS117" s="17">
        <f>COUNTIFS('Prácticas_Revisiones'!$S$2:$S$282,"Sin equivalente en catálogo (CONSTRUIR)",'Prácticas_Revisiones'!$T$2:$T$282,"SOFTWARE ENG. PROCESS &gt; Subárea no determinable")+COUNTIFS('Prácticas_Snowballing'!$AB$2:$AB$281,"Sin equivalente en catálogo (CONSTRUIR)",'Prácticas_Snowballing'!$AC$2:$AC$281,"SOFTWARE ENG. PROCESS &gt; Subárea no determinable")</f>
        <v>0</v>
      </c>
      <c r="BT117" s="29">
        <f t="shared" si="94"/>
        <v>0</v>
      </c>
      <c r="BU117" s="17">
        <f>COUNTIFS('Prácticas_Revisiones'!$S$2:$S$282,"Sin equivalente en catálogo (CONSTRUIR)",'Prácticas_Revisiones'!$T$2:$T$282,"SOFTWARE ENG. MODELS/METH. &gt; Modeling")+COUNTIFS('Prácticas_Snowballing'!$AB$2:$AB$281,"Sin equivalente en catálogo (CONSTRUIR)",'Prácticas_Snowballing'!$AC$2:$AC$281,"SOFTWARE ENG. MODELS/METH. &gt; Modeling")</f>
        <v>0</v>
      </c>
      <c r="BV117" s="17">
        <f>COUNTIFS('Prácticas_Revisiones'!$S$2:$S$282,"Sin equivalente en catálogo (CONSTRUIR)",'Prácticas_Revisiones'!$T$2:$T$282,"SOFTWARE ENG. MODELS/METH. &gt; Types of Models")+COUNTIFS('Prácticas_Snowballing'!$AB$2:$AB$281,"Sin equivalente en catálogo (CONSTRUIR)",'Prácticas_Snowballing'!$AC$2:$AC$281,"SOFTWARE ENG. MODELS/METH. &gt; Types of Models")</f>
        <v>0</v>
      </c>
      <c r="BW117" s="17">
        <f>COUNTIFS('Prácticas_Revisiones'!$S$2:$S$282,"Sin equivalente en catálogo (CONSTRUIR)",'Prácticas_Revisiones'!$T$2:$T$282,"SOFTWARE ENG. MODELS/METH. &gt; Analysis of Models")+COUNTIFS('Prácticas_Snowballing'!$AB$2:$AB$281,"Sin equivalente en catálogo (CONSTRUIR)",'Prácticas_Snowballing'!$AC$2:$AC$281,"SOFTWARE ENG. MODELS/METH. &gt; Analysis of Models")</f>
        <v>0</v>
      </c>
      <c r="BX117" s="17">
        <f>COUNTIFS('Prácticas_Revisiones'!$S$2:$S$282,"Sin equivalente en catálogo (CONSTRUIR)",'Prácticas_Revisiones'!$T$2:$T$282,"SOFTWARE ENG. MODELS/METH. &gt; Software Engineering Methods")+COUNTIFS('Prácticas_Snowballing'!$AB$2:$AB$281,"Sin equivalente en catálogo (CONSTRUIR)",'Prácticas_Snowballing'!$AC$2:$AC$281,"SOFTWARE ENG. MODELS/METH. &gt; Software Engineering Methods")</f>
        <v>0</v>
      </c>
      <c r="BY117" s="17">
        <f>COUNTIFS('Prácticas_Revisiones'!$S$2:$S$282,"Sin equivalente en catálogo (CONSTRUIR)",'Prácticas_Revisiones'!$T$2:$T$282,"SOFTWARE ENG. MODELS/METH. &gt; Subárea no determinable")+COUNTIFS('Prácticas_Snowballing'!$AB$2:$AB$281,"Sin equivalente en catálogo (CONSTRUIR)",'Prácticas_Snowballing'!$AC$2:$AC$281,"SOFTWARE ENG. MODELS/METH. &gt; Subárea no determinable")</f>
        <v>0</v>
      </c>
      <c r="BZ117" s="29">
        <f t="shared" si="95"/>
        <v>0</v>
      </c>
      <c r="CA117" s="17">
        <f>COUNTIFS('Prácticas_Revisiones'!$S$2:$S$282,"Sin equivalente en catálogo (CONSTRUIR)",'Prácticas_Revisiones'!$T$2:$T$282,"SOFTWARE QUALITY &gt; Software Quality Fundamentals")+COUNTIFS('Prácticas_Snowballing'!$AB$2:$AB$281,"Sin equivalente en catálogo (CONSTRUIR)",'Prácticas_Snowballing'!$AC$2:$AC$281,"SOFTWARE QUALITY &gt; Software Quality Fundamentals")</f>
        <v>0</v>
      </c>
      <c r="CB117" s="17">
        <f>COUNTIFS('Prácticas_Revisiones'!$S$2:$S$282,"Sin equivalente en catálogo (CONSTRUIR)",'Prácticas_Revisiones'!$T$2:$T$282,"SOFTWARE QUALITY &gt; Software Quality Management Process")+COUNTIFS('Prácticas_Snowballing'!$AB$2:$AB$281,"Sin equivalente en catálogo (CONSTRUIR)",'Prácticas_Snowballing'!$AC$2:$AC$281,"SOFTWARE QUALITY &gt; Software Quality Management Process")</f>
        <v>0</v>
      </c>
      <c r="CC117" s="17">
        <f>COUNTIFS('Prácticas_Revisiones'!$S$2:$S$282,"Sin equivalente en catálogo (CONSTRUIR)",'Prácticas_Revisiones'!$T$2:$T$282,"SOFTWARE QUALITY &gt; Software Quality Assurance Process")+COUNTIFS('Prácticas_Snowballing'!$AB$2:$AB$281,"Sin equivalente en catálogo (CONSTRUIR)",'Prácticas_Snowballing'!$AC$2:$AC$281,"SOFTWARE QUALITY &gt; Software Quality Assurance Process")</f>
        <v>0</v>
      </c>
      <c r="CD117" s="17">
        <f>COUNTIFS('Prácticas_Revisiones'!$S$2:$S$282,"Sin equivalente en catálogo (CONSTRUIR)",'Prácticas_Revisiones'!$T$2:$T$282,"SOFTWARE QUALITY &gt; Software Quality Tools")+COUNTIFS('Prácticas_Snowballing'!$AB$2:$AB$281,"Sin equivalente en catálogo (CONSTRUIR)",'Prácticas_Snowballing'!$AC$2:$AC$281,"SOFTWARE QUALITY &gt; Software Quality Tools")</f>
        <v>0</v>
      </c>
      <c r="CE117" s="17">
        <f>COUNTIFS('Prácticas_Revisiones'!$S$2:$S$282,"Sin equivalente en catálogo (CONSTRUIR)",'Prácticas_Revisiones'!$T$2:$T$282,"SOFTWARE QUALITY &gt; Subárea no determinable")+COUNTIFS('Prácticas_Snowballing'!$AB$2:$AB$281,"Sin equivalente en catálogo (CONSTRUIR)",'Prácticas_Snowballing'!$AC$2:$AC$281,"SOFTWARE QUALITY &gt; Subárea no determinable")</f>
        <v>0</v>
      </c>
      <c r="CF117" s="29">
        <f t="shared" si="96"/>
        <v>0</v>
      </c>
      <c r="CG117" s="17">
        <f>COUNTIFS('Prácticas_Revisiones'!$S$2:$S$282,"Sin equivalente en catálogo (CONSTRUIR)",'Prácticas_Revisiones'!$T$2:$T$282,"SOFTWARE SECURITY &gt; Software Security Fundamentals")+COUNTIFS('Prácticas_Snowballing'!$AB$2:$AB$281,"Sin equivalente en catálogo (CONSTRUIR)",'Prácticas_Snowballing'!$AC$2:$AC$281,"SOFTWARE SECURITY &gt; Software Security Fundamentals")</f>
        <v>0</v>
      </c>
      <c r="CH117" s="17">
        <f>COUNTIFS('Prácticas_Revisiones'!$S$2:$S$282,"Sin equivalente en catálogo (CONSTRUIR)",'Prácticas_Revisiones'!$T$2:$T$282,"SOFTWARE SECURITY &gt; Security Management and Organization")+COUNTIFS('Prácticas_Snowballing'!$AB$2:$AB$281,"Sin equivalente en catálogo (CONSTRUIR)",'Prácticas_Snowballing'!$AC$2:$AC$281,"SOFTWARE SECURITY &gt; Security Management and Organization")</f>
        <v>0</v>
      </c>
      <c r="CI117" s="17">
        <f>COUNTIFS('Prácticas_Revisiones'!$S$2:$S$282,"Sin equivalente en catálogo (CONSTRUIR)",'Prácticas_Revisiones'!$T$2:$T$282,"SOFTWARE SECURITY &gt; Software Security Engineering and Process")+COUNTIFS('Prácticas_Snowballing'!$AB$2:$AB$281,"Sin equivalente en catálogo (CONSTRUIR)",'Prácticas_Snowballing'!$AC$2:$AC$281,"SOFTWARE SECURITY &gt; Software Security Engineering and Process")</f>
        <v>0</v>
      </c>
      <c r="CJ117" s="17">
        <f>COUNTIFS('Prácticas_Revisiones'!$S$2:$S$282,"Sin equivalente en catálogo (CONSTRUIR)",'Prácticas_Revisiones'!$T$2:$T$282,"SOFTWARE SECURITY &gt; Security Engineering for Software Systems")+COUNTIFS('Prácticas_Snowballing'!$AB$2:$AB$281,"Sin equivalente en catálogo (CONSTRUIR)",'Prácticas_Snowballing'!$AC$2:$AC$281,"SOFTWARE SECURITY &gt; Security Engineering for Software Systems")</f>
        <v>0</v>
      </c>
      <c r="CK117" s="17">
        <f>COUNTIFS('Prácticas_Revisiones'!$S$2:$S$282,"Sin equivalente en catálogo (CONSTRUIR)",'Prácticas_Revisiones'!$T$2:$T$282,"SOFTWARE SECURITY &gt; Software Security Tools")+COUNTIFS('Prácticas_Snowballing'!$AB$2:$AB$281,"Sin equivalente en catálogo (CONSTRUIR)",'Prácticas_Snowballing'!$AC$2:$AC$281,"SOFTWARE SECURITY &gt; Software Security Tools")</f>
        <v>0</v>
      </c>
      <c r="CL117" s="17">
        <f>COUNTIFS('Prácticas_Revisiones'!$S$2:$S$282,"Sin equivalente en catálogo (CONSTRUIR)",'Prácticas_Revisiones'!$T$2:$T$282,"SOFTWARE SECURITY &gt; Domain Specific Software Security")+COUNTIFS('Prácticas_Snowballing'!$AB$2:$AB$281,"Sin equivalente en catálogo (CONSTRUIR)",'Prácticas_Snowballing'!$AC$2:$AC$281,"SOFTWARE SECURITY &gt; Domain Specific Software Security")</f>
        <v>0</v>
      </c>
      <c r="CM117" s="17">
        <f>COUNTIFS('Prácticas_Revisiones'!$S$2:$S$282,"Sin equivalente en catálogo (CONSTRUIR)",'Prácticas_Revisiones'!$T$2:$T$282,"SOFTWARE SECURITY &gt; Subárea no determinable")+COUNTIFS('Prácticas_Snowballing'!$AB$2:$AB$281,"Sin equivalente en catálogo (CONSTRUIR)",'Prácticas_Snowballing'!$AC$2:$AC$281,"SOFTWARE SECURITY &gt; Subárea no determinable")</f>
        <v>0</v>
      </c>
      <c r="CN117" s="29">
        <f t="shared" si="97"/>
        <v>0</v>
      </c>
      <c r="CO117" s="17">
        <f>COUNTIFS('Prácticas_Revisiones'!$S$2:$S$282,"Sin equivalente en catálogo (CONSTRUIR)",'Prácticas_Revisiones'!$T$2:$T$282,"PROFESSIONAL PRACTICE &gt; Professionalism")+COUNTIFS('Prácticas_Snowballing'!$AB$2:$AB$281,"Sin equivalente en catálogo (CONSTRUIR)",'Prácticas_Snowballing'!$AC$2:$AC$281,"PROFESSIONAL PRACTICE &gt; Professionalism")</f>
        <v>0</v>
      </c>
      <c r="CP117" s="17">
        <f>COUNTIFS('Prácticas_Revisiones'!$S$2:$S$282,"Sin equivalente en catálogo (CONSTRUIR)",'Prácticas_Revisiones'!$T$2:$T$282,"PROFESSIONAL PRACTICE &gt; Group Dynamics and Psychology")+COUNTIFS('Prácticas_Snowballing'!$AB$2:$AB$281,"Sin equivalente en catálogo (CONSTRUIR)",'Prácticas_Snowballing'!$AC$2:$AC$281,"PROFESSIONAL PRACTICE &gt; Group Dynamics and Psychology")</f>
        <v>0</v>
      </c>
      <c r="CQ117" s="17">
        <f>COUNTIFS('Prácticas_Revisiones'!$S$2:$S$282,"Sin equivalente en catálogo (CONSTRUIR)",'Prácticas_Revisiones'!$T$2:$T$282,"PROFESSIONAL PRACTICE &gt; Communication Skills")+COUNTIFS('Prácticas_Snowballing'!$AB$2:$AB$281,"Sin equivalente en catálogo (CONSTRUIR)",'Prácticas_Snowballing'!$AC$2:$AC$281,"PROFESSIONAL PRACTICE &gt; Communication Skills")</f>
        <v>0</v>
      </c>
      <c r="CR117" s="17">
        <f>COUNTIFS('Prácticas_Revisiones'!$S$2:$S$282,"Sin equivalente en catálogo (CONSTRUIR)",'Prácticas_Revisiones'!$T$2:$T$282,"PROFESSIONAL PRACTICE &gt; Subárea no determinable")+COUNTIFS('Prácticas_Snowballing'!$AB$2:$AB$281,"Sin equivalente en catálogo (CONSTRUIR)",'Prácticas_Snowballing'!$AC$2:$AC$281,"PROFESSIONAL PRACTICE &gt; Subárea no determinable")</f>
        <v>0</v>
      </c>
      <c r="CS117" s="29">
        <f t="shared" si="98"/>
        <v>0</v>
      </c>
      <c r="CT117" s="17">
        <f>COUNTIFS('Prácticas_Revisiones'!$S$2:$S$282,"Sin equivalente en catálogo (CONSTRUIR)",'Prácticas_Revisiones'!$T$2:$T$282,"SOFTWARE ENG. ECONOMICS &gt; Software Engineering Economics Fundamentals")+COUNTIFS('Prácticas_Snowballing'!$AB$2:$AB$281,"Sin equivalente en catálogo (CONSTRUIR)",'Prácticas_Snowballing'!$AC$2:$AC$281,"SOFTWARE ENG. ECONOMICS &gt; Software Engineering Economics Fundamentals")</f>
        <v>0</v>
      </c>
      <c r="CU117" s="17">
        <f>COUNTIFS('Prácticas_Revisiones'!$S$2:$S$282,"Sin equivalente en catálogo (CONSTRUIR)",'Prácticas_Revisiones'!$T$2:$T$282,"SOFTWARE ENG. ECONOMICS &gt; The Engineering Decision-Making Process")+COUNTIFS('Prácticas_Snowballing'!$AB$2:$AB$281,"Sin equivalente en catálogo (CONSTRUIR)",'Prácticas_Snowballing'!$AC$2:$AC$281,"SOFTWARE ENG. ECONOMICS &gt; The Engineering Decision-Making Process")</f>
        <v>0</v>
      </c>
      <c r="CV117" s="17">
        <f>COUNTIFS('Prácticas_Revisiones'!$S$2:$S$282,"Sin equivalente en catálogo (CONSTRUIR)",'Prácticas_Revisiones'!$T$2:$T$282,"SOFTWARE ENG. ECONOMICS &gt; For-Profit Decision-Making")+COUNTIFS('Prácticas_Snowballing'!$AB$2:$AB$281,"Sin equivalente en catálogo (CONSTRUIR)",'Prácticas_Snowballing'!$AC$2:$AC$281,"SOFTWARE ENG. ECONOMICS &gt; For-Profit Decision-Making")</f>
        <v>0</v>
      </c>
      <c r="CW117" s="17">
        <f>COUNTIFS('Prácticas_Revisiones'!$S$2:$S$282,"Sin equivalente en catálogo (CONSTRUIR)",'Prácticas_Revisiones'!$T$2:$T$282,"SOFTWARE ENG. ECONOMICS &gt; Nonprofit Decision-Making")+COUNTIFS('Prácticas_Snowballing'!$AB$2:$AB$281,"Sin equivalente en catálogo (CONSTRUIR)",'Prácticas_Snowballing'!$AC$2:$AC$281,"SOFTWARE ENG. ECONOMICS &gt; Nonprofit Decision-Making")</f>
        <v>0</v>
      </c>
      <c r="CX117" s="17">
        <f>COUNTIFS('Prácticas_Revisiones'!$S$2:$S$282,"Sin equivalente en catálogo (CONSTRUIR)",'Prácticas_Revisiones'!$T$2:$T$282,"SOFTWARE ENG. ECONOMICS &gt; Present Economy Decision-Making")+COUNTIFS('Prácticas_Snowballing'!$AB$2:$AB$281,"Sin equivalente en catálogo (CONSTRUIR)",'Prácticas_Snowballing'!$AC$2:$AC$281,"SOFTWARE ENG. ECONOMICS &gt; Present Economy Decision-Making")</f>
        <v>0</v>
      </c>
      <c r="CY117" s="17">
        <f>COUNTIFS('Prácticas_Revisiones'!$S$2:$S$282,"Sin equivalente en catálogo (CONSTRUIR)",'Prácticas_Revisiones'!$T$2:$T$282,"SOFTWARE ENG. ECONOMICS &gt; Multiple-Attribute Decision-Making")+COUNTIFS('Prácticas_Snowballing'!$AB$2:$AB$281,"Sin equivalente en catálogo (CONSTRUIR)",'Prácticas_Snowballing'!$AC$2:$AC$281,"SOFTWARE ENG. ECONOMICS &gt; Multiple-Attribute Decision-Making")</f>
        <v>0</v>
      </c>
      <c r="CZ117" s="17">
        <f>COUNTIFS('Prácticas_Revisiones'!$S$2:$S$282,"Sin equivalente en catálogo (CONSTRUIR)",'Prácticas_Revisiones'!$T$2:$T$282,"SOFTWARE ENG. ECONOMICS &gt; Identifying and Characterizing Intangible Assets")+COUNTIFS('Prácticas_Snowballing'!$AB$2:$AB$281,"Sin equivalente en catálogo (CONSTRUIR)",'Prácticas_Snowballing'!$AC$2:$AC$281,"SOFTWARE ENG. ECONOMICS &gt; Identifying and Characterizing Intangible Assets")</f>
        <v>0</v>
      </c>
      <c r="DA117" s="17">
        <f>COUNTIFS('Prácticas_Revisiones'!$S$2:$S$282,"Sin equivalente en catálogo (CONSTRUIR)",'Prácticas_Revisiones'!$T$2:$T$282,"SOFTWARE ENG. ECONOMICS &gt; Estimation")+COUNTIFS('Prácticas_Snowballing'!$AB$2:$AB$281,"Sin equivalente en catálogo (CONSTRUIR)",'Prácticas_Snowballing'!$AC$2:$AC$281,"SOFTWARE ENG. ECONOMICS &gt; Estimation")</f>
        <v>0</v>
      </c>
      <c r="DB117" s="17">
        <f>COUNTIFS('Prácticas_Revisiones'!$S$2:$S$282,"Sin equivalente en catálogo (CONSTRUIR)",'Prácticas_Revisiones'!$T$2:$T$282,"SOFTWARE ENG. ECONOMICS &gt; Practical Considerations")+COUNTIFS('Prácticas_Snowballing'!$AB$2:$AB$281,"Sin equivalente en catálogo (CONSTRUIR)",'Prácticas_Snowballing'!$AC$2:$AC$281,"SOFTWARE ENG. ECONOMICS &gt; Practical Considerations")</f>
        <v>0</v>
      </c>
      <c r="DC117" s="17">
        <f>COUNTIFS('Prácticas_Revisiones'!$S$2:$S$282,"Sin equivalente en catálogo (CONSTRUIR)",'Prácticas_Revisiones'!$T$2:$T$282,"SOFTWARE ENG. ECONOMICS &gt; Related Concepts")+COUNTIFS('Prácticas_Snowballing'!$AB$2:$AB$281,"Sin equivalente en catálogo (CONSTRUIR)",'Prácticas_Snowballing'!$AC$2:$AC$281,"SOFTWARE ENG. ECONOMICS &gt; Related Concepts")</f>
        <v>0</v>
      </c>
      <c r="DD117" s="17">
        <f>COUNTIFS('Prácticas_Revisiones'!$S$2:$S$282,"Sin equivalente en catálogo (CONSTRUIR)",'Prácticas_Revisiones'!$T$2:$T$282,"SOFTWARE ENG. ECONOMICS &gt; Subárea no determinable")+COUNTIFS('Prácticas_Snowballing'!$AB$2:$AB$281,"Sin equivalente en catálogo (CONSTRUIR)",'Prácticas_Snowballing'!$AC$2:$AC$281,"SOFTWARE ENG. ECONOMICS &gt; Subárea no determinable")</f>
        <v>0</v>
      </c>
      <c r="DE117" s="29">
        <f t="shared" si="99"/>
        <v>0</v>
      </c>
      <c r="DF117" s="17">
        <f>COUNTIFS('Prácticas_Revisiones'!$S$2:$S$282,"Sin equivalente en catálogo (CONSTRUIR)",'Prácticas_Revisiones'!$T$2:$T$282,"SOFTWARE ENG. MANAGEMENT &gt; Software Engineering Management Fundamentals")+COUNTIFS('Prácticas_Snowballing'!$AB$2:$AB$281,"Sin equivalente en catálogo (CONSTRUIR)",'Prácticas_Snowballing'!$AC$2:$AC$281,"SOFTWARE ENG. MANAGEMENT &gt; Software Engineering Management Fundamentals")</f>
        <v>0</v>
      </c>
      <c r="DG117" s="17">
        <f>COUNTIFS('Prácticas_Revisiones'!$S$2:$S$282,"Sin equivalente en catálogo (CONSTRUIR)",'Prácticas_Revisiones'!$T$2:$T$282,"SOFTWARE ENG. MANAGEMENT &gt; Initiation and Scope Definition")+COUNTIFS('Prácticas_Snowballing'!$AB$2:$AB$281,"Sin equivalente en catálogo (CONSTRUIR)",'Prácticas_Snowballing'!$AC$2:$AC$281,"SOFTWARE ENG. MANAGEMENT &gt; Initiation and Scope Definition")</f>
        <v>0</v>
      </c>
      <c r="DH117" s="17">
        <f>COUNTIFS('Prácticas_Revisiones'!$S$2:$S$282,"Sin equivalente en catálogo (CONSTRUIR)",'Prácticas_Revisiones'!$T$2:$T$282,"SOFTWARE ENG. MANAGEMENT &gt; Software Project Planning")+COUNTIFS('Prácticas_Snowballing'!$AB$2:$AB$281,"Sin equivalente en catálogo (CONSTRUIR)",'Prácticas_Snowballing'!$AC$2:$AC$281,"SOFTWARE ENG. MANAGEMENT &gt; Software Project Planning")</f>
        <v>0</v>
      </c>
      <c r="DI117" s="17">
        <f>COUNTIFS('Prácticas_Revisiones'!$S$2:$S$282,"Sin equivalente en catálogo (CONSTRUIR)",'Prácticas_Revisiones'!$T$2:$T$282,"SOFTWARE ENG. MANAGEMENT &gt; Software Project Enactment")+COUNTIFS('Prácticas_Snowballing'!$AB$2:$AB$281,"Sin equivalente en catálogo (CONSTRUIR)",'Prácticas_Snowballing'!$AC$2:$AC$281,"SOFTWARE ENG. MANAGEMENT &gt; Software Project Enactment")</f>
        <v>0</v>
      </c>
      <c r="DJ117" s="17">
        <f>COUNTIFS('Prácticas_Revisiones'!$S$2:$S$282,"Sin equivalente en catálogo (CONSTRUIR)",'Prácticas_Revisiones'!$T$2:$T$282,"SOFTWARE ENG. MANAGEMENT &gt; Review and Evaluation")+COUNTIFS('Prácticas_Snowballing'!$AB$2:$AB$281,"Sin equivalente en catálogo (CONSTRUIR)",'Prácticas_Snowballing'!$AC$2:$AC$281,"SOFTWARE ENG. MANAGEMENT &gt; Review and Evaluation")</f>
        <v>0</v>
      </c>
      <c r="DK117" s="17">
        <f>COUNTIFS('Prácticas_Revisiones'!$S$2:$S$282,"Sin equivalente en catálogo (CONSTRUIR)",'Prácticas_Revisiones'!$T$2:$T$282,"SOFTWARE ENG. MANAGEMENT &gt; Closure")+COUNTIFS('Prácticas_Snowballing'!$AB$2:$AB$281,"Sin equivalente en catálogo (CONSTRUIR)",'Prácticas_Snowballing'!$AC$2:$AC$281,"SOFTWARE ENG. MANAGEMENT &gt; Closure")</f>
        <v>0</v>
      </c>
      <c r="DL117" s="17">
        <f>COUNTIFS('Prácticas_Revisiones'!$S$2:$S$282,"Sin equivalente en catálogo (CONSTRUIR)",'Prácticas_Revisiones'!$T$2:$T$282,"SOFTWARE ENG. MANAGEMENT &gt; Software Engineering Management Tools")+COUNTIFS('Prácticas_Snowballing'!$AB$2:$AB$281,"Sin equivalente en catálogo (CONSTRUIR)",'Prácticas_Snowballing'!$AC$2:$AC$281,"SOFTWARE ENG. MANAGEMENT &gt; Software Engineering Management Tools")</f>
        <v>0</v>
      </c>
      <c r="DM117" s="17">
        <f>COUNTIFS('Prácticas_Revisiones'!$S$2:$S$282,"Sin equivalente en catálogo (CONSTRUIR)",'Prácticas_Revisiones'!$T$2:$T$282,"SOFTWARE ENG. MANAGEMENT &gt; Subárea no determinable")+COUNTIFS('Prácticas_Snowballing'!$AB$2:$AB$281,"Sin equivalente en catálogo (CONSTRUIR)",'Prácticas_Snowballing'!$AC$2:$AC$281,"SOFTWARE ENG. MANAGEMENT &gt; Subárea no determinable")</f>
        <v>0</v>
      </c>
      <c r="DN117" s="29">
        <f t="shared" si="100"/>
        <v>0</v>
      </c>
      <c r="DO117" s="17">
        <f>COUNTIFS('Prácticas_Revisiones'!$S$2:$S$282,"Sin equivalente en catálogo (CONSTRUIR)",'Prácticas_Revisiones'!$T$2:$T$282,"Sin área SWEBOK")+COUNTIFS('Prácticas_Snowballing'!$AB$2:$AB$281,"Sin equivalente en catálogo (CONSTRUIR)",'Prácticas_Snowballing'!$AC$2:$AC$281,"Sin área SWEBOK")</f>
        <v>0</v>
      </c>
      <c r="DP117" s="27">
        <f t="shared" si="101"/>
        <v>0</v>
      </c>
    </row>
    <row r="118" ht="15.75" customHeight="1">
      <c r="A118" s="35" t="s">
        <v>2874</v>
      </c>
      <c r="B118" s="20"/>
      <c r="C118" s="29">
        <f t="shared" ref="C118:DP118" si="102">SUM(C105:C117)</f>
        <v>0</v>
      </c>
      <c r="D118" s="29">
        <f t="shared" si="102"/>
        <v>2</v>
      </c>
      <c r="E118" s="29">
        <f t="shared" si="102"/>
        <v>0</v>
      </c>
      <c r="F118" s="29">
        <f t="shared" si="102"/>
        <v>1</v>
      </c>
      <c r="G118" s="29">
        <f t="shared" si="102"/>
        <v>0</v>
      </c>
      <c r="H118" s="29">
        <f t="shared" si="102"/>
        <v>0</v>
      </c>
      <c r="I118" s="29">
        <f t="shared" si="102"/>
        <v>0</v>
      </c>
      <c r="J118" s="29">
        <f t="shared" si="102"/>
        <v>0</v>
      </c>
      <c r="K118" s="29">
        <f t="shared" si="102"/>
        <v>0</v>
      </c>
      <c r="L118" s="29">
        <f t="shared" si="102"/>
        <v>3</v>
      </c>
      <c r="M118" s="29">
        <f t="shared" si="102"/>
        <v>0</v>
      </c>
      <c r="N118" s="29">
        <f t="shared" si="102"/>
        <v>0</v>
      </c>
      <c r="O118" s="29">
        <f t="shared" si="102"/>
        <v>0</v>
      </c>
      <c r="P118" s="29">
        <f t="shared" si="102"/>
        <v>1</v>
      </c>
      <c r="Q118" s="29">
        <f t="shared" si="102"/>
        <v>0</v>
      </c>
      <c r="R118" s="29">
        <f t="shared" si="102"/>
        <v>1</v>
      </c>
      <c r="S118" s="29">
        <f t="shared" si="102"/>
        <v>1</v>
      </c>
      <c r="T118" s="29">
        <f t="shared" si="102"/>
        <v>0</v>
      </c>
      <c r="U118" s="29">
        <f t="shared" si="102"/>
        <v>0</v>
      </c>
      <c r="V118" s="29">
        <f t="shared" si="102"/>
        <v>1</v>
      </c>
      <c r="W118" s="29">
        <f t="shared" si="102"/>
        <v>1</v>
      </c>
      <c r="X118" s="29">
        <f t="shared" si="102"/>
        <v>0</v>
      </c>
      <c r="Y118" s="29">
        <f t="shared" si="102"/>
        <v>0</v>
      </c>
      <c r="Z118" s="29">
        <f t="shared" si="102"/>
        <v>3</v>
      </c>
      <c r="AA118" s="29">
        <f t="shared" si="102"/>
        <v>19</v>
      </c>
      <c r="AB118" s="29">
        <f t="shared" si="102"/>
        <v>0</v>
      </c>
      <c r="AC118" s="29">
        <f t="shared" si="102"/>
        <v>8</v>
      </c>
      <c r="AD118" s="29">
        <f t="shared" si="102"/>
        <v>7</v>
      </c>
      <c r="AE118" s="29">
        <f t="shared" si="102"/>
        <v>3</v>
      </c>
      <c r="AF118" s="29">
        <f t="shared" si="102"/>
        <v>0</v>
      </c>
      <c r="AG118" s="29">
        <f t="shared" si="102"/>
        <v>37</v>
      </c>
      <c r="AH118" s="29">
        <f t="shared" si="102"/>
        <v>0</v>
      </c>
      <c r="AI118" s="29">
        <f t="shared" si="102"/>
        <v>0</v>
      </c>
      <c r="AJ118" s="29">
        <f t="shared" si="102"/>
        <v>1</v>
      </c>
      <c r="AK118" s="29">
        <f t="shared" si="102"/>
        <v>0</v>
      </c>
      <c r="AL118" s="29">
        <f t="shared" si="102"/>
        <v>1</v>
      </c>
      <c r="AM118" s="29">
        <f t="shared" si="102"/>
        <v>0</v>
      </c>
      <c r="AN118" s="29">
        <f t="shared" si="102"/>
        <v>0</v>
      </c>
      <c r="AO118" s="29">
        <f t="shared" si="102"/>
        <v>0</v>
      </c>
      <c r="AP118" s="29">
        <f t="shared" si="102"/>
        <v>0</v>
      </c>
      <c r="AQ118" s="29">
        <f t="shared" si="102"/>
        <v>2</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1</v>
      </c>
      <c r="BD118" s="29">
        <f t="shared" si="102"/>
        <v>0</v>
      </c>
      <c r="BE118" s="29">
        <f t="shared" si="102"/>
        <v>0</v>
      </c>
      <c r="BF118" s="29">
        <f t="shared" si="102"/>
        <v>1</v>
      </c>
      <c r="BG118" s="29">
        <f t="shared" si="102"/>
        <v>0</v>
      </c>
      <c r="BH118" s="29">
        <f t="shared" si="102"/>
        <v>0</v>
      </c>
      <c r="BI118" s="29">
        <f t="shared" si="102"/>
        <v>0</v>
      </c>
      <c r="BJ118" s="29">
        <f t="shared" si="102"/>
        <v>0</v>
      </c>
      <c r="BK118" s="29">
        <f t="shared" si="102"/>
        <v>0</v>
      </c>
      <c r="BL118" s="29">
        <f t="shared" si="102"/>
        <v>0</v>
      </c>
      <c r="BM118" s="29">
        <f t="shared" si="102"/>
        <v>0</v>
      </c>
      <c r="BN118" s="29">
        <f t="shared" si="102"/>
        <v>1</v>
      </c>
      <c r="BO118" s="29">
        <f t="shared" si="102"/>
        <v>1</v>
      </c>
      <c r="BP118" s="29">
        <f t="shared" si="102"/>
        <v>0</v>
      </c>
      <c r="BQ118" s="29">
        <f t="shared" si="102"/>
        <v>1</v>
      </c>
      <c r="BR118" s="29">
        <f t="shared" si="102"/>
        <v>0</v>
      </c>
      <c r="BS118" s="29">
        <f t="shared" si="102"/>
        <v>0</v>
      </c>
      <c r="BT118" s="29">
        <f t="shared" si="102"/>
        <v>1</v>
      </c>
      <c r="BU118" s="29">
        <f t="shared" si="102"/>
        <v>1</v>
      </c>
      <c r="BV118" s="29">
        <f t="shared" si="102"/>
        <v>0</v>
      </c>
      <c r="BW118" s="29">
        <f t="shared" si="102"/>
        <v>0</v>
      </c>
      <c r="BX118" s="29">
        <f t="shared" si="102"/>
        <v>0</v>
      </c>
      <c r="BY118" s="29">
        <f t="shared" si="102"/>
        <v>0</v>
      </c>
      <c r="BZ118" s="29">
        <f t="shared" si="102"/>
        <v>1</v>
      </c>
      <c r="CA118" s="29">
        <f t="shared" si="102"/>
        <v>0</v>
      </c>
      <c r="CB118" s="29">
        <f t="shared" si="102"/>
        <v>0</v>
      </c>
      <c r="CC118" s="29">
        <f t="shared" si="102"/>
        <v>0</v>
      </c>
      <c r="CD118" s="29">
        <f t="shared" si="102"/>
        <v>0</v>
      </c>
      <c r="CE118" s="29">
        <f t="shared" si="102"/>
        <v>0</v>
      </c>
      <c r="CF118" s="29">
        <f t="shared" si="102"/>
        <v>0</v>
      </c>
      <c r="CG118" s="29">
        <f t="shared" si="102"/>
        <v>0</v>
      </c>
      <c r="CH118" s="29">
        <f t="shared" si="102"/>
        <v>0</v>
      </c>
      <c r="CI118" s="29">
        <f t="shared" si="102"/>
        <v>0</v>
      </c>
      <c r="CJ118" s="29">
        <f t="shared" si="102"/>
        <v>0</v>
      </c>
      <c r="CK118" s="29">
        <f t="shared" si="102"/>
        <v>0</v>
      </c>
      <c r="CL118" s="29">
        <f t="shared" si="102"/>
        <v>0</v>
      </c>
      <c r="CM118" s="29">
        <f t="shared" si="102"/>
        <v>0</v>
      </c>
      <c r="CN118" s="29">
        <f t="shared" si="102"/>
        <v>0</v>
      </c>
      <c r="CO118" s="29">
        <f t="shared" si="102"/>
        <v>2</v>
      </c>
      <c r="CP118" s="29">
        <f t="shared" si="102"/>
        <v>0</v>
      </c>
      <c r="CQ118" s="29">
        <f t="shared" si="102"/>
        <v>1</v>
      </c>
      <c r="CR118" s="29">
        <f t="shared" si="102"/>
        <v>0</v>
      </c>
      <c r="CS118" s="29">
        <f t="shared" si="102"/>
        <v>3</v>
      </c>
      <c r="CT118" s="29">
        <f t="shared" si="102"/>
        <v>0</v>
      </c>
      <c r="CU118" s="29">
        <f t="shared" si="102"/>
        <v>0</v>
      </c>
      <c r="CV118" s="29">
        <f t="shared" si="102"/>
        <v>0</v>
      </c>
      <c r="CW118" s="29">
        <f t="shared" si="102"/>
        <v>0</v>
      </c>
      <c r="CX118" s="29">
        <f t="shared" si="102"/>
        <v>0</v>
      </c>
      <c r="CY118" s="29">
        <f t="shared" si="102"/>
        <v>0</v>
      </c>
      <c r="CZ118" s="29">
        <f t="shared" si="102"/>
        <v>0</v>
      </c>
      <c r="DA118" s="29">
        <f t="shared" si="102"/>
        <v>0</v>
      </c>
      <c r="DB118" s="29">
        <f t="shared" si="102"/>
        <v>0</v>
      </c>
      <c r="DC118" s="29">
        <f t="shared" si="102"/>
        <v>0</v>
      </c>
      <c r="DD118" s="29">
        <f t="shared" si="102"/>
        <v>0</v>
      </c>
      <c r="DE118" s="29">
        <f t="shared" si="102"/>
        <v>0</v>
      </c>
      <c r="DF118" s="29">
        <f t="shared" si="102"/>
        <v>0</v>
      </c>
      <c r="DG118" s="29">
        <f t="shared" si="102"/>
        <v>0</v>
      </c>
      <c r="DH118" s="29">
        <f t="shared" si="102"/>
        <v>2</v>
      </c>
      <c r="DI118" s="29">
        <f t="shared" si="102"/>
        <v>0</v>
      </c>
      <c r="DJ118" s="29">
        <f t="shared" si="102"/>
        <v>0</v>
      </c>
      <c r="DK118" s="29">
        <f t="shared" si="102"/>
        <v>0</v>
      </c>
      <c r="DL118" s="29">
        <f t="shared" si="102"/>
        <v>0</v>
      </c>
      <c r="DM118" s="29">
        <f t="shared" si="102"/>
        <v>0</v>
      </c>
      <c r="DN118" s="29">
        <f t="shared" si="102"/>
        <v>2</v>
      </c>
      <c r="DO118" s="29">
        <f t="shared" si="102"/>
        <v>3</v>
      </c>
      <c r="DP118" s="29">
        <f t="shared" si="102"/>
        <v>58</v>
      </c>
    </row>
    <row r="119" ht="15.75" customHeight="1">
      <c r="A119" s="11" t="s">
        <v>2732</v>
      </c>
      <c r="B119" s="9" t="s">
        <v>2199</v>
      </c>
      <c r="C119" s="17">
        <f>COUNTIFS('Prácticas_Revisiones'!$S$2:$S$282,"Sin equivalente en catálogo (Nivel no cubierto)",'Prácticas_Revisiones'!$T$2:$T$282,"REQUIREMENTS &gt; Software Requirements Fundamentals")+COUNTIFS('Prácticas_Snowballing'!$AB$2:$AB$281,"Sin equivalente en catálogo (Nivel no cubierto)",'Prácticas_Snowballing'!$AC$2:$AC$281,"REQUIREMENTS &gt; Software Requirements Fundamentals")</f>
        <v>0</v>
      </c>
      <c r="D119" s="17">
        <f>COUNTIFS('Prácticas_Revisiones'!$S$2:$S$282,"Sin equivalente en catálogo (Nivel no cubierto)",'Prácticas_Revisiones'!$T$2:$T$282,"REQUIREMENTS &gt; Requirements Elicitation")+COUNTIFS('Prácticas_Snowballing'!$AB$2:$AB$281,"Sin equivalente en catálogo (Nivel no cubierto)",'Prácticas_Snowballing'!$AC$2:$AC$281,"REQUIREMENTS &gt; Requirements Elicitation")</f>
        <v>0</v>
      </c>
      <c r="E119" s="17">
        <f>COUNTIFS('Prácticas_Revisiones'!$S$2:$S$282,"Sin equivalente en catálogo (Nivel no cubierto)",'Prácticas_Revisiones'!$T$2:$T$282,"REQUIREMENTS &gt; Requirements Analysis")+COUNTIFS('Prácticas_Snowballing'!$AB$2:$AB$281,"Sin equivalente en catálogo (Nivel no cubierto)",'Prácticas_Snowballing'!$AC$2:$AC$281,"REQUIREMENTS &gt; Requirements Analysis")</f>
        <v>1</v>
      </c>
      <c r="F119" s="17">
        <f>COUNTIFS('Prácticas_Revisiones'!$S$2:$S$282,"Sin equivalente en catálogo (Nivel no cubierto)",'Prácticas_Revisiones'!$T$2:$T$282,"REQUIREMENTS &gt; Requirements Specification")+COUNTIFS('Prácticas_Snowballing'!$AB$2:$AB$281,"Sin equivalente en catálogo (Nivel no cubierto)",'Prácticas_Snowballing'!$AC$2:$AC$281,"REQUIREMENTS &gt; Requirements Specification")</f>
        <v>1</v>
      </c>
      <c r="G119" s="17">
        <f>COUNTIFS('Prácticas_Revisiones'!$S$2:$S$282,"Sin equivalente en catálogo (Nivel no cubierto)",'Prácticas_Revisiones'!$T$2:$T$282,"REQUIREMENTS &gt; Requirements Validation")+COUNTIFS('Prácticas_Snowballing'!$AB$2:$AB$281,"Sin equivalente en catálogo (Nivel no cubierto)",'Prácticas_Snowballing'!$AC$2:$AC$281,"REQUIREMENTS &gt; Requirements Validation")</f>
        <v>1</v>
      </c>
      <c r="H119" s="17">
        <f>COUNTIFS('Prácticas_Revisiones'!$S$2:$S$282,"Sin equivalente en catálogo (Nivel no cubierto)",'Prácticas_Revisiones'!$T$2:$T$282,"REQUIREMENTS &gt; Requirements Management Activities")+COUNTIFS('Prácticas_Snowballing'!$AB$2:$AB$281,"Sin equivalente en catálogo (Nivel no cubierto)",'Prácticas_Snowballing'!$AC$2:$AC$281,"REQUIREMENTS &gt; Requirements Management Activities")</f>
        <v>0</v>
      </c>
      <c r="I119" s="17">
        <f>COUNTIFS('Prácticas_Revisiones'!$S$2:$S$282,"Sin equivalente en catálogo (Nivel no cubierto)",'Prácticas_Revisiones'!$T$2:$T$282,"REQUIREMENTS &gt; Practical Considerations")+COUNTIFS('Prácticas_Snowballing'!$AB$2:$AB$281,"Sin equivalente en catálogo (Nivel no cubierto)",'Prácticas_Snowballing'!$AC$2:$AC$281,"REQUIREMENTS &gt; Practical Considerations")</f>
        <v>0</v>
      </c>
      <c r="J119" s="17">
        <f>COUNTIFS('Prácticas_Revisiones'!$S$2:$S$282,"Sin equivalente en catálogo (Nivel no cubierto)",'Prácticas_Revisiones'!$T$2:$T$282,"REQUIREMENTS &gt; Software Requirements Tools")+COUNTIFS('Prácticas_Snowballing'!$AB$2:$AB$281,"Sin equivalente en catálogo (Nivel no cubierto)",'Prácticas_Snowballing'!$AC$2:$AC$281,"REQUIREMENTS &gt; Software Requirements Tools")</f>
        <v>0</v>
      </c>
      <c r="K119" s="17">
        <f>COUNTIFS('Prácticas_Revisiones'!$S$2:$S$282,"Sin equivalente en catálogo (Nivel no cubierto)",'Prácticas_Revisiones'!$T$2:$T$282,"REQUIREMENTS &gt; Subárea no determinable")+COUNTIFS('Prácticas_Snowballing'!$AB$2:$AB$281,"Sin equivalente en catálogo (Nivel no cubierto)",'Prácticas_Snowballing'!$AC$2:$AC$281,"REQUIREMENTS &gt; Subárea no determinable")</f>
        <v>0</v>
      </c>
      <c r="L119" s="29">
        <f>SUM(C119:K119)</f>
        <v>3</v>
      </c>
      <c r="M119" s="17">
        <f>COUNTIFS('Prácticas_Revisiones'!$S$2:$S$282,"Sin equivalente en catálogo (Nivel no cubierto)",'Prácticas_Revisiones'!$T$2:$T$282,"ARCHITECTURE &gt; Software Architecture Fundamentals")+COUNTIFS('Prácticas_Snowballing'!$AB$2:$AB$281,"Sin equivalente en catálogo (Nivel no cubierto)",'Prácticas_Snowballing'!$AC$2:$AC$281,"ARCHITECTURE &gt; Software Architecture Fundamentals")</f>
        <v>0</v>
      </c>
      <c r="N119" s="17">
        <f>COUNTIFS('Prácticas_Revisiones'!$S$2:$S$282,"Sin equivalente en catálogo (Nivel no cubierto)",'Prácticas_Revisiones'!$T$2:$T$282,"ARCHITECTURE &gt; Software Architecture Description")+COUNTIFS('Prácticas_Snowballing'!$AB$2:$AB$281,"Sin equivalente en catálogo (Nivel no cubierto)",'Prácticas_Snowballing'!$AC$2:$AC$281,"ARCHITECTURE &gt; Software Architecture Description")</f>
        <v>0</v>
      </c>
      <c r="O119" s="17">
        <f>COUNTIFS('Prácticas_Revisiones'!$S$2:$S$282,"Sin equivalente en catálogo (Nivel no cubierto)",'Prácticas_Revisiones'!$T$2:$T$282,"ARCHITECTURE &gt; Software Architecture Process")+COUNTIFS('Prácticas_Snowballing'!$AB$2:$AB$281,"Sin equivalente en catálogo (Nivel no cubierto)",'Prácticas_Snowballing'!$AC$2:$AC$281,"ARCHITECTURE &gt; Software Architecture Process")</f>
        <v>0</v>
      </c>
      <c r="P119" s="17">
        <f>COUNTIFS('Prácticas_Revisiones'!$S$2:$S$282,"Sin equivalente en catálogo (Nivel no cubierto)",'Prácticas_Revisiones'!$T$2:$T$282,"ARCHITECTURE &gt; Software Architecture Evaluation")+COUNTIFS('Prácticas_Snowballing'!$AB$2:$AB$281,"Sin equivalente en catálogo (Nivel no cubierto)",'Prácticas_Snowballing'!$AC$2:$AC$281,"ARCHITECTURE &gt; Software Architecture Evaluation")</f>
        <v>0</v>
      </c>
      <c r="Q119" s="17">
        <f>COUNTIFS('Prácticas_Revisiones'!$S$2:$S$282,"Sin equivalente en catálogo (Nivel no cubierto)",'Prácticas_Revisiones'!$T$2:$T$282,"ARCHITECTURE &gt; Subárea no determinable")+COUNTIFS('Prácticas_Snowballing'!$AB$2:$AB$281,"Sin equivalente en catálogo (Nivel no cubierto)",'Prácticas_Snowballing'!$AC$2:$AC$281,"ARCHITECTURE &gt; Subárea no determinable")</f>
        <v>0</v>
      </c>
      <c r="R119" s="29">
        <f>SUM(M119:Q119)</f>
        <v>0</v>
      </c>
      <c r="S119" s="17">
        <f>COUNTIFS('Prácticas_Revisiones'!$S$2:$S$282,"Sin equivalente en catálogo (Nivel no cubierto)",'Prácticas_Revisiones'!$T$2:$T$282,"DESIGN &gt; Software Design Fundamentals")+COUNTIFS('Prácticas_Snowballing'!$AB$2:$AB$281,"Sin equivalente en catálogo (Nivel no cubierto)",'Prácticas_Snowballing'!$AC$2:$AC$281,"DESIGN &gt; Software Design Fundamentals")</f>
        <v>0</v>
      </c>
      <c r="T119" s="17">
        <f>COUNTIFS('Prácticas_Revisiones'!$S$2:$S$282,"Sin equivalente en catálogo (Nivel no cubierto)",'Prácticas_Revisiones'!$T$2:$T$282,"DESIGN &gt; Software Design Processes")+COUNTIFS('Prácticas_Snowballing'!$AB$2:$AB$281,"Sin equivalente en catálogo (Nivel no cubierto)",'Prácticas_Snowballing'!$AC$2:$AC$281,"DESIGN &gt; Software Design Processes")</f>
        <v>0</v>
      </c>
      <c r="U119" s="17">
        <f>COUNTIFS('Prácticas_Revisiones'!$S$2:$S$282,"Sin equivalente en catálogo (Nivel no cubierto)",'Prácticas_Revisiones'!$T$2:$T$282,"DESIGN &gt; Software Design Qualities")+COUNTIFS('Prácticas_Snowballing'!$AB$2:$AB$281,"Sin equivalente en catálogo (Nivel no cubierto)",'Prácticas_Snowballing'!$AC$2:$AC$281,"DESIGN &gt; Software Design Qualities")</f>
        <v>0</v>
      </c>
      <c r="V119" s="17">
        <f>COUNTIFS('Prácticas_Revisiones'!$S$2:$S$282,"Sin equivalente en catálogo (Nivel no cubierto)",'Prácticas_Revisiones'!$T$2:$T$282,"DESIGN &gt; Recording Software Design")+COUNTIFS('Prácticas_Snowballing'!$AB$2:$AB$281,"Sin equivalente en catálogo (Nivel no cubierto)",'Prácticas_Snowballing'!$AC$2:$AC$281,"DESIGN &gt; Recording Software Design")</f>
        <v>2</v>
      </c>
      <c r="W119" s="17">
        <f>COUNTIFS('Prácticas_Revisiones'!$S$2:$S$282,"Sin equivalente en catálogo (Nivel no cubierto)",'Prácticas_Revisiones'!$T$2:$T$282,"DESIGN &gt; Software Design Strategies and Methods")+COUNTIFS('Prácticas_Snowballing'!$AB$2:$AB$281,"Sin equivalente en catálogo (Nivel no cubierto)",'Prácticas_Snowballing'!$AC$2:$AC$281,"DESIGN &gt; Software Design Strategies and Methods")</f>
        <v>0</v>
      </c>
      <c r="X119" s="17">
        <f>COUNTIFS('Prácticas_Revisiones'!$S$2:$S$282,"Sin equivalente en catálogo (Nivel no cubierto)",'Prácticas_Revisiones'!$T$2:$T$282,"DESIGN &gt; Software Design Analysis and Evaluations")+COUNTIFS('Prácticas_Snowballing'!$AB$2:$AB$281,"Sin equivalente en catálogo (Nivel no cubierto)",'Prácticas_Snowballing'!$AC$2:$AC$281,"DESIGN &gt; Software Design Analysis and Evaluations")</f>
        <v>0</v>
      </c>
      <c r="Y119" s="17">
        <f>COUNTIFS('Prácticas_Revisiones'!$S$2:$S$282,"Sin equivalente en catálogo (Nivel no cubierto)",'Prácticas_Revisiones'!$T$2:$T$282,"DESIGN &gt; Subárea no determinable")+COUNTIFS('Prácticas_Snowballing'!$AB$2:$AB$281,"Sin equivalente en catálogo (Nivel no cubierto)",'Prácticas_Snowballing'!$AC$2:$AC$281,"DESIGN &gt; Subárea no determinable")</f>
        <v>1</v>
      </c>
      <c r="Z119" s="29">
        <f>SUM(S119:Y119)</f>
        <v>3</v>
      </c>
      <c r="AA119" s="17">
        <f>COUNTIFS('Prácticas_Revisiones'!$S$2:$S$282,"Sin equivalente en catálogo (Nivel no cubierto)",'Prácticas_Revisiones'!$T$2:$T$282,"CONSTRUCTION &gt; Software Construction Fundamentals")+COUNTIFS('Prácticas_Snowballing'!$AB$2:$AB$281,"Sin equivalente en catálogo (Nivel no cubierto)",'Prácticas_Snowballing'!$AC$2:$AC$281,"CONSTRUCTION &gt; Software Construction Fundamentals")</f>
        <v>60</v>
      </c>
      <c r="AB119" s="17">
        <f>COUNTIFS('Prácticas_Revisiones'!$S$2:$S$282,"Sin equivalente en catálogo (Nivel no cubierto)",'Prácticas_Revisiones'!$T$2:$T$282,"CONSTRUCTION &gt; Managing Construction")+COUNTIFS('Prácticas_Snowballing'!$AB$2:$AB$281,"Sin equivalente en catálogo (Nivel no cubierto)",'Prácticas_Snowballing'!$AC$2:$AC$281,"CONSTRUCTION &gt; Managing Construction")</f>
        <v>0</v>
      </c>
      <c r="AC119" s="17">
        <f>COUNTIFS('Prácticas_Revisiones'!$S$2:$S$282,"Sin equivalente en catálogo (Nivel no cubierto)",'Prácticas_Revisiones'!$T$2:$T$282,"CONSTRUCTION &gt; Practical Considerations")+COUNTIFS('Prácticas_Snowballing'!$AB$2:$AB$281,"Sin equivalente en catálogo (Nivel no cubierto)",'Prácticas_Snowballing'!$AC$2:$AC$281,"CONSTRUCTION &gt; Practical Considerations")</f>
        <v>20</v>
      </c>
      <c r="AD119" s="17">
        <f>COUNTIFS('Prácticas_Revisiones'!$S$2:$S$282,"Sin equivalente en catálogo (Nivel no cubierto)",'Prácticas_Revisiones'!$T$2:$T$282,"CONSTRUCTION &gt; Construction Technologies")+COUNTIFS('Prácticas_Snowballing'!$AB$2:$AB$281,"Sin equivalente en catálogo (Nivel no cubierto)",'Prácticas_Snowballing'!$AC$2:$AC$281,"CONSTRUCTION &gt; Construction Technologies")</f>
        <v>9</v>
      </c>
      <c r="AE119" s="17">
        <f>COUNTIFS('Prácticas_Revisiones'!$S$2:$S$282,"Sin equivalente en catálogo (Nivel no cubierto)",'Prácticas_Revisiones'!$T$2:$T$282,"CONSTRUCTION &gt; Software Construction Tools")+COUNTIFS('Prácticas_Snowballing'!$AB$2:$AB$281,"Sin equivalente en catálogo (Nivel no cubierto)",'Prácticas_Snowballing'!$AC$2:$AC$281,"CONSTRUCTION &gt; Software Construction Tools")</f>
        <v>24</v>
      </c>
      <c r="AF119" s="17">
        <f>COUNTIFS('Prácticas_Revisiones'!$S$2:$S$282,"Sin equivalente en catálogo (Nivel no cubierto)",'Prácticas_Revisiones'!$T$2:$T$282,"CONSTRUCTION &gt; Subárea no determinable")+COUNTIFS('Prácticas_Snowballing'!$AB$2:$AB$281,"Sin equivalente en catálogo (Nivel no cubierto)",'Prácticas_Snowballing'!$AC$2:$AC$281,"CONSTRUCTION &gt; Subárea no determinable")</f>
        <v>1</v>
      </c>
      <c r="AG119" s="29">
        <f>SUM(AA119:AF119)</f>
        <v>114</v>
      </c>
      <c r="AH119" s="17">
        <f>COUNTIFS('Prácticas_Revisiones'!$S$2:$S$282,"Sin equivalente en catálogo (Nivel no cubierto)",'Prácticas_Revisiones'!$T$2:$T$282,"SOFTWARE TESTING &gt; Software Testing Fundamentals")+COUNTIFS('Prácticas_Snowballing'!$AB$2:$AB$281,"Sin equivalente en catálogo (Nivel no cubierto)",'Prácticas_Snowballing'!$AC$2:$AC$281,"SOFTWARE TESTING &gt; Software Testing Fundamentals")</f>
        <v>0</v>
      </c>
      <c r="AI119" s="17">
        <f>COUNTIFS('Prácticas_Revisiones'!$S$2:$S$282,"Sin equivalente en catálogo (Nivel no cubierto)",'Prácticas_Revisiones'!$T$2:$T$282,"SOFTWARE TESTING &gt; Test Levels")+COUNTIFS('Prácticas_Snowballing'!$AB$2:$AB$281,"Sin equivalente en catálogo (Nivel no cubierto)",'Prácticas_Snowballing'!$AC$2:$AC$281,"SOFTWARE TESTING &gt; Test Levels")</f>
        <v>0</v>
      </c>
      <c r="AJ119" s="17">
        <f>COUNTIFS('Prácticas_Revisiones'!$S$2:$S$282,"Sin equivalente en catálogo (Nivel no cubierto)",'Prácticas_Revisiones'!$T$2:$T$282,"SOFTWARE TESTING &gt; Test Techniques")+COUNTIFS('Prácticas_Snowballing'!$AB$2:$AB$281,"Sin equivalente en catálogo (Nivel no cubierto)",'Prácticas_Snowballing'!$AC$2:$AC$281,"SOFTWARE TESTING &gt; Test Techniques")</f>
        <v>3</v>
      </c>
      <c r="AK119" s="17">
        <f>COUNTIFS('Prácticas_Revisiones'!$S$2:$S$282,"Sin equivalente en catálogo (Nivel no cubierto)",'Prácticas_Revisiones'!$T$2:$T$282,"SOFTWARE TESTING &gt; Test-Related Measures")+COUNTIFS('Prácticas_Snowballing'!$AB$2:$AB$281,"Sin equivalente en catálogo (Nivel no cubierto)",'Prácticas_Snowballing'!$AC$2:$AC$281,"SOFTWARE TESTING &gt; Test-Related Measures")</f>
        <v>0</v>
      </c>
      <c r="AL119" s="17">
        <f>COUNTIFS('Prácticas_Revisiones'!$S$2:$S$282,"Sin equivalente en catálogo (Nivel no cubierto)",'Prácticas_Revisiones'!$T$2:$T$282,"SOFTWARE TESTING &gt; Test Process")+COUNTIFS('Prácticas_Snowballing'!$AB$2:$AB$281,"Sin equivalente en catálogo (Nivel no cubierto)",'Prácticas_Snowballing'!$AC$2:$AC$281,"SOFTWARE TESTING &gt; Test Process")</f>
        <v>0</v>
      </c>
      <c r="AM119" s="17">
        <f>COUNTIFS('Prácticas_Revisiones'!$S$2:$S$282,"Sin equivalente en catálogo (Nivel no cubierto)",'Prácticas_Revisiones'!$T$2:$T$282,"SOFTWARE TESTING &gt; Software Testing in the Development Processes...")+COUNTIFS('Prácticas_Snowballing'!$AB$2:$AB$281,"Sin equivalente en catálogo (Nivel no cubierto)",'Prácticas_Snowballing'!$AC$2:$AC$281,"SOFTWARE TESTING &gt; Software Testing in the Development Processes...")</f>
        <v>0</v>
      </c>
      <c r="AN119" s="17">
        <f>COUNTIFS('Prácticas_Revisiones'!$S$2:$S$282,"Sin equivalente en catálogo (Nivel no cubierto)",'Prácticas_Revisiones'!$T$2:$T$282,"SOFTWARE TESTING &gt; Testing of and Testing Through Emerging Tech...")+COUNTIFS('Prácticas_Snowballing'!$AB$2:$AB$281,"Sin equivalente en catálogo (Nivel no cubierto)",'Prácticas_Snowballing'!$AC$2:$AC$281,"SOFTWARE TESTING &gt; Testing of and Testing Through Emerging Tech...")</f>
        <v>0</v>
      </c>
      <c r="AO119" s="17">
        <f>COUNTIFS('Prácticas_Revisiones'!$S$2:$S$282,"Sin equivalente en catálogo (Nivel no cubierto)",'Prácticas_Revisiones'!$T$2:$T$282,"SOFTWARE TESTING &gt; Software Testing Tools")+COUNTIFS('Prácticas_Snowballing'!$AB$2:$AB$281,"Sin equivalente en catálogo (Nivel no cubierto)",'Prácticas_Snowballing'!$AC$2:$AC$281,"SOFTWARE TESTING &gt; Software Testing Tools")</f>
        <v>1</v>
      </c>
      <c r="AP119" s="17">
        <f>COUNTIFS('Prácticas_Revisiones'!$S$2:$S$282,"Sin equivalente en catálogo (Nivel no cubierto)",'Prácticas_Revisiones'!$T$2:$T$282,"SOFTWARE TESTING &gt; Subárea no determinable")+COUNTIFS('Prácticas_Snowballing'!$AB$2:$AB$281,"Sin equivalente en catálogo (Nivel no cubierto)",'Prácticas_Snowballing'!$AC$2:$AC$281,"SOFTWARE TESTING &gt; Subárea no determinable")</f>
        <v>0</v>
      </c>
      <c r="AQ119" s="29">
        <f>SUM(AH119:AP119)</f>
        <v>4</v>
      </c>
      <c r="AR119" s="17">
        <f>COUNTIFS('Prácticas_Revisiones'!$S$2:$S$282,"Sin equivalente en catálogo (Nivel no cubierto)",'Prácticas_Revisiones'!$T$2:$T$282,"SOFTWARE ENG. OPERATIONS &gt; Software Engineering Operations Fundamentals")+COUNTIFS('Prácticas_Snowballing'!$AB$2:$AB$281,"Sin equivalente en catálogo (Nivel no cubierto)",'Prácticas_Snowballing'!$AC$2:$AC$281,"SOFTWARE ENG. OPERATIONS &gt; Software Engineering Operations Fundamentals")</f>
        <v>0</v>
      </c>
      <c r="AS119" s="17">
        <f>COUNTIFS('Prácticas_Revisiones'!$S$2:$S$282,"Sin equivalente en catálogo (Nivel no cubierto)",'Prácticas_Revisiones'!$T$2:$T$282,"SOFTWARE ENG. OPERATIONS &gt; Software Engineering Operations Planning")+COUNTIFS('Prácticas_Snowballing'!$AB$2:$AB$281,"Sin equivalente en catálogo (Nivel no cubierto)",'Prácticas_Snowballing'!$AC$2:$AC$281,"SOFTWARE ENG. OPERATIONS &gt; Software Engineering Operations Planning")</f>
        <v>0</v>
      </c>
      <c r="AT119" s="17">
        <f>COUNTIFS('Prácticas_Revisiones'!$S$2:$S$282,"Sin equivalente en catálogo (Nivel no cubierto)",'Prácticas_Revisiones'!$T$2:$T$282,"SOFTWARE ENG. OPERATIONS &gt; Software Engineering Operations Delivery")+COUNTIFS('Prácticas_Snowballing'!$AB$2:$AB$281,"Sin equivalente en catálogo (Nivel no cubierto)",'Prácticas_Snowballing'!$AC$2:$AC$281,"SOFTWARE ENG. OPERATIONS &gt; Software Engineering Operations Delivery")</f>
        <v>0</v>
      </c>
      <c r="AU119" s="17">
        <f>COUNTIFS('Prácticas_Revisiones'!$S$2:$S$282,"Sin equivalente en catálogo (Nivel no cubierto)",'Prácticas_Revisiones'!$T$2:$T$282,"SOFTWARE ENG. OPERATIONS &gt; Software Engineering Operations Control")+COUNTIFS('Prácticas_Snowballing'!$AB$2:$AB$281,"Sin equivalente en catálogo (Nivel no cubierto)",'Prácticas_Snowballing'!$AC$2:$AC$281,"SOFTWARE ENG. OPERATIONS &gt; Software Engineering Operations Control")</f>
        <v>0</v>
      </c>
      <c r="AV119" s="17">
        <f>COUNTIFS('Prácticas_Revisiones'!$S$2:$S$282,"Sin equivalente en catálogo (Nivel no cubierto)",'Prácticas_Revisiones'!$T$2:$T$282,"SOFTWARE ENG. OPERATIONS &gt; Practical Considerations")+COUNTIFS('Prácticas_Snowballing'!$AB$2:$AB$281,"Sin equivalente en catálogo (Nivel no cubierto)",'Prácticas_Snowballing'!$AC$2:$AC$281,"SOFTWARE ENG. OPERATIONS &gt; Practical Considerations")</f>
        <v>0</v>
      </c>
      <c r="AW119" s="17">
        <f>COUNTIFS('Prácticas_Revisiones'!$S$2:$S$282,"Sin equivalente en catálogo (Nivel no cubierto)",'Prácticas_Revisiones'!$T$2:$T$282,"SOFTWARE ENG. OPERATIONS &gt; Software Engineering Operations Tools")+COUNTIFS('Prácticas_Snowballing'!$AB$2:$AB$281,"Sin equivalente en catálogo (Nivel no cubierto)",'Prácticas_Snowballing'!$AC$2:$AC$281,"SOFTWARE ENG. OPERATIONS &gt; Software Engineering Operations Tools")</f>
        <v>0</v>
      </c>
      <c r="AX119" s="17">
        <f>COUNTIFS('Prácticas_Revisiones'!$S$2:$S$282,"Sin equivalente en catálogo (Nivel no cubierto)",'Prácticas_Revisiones'!$T$2:$T$282,"SOFTWARE ENG. OPERATIONS &gt; Subárea no determinable")+COUNTIFS('Prácticas_Snowballing'!$AB$2:$AB$281,"Sin equivalente en catálogo (Nivel no cubierto)",'Prácticas_Snowballing'!$AC$2:$AC$281,"SOFTWARE ENG. OPERATIONS &gt; Subárea no determinable")</f>
        <v>0</v>
      </c>
      <c r="AY119" s="29">
        <f>SUM(AR119:AX119)</f>
        <v>0</v>
      </c>
      <c r="AZ119" s="17">
        <f>COUNTIFS('Prácticas_Revisiones'!$S$2:$S$282,"Sin equivalente en catálogo (Nivel no cubierto)",'Prácticas_Revisiones'!$T$2:$T$282,"MAINTENANCE &gt; Software Maintenance Fundamentals")+COUNTIFS('Prácticas_Snowballing'!$AB$2:$AB$281,"Sin equivalente en catálogo (Nivel no cubierto)",'Prácticas_Snowballing'!$AC$2:$AC$281,"MAINTENANCE &gt; Software Maintenance Fundamentals")</f>
        <v>0</v>
      </c>
      <c r="BA119" s="17">
        <f>COUNTIFS('Prácticas_Revisiones'!$S$2:$S$282,"Sin equivalente en catálogo (Nivel no cubierto)",'Prácticas_Revisiones'!$T$2:$T$282,"MAINTENANCE &gt; Key Issues in Software Maintenance")+COUNTIFS('Prácticas_Snowballing'!$AB$2:$AB$281,"Sin equivalente en catálogo (Nivel no cubierto)",'Prácticas_Snowballing'!$AC$2:$AC$281,"MAINTENANCE &gt; Key Issues in Software Maintenance")</f>
        <v>0</v>
      </c>
      <c r="BB119" s="17">
        <f>COUNTIFS('Prácticas_Revisiones'!$S$2:$S$282,"Sin equivalente en catálogo (Nivel no cubierto)",'Prácticas_Revisiones'!$T$2:$T$282,"MAINTENANCE &gt; Software Maintenance Processes")+COUNTIFS('Prácticas_Snowballing'!$AB$2:$AB$281,"Sin equivalente en catálogo (Nivel no cubierto)",'Prácticas_Snowballing'!$AC$2:$AC$281,"MAINTENANCE &gt; Software Maintenance Processes")</f>
        <v>0</v>
      </c>
      <c r="BC119" s="17">
        <f>COUNTIFS('Prácticas_Revisiones'!$S$2:$S$282,"Sin equivalente en catálogo (Nivel no cubierto)",'Prácticas_Revisiones'!$T$2:$T$282,"MAINTENANCE &gt; Software Maintenance Techniques")+COUNTIFS('Prácticas_Snowballing'!$AB$2:$AB$281,"Sin equivalente en catálogo (Nivel no cubierto)",'Prácticas_Snowballing'!$AC$2:$AC$281,"MAINTENANCE &gt; Software Maintenance Techniques")</f>
        <v>1</v>
      </c>
      <c r="BD119" s="17">
        <f>COUNTIFS('Prácticas_Revisiones'!$S$2:$S$282,"Sin equivalente en catálogo (Nivel no cubierto)",'Prácticas_Revisiones'!$T$2:$T$282,"MAINTENANCE &gt; Software Maintenance Tools")+COUNTIFS('Prácticas_Snowballing'!$AB$2:$AB$281,"Sin equivalente en catálogo (Nivel no cubierto)",'Prácticas_Snowballing'!$AC$2:$AC$281,"MAINTENANCE &gt; Software Maintenance Tools")</f>
        <v>0</v>
      </c>
      <c r="BE119" s="17">
        <f>COUNTIFS('Prácticas_Revisiones'!$S$2:$S$282,"Sin equivalente en catálogo (Nivel no cubierto)",'Prácticas_Revisiones'!$T$2:$T$282,"MAINTENANCE &gt; Subárea no determinable")+COUNTIFS('Prácticas_Snowballing'!$AB$2:$AB$281,"Sin equivalente en catálogo (Nivel no cubierto)",'Prácticas_Snowballing'!$AC$2:$AC$281,"MAINTENANCE &gt; Subárea no determinable")</f>
        <v>0</v>
      </c>
      <c r="BF119" s="29">
        <f>SUM(AZ119:BE119)</f>
        <v>1</v>
      </c>
      <c r="BG119" s="17">
        <f>COUNTIFS('Prácticas_Revisiones'!$S$2:$S$282,"Sin equivalente en catálogo (Nivel no cubierto)",'Prácticas_Revisiones'!$T$2:$T$282,"SOFTWARE CONFIG. MGMT. &gt; Management of the SCM Process")+COUNTIFS('Prácticas_Snowballing'!$AB$2:$AB$281,"Sin equivalente en catálogo (Nivel no cubierto)",'Prácticas_Snowballing'!$AC$2:$AC$281,"SOFTWARE CONFIG. MGMT. &gt; Management of the SCM Process")</f>
        <v>0</v>
      </c>
      <c r="BH119" s="17">
        <f>COUNTIFS('Prácticas_Revisiones'!$S$2:$S$282,"Sin equivalente en catálogo (Nivel no cubierto)",'Prácticas_Revisiones'!$T$2:$T$282,"SOFTWARE CONFIG. MGMT. &gt; Software Configuration Identification")+COUNTIFS('Prácticas_Snowballing'!$AB$2:$AB$281,"Sin equivalente en catálogo (Nivel no cubierto)",'Prácticas_Snowballing'!$AC$2:$AC$281,"SOFTWARE CONFIG. MGMT. &gt; Software Configuration Identification")</f>
        <v>0</v>
      </c>
      <c r="BI119" s="17">
        <f>COUNTIFS('Prácticas_Revisiones'!$S$2:$S$282,"Sin equivalente en catálogo (Nivel no cubierto)",'Prácticas_Revisiones'!$T$2:$T$282,"SOFTWARE CONFIG. MGMT. &gt; Software Configuration Change Control")+COUNTIFS('Prácticas_Snowballing'!$AB$2:$AB$281,"Sin equivalente en catálogo (Nivel no cubierto)",'Prácticas_Snowballing'!$AC$2:$AC$281,"SOFTWARE CONFIG. MGMT. &gt; Software Configuration Change Control")</f>
        <v>0</v>
      </c>
      <c r="BJ119" s="17">
        <f>COUNTIFS('Prácticas_Revisiones'!$S$2:$S$282,"Sin equivalente en catálogo (Nivel no cubierto)",'Prácticas_Revisiones'!$T$2:$T$282,"SOFTWARE CONFIG. MGMT. &gt; Software Configuration Status Accounting")+COUNTIFS('Prácticas_Snowballing'!$AB$2:$AB$281,"Sin equivalente en catálogo (Nivel no cubierto)",'Prácticas_Snowballing'!$AC$2:$AC$281,"SOFTWARE CONFIG. MGMT. &gt; Software Configuration Status Accounting")</f>
        <v>0</v>
      </c>
      <c r="BK119" s="17">
        <f>COUNTIFS('Prácticas_Revisiones'!$S$2:$S$282,"Sin equivalente en catálogo (Nivel no cubierto)",'Prácticas_Revisiones'!$T$2:$T$282,"SOFTWARE CONFIG. MGMT. &gt; Software Configuration Auditing")+COUNTIFS('Prácticas_Snowballing'!$AB$2:$AB$281,"Sin equivalente en catálogo (Nivel no cubierto)",'Prácticas_Snowballing'!$AC$2:$AC$281,"SOFTWARE CONFIG. MGMT. &gt; Software Configuration Auditing")</f>
        <v>0</v>
      </c>
      <c r="BL119" s="17">
        <f>COUNTIFS('Prácticas_Revisiones'!$S$2:$S$282,"Sin equivalente en catálogo (Nivel no cubierto)",'Prácticas_Revisiones'!$T$2:$T$282,"SOFTWARE CONFIG. MGMT. &gt; Software Release Management and Delivery")+COUNTIFS('Prácticas_Snowballing'!$AB$2:$AB$281,"Sin equivalente en catálogo (Nivel no cubierto)",'Prácticas_Snowballing'!$AC$2:$AC$281,"SOFTWARE CONFIG. MGMT. &gt; Software Release Management and Delivery")</f>
        <v>0</v>
      </c>
      <c r="BM119" s="17">
        <f>COUNTIFS('Prácticas_Revisiones'!$S$2:$S$282,"Sin equivalente en catálogo (Nivel no cubierto)",'Prácticas_Revisiones'!$T$2:$T$282,"SOFTWARE CONFIG. MGMT. &gt; Software Configuration Management Tools")+COUNTIFS('Prácticas_Snowballing'!$AB$2:$AB$281,"Sin equivalente en catálogo (Nivel no cubierto)",'Prácticas_Snowballing'!$AC$2:$AC$281,"SOFTWARE CONFIG. MGMT. &gt; Software Configuration Management Tools")</f>
        <v>0</v>
      </c>
      <c r="BN119" s="17">
        <f>COUNTIFS('Prácticas_Revisiones'!$S$2:$S$282,"Sin equivalente en catálogo (Nivel no cubierto)",'Prácticas_Revisiones'!$T$2:$T$282,"SOFTWARE CONFIG. MGMT. &gt; Subárea no determinable")+COUNTIFS('Prácticas_Snowballing'!$AB$2:$AB$281,"Sin equivalente en catálogo (Nivel no cubierto)",'Prácticas_Snowballing'!$AC$2:$AC$281,"SOFTWARE CONFIG. MGMT. &gt; Subárea no determinable")</f>
        <v>0</v>
      </c>
      <c r="BO119" s="29">
        <f>SUM(BG119:BN119)</f>
        <v>0</v>
      </c>
      <c r="BP119" s="17">
        <f>COUNTIFS('Prácticas_Revisiones'!$S$2:$S$282,"Sin equivalente en catálogo (Nivel no cubierto)",'Prácticas_Revisiones'!$T$2:$T$282,"SOFTWARE ENG. PROCESS &gt; Software Engineering Process Fundamentals")+COUNTIFS('Prácticas_Snowballing'!$AB$2:$AB$281,"Sin equivalente en catálogo (Nivel no cubierto)",'Prácticas_Snowballing'!$AC$2:$AC$281,"SOFTWARE ENG. PROCESS &gt; Software Engineering Process Fundamentals")</f>
        <v>0</v>
      </c>
      <c r="BQ119" s="17">
        <f>COUNTIFS('Prácticas_Revisiones'!$S$2:$S$282,"Sin equivalente en catálogo (Nivel no cubierto)",'Prácticas_Revisiones'!$T$2:$T$282,"SOFTWARE ENG. PROCESS &gt; Life Cycles")+COUNTIFS('Prácticas_Snowballing'!$AB$2:$AB$281,"Sin equivalente en catálogo (Nivel no cubierto)",'Prácticas_Snowballing'!$AC$2:$AC$281,"SOFTWARE ENG. PROCESS &gt; Life Cycles")</f>
        <v>0</v>
      </c>
      <c r="BR119" s="17">
        <f>COUNTIFS('Prácticas_Revisiones'!$S$2:$S$282,"Sin equivalente en catálogo (Nivel no cubierto)",'Prácticas_Revisiones'!$T$2:$T$282,"SOFTWARE ENG. PROCESS &gt; Software Process Assessment and Improvement")+COUNTIFS('Prácticas_Snowballing'!$AB$2:$AB$281,"Sin equivalente en catálogo (Nivel no cubierto)",'Prácticas_Snowballing'!$AC$2:$AC$281,"SOFTWARE ENG. PROCESS &gt; Software Process Assessment and Improvement")</f>
        <v>0</v>
      </c>
      <c r="BS119" s="17">
        <f>COUNTIFS('Prácticas_Revisiones'!$S$2:$S$282,"Sin equivalente en catálogo (Nivel no cubierto)",'Prácticas_Revisiones'!$T$2:$T$282,"SOFTWARE ENG. PROCESS &gt; Subárea no determinable")+COUNTIFS('Prácticas_Snowballing'!$AB$2:$AB$281,"Sin equivalente en catálogo (Nivel no cubierto)",'Prácticas_Snowballing'!$AC$2:$AC$281,"SOFTWARE ENG. PROCESS &gt; Subárea no determinable")</f>
        <v>0</v>
      </c>
      <c r="BT119" s="29">
        <f>SUM(BP119:BS119)</f>
        <v>0</v>
      </c>
      <c r="BU119" s="17">
        <f>COUNTIFS('Prácticas_Revisiones'!$S$2:$S$282,"Sin equivalente en catálogo (Nivel no cubierto)",'Prácticas_Revisiones'!$T$2:$T$282,"SOFTWARE ENG. MODELS/METH. &gt; Modeling")+COUNTIFS('Prácticas_Snowballing'!$AB$2:$AB$281,"Sin equivalente en catálogo (Nivel no cubierto)",'Prácticas_Snowballing'!$AC$2:$AC$281,"SOFTWARE ENG. MODELS/METH. &gt; Modeling")</f>
        <v>2</v>
      </c>
      <c r="BV119" s="17">
        <f>COUNTIFS('Prácticas_Revisiones'!$S$2:$S$282,"Sin equivalente en catálogo (Nivel no cubierto)",'Prácticas_Revisiones'!$T$2:$T$282,"SOFTWARE ENG. MODELS/METH. &gt; Types of Models")+COUNTIFS('Prácticas_Snowballing'!$AB$2:$AB$281,"Sin equivalente en catálogo (Nivel no cubierto)",'Prácticas_Snowballing'!$AC$2:$AC$281,"SOFTWARE ENG. MODELS/METH. &gt; Types of Models")</f>
        <v>0</v>
      </c>
      <c r="BW119" s="17">
        <f>COUNTIFS('Prácticas_Revisiones'!$S$2:$S$282,"Sin equivalente en catálogo (Nivel no cubierto)",'Prácticas_Revisiones'!$T$2:$T$282,"SOFTWARE ENG. MODELS/METH. &gt; Analysis of Models")+COUNTIFS('Prácticas_Snowballing'!$AB$2:$AB$281,"Sin equivalente en catálogo (Nivel no cubierto)",'Prácticas_Snowballing'!$AC$2:$AC$281,"SOFTWARE ENG. MODELS/METH. &gt; Analysis of Models")</f>
        <v>0</v>
      </c>
      <c r="BX119" s="17">
        <f>COUNTIFS('Prácticas_Revisiones'!$S$2:$S$282,"Sin equivalente en catálogo (Nivel no cubierto)",'Prácticas_Revisiones'!$T$2:$T$282,"SOFTWARE ENG. MODELS/METH. &gt; Software Engineering Methods")+COUNTIFS('Prácticas_Snowballing'!$AB$2:$AB$281,"Sin equivalente en catálogo (Nivel no cubierto)",'Prácticas_Snowballing'!$AC$2:$AC$281,"SOFTWARE ENG. MODELS/METH. &gt; Software Engineering Methods")</f>
        <v>0</v>
      </c>
      <c r="BY119" s="17">
        <f>COUNTIFS('Prácticas_Revisiones'!$S$2:$S$282,"Sin equivalente en catálogo (Nivel no cubierto)",'Prácticas_Revisiones'!$T$2:$T$282,"SOFTWARE ENG. MODELS/METH. &gt; Subárea no determinable")+COUNTIFS('Prácticas_Snowballing'!$AB$2:$AB$281,"Sin equivalente en catálogo (Nivel no cubierto)",'Prácticas_Snowballing'!$AC$2:$AC$281,"SOFTWARE ENG. MODELS/METH. &gt; Subárea no determinable")</f>
        <v>0</v>
      </c>
      <c r="BZ119" s="29">
        <f>SUM(BU119:BY119)</f>
        <v>2</v>
      </c>
      <c r="CA119" s="17">
        <f>COUNTIFS('Prácticas_Revisiones'!$S$2:$S$282,"Sin equivalente en catálogo (Nivel no cubierto)",'Prácticas_Revisiones'!$T$2:$T$282,"SOFTWARE QUALITY &gt; Software Quality Fundamentals")+COUNTIFS('Prácticas_Snowballing'!$AB$2:$AB$281,"Sin equivalente en catálogo (Nivel no cubierto)",'Prácticas_Snowballing'!$AC$2:$AC$281,"SOFTWARE QUALITY &gt; Software Quality Fundamentals")</f>
        <v>0</v>
      </c>
      <c r="CB119" s="17">
        <f>COUNTIFS('Prácticas_Revisiones'!$S$2:$S$282,"Sin equivalente en catálogo (Nivel no cubierto)",'Prácticas_Revisiones'!$T$2:$T$282,"SOFTWARE QUALITY &gt; Software Quality Management Process")+COUNTIFS('Prácticas_Snowballing'!$AB$2:$AB$281,"Sin equivalente en catálogo (Nivel no cubierto)",'Prácticas_Snowballing'!$AC$2:$AC$281,"SOFTWARE QUALITY &gt; Software Quality Management Process")</f>
        <v>0</v>
      </c>
      <c r="CC119" s="17">
        <f>COUNTIFS('Prácticas_Revisiones'!$S$2:$S$282,"Sin equivalente en catálogo (Nivel no cubierto)",'Prácticas_Revisiones'!$T$2:$T$282,"SOFTWARE QUALITY &gt; Software Quality Assurance Process")+COUNTIFS('Prácticas_Snowballing'!$AB$2:$AB$281,"Sin equivalente en catálogo (Nivel no cubierto)",'Prácticas_Snowballing'!$AC$2:$AC$281,"SOFTWARE QUALITY &gt; Software Quality Assurance Process")</f>
        <v>2</v>
      </c>
      <c r="CD119" s="17">
        <f>COUNTIFS('Prácticas_Revisiones'!$S$2:$S$282,"Sin equivalente en catálogo (Nivel no cubierto)",'Prácticas_Revisiones'!$T$2:$T$282,"SOFTWARE QUALITY &gt; Software Quality Tools")+COUNTIFS('Prácticas_Snowballing'!$AB$2:$AB$281,"Sin equivalente en catálogo (Nivel no cubierto)",'Prácticas_Snowballing'!$AC$2:$AC$281,"SOFTWARE QUALITY &gt; Software Quality Tools")</f>
        <v>0</v>
      </c>
      <c r="CE119" s="17">
        <f>COUNTIFS('Prácticas_Revisiones'!$S$2:$S$282,"Sin equivalente en catálogo (Nivel no cubierto)",'Prácticas_Revisiones'!$T$2:$T$282,"SOFTWARE QUALITY &gt; Subárea no determinable")+COUNTIFS('Prácticas_Snowballing'!$AB$2:$AB$281,"Sin equivalente en catálogo (Nivel no cubierto)",'Prácticas_Snowballing'!$AC$2:$AC$281,"SOFTWARE QUALITY &gt; Subárea no determinable")</f>
        <v>0</v>
      </c>
      <c r="CF119" s="29">
        <f>SUM(CA119:CE119)</f>
        <v>2</v>
      </c>
      <c r="CG119" s="17">
        <f>COUNTIFS('Prácticas_Revisiones'!$S$2:$S$282,"Sin equivalente en catálogo (Nivel no cubierto)",'Prácticas_Revisiones'!$T$2:$T$282,"SOFTWARE SECURITY &gt; Software Security Fundamentals")+COUNTIFS('Prácticas_Snowballing'!$AB$2:$AB$281,"Sin equivalente en catálogo (Nivel no cubierto)",'Prácticas_Snowballing'!$AC$2:$AC$281,"SOFTWARE SECURITY &gt; Software Security Fundamentals")</f>
        <v>0</v>
      </c>
      <c r="CH119" s="17">
        <f>COUNTIFS('Prácticas_Revisiones'!$S$2:$S$282,"Sin equivalente en catálogo (Nivel no cubierto)",'Prácticas_Revisiones'!$T$2:$T$282,"SOFTWARE SECURITY &gt; Security Management and Organization")+COUNTIFS('Prácticas_Snowballing'!$AB$2:$AB$281,"Sin equivalente en catálogo (Nivel no cubierto)",'Prácticas_Snowballing'!$AC$2:$AC$281,"SOFTWARE SECURITY &gt; Security Management and Organization")</f>
        <v>0</v>
      </c>
      <c r="CI119" s="17">
        <f>COUNTIFS('Prácticas_Revisiones'!$S$2:$S$282,"Sin equivalente en catálogo (Nivel no cubierto)",'Prácticas_Revisiones'!$T$2:$T$282,"SOFTWARE SECURITY &gt; Software Security Engineering and Process")+COUNTIFS('Prácticas_Snowballing'!$AB$2:$AB$281,"Sin equivalente en catálogo (Nivel no cubierto)",'Prácticas_Snowballing'!$AC$2:$AC$281,"SOFTWARE SECURITY &gt; Software Security Engineering and Process")</f>
        <v>0</v>
      </c>
      <c r="CJ119" s="17">
        <f>COUNTIFS('Prácticas_Revisiones'!$S$2:$S$282,"Sin equivalente en catálogo (Nivel no cubierto)",'Prácticas_Revisiones'!$T$2:$T$282,"SOFTWARE SECURITY &gt; Security Engineering for Software Systems")+COUNTIFS('Prácticas_Snowballing'!$AB$2:$AB$281,"Sin equivalente en catálogo (Nivel no cubierto)",'Prácticas_Snowballing'!$AC$2:$AC$281,"SOFTWARE SECURITY &gt; Security Engineering for Software Systems")</f>
        <v>0</v>
      </c>
      <c r="CK119" s="17">
        <f>COUNTIFS('Prácticas_Revisiones'!$S$2:$S$282,"Sin equivalente en catálogo (Nivel no cubierto)",'Prácticas_Revisiones'!$T$2:$T$282,"SOFTWARE SECURITY &gt; Software Security Tools")+COUNTIFS('Prácticas_Snowballing'!$AB$2:$AB$281,"Sin equivalente en catálogo (Nivel no cubierto)",'Prácticas_Snowballing'!$AC$2:$AC$281,"SOFTWARE SECURITY &gt; Software Security Tools")</f>
        <v>0</v>
      </c>
      <c r="CL119" s="17">
        <f>COUNTIFS('Prácticas_Revisiones'!$S$2:$S$282,"Sin equivalente en catálogo (Nivel no cubierto)",'Prácticas_Revisiones'!$T$2:$T$282,"SOFTWARE SECURITY &gt; Domain Specific Software Security")+COUNTIFS('Prácticas_Snowballing'!$AB$2:$AB$281,"Sin equivalente en catálogo (Nivel no cubierto)",'Prácticas_Snowballing'!$AC$2:$AC$281,"SOFTWARE SECURITY &gt; Domain Specific Software Security")</f>
        <v>0</v>
      </c>
      <c r="CM119" s="17">
        <f>COUNTIFS('Prácticas_Revisiones'!$S$2:$S$282,"Sin equivalente en catálogo (Nivel no cubierto)",'Prácticas_Revisiones'!$T$2:$T$282,"SOFTWARE SECURITY &gt; Subárea no determinable")+COUNTIFS('Prácticas_Snowballing'!$AB$2:$AB$281,"Sin equivalente en catálogo (Nivel no cubierto)",'Prácticas_Snowballing'!$AC$2:$AC$281,"SOFTWARE SECURITY &gt; Subárea no determinable")</f>
        <v>0</v>
      </c>
      <c r="CN119" s="29">
        <f>SUM(CG119:CM119)</f>
        <v>0</v>
      </c>
      <c r="CO119" s="17">
        <f>COUNTIFS('Prácticas_Revisiones'!$S$2:$S$282,"Sin equivalente en catálogo (Nivel no cubierto)",'Prácticas_Revisiones'!$T$2:$T$282,"PROFESSIONAL PRACTICE &gt; Professionalism")+COUNTIFS('Prácticas_Snowballing'!$AB$2:$AB$281,"Sin equivalente en catálogo (Nivel no cubierto)",'Prácticas_Snowballing'!$AC$2:$AC$281,"PROFESSIONAL PRACTICE &gt; Professionalism")</f>
        <v>2</v>
      </c>
      <c r="CP119" s="17">
        <f>COUNTIFS('Prácticas_Revisiones'!$S$2:$S$282,"Sin equivalente en catálogo (Nivel no cubierto)",'Prácticas_Revisiones'!$T$2:$T$282,"PROFESSIONAL PRACTICE &gt; Group Dynamics and Psychology")+COUNTIFS('Prácticas_Snowballing'!$AB$2:$AB$281,"Sin equivalente en catálogo (Nivel no cubierto)",'Prácticas_Snowballing'!$AC$2:$AC$281,"PROFESSIONAL PRACTICE &gt; Group Dynamics and Psychology")</f>
        <v>0</v>
      </c>
      <c r="CQ119" s="17">
        <f>COUNTIFS('Prácticas_Revisiones'!$S$2:$S$282,"Sin equivalente en catálogo (Nivel no cubierto)",'Prácticas_Revisiones'!$T$2:$T$282,"PROFESSIONAL PRACTICE &gt; Communication Skills")+COUNTIFS('Prácticas_Snowballing'!$AB$2:$AB$281,"Sin equivalente en catálogo (Nivel no cubierto)",'Prácticas_Snowballing'!$AC$2:$AC$281,"PROFESSIONAL PRACTICE &gt; Communication Skills")</f>
        <v>0</v>
      </c>
      <c r="CR119" s="17">
        <f>COUNTIFS('Prácticas_Revisiones'!$S$2:$S$282,"Sin equivalente en catálogo (Nivel no cubierto)",'Prácticas_Revisiones'!$T$2:$T$282,"PROFESSIONAL PRACTICE &gt; Subárea no determinable")+COUNTIFS('Prácticas_Snowballing'!$AB$2:$AB$281,"Sin equivalente en catálogo (Nivel no cubierto)",'Prácticas_Snowballing'!$AC$2:$AC$281,"PROFESSIONAL PRACTICE &gt; Subárea no determinable")</f>
        <v>0</v>
      </c>
      <c r="CS119" s="29">
        <f>SUM(CO119:CR119)</f>
        <v>2</v>
      </c>
      <c r="CT119" s="17">
        <f>COUNTIFS('Prácticas_Revisiones'!$S$2:$S$282,"Sin equivalente en catálogo (Nivel no cubierto)",'Prácticas_Revisiones'!$T$2:$T$282,"SOFTWARE ENG. ECONOMICS &gt; Software Engineering Economics Fundamentals")+COUNTIFS('Prácticas_Snowballing'!$AB$2:$AB$281,"Sin equivalente en catálogo (Nivel no cubierto)",'Prácticas_Snowballing'!$AC$2:$AC$281,"SOFTWARE ENG. ECONOMICS &gt; Software Engineering Economics Fundamentals")</f>
        <v>0</v>
      </c>
      <c r="CU119" s="17">
        <f>COUNTIFS('Prácticas_Revisiones'!$S$2:$S$282,"Sin equivalente en catálogo (Nivel no cubierto)",'Prácticas_Revisiones'!$T$2:$T$282,"SOFTWARE ENG. ECONOMICS &gt; The Engineering Decision-Making Process")+COUNTIFS('Prácticas_Snowballing'!$AB$2:$AB$281,"Sin equivalente en catálogo (Nivel no cubierto)",'Prácticas_Snowballing'!$AC$2:$AC$281,"SOFTWARE ENG. ECONOMICS &gt; The Engineering Decision-Making Process")</f>
        <v>0</v>
      </c>
      <c r="CV119" s="17">
        <f>COUNTIFS('Prácticas_Revisiones'!$S$2:$S$282,"Sin equivalente en catálogo (Nivel no cubierto)",'Prácticas_Revisiones'!$T$2:$T$282,"SOFTWARE ENG. ECONOMICS &gt; For-Profit Decision-Making")+COUNTIFS('Prácticas_Snowballing'!$AB$2:$AB$281,"Sin equivalente en catálogo (Nivel no cubierto)",'Prácticas_Snowballing'!$AC$2:$AC$281,"SOFTWARE ENG. ECONOMICS &gt; For-Profit Decision-Making")</f>
        <v>0</v>
      </c>
      <c r="CW119" s="17">
        <f>COUNTIFS('Prácticas_Revisiones'!$S$2:$S$282,"Sin equivalente en catálogo (Nivel no cubierto)",'Prácticas_Revisiones'!$T$2:$T$282,"SOFTWARE ENG. ECONOMICS &gt; Nonprofit Decision-Making")+COUNTIFS('Prácticas_Snowballing'!$AB$2:$AB$281,"Sin equivalente en catálogo (Nivel no cubierto)",'Prácticas_Snowballing'!$AC$2:$AC$281,"SOFTWARE ENG. ECONOMICS &gt; Nonprofit Decision-Making")</f>
        <v>0</v>
      </c>
      <c r="CX119" s="17">
        <f>COUNTIFS('Prácticas_Revisiones'!$S$2:$S$282,"Sin equivalente en catálogo (Nivel no cubierto)",'Prácticas_Revisiones'!$T$2:$T$282,"SOFTWARE ENG. ECONOMICS &gt; Present Economy Decision-Making")+COUNTIFS('Prácticas_Snowballing'!$AB$2:$AB$281,"Sin equivalente en catálogo (Nivel no cubierto)",'Prácticas_Snowballing'!$AC$2:$AC$281,"SOFTWARE ENG. ECONOMICS &gt; Present Economy Decision-Making")</f>
        <v>0</v>
      </c>
      <c r="CY119" s="17">
        <f>COUNTIFS('Prácticas_Revisiones'!$S$2:$S$282,"Sin equivalente en catálogo (Nivel no cubierto)",'Prácticas_Revisiones'!$T$2:$T$282,"SOFTWARE ENG. ECONOMICS &gt; Multiple-Attribute Decision-Making")+COUNTIFS('Prácticas_Snowballing'!$AB$2:$AB$281,"Sin equivalente en catálogo (Nivel no cubierto)",'Prácticas_Snowballing'!$AC$2:$AC$281,"SOFTWARE ENG. ECONOMICS &gt; Multiple-Attribute Decision-Making")</f>
        <v>0</v>
      </c>
      <c r="CZ119" s="17">
        <f>COUNTIFS('Prácticas_Revisiones'!$S$2:$S$282,"Sin equivalente en catálogo (Nivel no cubierto)",'Prácticas_Revisiones'!$T$2:$T$282,"SOFTWARE ENG. ECONOMICS &gt; Identifying and Characterizing Intangible Assets")+COUNTIFS('Prácticas_Snowballing'!$AB$2:$AB$281,"Sin equivalente en catálogo (Nivel no cubierto)",'Prácticas_Snowballing'!$AC$2:$AC$281,"SOFTWARE ENG. ECONOMICS &gt; Identifying and Characterizing Intangible Assets")</f>
        <v>0</v>
      </c>
      <c r="DA119" s="17">
        <f>COUNTIFS('Prácticas_Revisiones'!$S$2:$S$282,"Sin equivalente en catálogo (Nivel no cubierto)",'Prácticas_Revisiones'!$T$2:$T$282,"SOFTWARE ENG. ECONOMICS &gt; Estimation")+COUNTIFS('Prácticas_Snowballing'!$AB$2:$AB$281,"Sin equivalente en catálogo (Nivel no cubierto)",'Prácticas_Snowballing'!$AC$2:$AC$281,"SOFTWARE ENG. ECONOMICS &gt; Estimation")</f>
        <v>0</v>
      </c>
      <c r="DB119" s="17">
        <f>COUNTIFS('Prácticas_Revisiones'!$S$2:$S$282,"Sin equivalente en catálogo (Nivel no cubierto)",'Prácticas_Revisiones'!$T$2:$T$282,"SOFTWARE ENG. ECONOMICS &gt; Practical Considerations")+COUNTIFS('Prácticas_Snowballing'!$AB$2:$AB$281,"Sin equivalente en catálogo (Nivel no cubierto)",'Prácticas_Snowballing'!$AC$2:$AC$281,"SOFTWARE ENG. ECONOMICS &gt; Practical Considerations")</f>
        <v>0</v>
      </c>
      <c r="DC119" s="17">
        <f>COUNTIFS('Prácticas_Revisiones'!$S$2:$S$282,"Sin equivalente en catálogo (Nivel no cubierto)",'Prácticas_Revisiones'!$T$2:$T$282,"SOFTWARE ENG. ECONOMICS &gt; Related Concepts")+COUNTIFS('Prácticas_Snowballing'!$AB$2:$AB$281,"Sin equivalente en catálogo (Nivel no cubierto)",'Prácticas_Snowballing'!$AC$2:$AC$281,"SOFTWARE ENG. ECONOMICS &gt; Related Concepts")</f>
        <v>0</v>
      </c>
      <c r="DD119" s="17">
        <f>COUNTIFS('Prácticas_Revisiones'!$S$2:$S$282,"Sin equivalente en catálogo (Nivel no cubierto)",'Prácticas_Revisiones'!$T$2:$T$282,"SOFTWARE ENG. ECONOMICS &gt; Subárea no determinable")+COUNTIFS('Prácticas_Snowballing'!$AB$2:$AB$281,"Sin equivalente en catálogo (Nivel no cubierto)",'Prácticas_Snowballing'!$AC$2:$AC$281,"SOFTWARE ENG. ECONOMICS &gt; Subárea no determinable")</f>
        <v>0</v>
      </c>
      <c r="DE119" s="29">
        <f>SUM(CT119:DD119)</f>
        <v>0</v>
      </c>
      <c r="DF119" s="17">
        <f>COUNTIFS('Prácticas_Revisiones'!$S$2:$S$282,"Sin equivalente en catálogo (Nivel no cubierto)",'Prácticas_Revisiones'!$T$2:$T$282,"SOFTWARE ENG. MANAGEMENT &gt; Software Engineering Management Fundamentals")+COUNTIFS('Prácticas_Snowballing'!$AB$2:$AB$281,"Sin equivalente en catálogo (Nivel no cubierto)",'Prácticas_Snowballing'!$AC$2:$AC$281,"SOFTWARE ENG. MANAGEMENT &gt; Software Engineering Management Fundamentals")</f>
        <v>0</v>
      </c>
      <c r="DG119" s="17">
        <f>COUNTIFS('Prácticas_Revisiones'!$S$2:$S$282,"Sin equivalente en catálogo (Nivel no cubierto)",'Prácticas_Revisiones'!$T$2:$T$282,"SOFTWARE ENG. MANAGEMENT &gt; Initiation and Scope Definition")+COUNTIFS('Prácticas_Snowballing'!$AB$2:$AB$281,"Sin equivalente en catálogo (Nivel no cubierto)",'Prácticas_Snowballing'!$AC$2:$AC$281,"SOFTWARE ENG. MANAGEMENT &gt; Initiation and Scope Definition")</f>
        <v>0</v>
      </c>
      <c r="DH119" s="17">
        <f>COUNTIFS('Prácticas_Revisiones'!$S$2:$S$282,"Sin equivalente en catálogo (Nivel no cubierto)",'Prácticas_Revisiones'!$T$2:$T$282,"SOFTWARE ENG. MANAGEMENT &gt; Software Project Planning")+COUNTIFS('Prácticas_Snowballing'!$AB$2:$AB$281,"Sin equivalente en catálogo (Nivel no cubierto)",'Prácticas_Snowballing'!$AC$2:$AC$281,"SOFTWARE ENG. MANAGEMENT &gt; Software Project Planning")</f>
        <v>0</v>
      </c>
      <c r="DI119" s="17">
        <f>COUNTIFS('Prácticas_Revisiones'!$S$2:$S$282,"Sin equivalente en catálogo (Nivel no cubierto)",'Prácticas_Revisiones'!$T$2:$T$282,"SOFTWARE ENG. MANAGEMENT &gt; Software Project Enactment")+COUNTIFS('Prácticas_Snowballing'!$AB$2:$AB$281,"Sin equivalente en catálogo (Nivel no cubierto)",'Prácticas_Snowballing'!$AC$2:$AC$281,"SOFTWARE ENG. MANAGEMENT &gt; Software Project Enactment")</f>
        <v>0</v>
      </c>
      <c r="DJ119" s="17">
        <f>COUNTIFS('Prácticas_Revisiones'!$S$2:$S$282,"Sin equivalente en catálogo (Nivel no cubierto)",'Prácticas_Revisiones'!$T$2:$T$282,"SOFTWARE ENG. MANAGEMENT &gt; Review and Evaluation")+COUNTIFS('Prácticas_Snowballing'!$AB$2:$AB$281,"Sin equivalente en catálogo (Nivel no cubierto)",'Prácticas_Snowballing'!$AC$2:$AC$281,"SOFTWARE ENG. MANAGEMENT &gt; Review and Evaluation")</f>
        <v>0</v>
      </c>
      <c r="DK119" s="17">
        <f>COUNTIFS('Prácticas_Revisiones'!$S$2:$S$282,"Sin equivalente en catálogo (Nivel no cubierto)",'Prácticas_Revisiones'!$T$2:$T$282,"SOFTWARE ENG. MANAGEMENT &gt; Closure")+COUNTIFS('Prácticas_Snowballing'!$AB$2:$AB$281,"Sin equivalente en catálogo (Nivel no cubierto)",'Prácticas_Snowballing'!$AC$2:$AC$281,"SOFTWARE ENG. MANAGEMENT &gt; Closure")</f>
        <v>0</v>
      </c>
      <c r="DL119" s="17">
        <f>COUNTIFS('Prácticas_Revisiones'!$S$2:$S$282,"Sin equivalente en catálogo (Nivel no cubierto)",'Prácticas_Revisiones'!$T$2:$T$282,"SOFTWARE ENG. MANAGEMENT &gt; Software Engineering Management Tools")+COUNTIFS('Prácticas_Snowballing'!$AB$2:$AB$281,"Sin equivalente en catálogo (Nivel no cubierto)",'Prácticas_Snowballing'!$AC$2:$AC$281,"SOFTWARE ENG. MANAGEMENT &gt; Software Engineering Management Tools")</f>
        <v>0</v>
      </c>
      <c r="DM119" s="17">
        <f>COUNTIFS('Prácticas_Revisiones'!$S$2:$S$282,"Sin equivalente en catálogo (Nivel no cubierto)",'Prácticas_Revisiones'!$T$2:$T$282,"SOFTWARE ENG. MANAGEMENT &gt; Subárea no determinable")+COUNTIFS('Prácticas_Snowballing'!$AB$2:$AB$281,"Sin equivalente en catálogo (Nivel no cubierto)",'Prácticas_Snowballing'!$AC$2:$AC$281,"SOFTWARE ENG. MANAGEMENT &gt; Subárea no determinable")</f>
        <v>0</v>
      </c>
      <c r="DN119" s="29">
        <f>SUM(DF119:DM119)</f>
        <v>0</v>
      </c>
      <c r="DO119" s="17">
        <f>COUNTIFS('Prácticas_Revisiones'!$S$2:$S$282,"Sin equivalente en catálogo (Nivel no cubierto)",'Prácticas_Revisiones'!$T$2:$T$282,"Sin área SWEBOK")+COUNTIFS('Prácticas_Snowballing'!$AB$2:$AB$281,"Sin equivalente en catálogo (Nivel no cubierto)",'Prácticas_Snowballing'!$AC$2:$AC$281,"Sin área SWEBOK")</f>
        <v>14</v>
      </c>
      <c r="DP119" s="27">
        <f>SUM(C119:K119,M119:Q119,S119:Y119,AA119:AF119,AH119:AP119,AR119:AX119,AZ119:BE119,BG119:BN119,BP119:BS119,BU119:BY119,CA119:CE119,CG119:CM119,CO119:CR119,CT119:DD119,DF119:DM119,DO119)</f>
        <v>145</v>
      </c>
    </row>
    <row r="120" ht="15.75" customHeight="1">
      <c r="A120" s="35" t="s">
        <v>2875</v>
      </c>
      <c r="B120" s="20"/>
      <c r="C120" s="29">
        <f t="shared" ref="C120:DP120" si="103">C119</f>
        <v>0</v>
      </c>
      <c r="D120" s="29">
        <f t="shared" si="103"/>
        <v>0</v>
      </c>
      <c r="E120" s="29">
        <f t="shared" si="103"/>
        <v>1</v>
      </c>
      <c r="F120" s="29">
        <f t="shared" si="103"/>
        <v>1</v>
      </c>
      <c r="G120" s="29">
        <f t="shared" si="103"/>
        <v>1</v>
      </c>
      <c r="H120" s="29">
        <f t="shared" si="103"/>
        <v>0</v>
      </c>
      <c r="I120" s="29">
        <f t="shared" si="103"/>
        <v>0</v>
      </c>
      <c r="J120" s="29">
        <f t="shared" si="103"/>
        <v>0</v>
      </c>
      <c r="K120" s="29">
        <f t="shared" si="103"/>
        <v>0</v>
      </c>
      <c r="L120" s="29">
        <f t="shared" si="103"/>
        <v>3</v>
      </c>
      <c r="M120" s="29">
        <f t="shared" si="103"/>
        <v>0</v>
      </c>
      <c r="N120" s="29">
        <f t="shared" si="103"/>
        <v>0</v>
      </c>
      <c r="O120" s="29">
        <f t="shared" si="103"/>
        <v>0</v>
      </c>
      <c r="P120" s="29">
        <f t="shared" si="103"/>
        <v>0</v>
      </c>
      <c r="Q120" s="29">
        <f t="shared" si="103"/>
        <v>0</v>
      </c>
      <c r="R120" s="29">
        <f t="shared" si="103"/>
        <v>0</v>
      </c>
      <c r="S120" s="29">
        <f t="shared" si="103"/>
        <v>0</v>
      </c>
      <c r="T120" s="29">
        <f t="shared" si="103"/>
        <v>0</v>
      </c>
      <c r="U120" s="29">
        <f t="shared" si="103"/>
        <v>0</v>
      </c>
      <c r="V120" s="29">
        <f t="shared" si="103"/>
        <v>2</v>
      </c>
      <c r="W120" s="29">
        <f t="shared" si="103"/>
        <v>0</v>
      </c>
      <c r="X120" s="29">
        <f t="shared" si="103"/>
        <v>0</v>
      </c>
      <c r="Y120" s="29">
        <f t="shared" si="103"/>
        <v>1</v>
      </c>
      <c r="Z120" s="29">
        <f t="shared" si="103"/>
        <v>3</v>
      </c>
      <c r="AA120" s="29">
        <f t="shared" si="103"/>
        <v>60</v>
      </c>
      <c r="AB120" s="29">
        <f t="shared" si="103"/>
        <v>0</v>
      </c>
      <c r="AC120" s="29">
        <f t="shared" si="103"/>
        <v>20</v>
      </c>
      <c r="AD120" s="29">
        <f t="shared" si="103"/>
        <v>9</v>
      </c>
      <c r="AE120" s="29">
        <f t="shared" si="103"/>
        <v>24</v>
      </c>
      <c r="AF120" s="29">
        <f t="shared" si="103"/>
        <v>1</v>
      </c>
      <c r="AG120" s="29">
        <f t="shared" si="103"/>
        <v>114</v>
      </c>
      <c r="AH120" s="29">
        <f t="shared" si="103"/>
        <v>0</v>
      </c>
      <c r="AI120" s="29">
        <f t="shared" si="103"/>
        <v>0</v>
      </c>
      <c r="AJ120" s="29">
        <f t="shared" si="103"/>
        <v>3</v>
      </c>
      <c r="AK120" s="29">
        <f t="shared" si="103"/>
        <v>0</v>
      </c>
      <c r="AL120" s="29">
        <f t="shared" si="103"/>
        <v>0</v>
      </c>
      <c r="AM120" s="29">
        <f t="shared" si="103"/>
        <v>0</v>
      </c>
      <c r="AN120" s="29">
        <f t="shared" si="103"/>
        <v>0</v>
      </c>
      <c r="AO120" s="29">
        <f t="shared" si="103"/>
        <v>1</v>
      </c>
      <c r="AP120" s="29">
        <f t="shared" si="103"/>
        <v>0</v>
      </c>
      <c r="AQ120" s="29">
        <f t="shared" si="103"/>
        <v>4</v>
      </c>
      <c r="AR120" s="29">
        <f t="shared" si="103"/>
        <v>0</v>
      </c>
      <c r="AS120" s="29">
        <f t="shared" si="103"/>
        <v>0</v>
      </c>
      <c r="AT120" s="29">
        <f t="shared" si="103"/>
        <v>0</v>
      </c>
      <c r="AU120" s="29">
        <f t="shared" si="103"/>
        <v>0</v>
      </c>
      <c r="AV120" s="29">
        <f t="shared" si="103"/>
        <v>0</v>
      </c>
      <c r="AW120" s="29">
        <f t="shared" si="103"/>
        <v>0</v>
      </c>
      <c r="AX120" s="29">
        <f t="shared" si="103"/>
        <v>0</v>
      </c>
      <c r="AY120" s="29">
        <f t="shared" si="103"/>
        <v>0</v>
      </c>
      <c r="AZ120" s="29">
        <f t="shared" si="103"/>
        <v>0</v>
      </c>
      <c r="BA120" s="29">
        <f t="shared" si="103"/>
        <v>0</v>
      </c>
      <c r="BB120" s="29">
        <f t="shared" si="103"/>
        <v>0</v>
      </c>
      <c r="BC120" s="29">
        <f t="shared" si="103"/>
        <v>1</v>
      </c>
      <c r="BD120" s="29">
        <f t="shared" si="103"/>
        <v>0</v>
      </c>
      <c r="BE120" s="29">
        <f t="shared" si="103"/>
        <v>0</v>
      </c>
      <c r="BF120" s="29">
        <f t="shared" si="103"/>
        <v>1</v>
      </c>
      <c r="BG120" s="29">
        <f t="shared" si="103"/>
        <v>0</v>
      </c>
      <c r="BH120" s="29">
        <f t="shared" si="103"/>
        <v>0</v>
      </c>
      <c r="BI120" s="29">
        <f t="shared" si="103"/>
        <v>0</v>
      </c>
      <c r="BJ120" s="29">
        <f t="shared" si="103"/>
        <v>0</v>
      </c>
      <c r="BK120" s="29">
        <f t="shared" si="103"/>
        <v>0</v>
      </c>
      <c r="BL120" s="29">
        <f t="shared" si="103"/>
        <v>0</v>
      </c>
      <c r="BM120" s="29">
        <f t="shared" si="103"/>
        <v>0</v>
      </c>
      <c r="BN120" s="29">
        <f t="shared" si="103"/>
        <v>0</v>
      </c>
      <c r="BO120" s="29">
        <f t="shared" si="103"/>
        <v>0</v>
      </c>
      <c r="BP120" s="29">
        <f t="shared" si="103"/>
        <v>0</v>
      </c>
      <c r="BQ120" s="29">
        <f t="shared" si="103"/>
        <v>0</v>
      </c>
      <c r="BR120" s="29">
        <f t="shared" si="103"/>
        <v>0</v>
      </c>
      <c r="BS120" s="29">
        <f t="shared" si="103"/>
        <v>0</v>
      </c>
      <c r="BT120" s="29">
        <f t="shared" si="103"/>
        <v>0</v>
      </c>
      <c r="BU120" s="29">
        <f t="shared" si="103"/>
        <v>2</v>
      </c>
      <c r="BV120" s="29">
        <f t="shared" si="103"/>
        <v>0</v>
      </c>
      <c r="BW120" s="29">
        <f t="shared" si="103"/>
        <v>0</v>
      </c>
      <c r="BX120" s="29">
        <f t="shared" si="103"/>
        <v>0</v>
      </c>
      <c r="BY120" s="29">
        <f t="shared" si="103"/>
        <v>0</v>
      </c>
      <c r="BZ120" s="29">
        <f t="shared" si="103"/>
        <v>2</v>
      </c>
      <c r="CA120" s="29">
        <f t="shared" si="103"/>
        <v>0</v>
      </c>
      <c r="CB120" s="29">
        <f t="shared" si="103"/>
        <v>0</v>
      </c>
      <c r="CC120" s="29">
        <f t="shared" si="103"/>
        <v>2</v>
      </c>
      <c r="CD120" s="29">
        <f t="shared" si="103"/>
        <v>0</v>
      </c>
      <c r="CE120" s="29">
        <f t="shared" si="103"/>
        <v>0</v>
      </c>
      <c r="CF120" s="29">
        <f t="shared" si="103"/>
        <v>2</v>
      </c>
      <c r="CG120" s="29">
        <f t="shared" si="103"/>
        <v>0</v>
      </c>
      <c r="CH120" s="29">
        <f t="shared" si="103"/>
        <v>0</v>
      </c>
      <c r="CI120" s="29">
        <f t="shared" si="103"/>
        <v>0</v>
      </c>
      <c r="CJ120" s="29">
        <f t="shared" si="103"/>
        <v>0</v>
      </c>
      <c r="CK120" s="29">
        <f t="shared" si="103"/>
        <v>0</v>
      </c>
      <c r="CL120" s="29">
        <f t="shared" si="103"/>
        <v>0</v>
      </c>
      <c r="CM120" s="29">
        <f t="shared" si="103"/>
        <v>0</v>
      </c>
      <c r="CN120" s="29">
        <f t="shared" si="103"/>
        <v>0</v>
      </c>
      <c r="CO120" s="29">
        <f t="shared" si="103"/>
        <v>2</v>
      </c>
      <c r="CP120" s="29">
        <f t="shared" si="103"/>
        <v>0</v>
      </c>
      <c r="CQ120" s="29">
        <f t="shared" si="103"/>
        <v>0</v>
      </c>
      <c r="CR120" s="29">
        <f t="shared" si="103"/>
        <v>0</v>
      </c>
      <c r="CS120" s="29">
        <f t="shared" si="103"/>
        <v>2</v>
      </c>
      <c r="CT120" s="29">
        <f t="shared" si="103"/>
        <v>0</v>
      </c>
      <c r="CU120" s="29">
        <f t="shared" si="103"/>
        <v>0</v>
      </c>
      <c r="CV120" s="29">
        <f t="shared" si="103"/>
        <v>0</v>
      </c>
      <c r="CW120" s="29">
        <f t="shared" si="103"/>
        <v>0</v>
      </c>
      <c r="CX120" s="29">
        <f t="shared" si="103"/>
        <v>0</v>
      </c>
      <c r="CY120" s="29">
        <f t="shared" si="103"/>
        <v>0</v>
      </c>
      <c r="CZ120" s="29">
        <f t="shared" si="103"/>
        <v>0</v>
      </c>
      <c r="DA120" s="29">
        <f t="shared" si="103"/>
        <v>0</v>
      </c>
      <c r="DB120" s="29">
        <f t="shared" si="103"/>
        <v>0</v>
      </c>
      <c r="DC120" s="29">
        <f t="shared" si="103"/>
        <v>0</v>
      </c>
      <c r="DD120" s="29">
        <f t="shared" si="103"/>
        <v>0</v>
      </c>
      <c r="DE120" s="29">
        <f t="shared" si="103"/>
        <v>0</v>
      </c>
      <c r="DF120" s="29">
        <f t="shared" si="103"/>
        <v>0</v>
      </c>
      <c r="DG120" s="29">
        <f t="shared" si="103"/>
        <v>0</v>
      </c>
      <c r="DH120" s="29">
        <f t="shared" si="103"/>
        <v>0</v>
      </c>
      <c r="DI120" s="29">
        <f t="shared" si="103"/>
        <v>0</v>
      </c>
      <c r="DJ120" s="29">
        <f t="shared" si="103"/>
        <v>0</v>
      </c>
      <c r="DK120" s="29">
        <f t="shared" si="103"/>
        <v>0</v>
      </c>
      <c r="DL120" s="29">
        <f t="shared" si="103"/>
        <v>0</v>
      </c>
      <c r="DM120" s="29">
        <f t="shared" si="103"/>
        <v>0</v>
      </c>
      <c r="DN120" s="29">
        <f t="shared" si="103"/>
        <v>0</v>
      </c>
      <c r="DO120" s="29">
        <f t="shared" si="103"/>
        <v>14</v>
      </c>
      <c r="DP120" s="29">
        <f t="shared" si="103"/>
        <v>145</v>
      </c>
    </row>
    <row r="121" ht="15.75" customHeight="1">
      <c r="A121" s="46" t="s">
        <v>2876</v>
      </c>
      <c r="B121" s="20"/>
      <c r="C121" s="27">
        <f t="shared" ref="C121:DP121" si="104">C19+C40+C69+C88+C104+C118+C120</f>
        <v>0</v>
      </c>
      <c r="D121" s="27">
        <f t="shared" si="104"/>
        <v>7</v>
      </c>
      <c r="E121" s="27">
        <f t="shared" si="104"/>
        <v>2</v>
      </c>
      <c r="F121" s="27">
        <f t="shared" si="104"/>
        <v>4</v>
      </c>
      <c r="G121" s="27">
        <f t="shared" si="104"/>
        <v>2</v>
      </c>
      <c r="H121" s="27">
        <f t="shared" si="104"/>
        <v>1</v>
      </c>
      <c r="I121" s="27">
        <f t="shared" si="104"/>
        <v>0</v>
      </c>
      <c r="J121" s="27">
        <f t="shared" si="104"/>
        <v>0</v>
      </c>
      <c r="K121" s="27">
        <f t="shared" si="104"/>
        <v>0</v>
      </c>
      <c r="L121" s="27">
        <f t="shared" si="104"/>
        <v>16</v>
      </c>
      <c r="M121" s="27">
        <f t="shared" si="104"/>
        <v>0</v>
      </c>
      <c r="N121" s="27">
        <f t="shared" si="104"/>
        <v>0</v>
      </c>
      <c r="O121" s="27">
        <f t="shared" si="104"/>
        <v>0</v>
      </c>
      <c r="P121" s="27">
        <f t="shared" si="104"/>
        <v>1</v>
      </c>
      <c r="Q121" s="27">
        <f t="shared" si="104"/>
        <v>0</v>
      </c>
      <c r="R121" s="27">
        <f t="shared" si="104"/>
        <v>1</v>
      </c>
      <c r="S121" s="27">
        <f t="shared" si="104"/>
        <v>4</v>
      </c>
      <c r="T121" s="27">
        <f t="shared" si="104"/>
        <v>2</v>
      </c>
      <c r="U121" s="27">
        <f t="shared" si="104"/>
        <v>0</v>
      </c>
      <c r="V121" s="27">
        <f t="shared" si="104"/>
        <v>6</v>
      </c>
      <c r="W121" s="27">
        <f t="shared" si="104"/>
        <v>5</v>
      </c>
      <c r="X121" s="27">
        <f t="shared" si="104"/>
        <v>3</v>
      </c>
      <c r="Y121" s="27">
        <f t="shared" si="104"/>
        <v>1</v>
      </c>
      <c r="Z121" s="27">
        <f t="shared" si="104"/>
        <v>21</v>
      </c>
      <c r="AA121" s="27">
        <f t="shared" si="104"/>
        <v>187</v>
      </c>
      <c r="AB121" s="27">
        <f t="shared" si="104"/>
        <v>3</v>
      </c>
      <c r="AC121" s="27">
        <f t="shared" si="104"/>
        <v>107</v>
      </c>
      <c r="AD121" s="27">
        <f t="shared" si="104"/>
        <v>54</v>
      </c>
      <c r="AE121" s="27">
        <f t="shared" si="104"/>
        <v>51</v>
      </c>
      <c r="AF121" s="27">
        <f t="shared" si="104"/>
        <v>5</v>
      </c>
      <c r="AG121" s="27">
        <f t="shared" si="104"/>
        <v>407</v>
      </c>
      <c r="AH121" s="27">
        <f t="shared" si="104"/>
        <v>0</v>
      </c>
      <c r="AI121" s="27">
        <f t="shared" si="104"/>
        <v>1</v>
      </c>
      <c r="AJ121" s="27">
        <f t="shared" si="104"/>
        <v>13</v>
      </c>
      <c r="AK121" s="27">
        <f t="shared" si="104"/>
        <v>2</v>
      </c>
      <c r="AL121" s="27">
        <f t="shared" si="104"/>
        <v>1</v>
      </c>
      <c r="AM121" s="27">
        <f t="shared" si="104"/>
        <v>0</v>
      </c>
      <c r="AN121" s="27">
        <f t="shared" si="104"/>
        <v>0</v>
      </c>
      <c r="AO121" s="27">
        <f t="shared" si="104"/>
        <v>2</v>
      </c>
      <c r="AP121" s="27">
        <f t="shared" si="104"/>
        <v>0</v>
      </c>
      <c r="AQ121" s="27">
        <f t="shared" si="104"/>
        <v>19</v>
      </c>
      <c r="AR121" s="27">
        <f t="shared" si="104"/>
        <v>0</v>
      </c>
      <c r="AS121" s="27">
        <f t="shared" si="104"/>
        <v>0</v>
      </c>
      <c r="AT121" s="27">
        <f t="shared" si="104"/>
        <v>0</v>
      </c>
      <c r="AU121" s="27">
        <f t="shared" si="104"/>
        <v>0</v>
      </c>
      <c r="AV121" s="27">
        <f t="shared" si="104"/>
        <v>0</v>
      </c>
      <c r="AW121" s="27">
        <f t="shared" si="104"/>
        <v>0</v>
      </c>
      <c r="AX121" s="27">
        <f t="shared" si="104"/>
        <v>0</v>
      </c>
      <c r="AY121" s="27">
        <f t="shared" si="104"/>
        <v>0</v>
      </c>
      <c r="AZ121" s="27">
        <f t="shared" si="104"/>
        <v>0</v>
      </c>
      <c r="BA121" s="27">
        <f t="shared" si="104"/>
        <v>1</v>
      </c>
      <c r="BB121" s="27">
        <f t="shared" si="104"/>
        <v>0</v>
      </c>
      <c r="BC121" s="27">
        <f t="shared" si="104"/>
        <v>10</v>
      </c>
      <c r="BD121" s="27">
        <f t="shared" si="104"/>
        <v>0</v>
      </c>
      <c r="BE121" s="27">
        <f t="shared" si="104"/>
        <v>0</v>
      </c>
      <c r="BF121" s="27">
        <f t="shared" si="104"/>
        <v>11</v>
      </c>
      <c r="BG121" s="27">
        <f t="shared" si="104"/>
        <v>0</v>
      </c>
      <c r="BH121" s="27">
        <f t="shared" si="104"/>
        <v>0</v>
      </c>
      <c r="BI121" s="27">
        <f t="shared" si="104"/>
        <v>1</v>
      </c>
      <c r="BJ121" s="27">
        <f t="shared" si="104"/>
        <v>0</v>
      </c>
      <c r="BK121" s="27">
        <f t="shared" si="104"/>
        <v>0</v>
      </c>
      <c r="BL121" s="27">
        <f t="shared" si="104"/>
        <v>0</v>
      </c>
      <c r="BM121" s="27">
        <f t="shared" si="104"/>
        <v>0</v>
      </c>
      <c r="BN121" s="27">
        <f t="shared" si="104"/>
        <v>1</v>
      </c>
      <c r="BO121" s="27">
        <f t="shared" si="104"/>
        <v>2</v>
      </c>
      <c r="BP121" s="27">
        <f t="shared" si="104"/>
        <v>0</v>
      </c>
      <c r="BQ121" s="27">
        <f t="shared" si="104"/>
        <v>2</v>
      </c>
      <c r="BR121" s="27">
        <f t="shared" si="104"/>
        <v>0</v>
      </c>
      <c r="BS121" s="27">
        <f t="shared" si="104"/>
        <v>0</v>
      </c>
      <c r="BT121" s="27">
        <f t="shared" si="104"/>
        <v>2</v>
      </c>
      <c r="BU121" s="27">
        <f t="shared" si="104"/>
        <v>5</v>
      </c>
      <c r="BV121" s="27">
        <f t="shared" si="104"/>
        <v>0</v>
      </c>
      <c r="BW121" s="27">
        <f t="shared" si="104"/>
        <v>0</v>
      </c>
      <c r="BX121" s="27">
        <f t="shared" si="104"/>
        <v>0</v>
      </c>
      <c r="BY121" s="27">
        <f t="shared" si="104"/>
        <v>0</v>
      </c>
      <c r="BZ121" s="27">
        <f t="shared" si="104"/>
        <v>5</v>
      </c>
      <c r="CA121" s="27">
        <f t="shared" si="104"/>
        <v>1</v>
      </c>
      <c r="CB121" s="27">
        <f t="shared" si="104"/>
        <v>0</v>
      </c>
      <c r="CC121" s="27">
        <f t="shared" si="104"/>
        <v>13</v>
      </c>
      <c r="CD121" s="27">
        <f t="shared" si="104"/>
        <v>0</v>
      </c>
      <c r="CE121" s="27">
        <f t="shared" si="104"/>
        <v>0</v>
      </c>
      <c r="CF121" s="27">
        <f t="shared" si="104"/>
        <v>14</v>
      </c>
      <c r="CG121" s="27">
        <f t="shared" si="104"/>
        <v>0</v>
      </c>
      <c r="CH121" s="27">
        <f t="shared" si="104"/>
        <v>0</v>
      </c>
      <c r="CI121" s="27">
        <f t="shared" si="104"/>
        <v>1</v>
      </c>
      <c r="CJ121" s="27">
        <f t="shared" si="104"/>
        <v>1</v>
      </c>
      <c r="CK121" s="27">
        <f t="shared" si="104"/>
        <v>0</v>
      </c>
      <c r="CL121" s="27">
        <f t="shared" si="104"/>
        <v>0</v>
      </c>
      <c r="CM121" s="27">
        <f t="shared" si="104"/>
        <v>0</v>
      </c>
      <c r="CN121" s="27">
        <f t="shared" si="104"/>
        <v>2</v>
      </c>
      <c r="CO121" s="27">
        <f t="shared" si="104"/>
        <v>5</v>
      </c>
      <c r="CP121" s="27">
        <f t="shared" si="104"/>
        <v>2</v>
      </c>
      <c r="CQ121" s="27">
        <f t="shared" si="104"/>
        <v>4</v>
      </c>
      <c r="CR121" s="27">
        <f t="shared" si="104"/>
        <v>1</v>
      </c>
      <c r="CS121" s="27">
        <f t="shared" si="104"/>
        <v>12</v>
      </c>
      <c r="CT121" s="27">
        <f t="shared" si="104"/>
        <v>0</v>
      </c>
      <c r="CU121" s="27">
        <f t="shared" si="104"/>
        <v>0</v>
      </c>
      <c r="CV121" s="27">
        <f t="shared" si="104"/>
        <v>0</v>
      </c>
      <c r="CW121" s="27">
        <f t="shared" si="104"/>
        <v>0</v>
      </c>
      <c r="CX121" s="27">
        <f t="shared" si="104"/>
        <v>0</v>
      </c>
      <c r="CY121" s="27">
        <f t="shared" si="104"/>
        <v>0</v>
      </c>
      <c r="CZ121" s="27">
        <f t="shared" si="104"/>
        <v>0</v>
      </c>
      <c r="DA121" s="27">
        <f t="shared" si="104"/>
        <v>0</v>
      </c>
      <c r="DB121" s="27">
        <f t="shared" si="104"/>
        <v>0</v>
      </c>
      <c r="DC121" s="27">
        <f t="shared" si="104"/>
        <v>0</v>
      </c>
      <c r="DD121" s="27">
        <f t="shared" si="104"/>
        <v>0</v>
      </c>
      <c r="DE121" s="27">
        <f t="shared" si="104"/>
        <v>0</v>
      </c>
      <c r="DF121" s="27">
        <f t="shared" si="104"/>
        <v>0</v>
      </c>
      <c r="DG121" s="27">
        <f t="shared" si="104"/>
        <v>0</v>
      </c>
      <c r="DH121" s="27">
        <f t="shared" si="104"/>
        <v>3</v>
      </c>
      <c r="DI121" s="27">
        <f t="shared" si="104"/>
        <v>1</v>
      </c>
      <c r="DJ121" s="27">
        <f t="shared" si="104"/>
        <v>0</v>
      </c>
      <c r="DK121" s="27">
        <f t="shared" si="104"/>
        <v>0</v>
      </c>
      <c r="DL121" s="27">
        <f t="shared" si="104"/>
        <v>0</v>
      </c>
      <c r="DM121" s="27">
        <f t="shared" si="104"/>
        <v>0</v>
      </c>
      <c r="DN121" s="27">
        <f t="shared" si="104"/>
        <v>4</v>
      </c>
      <c r="DO121" s="27">
        <f t="shared" si="104"/>
        <v>25</v>
      </c>
      <c r="DP121" s="27">
        <f t="shared" si="104"/>
        <v>541</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G5:CN5"/>
    <mergeCell ref="CO5:CS5"/>
    <mergeCell ref="CT5:DE5"/>
    <mergeCell ref="DF5:DN5"/>
    <mergeCell ref="DO5:DO6"/>
    <mergeCell ref="DP5:DP6"/>
    <mergeCell ref="AH5:AQ5"/>
    <mergeCell ref="AR5:AY5"/>
    <mergeCell ref="AZ5:BF5"/>
    <mergeCell ref="BG5:BO5"/>
    <mergeCell ref="BP5:BT5"/>
    <mergeCell ref="BU5:BZ5"/>
    <mergeCell ref="CA5:CF5"/>
    <mergeCell ref="A1:F1"/>
    <mergeCell ref="A5:A6"/>
    <mergeCell ref="B5:B6"/>
    <mergeCell ref="C5:L5"/>
    <mergeCell ref="M5:R5"/>
    <mergeCell ref="S5:Z5"/>
    <mergeCell ref="AA5:AG5"/>
    <mergeCell ref="A70:A87"/>
    <mergeCell ref="A89:A103"/>
    <mergeCell ref="A105:A117"/>
    <mergeCell ref="A104:B104"/>
    <mergeCell ref="A118:B118"/>
    <mergeCell ref="A120:B120"/>
    <mergeCell ref="A121:B121"/>
    <mergeCell ref="A7:A18"/>
    <mergeCell ref="A19:B19"/>
    <mergeCell ref="A20:A39"/>
    <mergeCell ref="A40:B40"/>
    <mergeCell ref="A41:A68"/>
    <mergeCell ref="A69:B69"/>
    <mergeCell ref="A88:B88"/>
  </mergeCells>
  <conditionalFormatting sqref="C7:C119">
    <cfRule type="cellIs" dxfId="0" priority="1" operator="equal">
      <formula>1</formula>
    </cfRule>
  </conditionalFormatting>
  <conditionalFormatting sqref="C7:C119">
    <cfRule type="cellIs" dxfId="1" priority="2" operator="equal">
      <formula>2</formula>
    </cfRule>
  </conditionalFormatting>
  <conditionalFormatting sqref="C7:C119">
    <cfRule type="cellIs" dxfId="2" priority="3" operator="between">
      <formula>3</formula>
      <formula>5</formula>
    </cfRule>
  </conditionalFormatting>
  <conditionalFormatting sqref="C7:C119">
    <cfRule type="cellIs" dxfId="3" priority="4" operator="greaterThanOrEqual">
      <formula>6</formula>
    </cfRule>
  </conditionalFormatting>
  <conditionalFormatting sqref="D7:D119">
    <cfRule type="cellIs" dxfId="0" priority="5" operator="equal">
      <formula>1</formula>
    </cfRule>
  </conditionalFormatting>
  <conditionalFormatting sqref="D7:D119">
    <cfRule type="cellIs" dxfId="1" priority="6" operator="equal">
      <formula>2</formula>
    </cfRule>
  </conditionalFormatting>
  <conditionalFormatting sqref="D7:D119">
    <cfRule type="cellIs" dxfId="2" priority="7" operator="between">
      <formula>3</formula>
      <formula>5</formula>
    </cfRule>
  </conditionalFormatting>
  <conditionalFormatting sqref="D7:D119">
    <cfRule type="cellIs" dxfId="3" priority="8" operator="greaterThanOrEqual">
      <formula>6</formula>
    </cfRule>
  </conditionalFormatting>
  <conditionalFormatting sqref="E7:E119">
    <cfRule type="cellIs" dxfId="0" priority="9" operator="equal">
      <formula>1</formula>
    </cfRule>
  </conditionalFormatting>
  <conditionalFormatting sqref="E7:E119">
    <cfRule type="cellIs" dxfId="1" priority="10" operator="equal">
      <formula>2</formula>
    </cfRule>
  </conditionalFormatting>
  <conditionalFormatting sqref="E7:E119">
    <cfRule type="cellIs" dxfId="2" priority="11" operator="between">
      <formula>3</formula>
      <formula>5</formula>
    </cfRule>
  </conditionalFormatting>
  <conditionalFormatting sqref="E7:E119">
    <cfRule type="cellIs" dxfId="3" priority="12" operator="greaterThanOrEqual">
      <formula>6</formula>
    </cfRule>
  </conditionalFormatting>
  <conditionalFormatting sqref="F7:F119">
    <cfRule type="cellIs" dxfId="0" priority="13" operator="equal">
      <formula>1</formula>
    </cfRule>
  </conditionalFormatting>
  <conditionalFormatting sqref="F7:F119">
    <cfRule type="cellIs" dxfId="1" priority="14" operator="equal">
      <formula>2</formula>
    </cfRule>
  </conditionalFormatting>
  <conditionalFormatting sqref="F7:F119">
    <cfRule type="cellIs" dxfId="2" priority="15" operator="between">
      <formula>3</formula>
      <formula>5</formula>
    </cfRule>
  </conditionalFormatting>
  <conditionalFormatting sqref="F7:F119">
    <cfRule type="cellIs" dxfId="3" priority="16" operator="greaterThanOrEqual">
      <formula>6</formula>
    </cfRule>
  </conditionalFormatting>
  <conditionalFormatting sqref="G7:G119">
    <cfRule type="cellIs" dxfId="0" priority="17" operator="equal">
      <formula>1</formula>
    </cfRule>
  </conditionalFormatting>
  <conditionalFormatting sqref="G7:G119">
    <cfRule type="cellIs" dxfId="1" priority="18" operator="equal">
      <formula>2</formula>
    </cfRule>
  </conditionalFormatting>
  <conditionalFormatting sqref="G7:G119">
    <cfRule type="cellIs" dxfId="2" priority="19" operator="between">
      <formula>3</formula>
      <formula>5</formula>
    </cfRule>
  </conditionalFormatting>
  <conditionalFormatting sqref="G7:G119">
    <cfRule type="cellIs" dxfId="3" priority="20" operator="greaterThanOrEqual">
      <formula>6</formula>
    </cfRule>
  </conditionalFormatting>
  <conditionalFormatting sqref="H7:H119">
    <cfRule type="cellIs" dxfId="0" priority="21" operator="equal">
      <formula>1</formula>
    </cfRule>
  </conditionalFormatting>
  <conditionalFormatting sqref="H7:H119">
    <cfRule type="cellIs" dxfId="1" priority="22" operator="equal">
      <formula>2</formula>
    </cfRule>
  </conditionalFormatting>
  <conditionalFormatting sqref="H7:H119">
    <cfRule type="cellIs" dxfId="2" priority="23" operator="between">
      <formula>3</formula>
      <formula>5</formula>
    </cfRule>
  </conditionalFormatting>
  <conditionalFormatting sqref="H7:H119">
    <cfRule type="cellIs" dxfId="3" priority="24" operator="greaterThanOrEqual">
      <formula>6</formula>
    </cfRule>
  </conditionalFormatting>
  <conditionalFormatting sqref="I7:I119">
    <cfRule type="cellIs" dxfId="0" priority="25" operator="equal">
      <formula>1</formula>
    </cfRule>
  </conditionalFormatting>
  <conditionalFormatting sqref="I7:I119">
    <cfRule type="cellIs" dxfId="1" priority="26" operator="equal">
      <formula>2</formula>
    </cfRule>
  </conditionalFormatting>
  <conditionalFormatting sqref="I7:I119">
    <cfRule type="cellIs" dxfId="2" priority="27" operator="between">
      <formula>3</formula>
      <formula>5</formula>
    </cfRule>
  </conditionalFormatting>
  <conditionalFormatting sqref="I7:I119">
    <cfRule type="cellIs" dxfId="3" priority="28" operator="greaterThanOrEqual">
      <formula>6</formula>
    </cfRule>
  </conditionalFormatting>
  <conditionalFormatting sqref="J7:J119">
    <cfRule type="cellIs" dxfId="0" priority="29" operator="equal">
      <formula>1</formula>
    </cfRule>
  </conditionalFormatting>
  <conditionalFormatting sqref="J7:J119">
    <cfRule type="cellIs" dxfId="1" priority="30" operator="equal">
      <formula>2</formula>
    </cfRule>
  </conditionalFormatting>
  <conditionalFormatting sqref="J7:J119">
    <cfRule type="cellIs" dxfId="2" priority="31" operator="between">
      <formula>3</formula>
      <formula>5</formula>
    </cfRule>
  </conditionalFormatting>
  <conditionalFormatting sqref="J7:J119">
    <cfRule type="cellIs" dxfId="3" priority="32" operator="greaterThanOrEqual">
      <formula>6</formula>
    </cfRule>
  </conditionalFormatting>
  <conditionalFormatting sqref="K7:K119">
    <cfRule type="cellIs" dxfId="0" priority="33" operator="equal">
      <formula>1</formula>
    </cfRule>
  </conditionalFormatting>
  <conditionalFormatting sqref="K7:K119">
    <cfRule type="cellIs" dxfId="1" priority="34" operator="equal">
      <formula>2</formula>
    </cfRule>
  </conditionalFormatting>
  <conditionalFormatting sqref="K7:K119">
    <cfRule type="cellIs" dxfId="2" priority="35" operator="between">
      <formula>3</formula>
      <formula>5</formula>
    </cfRule>
  </conditionalFormatting>
  <conditionalFormatting sqref="K7:K119">
    <cfRule type="cellIs" dxfId="3" priority="36" operator="greaterThanOrEqual">
      <formula>6</formula>
    </cfRule>
  </conditionalFormatting>
  <conditionalFormatting sqref="M7:M119">
    <cfRule type="cellIs" dxfId="0" priority="37" operator="equal">
      <formula>1</formula>
    </cfRule>
  </conditionalFormatting>
  <conditionalFormatting sqref="M7:M119">
    <cfRule type="cellIs" dxfId="1" priority="38" operator="equal">
      <formula>2</formula>
    </cfRule>
  </conditionalFormatting>
  <conditionalFormatting sqref="M7:M119">
    <cfRule type="cellIs" dxfId="2" priority="39" operator="between">
      <formula>3</formula>
      <formula>5</formula>
    </cfRule>
  </conditionalFormatting>
  <conditionalFormatting sqref="M7:M119">
    <cfRule type="cellIs" dxfId="3" priority="40" operator="greaterThanOrEqual">
      <formula>6</formula>
    </cfRule>
  </conditionalFormatting>
  <conditionalFormatting sqref="N7:N119">
    <cfRule type="cellIs" dxfId="0" priority="41" operator="equal">
      <formula>1</formula>
    </cfRule>
  </conditionalFormatting>
  <conditionalFormatting sqref="N7:N119">
    <cfRule type="cellIs" dxfId="1" priority="42" operator="equal">
      <formula>2</formula>
    </cfRule>
  </conditionalFormatting>
  <conditionalFormatting sqref="N7:N119">
    <cfRule type="cellIs" dxfId="2" priority="43" operator="between">
      <formula>3</formula>
      <formula>5</formula>
    </cfRule>
  </conditionalFormatting>
  <conditionalFormatting sqref="N7:N119">
    <cfRule type="cellIs" dxfId="3" priority="44" operator="greaterThanOrEqual">
      <formula>6</formula>
    </cfRule>
  </conditionalFormatting>
  <conditionalFormatting sqref="O7:O119">
    <cfRule type="cellIs" dxfId="0" priority="45" operator="equal">
      <formula>1</formula>
    </cfRule>
  </conditionalFormatting>
  <conditionalFormatting sqref="O7:O119">
    <cfRule type="cellIs" dxfId="1" priority="46" operator="equal">
      <formula>2</formula>
    </cfRule>
  </conditionalFormatting>
  <conditionalFormatting sqref="O7:O119">
    <cfRule type="cellIs" dxfId="2" priority="47" operator="between">
      <formula>3</formula>
      <formula>5</formula>
    </cfRule>
  </conditionalFormatting>
  <conditionalFormatting sqref="O7:O119">
    <cfRule type="cellIs" dxfId="3" priority="48" operator="greaterThanOrEqual">
      <formula>6</formula>
    </cfRule>
  </conditionalFormatting>
  <conditionalFormatting sqref="P7:P119">
    <cfRule type="cellIs" dxfId="0" priority="49" operator="equal">
      <formula>1</formula>
    </cfRule>
  </conditionalFormatting>
  <conditionalFormatting sqref="P7:P119">
    <cfRule type="cellIs" dxfId="1" priority="50" operator="equal">
      <formula>2</formula>
    </cfRule>
  </conditionalFormatting>
  <conditionalFormatting sqref="P7:P119">
    <cfRule type="cellIs" dxfId="2" priority="51" operator="between">
      <formula>3</formula>
      <formula>5</formula>
    </cfRule>
  </conditionalFormatting>
  <conditionalFormatting sqref="P7:P119">
    <cfRule type="cellIs" dxfId="3" priority="52" operator="greaterThanOrEqual">
      <formula>6</formula>
    </cfRule>
  </conditionalFormatting>
  <conditionalFormatting sqref="Q7:Q119">
    <cfRule type="cellIs" dxfId="0" priority="53" operator="equal">
      <formula>1</formula>
    </cfRule>
  </conditionalFormatting>
  <conditionalFormatting sqref="Q7:Q119">
    <cfRule type="cellIs" dxfId="1" priority="54" operator="equal">
      <formula>2</formula>
    </cfRule>
  </conditionalFormatting>
  <conditionalFormatting sqref="Q7:Q119">
    <cfRule type="cellIs" dxfId="2" priority="55" operator="between">
      <formula>3</formula>
      <formula>5</formula>
    </cfRule>
  </conditionalFormatting>
  <conditionalFormatting sqref="Q7:Q119">
    <cfRule type="cellIs" dxfId="3" priority="56" operator="greaterThanOrEqual">
      <formula>6</formula>
    </cfRule>
  </conditionalFormatting>
  <conditionalFormatting sqref="S7:S119">
    <cfRule type="cellIs" dxfId="0" priority="57" operator="equal">
      <formula>1</formula>
    </cfRule>
  </conditionalFormatting>
  <conditionalFormatting sqref="S7:S119">
    <cfRule type="cellIs" dxfId="1" priority="58" operator="equal">
      <formula>2</formula>
    </cfRule>
  </conditionalFormatting>
  <conditionalFormatting sqref="S7:S119">
    <cfRule type="cellIs" dxfId="2" priority="59" operator="between">
      <formula>3</formula>
      <formula>5</formula>
    </cfRule>
  </conditionalFormatting>
  <conditionalFormatting sqref="S7:S119">
    <cfRule type="cellIs" dxfId="3" priority="60" operator="greaterThanOrEqual">
      <formula>6</formula>
    </cfRule>
  </conditionalFormatting>
  <conditionalFormatting sqref="T7:T119">
    <cfRule type="cellIs" dxfId="0" priority="61" operator="equal">
      <formula>1</formula>
    </cfRule>
  </conditionalFormatting>
  <conditionalFormatting sqref="T7:T119">
    <cfRule type="cellIs" dxfId="1" priority="62" operator="equal">
      <formula>2</formula>
    </cfRule>
  </conditionalFormatting>
  <conditionalFormatting sqref="T7:T119">
    <cfRule type="cellIs" dxfId="2" priority="63" operator="between">
      <formula>3</formula>
      <formula>5</formula>
    </cfRule>
  </conditionalFormatting>
  <conditionalFormatting sqref="T7:T119">
    <cfRule type="cellIs" dxfId="3" priority="64" operator="greaterThanOrEqual">
      <formula>6</formula>
    </cfRule>
  </conditionalFormatting>
  <conditionalFormatting sqref="U7:U119">
    <cfRule type="cellIs" dxfId="0" priority="65" operator="equal">
      <formula>1</formula>
    </cfRule>
  </conditionalFormatting>
  <conditionalFormatting sqref="U7:U119">
    <cfRule type="cellIs" dxfId="1" priority="66" operator="equal">
      <formula>2</formula>
    </cfRule>
  </conditionalFormatting>
  <conditionalFormatting sqref="U7:U119">
    <cfRule type="cellIs" dxfId="2" priority="67" operator="between">
      <formula>3</formula>
      <formula>5</formula>
    </cfRule>
  </conditionalFormatting>
  <conditionalFormatting sqref="U7:U119">
    <cfRule type="cellIs" dxfId="3" priority="68" operator="greaterThanOrEqual">
      <formula>6</formula>
    </cfRule>
  </conditionalFormatting>
  <conditionalFormatting sqref="V7:V119">
    <cfRule type="cellIs" dxfId="0" priority="69" operator="equal">
      <formula>1</formula>
    </cfRule>
  </conditionalFormatting>
  <conditionalFormatting sqref="V7:V119">
    <cfRule type="cellIs" dxfId="1" priority="70" operator="equal">
      <formula>2</formula>
    </cfRule>
  </conditionalFormatting>
  <conditionalFormatting sqref="V7:V119">
    <cfRule type="cellIs" dxfId="2" priority="71" operator="between">
      <formula>3</formula>
      <formula>5</formula>
    </cfRule>
  </conditionalFormatting>
  <conditionalFormatting sqref="V7:V119">
    <cfRule type="cellIs" dxfId="3" priority="72" operator="greaterThanOrEqual">
      <formula>6</formula>
    </cfRule>
  </conditionalFormatting>
  <conditionalFormatting sqref="W7:W119">
    <cfRule type="cellIs" dxfId="0" priority="73" operator="equal">
      <formula>1</formula>
    </cfRule>
  </conditionalFormatting>
  <conditionalFormatting sqref="W7:W119">
    <cfRule type="cellIs" dxfId="1" priority="74" operator="equal">
      <formula>2</formula>
    </cfRule>
  </conditionalFormatting>
  <conditionalFormatting sqref="W7:W119">
    <cfRule type="cellIs" dxfId="2" priority="75" operator="between">
      <formula>3</formula>
      <formula>5</formula>
    </cfRule>
  </conditionalFormatting>
  <conditionalFormatting sqref="W7:W119">
    <cfRule type="cellIs" dxfId="3" priority="76" operator="greaterThanOrEqual">
      <formula>6</formula>
    </cfRule>
  </conditionalFormatting>
  <conditionalFormatting sqref="X7:X119">
    <cfRule type="cellIs" dxfId="0" priority="77" operator="equal">
      <formula>1</formula>
    </cfRule>
  </conditionalFormatting>
  <conditionalFormatting sqref="X7:X119">
    <cfRule type="cellIs" dxfId="1" priority="78" operator="equal">
      <formula>2</formula>
    </cfRule>
  </conditionalFormatting>
  <conditionalFormatting sqref="X7:X119">
    <cfRule type="cellIs" dxfId="2" priority="79" operator="between">
      <formula>3</formula>
      <formula>5</formula>
    </cfRule>
  </conditionalFormatting>
  <conditionalFormatting sqref="X7:X119">
    <cfRule type="cellIs" dxfId="3" priority="80" operator="greaterThanOrEqual">
      <formula>6</formula>
    </cfRule>
  </conditionalFormatting>
  <conditionalFormatting sqref="Y7:Y119">
    <cfRule type="cellIs" dxfId="0" priority="81" operator="equal">
      <formula>1</formula>
    </cfRule>
  </conditionalFormatting>
  <conditionalFormatting sqref="Y7:Y119">
    <cfRule type="cellIs" dxfId="1" priority="82" operator="equal">
      <formula>2</formula>
    </cfRule>
  </conditionalFormatting>
  <conditionalFormatting sqref="Y7:Y119">
    <cfRule type="cellIs" dxfId="2" priority="83" operator="between">
      <formula>3</formula>
      <formula>5</formula>
    </cfRule>
  </conditionalFormatting>
  <conditionalFormatting sqref="Y7:Y119">
    <cfRule type="cellIs" dxfId="3" priority="84" operator="greaterThanOrEqual">
      <formula>6</formula>
    </cfRule>
  </conditionalFormatting>
  <conditionalFormatting sqref="AA7:AA119">
    <cfRule type="cellIs" dxfId="0" priority="85" operator="equal">
      <formula>1</formula>
    </cfRule>
  </conditionalFormatting>
  <conditionalFormatting sqref="AA7:AA119">
    <cfRule type="cellIs" dxfId="1" priority="86" operator="equal">
      <formula>2</formula>
    </cfRule>
  </conditionalFormatting>
  <conditionalFormatting sqref="AA7:AA119">
    <cfRule type="cellIs" dxfId="2" priority="87" operator="between">
      <formula>3</formula>
      <formula>5</formula>
    </cfRule>
  </conditionalFormatting>
  <conditionalFormatting sqref="AA7:AA119">
    <cfRule type="cellIs" dxfId="3" priority="88" operator="greaterThanOrEqual">
      <formula>6</formula>
    </cfRule>
  </conditionalFormatting>
  <conditionalFormatting sqref="AB7:AB119">
    <cfRule type="cellIs" dxfId="0" priority="89" operator="equal">
      <formula>1</formula>
    </cfRule>
  </conditionalFormatting>
  <conditionalFormatting sqref="AB7:AB119">
    <cfRule type="cellIs" dxfId="1" priority="90" operator="equal">
      <formula>2</formula>
    </cfRule>
  </conditionalFormatting>
  <conditionalFormatting sqref="AB7:AB119">
    <cfRule type="cellIs" dxfId="2" priority="91" operator="between">
      <formula>3</formula>
      <formula>5</formula>
    </cfRule>
  </conditionalFormatting>
  <conditionalFormatting sqref="AB7:AB119">
    <cfRule type="cellIs" dxfId="3" priority="92" operator="greaterThanOrEqual">
      <formula>6</formula>
    </cfRule>
  </conditionalFormatting>
  <conditionalFormatting sqref="AC7:AC119">
    <cfRule type="cellIs" dxfId="0" priority="93" operator="equal">
      <formula>1</formula>
    </cfRule>
  </conditionalFormatting>
  <conditionalFormatting sqref="AC7:AC119">
    <cfRule type="cellIs" dxfId="1" priority="94" operator="equal">
      <formula>2</formula>
    </cfRule>
  </conditionalFormatting>
  <conditionalFormatting sqref="AC7:AC119">
    <cfRule type="cellIs" dxfId="2" priority="95" operator="between">
      <formula>3</formula>
      <formula>5</formula>
    </cfRule>
  </conditionalFormatting>
  <conditionalFormatting sqref="AC7:AC119">
    <cfRule type="cellIs" dxfId="3" priority="96" operator="greaterThanOrEqual">
      <formula>6</formula>
    </cfRule>
  </conditionalFormatting>
  <conditionalFormatting sqref="AD7:AD119">
    <cfRule type="cellIs" dxfId="0" priority="97" operator="equal">
      <formula>1</formula>
    </cfRule>
  </conditionalFormatting>
  <conditionalFormatting sqref="AD7:AD119">
    <cfRule type="cellIs" dxfId="1" priority="98" operator="equal">
      <formula>2</formula>
    </cfRule>
  </conditionalFormatting>
  <conditionalFormatting sqref="AD7:AD119">
    <cfRule type="cellIs" dxfId="2" priority="99" operator="between">
      <formula>3</formula>
      <formula>5</formula>
    </cfRule>
  </conditionalFormatting>
  <conditionalFormatting sqref="AD7:AD119">
    <cfRule type="cellIs" dxfId="3" priority="100" operator="greaterThanOrEqual">
      <formula>6</formula>
    </cfRule>
  </conditionalFormatting>
  <conditionalFormatting sqref="AE7:AE119">
    <cfRule type="cellIs" dxfId="0" priority="101" operator="equal">
      <formula>1</formula>
    </cfRule>
  </conditionalFormatting>
  <conditionalFormatting sqref="AE7:AE119">
    <cfRule type="cellIs" dxfId="1" priority="102" operator="equal">
      <formula>2</formula>
    </cfRule>
  </conditionalFormatting>
  <conditionalFormatting sqref="AE7:AE119">
    <cfRule type="cellIs" dxfId="2" priority="103" operator="between">
      <formula>3</formula>
      <formula>5</formula>
    </cfRule>
  </conditionalFormatting>
  <conditionalFormatting sqref="AE7:AE119">
    <cfRule type="cellIs" dxfId="3" priority="104" operator="greaterThanOrEqual">
      <formula>6</formula>
    </cfRule>
  </conditionalFormatting>
  <conditionalFormatting sqref="AF7:AF119">
    <cfRule type="cellIs" dxfId="0" priority="105" operator="equal">
      <formula>1</formula>
    </cfRule>
  </conditionalFormatting>
  <conditionalFormatting sqref="AF7:AF119">
    <cfRule type="cellIs" dxfId="1" priority="106" operator="equal">
      <formula>2</formula>
    </cfRule>
  </conditionalFormatting>
  <conditionalFormatting sqref="AF7:AF119">
    <cfRule type="cellIs" dxfId="2" priority="107" operator="between">
      <formula>3</formula>
      <formula>5</formula>
    </cfRule>
  </conditionalFormatting>
  <conditionalFormatting sqref="AF7:AF119">
    <cfRule type="cellIs" dxfId="3" priority="108" operator="greaterThanOrEqual">
      <formula>6</formula>
    </cfRule>
  </conditionalFormatting>
  <conditionalFormatting sqref="AH7:AH119">
    <cfRule type="cellIs" dxfId="0" priority="109" operator="equal">
      <formula>1</formula>
    </cfRule>
  </conditionalFormatting>
  <conditionalFormatting sqref="AH7:AH119">
    <cfRule type="cellIs" dxfId="1" priority="110" operator="equal">
      <formula>2</formula>
    </cfRule>
  </conditionalFormatting>
  <conditionalFormatting sqref="AH7:AH119">
    <cfRule type="cellIs" dxfId="2" priority="111" operator="between">
      <formula>3</formula>
      <formula>5</formula>
    </cfRule>
  </conditionalFormatting>
  <conditionalFormatting sqref="AH7:AH119">
    <cfRule type="cellIs" dxfId="3" priority="112" operator="greaterThanOrEqual">
      <formula>6</formula>
    </cfRule>
  </conditionalFormatting>
  <conditionalFormatting sqref="AI7:AI119">
    <cfRule type="cellIs" dxfId="0" priority="113" operator="equal">
      <formula>1</formula>
    </cfRule>
  </conditionalFormatting>
  <conditionalFormatting sqref="AI7:AI119">
    <cfRule type="cellIs" dxfId="1" priority="114" operator="equal">
      <formula>2</formula>
    </cfRule>
  </conditionalFormatting>
  <conditionalFormatting sqref="AI7:AI119">
    <cfRule type="cellIs" dxfId="2" priority="115" operator="between">
      <formula>3</formula>
      <formula>5</formula>
    </cfRule>
  </conditionalFormatting>
  <conditionalFormatting sqref="AI7:AI119">
    <cfRule type="cellIs" dxfId="3" priority="116" operator="greaterThanOrEqual">
      <formula>6</formula>
    </cfRule>
  </conditionalFormatting>
  <conditionalFormatting sqref="AJ7:AJ119">
    <cfRule type="cellIs" dxfId="0" priority="117" operator="equal">
      <formula>1</formula>
    </cfRule>
  </conditionalFormatting>
  <conditionalFormatting sqref="AJ7:AJ119">
    <cfRule type="cellIs" dxfId="1" priority="118" operator="equal">
      <formula>2</formula>
    </cfRule>
  </conditionalFormatting>
  <conditionalFormatting sqref="AJ7:AJ119">
    <cfRule type="cellIs" dxfId="2" priority="119" operator="between">
      <formula>3</formula>
      <formula>5</formula>
    </cfRule>
  </conditionalFormatting>
  <conditionalFormatting sqref="AJ7:AJ119">
    <cfRule type="cellIs" dxfId="3" priority="120" operator="greaterThanOrEqual">
      <formula>6</formula>
    </cfRule>
  </conditionalFormatting>
  <conditionalFormatting sqref="AK7:AK119">
    <cfRule type="cellIs" dxfId="0" priority="121" operator="equal">
      <formula>1</formula>
    </cfRule>
  </conditionalFormatting>
  <conditionalFormatting sqref="AK7:AK119">
    <cfRule type="cellIs" dxfId="1" priority="122" operator="equal">
      <formula>2</formula>
    </cfRule>
  </conditionalFormatting>
  <conditionalFormatting sqref="AK7:AK119">
    <cfRule type="cellIs" dxfId="2" priority="123" operator="between">
      <formula>3</formula>
      <formula>5</formula>
    </cfRule>
  </conditionalFormatting>
  <conditionalFormatting sqref="AK7:AK119">
    <cfRule type="cellIs" dxfId="3" priority="124" operator="greaterThanOrEqual">
      <formula>6</formula>
    </cfRule>
  </conditionalFormatting>
  <conditionalFormatting sqref="AL7:AL119">
    <cfRule type="cellIs" dxfId="0" priority="125" operator="equal">
      <formula>1</formula>
    </cfRule>
  </conditionalFormatting>
  <conditionalFormatting sqref="AL7:AL119">
    <cfRule type="cellIs" dxfId="1" priority="126" operator="equal">
      <formula>2</formula>
    </cfRule>
  </conditionalFormatting>
  <conditionalFormatting sqref="AL7:AL119">
    <cfRule type="cellIs" dxfId="2" priority="127" operator="between">
      <formula>3</formula>
      <formula>5</formula>
    </cfRule>
  </conditionalFormatting>
  <conditionalFormatting sqref="AL7:AL119">
    <cfRule type="cellIs" dxfId="3" priority="128" operator="greaterThanOrEqual">
      <formula>6</formula>
    </cfRule>
  </conditionalFormatting>
  <conditionalFormatting sqref="AM7:AM119">
    <cfRule type="cellIs" dxfId="0" priority="129" operator="equal">
      <formula>1</formula>
    </cfRule>
  </conditionalFormatting>
  <conditionalFormatting sqref="AM7:AM119">
    <cfRule type="cellIs" dxfId="1" priority="130" operator="equal">
      <formula>2</formula>
    </cfRule>
  </conditionalFormatting>
  <conditionalFormatting sqref="AM7:AM119">
    <cfRule type="cellIs" dxfId="2" priority="131" operator="between">
      <formula>3</formula>
      <formula>5</formula>
    </cfRule>
  </conditionalFormatting>
  <conditionalFormatting sqref="AM7:AM119">
    <cfRule type="cellIs" dxfId="3" priority="132" operator="greaterThanOrEqual">
      <formula>6</formula>
    </cfRule>
  </conditionalFormatting>
  <conditionalFormatting sqref="AN7:AN119">
    <cfRule type="cellIs" dxfId="0" priority="133" operator="equal">
      <formula>1</formula>
    </cfRule>
  </conditionalFormatting>
  <conditionalFormatting sqref="AN7:AN119">
    <cfRule type="cellIs" dxfId="1" priority="134" operator="equal">
      <formula>2</formula>
    </cfRule>
  </conditionalFormatting>
  <conditionalFormatting sqref="AN7:AN119">
    <cfRule type="cellIs" dxfId="2" priority="135" operator="between">
      <formula>3</formula>
      <formula>5</formula>
    </cfRule>
  </conditionalFormatting>
  <conditionalFormatting sqref="AN7:AN119">
    <cfRule type="cellIs" dxfId="3" priority="136" operator="greaterThanOrEqual">
      <formula>6</formula>
    </cfRule>
  </conditionalFormatting>
  <conditionalFormatting sqref="AO7:AO119">
    <cfRule type="cellIs" dxfId="0" priority="137" operator="equal">
      <formula>1</formula>
    </cfRule>
  </conditionalFormatting>
  <conditionalFormatting sqref="AO7:AO119">
    <cfRule type="cellIs" dxfId="1" priority="138" operator="equal">
      <formula>2</formula>
    </cfRule>
  </conditionalFormatting>
  <conditionalFormatting sqref="AO7:AO119">
    <cfRule type="cellIs" dxfId="2" priority="139" operator="between">
      <formula>3</formula>
      <formula>5</formula>
    </cfRule>
  </conditionalFormatting>
  <conditionalFormatting sqref="AO7:AO119">
    <cfRule type="cellIs" dxfId="3" priority="140" operator="greaterThanOrEqual">
      <formula>6</formula>
    </cfRule>
  </conditionalFormatting>
  <conditionalFormatting sqref="AP7:AP119">
    <cfRule type="cellIs" dxfId="0" priority="141" operator="equal">
      <formula>1</formula>
    </cfRule>
  </conditionalFormatting>
  <conditionalFormatting sqref="AP7:AP119">
    <cfRule type="cellIs" dxfId="1" priority="142" operator="equal">
      <formula>2</formula>
    </cfRule>
  </conditionalFormatting>
  <conditionalFormatting sqref="AP7:AP119">
    <cfRule type="cellIs" dxfId="2" priority="143" operator="between">
      <formula>3</formula>
      <formula>5</formula>
    </cfRule>
  </conditionalFormatting>
  <conditionalFormatting sqref="AP7:AP119">
    <cfRule type="cellIs" dxfId="3" priority="144" operator="greaterThanOrEqual">
      <formula>6</formula>
    </cfRule>
  </conditionalFormatting>
  <conditionalFormatting sqref="AR7:AR119">
    <cfRule type="cellIs" dxfId="0" priority="145" operator="equal">
      <formula>1</formula>
    </cfRule>
  </conditionalFormatting>
  <conditionalFormatting sqref="AR7:AR119">
    <cfRule type="cellIs" dxfId="1" priority="146" operator="equal">
      <formula>2</formula>
    </cfRule>
  </conditionalFormatting>
  <conditionalFormatting sqref="AR7:AR119">
    <cfRule type="cellIs" dxfId="2" priority="147" operator="between">
      <formula>3</formula>
      <formula>5</formula>
    </cfRule>
  </conditionalFormatting>
  <conditionalFormatting sqref="AR7:AR119">
    <cfRule type="cellIs" dxfId="3" priority="148" operator="greaterThanOrEqual">
      <formula>6</formula>
    </cfRule>
  </conditionalFormatting>
  <conditionalFormatting sqref="AS7:AS119">
    <cfRule type="cellIs" dxfId="0" priority="149" operator="equal">
      <formula>1</formula>
    </cfRule>
  </conditionalFormatting>
  <conditionalFormatting sqref="AS7:AS119">
    <cfRule type="cellIs" dxfId="1" priority="150" operator="equal">
      <formula>2</formula>
    </cfRule>
  </conditionalFormatting>
  <conditionalFormatting sqref="AS7:AS119">
    <cfRule type="cellIs" dxfId="2" priority="151" operator="between">
      <formula>3</formula>
      <formula>5</formula>
    </cfRule>
  </conditionalFormatting>
  <conditionalFormatting sqref="AS7:AS119">
    <cfRule type="cellIs" dxfId="3" priority="152" operator="greaterThanOrEqual">
      <formula>6</formula>
    </cfRule>
  </conditionalFormatting>
  <conditionalFormatting sqref="AT7:AT119">
    <cfRule type="cellIs" dxfId="0" priority="153" operator="equal">
      <formula>1</formula>
    </cfRule>
  </conditionalFormatting>
  <conditionalFormatting sqref="AT7:AT119">
    <cfRule type="cellIs" dxfId="1" priority="154" operator="equal">
      <formula>2</formula>
    </cfRule>
  </conditionalFormatting>
  <conditionalFormatting sqref="AT7:AT119">
    <cfRule type="cellIs" dxfId="2" priority="155" operator="between">
      <formula>3</formula>
      <formula>5</formula>
    </cfRule>
  </conditionalFormatting>
  <conditionalFormatting sqref="AT7:AT119">
    <cfRule type="cellIs" dxfId="3" priority="156" operator="greaterThanOrEqual">
      <formula>6</formula>
    </cfRule>
  </conditionalFormatting>
  <conditionalFormatting sqref="AU7:AU119">
    <cfRule type="cellIs" dxfId="0" priority="157" operator="equal">
      <formula>1</formula>
    </cfRule>
  </conditionalFormatting>
  <conditionalFormatting sqref="AU7:AU119">
    <cfRule type="cellIs" dxfId="1" priority="158" operator="equal">
      <formula>2</formula>
    </cfRule>
  </conditionalFormatting>
  <conditionalFormatting sqref="AU7:AU119">
    <cfRule type="cellIs" dxfId="2" priority="159" operator="between">
      <formula>3</formula>
      <formula>5</formula>
    </cfRule>
  </conditionalFormatting>
  <conditionalFormatting sqref="AU7:AU119">
    <cfRule type="cellIs" dxfId="3" priority="160" operator="greaterThanOrEqual">
      <formula>6</formula>
    </cfRule>
  </conditionalFormatting>
  <conditionalFormatting sqref="AV7:AV119">
    <cfRule type="cellIs" dxfId="0" priority="161" operator="equal">
      <formula>1</formula>
    </cfRule>
  </conditionalFormatting>
  <conditionalFormatting sqref="AV7:AV119">
    <cfRule type="cellIs" dxfId="1" priority="162" operator="equal">
      <formula>2</formula>
    </cfRule>
  </conditionalFormatting>
  <conditionalFormatting sqref="AV7:AV119">
    <cfRule type="cellIs" dxfId="2" priority="163" operator="between">
      <formula>3</formula>
      <formula>5</formula>
    </cfRule>
  </conditionalFormatting>
  <conditionalFormatting sqref="AV7:AV119">
    <cfRule type="cellIs" dxfId="3" priority="164" operator="greaterThanOrEqual">
      <formula>6</formula>
    </cfRule>
  </conditionalFormatting>
  <conditionalFormatting sqref="AW7:AW119">
    <cfRule type="cellIs" dxfId="0" priority="165" operator="equal">
      <formula>1</formula>
    </cfRule>
  </conditionalFormatting>
  <conditionalFormatting sqref="AW7:AW119">
    <cfRule type="cellIs" dxfId="1" priority="166" operator="equal">
      <formula>2</formula>
    </cfRule>
  </conditionalFormatting>
  <conditionalFormatting sqref="AW7:AW119">
    <cfRule type="cellIs" dxfId="2" priority="167" operator="between">
      <formula>3</formula>
      <formula>5</formula>
    </cfRule>
  </conditionalFormatting>
  <conditionalFormatting sqref="AW7:AW119">
    <cfRule type="cellIs" dxfId="3" priority="168" operator="greaterThanOrEqual">
      <formula>6</formula>
    </cfRule>
  </conditionalFormatting>
  <conditionalFormatting sqref="AX7:AX119">
    <cfRule type="cellIs" dxfId="0" priority="169" operator="equal">
      <formula>1</formula>
    </cfRule>
  </conditionalFormatting>
  <conditionalFormatting sqref="AX7:AX119">
    <cfRule type="cellIs" dxfId="1" priority="170" operator="equal">
      <formula>2</formula>
    </cfRule>
  </conditionalFormatting>
  <conditionalFormatting sqref="AX7:AX119">
    <cfRule type="cellIs" dxfId="2" priority="171" operator="between">
      <formula>3</formula>
      <formula>5</formula>
    </cfRule>
  </conditionalFormatting>
  <conditionalFormatting sqref="AX7:AX119">
    <cfRule type="cellIs" dxfId="3" priority="172" operator="greaterThanOrEqual">
      <formula>6</formula>
    </cfRule>
  </conditionalFormatting>
  <conditionalFormatting sqref="AZ7:AZ119">
    <cfRule type="cellIs" dxfId="0" priority="173" operator="equal">
      <formula>1</formula>
    </cfRule>
  </conditionalFormatting>
  <conditionalFormatting sqref="AZ7:AZ119">
    <cfRule type="cellIs" dxfId="1" priority="174" operator="equal">
      <formula>2</formula>
    </cfRule>
  </conditionalFormatting>
  <conditionalFormatting sqref="AZ7:AZ119">
    <cfRule type="cellIs" dxfId="2" priority="175" operator="between">
      <formula>3</formula>
      <formula>5</formula>
    </cfRule>
  </conditionalFormatting>
  <conditionalFormatting sqref="AZ7:AZ119">
    <cfRule type="cellIs" dxfId="3" priority="176" operator="greaterThanOrEqual">
      <formula>6</formula>
    </cfRule>
  </conditionalFormatting>
  <conditionalFormatting sqref="BA7:BA119">
    <cfRule type="cellIs" dxfId="0" priority="177" operator="equal">
      <formula>1</formula>
    </cfRule>
  </conditionalFormatting>
  <conditionalFormatting sqref="BA7:BA119">
    <cfRule type="cellIs" dxfId="1" priority="178" operator="equal">
      <formula>2</formula>
    </cfRule>
  </conditionalFormatting>
  <conditionalFormatting sqref="BA7:BA119">
    <cfRule type="cellIs" dxfId="2" priority="179" operator="between">
      <formula>3</formula>
      <formula>5</formula>
    </cfRule>
  </conditionalFormatting>
  <conditionalFormatting sqref="BA7:BA119">
    <cfRule type="cellIs" dxfId="3" priority="180" operator="greaterThanOrEqual">
      <formula>6</formula>
    </cfRule>
  </conditionalFormatting>
  <conditionalFormatting sqref="BB7:BB119">
    <cfRule type="cellIs" dxfId="0" priority="181" operator="equal">
      <formula>1</formula>
    </cfRule>
  </conditionalFormatting>
  <conditionalFormatting sqref="BB7:BB119">
    <cfRule type="cellIs" dxfId="1" priority="182" operator="equal">
      <formula>2</formula>
    </cfRule>
  </conditionalFormatting>
  <conditionalFormatting sqref="BB7:BB119">
    <cfRule type="cellIs" dxfId="2" priority="183" operator="between">
      <formula>3</formula>
      <formula>5</formula>
    </cfRule>
  </conditionalFormatting>
  <conditionalFormatting sqref="BB7:BB119">
    <cfRule type="cellIs" dxfId="3" priority="184" operator="greaterThanOrEqual">
      <formula>6</formula>
    </cfRule>
  </conditionalFormatting>
  <conditionalFormatting sqref="BC7:BC119">
    <cfRule type="cellIs" dxfId="0" priority="185" operator="equal">
      <formula>1</formula>
    </cfRule>
  </conditionalFormatting>
  <conditionalFormatting sqref="BC7:BC119">
    <cfRule type="cellIs" dxfId="1" priority="186" operator="equal">
      <formula>2</formula>
    </cfRule>
  </conditionalFormatting>
  <conditionalFormatting sqref="BC7:BC119">
    <cfRule type="cellIs" dxfId="2" priority="187" operator="between">
      <formula>3</formula>
      <formula>5</formula>
    </cfRule>
  </conditionalFormatting>
  <conditionalFormatting sqref="BC7:BC119">
    <cfRule type="cellIs" dxfId="3" priority="188" operator="greaterThanOrEqual">
      <formula>6</formula>
    </cfRule>
  </conditionalFormatting>
  <conditionalFormatting sqref="BD7:BD119">
    <cfRule type="cellIs" dxfId="0" priority="189" operator="equal">
      <formula>1</formula>
    </cfRule>
  </conditionalFormatting>
  <conditionalFormatting sqref="BD7:BD119">
    <cfRule type="cellIs" dxfId="1" priority="190" operator="equal">
      <formula>2</formula>
    </cfRule>
  </conditionalFormatting>
  <conditionalFormatting sqref="BD7:BD119">
    <cfRule type="cellIs" dxfId="2" priority="191" operator="between">
      <formula>3</formula>
      <formula>5</formula>
    </cfRule>
  </conditionalFormatting>
  <conditionalFormatting sqref="BD7:BD119">
    <cfRule type="cellIs" dxfId="3" priority="192" operator="greaterThanOrEqual">
      <formula>6</formula>
    </cfRule>
  </conditionalFormatting>
  <conditionalFormatting sqref="BE7:BE119">
    <cfRule type="cellIs" dxfId="0" priority="193" operator="equal">
      <formula>1</formula>
    </cfRule>
  </conditionalFormatting>
  <conditionalFormatting sqref="BE7:BE119">
    <cfRule type="cellIs" dxfId="1" priority="194" operator="equal">
      <formula>2</formula>
    </cfRule>
  </conditionalFormatting>
  <conditionalFormatting sqref="BE7:BE119">
    <cfRule type="cellIs" dxfId="2" priority="195" operator="between">
      <formula>3</formula>
      <formula>5</formula>
    </cfRule>
  </conditionalFormatting>
  <conditionalFormatting sqref="BE7:BE119">
    <cfRule type="cellIs" dxfId="3" priority="196" operator="greaterThanOrEqual">
      <formula>6</formula>
    </cfRule>
  </conditionalFormatting>
  <conditionalFormatting sqref="BG7:BG119">
    <cfRule type="cellIs" dxfId="0" priority="197" operator="equal">
      <formula>1</formula>
    </cfRule>
  </conditionalFormatting>
  <conditionalFormatting sqref="BG7:BG119">
    <cfRule type="cellIs" dxfId="1" priority="198" operator="equal">
      <formula>2</formula>
    </cfRule>
  </conditionalFormatting>
  <conditionalFormatting sqref="BG7:BG119">
    <cfRule type="cellIs" dxfId="2" priority="199" operator="between">
      <formula>3</formula>
      <formula>5</formula>
    </cfRule>
  </conditionalFormatting>
  <conditionalFormatting sqref="BG7:BG119">
    <cfRule type="cellIs" dxfId="3" priority="200" operator="greaterThanOrEqual">
      <formula>6</formula>
    </cfRule>
  </conditionalFormatting>
  <conditionalFormatting sqref="BH7:BH119">
    <cfRule type="cellIs" dxfId="0" priority="201" operator="equal">
      <formula>1</formula>
    </cfRule>
  </conditionalFormatting>
  <conditionalFormatting sqref="BH7:BH119">
    <cfRule type="cellIs" dxfId="1" priority="202" operator="equal">
      <formula>2</formula>
    </cfRule>
  </conditionalFormatting>
  <conditionalFormatting sqref="BH7:BH119">
    <cfRule type="cellIs" dxfId="2" priority="203" operator="between">
      <formula>3</formula>
      <formula>5</formula>
    </cfRule>
  </conditionalFormatting>
  <conditionalFormatting sqref="BH7:BH119">
    <cfRule type="cellIs" dxfId="3" priority="204" operator="greaterThanOrEqual">
      <formula>6</formula>
    </cfRule>
  </conditionalFormatting>
  <conditionalFormatting sqref="BI7:BI119">
    <cfRule type="cellIs" dxfId="0" priority="205" operator="equal">
      <formula>1</formula>
    </cfRule>
  </conditionalFormatting>
  <conditionalFormatting sqref="BI7:BI119">
    <cfRule type="cellIs" dxfId="1" priority="206" operator="equal">
      <formula>2</formula>
    </cfRule>
  </conditionalFormatting>
  <conditionalFormatting sqref="BI7:BI119">
    <cfRule type="cellIs" dxfId="2" priority="207" operator="between">
      <formula>3</formula>
      <formula>5</formula>
    </cfRule>
  </conditionalFormatting>
  <conditionalFormatting sqref="BI7:BI119">
    <cfRule type="cellIs" dxfId="3" priority="208" operator="greaterThanOrEqual">
      <formula>6</formula>
    </cfRule>
  </conditionalFormatting>
  <conditionalFormatting sqref="BJ7:BJ119">
    <cfRule type="cellIs" dxfId="0" priority="209" operator="equal">
      <formula>1</formula>
    </cfRule>
  </conditionalFormatting>
  <conditionalFormatting sqref="BJ7:BJ119">
    <cfRule type="cellIs" dxfId="1" priority="210" operator="equal">
      <formula>2</formula>
    </cfRule>
  </conditionalFormatting>
  <conditionalFormatting sqref="BJ7:BJ119">
    <cfRule type="cellIs" dxfId="2" priority="211" operator="between">
      <formula>3</formula>
      <formula>5</formula>
    </cfRule>
  </conditionalFormatting>
  <conditionalFormatting sqref="BJ7:BJ119">
    <cfRule type="cellIs" dxfId="3" priority="212" operator="greaterThanOrEqual">
      <formula>6</formula>
    </cfRule>
  </conditionalFormatting>
  <conditionalFormatting sqref="BK7:BK119">
    <cfRule type="cellIs" dxfId="0" priority="213" operator="equal">
      <formula>1</formula>
    </cfRule>
  </conditionalFormatting>
  <conditionalFormatting sqref="BK7:BK119">
    <cfRule type="cellIs" dxfId="1" priority="214" operator="equal">
      <formula>2</formula>
    </cfRule>
  </conditionalFormatting>
  <conditionalFormatting sqref="BK7:BK119">
    <cfRule type="cellIs" dxfId="2" priority="215" operator="between">
      <formula>3</formula>
      <formula>5</formula>
    </cfRule>
  </conditionalFormatting>
  <conditionalFormatting sqref="BK7:BK119">
    <cfRule type="cellIs" dxfId="3" priority="216" operator="greaterThanOrEqual">
      <formula>6</formula>
    </cfRule>
  </conditionalFormatting>
  <conditionalFormatting sqref="BL7:BL119">
    <cfRule type="cellIs" dxfId="0" priority="217" operator="equal">
      <formula>1</formula>
    </cfRule>
  </conditionalFormatting>
  <conditionalFormatting sqref="BL7:BL119">
    <cfRule type="cellIs" dxfId="1" priority="218" operator="equal">
      <formula>2</formula>
    </cfRule>
  </conditionalFormatting>
  <conditionalFormatting sqref="BL7:BL119">
    <cfRule type="cellIs" dxfId="2" priority="219" operator="between">
      <formula>3</formula>
      <formula>5</formula>
    </cfRule>
  </conditionalFormatting>
  <conditionalFormatting sqref="BL7:BL119">
    <cfRule type="cellIs" dxfId="3" priority="220" operator="greaterThanOrEqual">
      <formula>6</formula>
    </cfRule>
  </conditionalFormatting>
  <conditionalFormatting sqref="BM7:BM119">
    <cfRule type="cellIs" dxfId="0" priority="221" operator="equal">
      <formula>1</formula>
    </cfRule>
  </conditionalFormatting>
  <conditionalFormatting sqref="BM7:BM119">
    <cfRule type="cellIs" dxfId="1" priority="222" operator="equal">
      <formula>2</formula>
    </cfRule>
  </conditionalFormatting>
  <conditionalFormatting sqref="BM7:BM119">
    <cfRule type="cellIs" dxfId="2" priority="223" operator="between">
      <formula>3</formula>
      <formula>5</formula>
    </cfRule>
  </conditionalFormatting>
  <conditionalFormatting sqref="BM7:BM119">
    <cfRule type="cellIs" dxfId="3" priority="224" operator="greaterThanOrEqual">
      <formula>6</formula>
    </cfRule>
  </conditionalFormatting>
  <conditionalFormatting sqref="BN7:BN119">
    <cfRule type="cellIs" dxfId="0" priority="225" operator="equal">
      <formula>1</formula>
    </cfRule>
  </conditionalFormatting>
  <conditionalFormatting sqref="BN7:BN119">
    <cfRule type="cellIs" dxfId="1" priority="226" operator="equal">
      <formula>2</formula>
    </cfRule>
  </conditionalFormatting>
  <conditionalFormatting sqref="BN7:BN119">
    <cfRule type="cellIs" dxfId="2" priority="227" operator="between">
      <formula>3</formula>
      <formula>5</formula>
    </cfRule>
  </conditionalFormatting>
  <conditionalFormatting sqref="BN7:BN119">
    <cfRule type="cellIs" dxfId="3" priority="228" operator="greaterThanOrEqual">
      <formula>6</formula>
    </cfRule>
  </conditionalFormatting>
  <conditionalFormatting sqref="BP7:BP119">
    <cfRule type="cellIs" dxfId="0" priority="229" operator="equal">
      <formula>1</formula>
    </cfRule>
  </conditionalFormatting>
  <conditionalFormatting sqref="BP7:BP119">
    <cfRule type="cellIs" dxfId="1" priority="230" operator="equal">
      <formula>2</formula>
    </cfRule>
  </conditionalFormatting>
  <conditionalFormatting sqref="BP7:BP119">
    <cfRule type="cellIs" dxfId="2" priority="231" operator="between">
      <formula>3</formula>
      <formula>5</formula>
    </cfRule>
  </conditionalFormatting>
  <conditionalFormatting sqref="BP7:BP119">
    <cfRule type="cellIs" dxfId="3" priority="232" operator="greaterThanOrEqual">
      <formula>6</formula>
    </cfRule>
  </conditionalFormatting>
  <conditionalFormatting sqref="BQ7:BQ119">
    <cfRule type="cellIs" dxfId="0" priority="233" operator="equal">
      <formula>1</formula>
    </cfRule>
  </conditionalFormatting>
  <conditionalFormatting sqref="BQ7:BQ119">
    <cfRule type="cellIs" dxfId="1" priority="234" operator="equal">
      <formula>2</formula>
    </cfRule>
  </conditionalFormatting>
  <conditionalFormatting sqref="BQ7:BQ119">
    <cfRule type="cellIs" dxfId="2" priority="235" operator="between">
      <formula>3</formula>
      <formula>5</formula>
    </cfRule>
  </conditionalFormatting>
  <conditionalFormatting sqref="BQ7:BQ119">
    <cfRule type="cellIs" dxfId="3" priority="236" operator="greaterThanOrEqual">
      <formula>6</formula>
    </cfRule>
  </conditionalFormatting>
  <conditionalFormatting sqref="BR7:BR119">
    <cfRule type="cellIs" dxfId="0" priority="237" operator="equal">
      <formula>1</formula>
    </cfRule>
  </conditionalFormatting>
  <conditionalFormatting sqref="BR7:BR119">
    <cfRule type="cellIs" dxfId="1" priority="238" operator="equal">
      <formula>2</formula>
    </cfRule>
  </conditionalFormatting>
  <conditionalFormatting sqref="BR7:BR119">
    <cfRule type="cellIs" dxfId="2" priority="239" operator="between">
      <formula>3</formula>
      <formula>5</formula>
    </cfRule>
  </conditionalFormatting>
  <conditionalFormatting sqref="BR7:BR119">
    <cfRule type="cellIs" dxfId="3" priority="240" operator="greaterThanOrEqual">
      <formula>6</formula>
    </cfRule>
  </conditionalFormatting>
  <conditionalFormatting sqref="BS7:BS119">
    <cfRule type="cellIs" dxfId="0" priority="241" operator="equal">
      <formula>1</formula>
    </cfRule>
  </conditionalFormatting>
  <conditionalFormatting sqref="BS7:BS119">
    <cfRule type="cellIs" dxfId="1" priority="242" operator="equal">
      <formula>2</formula>
    </cfRule>
  </conditionalFormatting>
  <conditionalFormatting sqref="BS7:BS119">
    <cfRule type="cellIs" dxfId="2" priority="243" operator="between">
      <formula>3</formula>
      <formula>5</formula>
    </cfRule>
  </conditionalFormatting>
  <conditionalFormatting sqref="BS7:BS119">
    <cfRule type="cellIs" dxfId="3" priority="244" operator="greaterThanOrEqual">
      <formula>6</formula>
    </cfRule>
  </conditionalFormatting>
  <conditionalFormatting sqref="BU7:BU119">
    <cfRule type="cellIs" dxfId="0" priority="245" operator="equal">
      <formula>1</formula>
    </cfRule>
  </conditionalFormatting>
  <conditionalFormatting sqref="BU7:BU119">
    <cfRule type="cellIs" dxfId="1" priority="246" operator="equal">
      <formula>2</formula>
    </cfRule>
  </conditionalFormatting>
  <conditionalFormatting sqref="BU7:BU119">
    <cfRule type="cellIs" dxfId="2" priority="247" operator="between">
      <formula>3</formula>
      <formula>5</formula>
    </cfRule>
  </conditionalFormatting>
  <conditionalFormatting sqref="BU7:BU119">
    <cfRule type="cellIs" dxfId="3" priority="248" operator="greaterThanOrEqual">
      <formula>6</formula>
    </cfRule>
  </conditionalFormatting>
  <conditionalFormatting sqref="BV7:BV119">
    <cfRule type="cellIs" dxfId="0" priority="249" operator="equal">
      <formula>1</formula>
    </cfRule>
  </conditionalFormatting>
  <conditionalFormatting sqref="BV7:BV119">
    <cfRule type="cellIs" dxfId="1" priority="250" operator="equal">
      <formula>2</formula>
    </cfRule>
  </conditionalFormatting>
  <conditionalFormatting sqref="BV7:BV119">
    <cfRule type="cellIs" dxfId="2" priority="251" operator="between">
      <formula>3</formula>
      <formula>5</formula>
    </cfRule>
  </conditionalFormatting>
  <conditionalFormatting sqref="BV7:BV119">
    <cfRule type="cellIs" dxfId="3" priority="252" operator="greaterThanOrEqual">
      <formula>6</formula>
    </cfRule>
  </conditionalFormatting>
  <conditionalFormatting sqref="BW7:BW119">
    <cfRule type="cellIs" dxfId="0" priority="253" operator="equal">
      <formula>1</formula>
    </cfRule>
  </conditionalFormatting>
  <conditionalFormatting sqref="BW7:BW119">
    <cfRule type="cellIs" dxfId="1" priority="254" operator="equal">
      <formula>2</formula>
    </cfRule>
  </conditionalFormatting>
  <conditionalFormatting sqref="BW7:BW119">
    <cfRule type="cellIs" dxfId="2" priority="255" operator="between">
      <formula>3</formula>
      <formula>5</formula>
    </cfRule>
  </conditionalFormatting>
  <conditionalFormatting sqref="BW7:BW119">
    <cfRule type="cellIs" dxfId="3" priority="256" operator="greaterThanOrEqual">
      <formula>6</formula>
    </cfRule>
  </conditionalFormatting>
  <conditionalFormatting sqref="BX7:BX119">
    <cfRule type="cellIs" dxfId="0" priority="257" operator="equal">
      <formula>1</formula>
    </cfRule>
  </conditionalFormatting>
  <conditionalFormatting sqref="BX7:BX119">
    <cfRule type="cellIs" dxfId="1" priority="258" operator="equal">
      <formula>2</formula>
    </cfRule>
  </conditionalFormatting>
  <conditionalFormatting sqref="BX7:BX119">
    <cfRule type="cellIs" dxfId="2" priority="259" operator="between">
      <formula>3</formula>
      <formula>5</formula>
    </cfRule>
  </conditionalFormatting>
  <conditionalFormatting sqref="BX7:BX119">
    <cfRule type="cellIs" dxfId="3" priority="260" operator="greaterThanOrEqual">
      <formula>6</formula>
    </cfRule>
  </conditionalFormatting>
  <conditionalFormatting sqref="BY7:BY119">
    <cfRule type="cellIs" dxfId="0" priority="261" operator="equal">
      <formula>1</formula>
    </cfRule>
  </conditionalFormatting>
  <conditionalFormatting sqref="BY7:BY119">
    <cfRule type="cellIs" dxfId="1" priority="262" operator="equal">
      <formula>2</formula>
    </cfRule>
  </conditionalFormatting>
  <conditionalFormatting sqref="BY7:BY119">
    <cfRule type="cellIs" dxfId="2" priority="263" operator="between">
      <formula>3</formula>
      <formula>5</formula>
    </cfRule>
  </conditionalFormatting>
  <conditionalFormatting sqref="BY7:BY119">
    <cfRule type="cellIs" dxfId="3" priority="264" operator="greaterThanOrEqual">
      <formula>6</formula>
    </cfRule>
  </conditionalFormatting>
  <conditionalFormatting sqref="CA7:CA119">
    <cfRule type="cellIs" dxfId="0" priority="265" operator="equal">
      <formula>1</formula>
    </cfRule>
  </conditionalFormatting>
  <conditionalFormatting sqref="CA7:CA119">
    <cfRule type="cellIs" dxfId="1" priority="266" operator="equal">
      <formula>2</formula>
    </cfRule>
  </conditionalFormatting>
  <conditionalFormatting sqref="CA7:CA119">
    <cfRule type="cellIs" dxfId="2" priority="267" operator="between">
      <formula>3</formula>
      <formula>5</formula>
    </cfRule>
  </conditionalFormatting>
  <conditionalFormatting sqref="CA7:CA119">
    <cfRule type="cellIs" dxfId="3" priority="268" operator="greaterThanOrEqual">
      <formula>6</formula>
    </cfRule>
  </conditionalFormatting>
  <conditionalFormatting sqref="CB7:CB119">
    <cfRule type="cellIs" dxfId="0" priority="269" operator="equal">
      <formula>1</formula>
    </cfRule>
  </conditionalFormatting>
  <conditionalFormatting sqref="CB7:CB119">
    <cfRule type="cellIs" dxfId="1" priority="270" operator="equal">
      <formula>2</formula>
    </cfRule>
  </conditionalFormatting>
  <conditionalFormatting sqref="CB7:CB119">
    <cfRule type="cellIs" dxfId="2" priority="271" operator="between">
      <formula>3</formula>
      <formula>5</formula>
    </cfRule>
  </conditionalFormatting>
  <conditionalFormatting sqref="CB7:CB119">
    <cfRule type="cellIs" dxfId="3" priority="272" operator="greaterThanOrEqual">
      <formula>6</formula>
    </cfRule>
  </conditionalFormatting>
  <conditionalFormatting sqref="CC7:CC119">
    <cfRule type="cellIs" dxfId="0" priority="273" operator="equal">
      <formula>1</formula>
    </cfRule>
  </conditionalFormatting>
  <conditionalFormatting sqref="CC7:CC119">
    <cfRule type="cellIs" dxfId="1" priority="274" operator="equal">
      <formula>2</formula>
    </cfRule>
  </conditionalFormatting>
  <conditionalFormatting sqref="CC7:CC119">
    <cfRule type="cellIs" dxfId="2" priority="275" operator="between">
      <formula>3</formula>
      <formula>5</formula>
    </cfRule>
  </conditionalFormatting>
  <conditionalFormatting sqref="CC7:CC119">
    <cfRule type="cellIs" dxfId="3" priority="276" operator="greaterThanOrEqual">
      <formula>6</formula>
    </cfRule>
  </conditionalFormatting>
  <conditionalFormatting sqref="CD7:CD119">
    <cfRule type="cellIs" dxfId="0" priority="277" operator="equal">
      <formula>1</formula>
    </cfRule>
  </conditionalFormatting>
  <conditionalFormatting sqref="CD7:CD119">
    <cfRule type="cellIs" dxfId="1" priority="278" operator="equal">
      <formula>2</formula>
    </cfRule>
  </conditionalFormatting>
  <conditionalFormatting sqref="CD7:CD119">
    <cfRule type="cellIs" dxfId="2" priority="279" operator="between">
      <formula>3</formula>
      <formula>5</formula>
    </cfRule>
  </conditionalFormatting>
  <conditionalFormatting sqref="CD7:CD119">
    <cfRule type="cellIs" dxfId="3" priority="280" operator="greaterThanOrEqual">
      <formula>6</formula>
    </cfRule>
  </conditionalFormatting>
  <conditionalFormatting sqref="CE7:CE119">
    <cfRule type="cellIs" dxfId="0" priority="281" operator="equal">
      <formula>1</formula>
    </cfRule>
  </conditionalFormatting>
  <conditionalFormatting sqref="CE7:CE119">
    <cfRule type="cellIs" dxfId="1" priority="282" operator="equal">
      <formula>2</formula>
    </cfRule>
  </conditionalFormatting>
  <conditionalFormatting sqref="CE7:CE119">
    <cfRule type="cellIs" dxfId="2" priority="283" operator="between">
      <formula>3</formula>
      <formula>5</formula>
    </cfRule>
  </conditionalFormatting>
  <conditionalFormatting sqref="CE7:CE119">
    <cfRule type="cellIs" dxfId="3" priority="284" operator="greaterThanOrEqual">
      <formula>6</formula>
    </cfRule>
  </conditionalFormatting>
  <conditionalFormatting sqref="CG7:CG119">
    <cfRule type="cellIs" dxfId="0" priority="285" operator="equal">
      <formula>1</formula>
    </cfRule>
  </conditionalFormatting>
  <conditionalFormatting sqref="CG7:CG119">
    <cfRule type="cellIs" dxfId="1" priority="286" operator="equal">
      <formula>2</formula>
    </cfRule>
  </conditionalFormatting>
  <conditionalFormatting sqref="CG7:CG119">
    <cfRule type="cellIs" dxfId="2" priority="287" operator="between">
      <formula>3</formula>
      <formula>5</formula>
    </cfRule>
  </conditionalFormatting>
  <conditionalFormatting sqref="CG7:CG119">
    <cfRule type="cellIs" dxfId="3" priority="288" operator="greaterThanOrEqual">
      <formula>6</formula>
    </cfRule>
  </conditionalFormatting>
  <conditionalFormatting sqref="CH7:CH119">
    <cfRule type="cellIs" dxfId="0" priority="289" operator="equal">
      <formula>1</formula>
    </cfRule>
  </conditionalFormatting>
  <conditionalFormatting sqref="CH7:CH119">
    <cfRule type="cellIs" dxfId="1" priority="290" operator="equal">
      <formula>2</formula>
    </cfRule>
  </conditionalFormatting>
  <conditionalFormatting sqref="CH7:CH119">
    <cfRule type="cellIs" dxfId="2" priority="291" operator="between">
      <formula>3</formula>
      <formula>5</formula>
    </cfRule>
  </conditionalFormatting>
  <conditionalFormatting sqref="CH7:CH119">
    <cfRule type="cellIs" dxfId="3" priority="292" operator="greaterThanOrEqual">
      <formula>6</formula>
    </cfRule>
  </conditionalFormatting>
  <conditionalFormatting sqref="CI7:CI119">
    <cfRule type="cellIs" dxfId="0" priority="293" operator="equal">
      <formula>1</formula>
    </cfRule>
  </conditionalFormatting>
  <conditionalFormatting sqref="CI7:CI119">
    <cfRule type="cellIs" dxfId="1" priority="294" operator="equal">
      <formula>2</formula>
    </cfRule>
  </conditionalFormatting>
  <conditionalFormatting sqref="CI7:CI119">
    <cfRule type="cellIs" dxfId="2" priority="295" operator="between">
      <formula>3</formula>
      <formula>5</formula>
    </cfRule>
  </conditionalFormatting>
  <conditionalFormatting sqref="CI7:CI119">
    <cfRule type="cellIs" dxfId="3" priority="296" operator="greaterThanOrEqual">
      <formula>6</formula>
    </cfRule>
  </conditionalFormatting>
  <conditionalFormatting sqref="CJ7:CJ119">
    <cfRule type="cellIs" dxfId="0" priority="297" operator="equal">
      <formula>1</formula>
    </cfRule>
  </conditionalFormatting>
  <conditionalFormatting sqref="CJ7:CJ119">
    <cfRule type="cellIs" dxfId="1" priority="298" operator="equal">
      <formula>2</formula>
    </cfRule>
  </conditionalFormatting>
  <conditionalFormatting sqref="CJ7:CJ119">
    <cfRule type="cellIs" dxfId="2" priority="299" operator="between">
      <formula>3</formula>
      <formula>5</formula>
    </cfRule>
  </conditionalFormatting>
  <conditionalFormatting sqref="CJ7:CJ119">
    <cfRule type="cellIs" dxfId="3" priority="300" operator="greaterThanOrEqual">
      <formula>6</formula>
    </cfRule>
  </conditionalFormatting>
  <conditionalFormatting sqref="CK7:CK119">
    <cfRule type="cellIs" dxfId="0" priority="301" operator="equal">
      <formula>1</formula>
    </cfRule>
  </conditionalFormatting>
  <conditionalFormatting sqref="CK7:CK119">
    <cfRule type="cellIs" dxfId="1" priority="302" operator="equal">
      <formula>2</formula>
    </cfRule>
  </conditionalFormatting>
  <conditionalFormatting sqref="CK7:CK119">
    <cfRule type="cellIs" dxfId="2" priority="303" operator="between">
      <formula>3</formula>
      <formula>5</formula>
    </cfRule>
  </conditionalFormatting>
  <conditionalFormatting sqref="CK7:CK119">
    <cfRule type="cellIs" dxfId="3" priority="304" operator="greaterThanOrEqual">
      <formula>6</formula>
    </cfRule>
  </conditionalFormatting>
  <conditionalFormatting sqref="CL7:CL119">
    <cfRule type="cellIs" dxfId="0" priority="305" operator="equal">
      <formula>1</formula>
    </cfRule>
  </conditionalFormatting>
  <conditionalFormatting sqref="CL7:CL119">
    <cfRule type="cellIs" dxfId="1" priority="306" operator="equal">
      <formula>2</formula>
    </cfRule>
  </conditionalFormatting>
  <conditionalFormatting sqref="CL7:CL119">
    <cfRule type="cellIs" dxfId="2" priority="307" operator="between">
      <formula>3</formula>
      <formula>5</formula>
    </cfRule>
  </conditionalFormatting>
  <conditionalFormatting sqref="CL7:CL119">
    <cfRule type="cellIs" dxfId="3" priority="308" operator="greaterThanOrEqual">
      <formula>6</formula>
    </cfRule>
  </conditionalFormatting>
  <conditionalFormatting sqref="CM7:CM119">
    <cfRule type="cellIs" dxfId="0" priority="309" operator="equal">
      <formula>1</formula>
    </cfRule>
  </conditionalFormatting>
  <conditionalFormatting sqref="CM7:CM119">
    <cfRule type="cellIs" dxfId="1" priority="310" operator="equal">
      <formula>2</formula>
    </cfRule>
  </conditionalFormatting>
  <conditionalFormatting sqref="CM7:CM119">
    <cfRule type="cellIs" dxfId="2" priority="311" operator="between">
      <formula>3</formula>
      <formula>5</formula>
    </cfRule>
  </conditionalFormatting>
  <conditionalFormatting sqref="CM7:CM119">
    <cfRule type="cellIs" dxfId="3" priority="312" operator="greaterThanOrEqual">
      <formula>6</formula>
    </cfRule>
  </conditionalFormatting>
  <conditionalFormatting sqref="CO7:CO119">
    <cfRule type="cellIs" dxfId="0" priority="313" operator="equal">
      <formula>1</formula>
    </cfRule>
  </conditionalFormatting>
  <conditionalFormatting sqref="CO7:CO119">
    <cfRule type="cellIs" dxfId="1" priority="314" operator="equal">
      <formula>2</formula>
    </cfRule>
  </conditionalFormatting>
  <conditionalFormatting sqref="CO7:CO119">
    <cfRule type="cellIs" dxfId="2" priority="315" operator="between">
      <formula>3</formula>
      <formula>5</formula>
    </cfRule>
  </conditionalFormatting>
  <conditionalFormatting sqref="CO7:CO119">
    <cfRule type="cellIs" dxfId="3" priority="316" operator="greaterThanOrEqual">
      <formula>6</formula>
    </cfRule>
  </conditionalFormatting>
  <conditionalFormatting sqref="CP7:CP119">
    <cfRule type="cellIs" dxfId="0" priority="317" operator="equal">
      <formula>1</formula>
    </cfRule>
  </conditionalFormatting>
  <conditionalFormatting sqref="CP7:CP119">
    <cfRule type="cellIs" dxfId="1" priority="318" operator="equal">
      <formula>2</formula>
    </cfRule>
  </conditionalFormatting>
  <conditionalFormatting sqref="CP7:CP119">
    <cfRule type="cellIs" dxfId="2" priority="319" operator="between">
      <formula>3</formula>
      <formula>5</formula>
    </cfRule>
  </conditionalFormatting>
  <conditionalFormatting sqref="CP7:CP119">
    <cfRule type="cellIs" dxfId="3" priority="320" operator="greaterThanOrEqual">
      <formula>6</formula>
    </cfRule>
  </conditionalFormatting>
  <conditionalFormatting sqref="CQ7:CQ119">
    <cfRule type="cellIs" dxfId="0" priority="321" operator="equal">
      <formula>1</formula>
    </cfRule>
  </conditionalFormatting>
  <conditionalFormatting sqref="CQ7:CQ119">
    <cfRule type="cellIs" dxfId="1" priority="322" operator="equal">
      <formula>2</formula>
    </cfRule>
  </conditionalFormatting>
  <conditionalFormatting sqref="CQ7:CQ119">
    <cfRule type="cellIs" dxfId="2" priority="323" operator="between">
      <formula>3</formula>
      <formula>5</formula>
    </cfRule>
  </conditionalFormatting>
  <conditionalFormatting sqref="CQ7:CQ119">
    <cfRule type="cellIs" dxfId="3" priority="324" operator="greaterThanOrEqual">
      <formula>6</formula>
    </cfRule>
  </conditionalFormatting>
  <conditionalFormatting sqref="CR7:CR119">
    <cfRule type="cellIs" dxfId="0" priority="325" operator="equal">
      <formula>1</formula>
    </cfRule>
  </conditionalFormatting>
  <conditionalFormatting sqref="CR7:CR119">
    <cfRule type="cellIs" dxfId="1" priority="326" operator="equal">
      <formula>2</formula>
    </cfRule>
  </conditionalFormatting>
  <conditionalFormatting sqref="CR7:CR119">
    <cfRule type="cellIs" dxfId="2" priority="327" operator="between">
      <formula>3</formula>
      <formula>5</formula>
    </cfRule>
  </conditionalFormatting>
  <conditionalFormatting sqref="CR7:CR119">
    <cfRule type="cellIs" dxfId="3" priority="328" operator="greaterThanOrEqual">
      <formula>6</formula>
    </cfRule>
  </conditionalFormatting>
  <conditionalFormatting sqref="CT7:CT119">
    <cfRule type="cellIs" dxfId="0" priority="329" operator="equal">
      <formula>1</formula>
    </cfRule>
  </conditionalFormatting>
  <conditionalFormatting sqref="CT7:CT119">
    <cfRule type="cellIs" dxfId="1" priority="330" operator="equal">
      <formula>2</formula>
    </cfRule>
  </conditionalFormatting>
  <conditionalFormatting sqref="CT7:CT119">
    <cfRule type="cellIs" dxfId="2" priority="331" operator="between">
      <formula>3</formula>
      <formula>5</formula>
    </cfRule>
  </conditionalFormatting>
  <conditionalFormatting sqref="CT7:CT119">
    <cfRule type="cellIs" dxfId="3" priority="332" operator="greaterThanOrEqual">
      <formula>6</formula>
    </cfRule>
  </conditionalFormatting>
  <conditionalFormatting sqref="CU7:CU119">
    <cfRule type="cellIs" dxfId="0" priority="333" operator="equal">
      <formula>1</formula>
    </cfRule>
  </conditionalFormatting>
  <conditionalFormatting sqref="CU7:CU119">
    <cfRule type="cellIs" dxfId="1" priority="334" operator="equal">
      <formula>2</formula>
    </cfRule>
  </conditionalFormatting>
  <conditionalFormatting sqref="CU7:CU119">
    <cfRule type="cellIs" dxfId="2" priority="335" operator="between">
      <formula>3</formula>
      <formula>5</formula>
    </cfRule>
  </conditionalFormatting>
  <conditionalFormatting sqref="CU7:CU119">
    <cfRule type="cellIs" dxfId="3" priority="336" operator="greaterThanOrEqual">
      <formula>6</formula>
    </cfRule>
  </conditionalFormatting>
  <conditionalFormatting sqref="CV7:CV119">
    <cfRule type="cellIs" dxfId="0" priority="337" operator="equal">
      <formula>1</formula>
    </cfRule>
  </conditionalFormatting>
  <conditionalFormatting sqref="CV7:CV119">
    <cfRule type="cellIs" dxfId="1" priority="338" operator="equal">
      <formula>2</formula>
    </cfRule>
  </conditionalFormatting>
  <conditionalFormatting sqref="CV7:CV119">
    <cfRule type="cellIs" dxfId="2" priority="339" operator="between">
      <formula>3</formula>
      <formula>5</formula>
    </cfRule>
  </conditionalFormatting>
  <conditionalFormatting sqref="CV7:CV119">
    <cfRule type="cellIs" dxfId="3" priority="340" operator="greaterThanOrEqual">
      <formula>6</formula>
    </cfRule>
  </conditionalFormatting>
  <conditionalFormatting sqref="CW7:CW119">
    <cfRule type="cellIs" dxfId="0" priority="341" operator="equal">
      <formula>1</formula>
    </cfRule>
  </conditionalFormatting>
  <conditionalFormatting sqref="CW7:CW119">
    <cfRule type="cellIs" dxfId="1" priority="342" operator="equal">
      <formula>2</formula>
    </cfRule>
  </conditionalFormatting>
  <conditionalFormatting sqref="CW7:CW119">
    <cfRule type="cellIs" dxfId="2" priority="343" operator="between">
      <formula>3</formula>
      <formula>5</formula>
    </cfRule>
  </conditionalFormatting>
  <conditionalFormatting sqref="CW7:CW119">
    <cfRule type="cellIs" dxfId="3" priority="344" operator="greaterThanOrEqual">
      <formula>6</formula>
    </cfRule>
  </conditionalFormatting>
  <conditionalFormatting sqref="CX7:CX119">
    <cfRule type="cellIs" dxfId="0" priority="345" operator="equal">
      <formula>1</formula>
    </cfRule>
  </conditionalFormatting>
  <conditionalFormatting sqref="CX7:CX119">
    <cfRule type="cellIs" dxfId="1" priority="346" operator="equal">
      <formula>2</formula>
    </cfRule>
  </conditionalFormatting>
  <conditionalFormatting sqref="CX7:CX119">
    <cfRule type="cellIs" dxfId="2" priority="347" operator="between">
      <formula>3</formula>
      <formula>5</formula>
    </cfRule>
  </conditionalFormatting>
  <conditionalFormatting sqref="CX7:CX119">
    <cfRule type="cellIs" dxfId="3" priority="348" operator="greaterThanOrEqual">
      <formula>6</formula>
    </cfRule>
  </conditionalFormatting>
  <conditionalFormatting sqref="CY7:CY119">
    <cfRule type="cellIs" dxfId="0" priority="349" operator="equal">
      <formula>1</formula>
    </cfRule>
  </conditionalFormatting>
  <conditionalFormatting sqref="CY7:CY119">
    <cfRule type="cellIs" dxfId="1" priority="350" operator="equal">
      <formula>2</formula>
    </cfRule>
  </conditionalFormatting>
  <conditionalFormatting sqref="CY7:CY119">
    <cfRule type="cellIs" dxfId="2" priority="351" operator="between">
      <formula>3</formula>
      <formula>5</formula>
    </cfRule>
  </conditionalFormatting>
  <conditionalFormatting sqref="CY7:CY119">
    <cfRule type="cellIs" dxfId="3" priority="352" operator="greaterThanOrEqual">
      <formula>6</formula>
    </cfRule>
  </conditionalFormatting>
  <conditionalFormatting sqref="CZ7:CZ119">
    <cfRule type="cellIs" dxfId="0" priority="353" operator="equal">
      <formula>1</formula>
    </cfRule>
  </conditionalFormatting>
  <conditionalFormatting sqref="CZ7:CZ119">
    <cfRule type="cellIs" dxfId="1" priority="354" operator="equal">
      <formula>2</formula>
    </cfRule>
  </conditionalFormatting>
  <conditionalFormatting sqref="CZ7:CZ119">
    <cfRule type="cellIs" dxfId="2" priority="355" operator="between">
      <formula>3</formula>
      <formula>5</formula>
    </cfRule>
  </conditionalFormatting>
  <conditionalFormatting sqref="CZ7:CZ119">
    <cfRule type="cellIs" dxfId="3" priority="356" operator="greaterThanOrEqual">
      <formula>6</formula>
    </cfRule>
  </conditionalFormatting>
  <conditionalFormatting sqref="DA7:DA119">
    <cfRule type="cellIs" dxfId="0" priority="357" operator="equal">
      <formula>1</formula>
    </cfRule>
  </conditionalFormatting>
  <conditionalFormatting sqref="DA7:DA119">
    <cfRule type="cellIs" dxfId="1" priority="358" operator="equal">
      <formula>2</formula>
    </cfRule>
  </conditionalFormatting>
  <conditionalFormatting sqref="DA7:DA119">
    <cfRule type="cellIs" dxfId="2" priority="359" operator="between">
      <formula>3</formula>
      <formula>5</formula>
    </cfRule>
  </conditionalFormatting>
  <conditionalFormatting sqref="DA7:DA119">
    <cfRule type="cellIs" dxfId="3" priority="360" operator="greaterThanOrEqual">
      <formula>6</formula>
    </cfRule>
  </conditionalFormatting>
  <conditionalFormatting sqref="DB7:DB119">
    <cfRule type="cellIs" dxfId="0" priority="361" operator="equal">
      <formula>1</formula>
    </cfRule>
  </conditionalFormatting>
  <conditionalFormatting sqref="DB7:DB119">
    <cfRule type="cellIs" dxfId="1" priority="362" operator="equal">
      <formula>2</formula>
    </cfRule>
  </conditionalFormatting>
  <conditionalFormatting sqref="DB7:DB119">
    <cfRule type="cellIs" dxfId="2" priority="363" operator="between">
      <formula>3</formula>
      <formula>5</formula>
    </cfRule>
  </conditionalFormatting>
  <conditionalFormatting sqref="DB7:DB119">
    <cfRule type="cellIs" dxfId="3" priority="364" operator="greaterThanOrEqual">
      <formula>6</formula>
    </cfRule>
  </conditionalFormatting>
  <conditionalFormatting sqref="DC7:DC119">
    <cfRule type="cellIs" dxfId="0" priority="365" operator="equal">
      <formula>1</formula>
    </cfRule>
  </conditionalFormatting>
  <conditionalFormatting sqref="DC7:DC119">
    <cfRule type="cellIs" dxfId="1" priority="366" operator="equal">
      <formula>2</formula>
    </cfRule>
  </conditionalFormatting>
  <conditionalFormatting sqref="DC7:DC119">
    <cfRule type="cellIs" dxfId="2" priority="367" operator="between">
      <formula>3</formula>
      <formula>5</formula>
    </cfRule>
  </conditionalFormatting>
  <conditionalFormatting sqref="DC7:DC119">
    <cfRule type="cellIs" dxfId="3" priority="368" operator="greaterThanOrEqual">
      <formula>6</formula>
    </cfRule>
  </conditionalFormatting>
  <conditionalFormatting sqref="DD7:DD119">
    <cfRule type="cellIs" dxfId="0" priority="369" operator="equal">
      <formula>1</formula>
    </cfRule>
  </conditionalFormatting>
  <conditionalFormatting sqref="DD7:DD119">
    <cfRule type="cellIs" dxfId="1" priority="370" operator="equal">
      <formula>2</formula>
    </cfRule>
  </conditionalFormatting>
  <conditionalFormatting sqref="DD7:DD119">
    <cfRule type="cellIs" dxfId="2" priority="371" operator="between">
      <formula>3</formula>
      <formula>5</formula>
    </cfRule>
  </conditionalFormatting>
  <conditionalFormatting sqref="DD7:DD119">
    <cfRule type="cellIs" dxfId="3" priority="372" operator="greaterThanOrEqual">
      <formula>6</formula>
    </cfRule>
  </conditionalFormatting>
  <conditionalFormatting sqref="DF7:DF119">
    <cfRule type="cellIs" dxfId="0" priority="373" operator="equal">
      <formula>1</formula>
    </cfRule>
  </conditionalFormatting>
  <conditionalFormatting sqref="DF7:DF119">
    <cfRule type="cellIs" dxfId="1" priority="374" operator="equal">
      <formula>2</formula>
    </cfRule>
  </conditionalFormatting>
  <conditionalFormatting sqref="DF7:DF119">
    <cfRule type="cellIs" dxfId="2" priority="375" operator="between">
      <formula>3</formula>
      <formula>5</formula>
    </cfRule>
  </conditionalFormatting>
  <conditionalFormatting sqref="DF7:DF119">
    <cfRule type="cellIs" dxfId="3" priority="376" operator="greaterThanOrEqual">
      <formula>6</formula>
    </cfRule>
  </conditionalFormatting>
  <conditionalFormatting sqref="DG7:DG119">
    <cfRule type="cellIs" dxfId="0" priority="377" operator="equal">
      <formula>1</formula>
    </cfRule>
  </conditionalFormatting>
  <conditionalFormatting sqref="DG7:DG119">
    <cfRule type="cellIs" dxfId="1" priority="378" operator="equal">
      <formula>2</formula>
    </cfRule>
  </conditionalFormatting>
  <conditionalFormatting sqref="DG7:DG119">
    <cfRule type="cellIs" dxfId="2" priority="379" operator="between">
      <formula>3</formula>
      <formula>5</formula>
    </cfRule>
  </conditionalFormatting>
  <conditionalFormatting sqref="DG7:DG119">
    <cfRule type="cellIs" dxfId="3" priority="380" operator="greaterThanOrEqual">
      <formula>6</formula>
    </cfRule>
  </conditionalFormatting>
  <conditionalFormatting sqref="DH7:DH119">
    <cfRule type="cellIs" dxfId="0" priority="381" operator="equal">
      <formula>1</formula>
    </cfRule>
  </conditionalFormatting>
  <conditionalFormatting sqref="DH7:DH119">
    <cfRule type="cellIs" dxfId="1" priority="382" operator="equal">
      <formula>2</formula>
    </cfRule>
  </conditionalFormatting>
  <conditionalFormatting sqref="DH7:DH119">
    <cfRule type="cellIs" dxfId="2" priority="383" operator="between">
      <formula>3</formula>
      <formula>5</formula>
    </cfRule>
  </conditionalFormatting>
  <conditionalFormatting sqref="DH7:DH119">
    <cfRule type="cellIs" dxfId="3" priority="384" operator="greaterThanOrEqual">
      <formula>6</formula>
    </cfRule>
  </conditionalFormatting>
  <conditionalFormatting sqref="DI7:DI119">
    <cfRule type="cellIs" dxfId="0" priority="385" operator="equal">
      <formula>1</formula>
    </cfRule>
  </conditionalFormatting>
  <conditionalFormatting sqref="DI7:DI119">
    <cfRule type="cellIs" dxfId="1" priority="386" operator="equal">
      <formula>2</formula>
    </cfRule>
  </conditionalFormatting>
  <conditionalFormatting sqref="DI7:DI119">
    <cfRule type="cellIs" dxfId="2" priority="387" operator="between">
      <formula>3</formula>
      <formula>5</formula>
    </cfRule>
  </conditionalFormatting>
  <conditionalFormatting sqref="DI7:DI119">
    <cfRule type="cellIs" dxfId="3" priority="388" operator="greaterThanOrEqual">
      <formula>6</formula>
    </cfRule>
  </conditionalFormatting>
  <conditionalFormatting sqref="DJ7:DJ119">
    <cfRule type="cellIs" dxfId="0" priority="389" operator="equal">
      <formula>1</formula>
    </cfRule>
  </conditionalFormatting>
  <conditionalFormatting sqref="DJ7:DJ119">
    <cfRule type="cellIs" dxfId="1" priority="390" operator="equal">
      <formula>2</formula>
    </cfRule>
  </conditionalFormatting>
  <conditionalFormatting sqref="DJ7:DJ119">
    <cfRule type="cellIs" dxfId="2" priority="391" operator="between">
      <formula>3</formula>
      <formula>5</formula>
    </cfRule>
  </conditionalFormatting>
  <conditionalFormatting sqref="DJ7:DJ119">
    <cfRule type="cellIs" dxfId="3" priority="392" operator="greaterThanOrEqual">
      <formula>6</formula>
    </cfRule>
  </conditionalFormatting>
  <conditionalFormatting sqref="DK7:DK119">
    <cfRule type="cellIs" dxfId="0" priority="393" operator="equal">
      <formula>1</formula>
    </cfRule>
  </conditionalFormatting>
  <conditionalFormatting sqref="DK7:DK119">
    <cfRule type="cellIs" dxfId="1" priority="394" operator="equal">
      <formula>2</formula>
    </cfRule>
  </conditionalFormatting>
  <conditionalFormatting sqref="DK7:DK119">
    <cfRule type="cellIs" dxfId="2" priority="395" operator="between">
      <formula>3</formula>
      <formula>5</formula>
    </cfRule>
  </conditionalFormatting>
  <conditionalFormatting sqref="DK7:DK119">
    <cfRule type="cellIs" dxfId="3" priority="396" operator="greaterThanOrEqual">
      <formula>6</formula>
    </cfRule>
  </conditionalFormatting>
  <conditionalFormatting sqref="DL7:DL119">
    <cfRule type="cellIs" dxfId="0" priority="397" operator="equal">
      <formula>1</formula>
    </cfRule>
  </conditionalFormatting>
  <conditionalFormatting sqref="DL7:DL119">
    <cfRule type="cellIs" dxfId="1" priority="398" operator="equal">
      <formula>2</formula>
    </cfRule>
  </conditionalFormatting>
  <conditionalFormatting sqref="DL7:DL119">
    <cfRule type="cellIs" dxfId="2" priority="399" operator="between">
      <formula>3</formula>
      <formula>5</formula>
    </cfRule>
  </conditionalFormatting>
  <conditionalFormatting sqref="DL7:DL119">
    <cfRule type="cellIs" dxfId="3" priority="400" operator="greaterThanOrEqual">
      <formula>6</formula>
    </cfRule>
  </conditionalFormatting>
  <conditionalFormatting sqref="DM7:DM119">
    <cfRule type="cellIs" dxfId="0" priority="401" operator="equal">
      <formula>1</formula>
    </cfRule>
  </conditionalFormatting>
  <conditionalFormatting sqref="DM7:DM119">
    <cfRule type="cellIs" dxfId="1" priority="402" operator="equal">
      <formula>2</formula>
    </cfRule>
  </conditionalFormatting>
  <conditionalFormatting sqref="DM7:DM119">
    <cfRule type="cellIs" dxfId="2" priority="403" operator="between">
      <formula>3</formula>
      <formula>5</formula>
    </cfRule>
  </conditionalFormatting>
  <conditionalFormatting sqref="DM7:DM119">
    <cfRule type="cellIs" dxfId="3" priority="404" operator="greaterThanOrEqual">
      <formula>6</formula>
    </cfRule>
  </conditionalFormatting>
  <conditionalFormatting sqref="DO7:DO119">
    <cfRule type="cellIs" dxfId="0" priority="405" operator="equal">
      <formula>1</formula>
    </cfRule>
  </conditionalFormatting>
  <conditionalFormatting sqref="DO7:DO119">
    <cfRule type="cellIs" dxfId="1" priority="406" operator="equal">
      <formula>2</formula>
    </cfRule>
  </conditionalFormatting>
  <conditionalFormatting sqref="DO7:DO119">
    <cfRule type="cellIs" dxfId="2" priority="407" operator="between">
      <formula>3</formula>
      <formula>5</formula>
    </cfRule>
  </conditionalFormatting>
  <conditionalFormatting sqref="DO7:DO119">
    <cfRule type="cellIs" dxfId="3" priority="408" operator="greaterThanOrEqual">
      <formula>6</formula>
    </cfRule>
  </conditionalFormatting>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57.43"/>
    <col customWidth="1" min="3" max="11" width="18.0"/>
    <col customWidth="1" min="12" max="12" width="45.43"/>
    <col customWidth="1" min="13" max="21" width="18.0"/>
    <col customWidth="1" min="22" max="25" width="8.71"/>
  </cols>
  <sheetData>
    <row r="1">
      <c r="A1" s="1" t="s">
        <v>1</v>
      </c>
      <c r="B1" s="1" t="s">
        <v>2</v>
      </c>
      <c r="C1" s="1" t="s">
        <v>3</v>
      </c>
      <c r="D1" s="1" t="s">
        <v>4</v>
      </c>
      <c r="E1" s="1" t="s">
        <v>5</v>
      </c>
      <c r="F1" s="1" t="s">
        <v>6</v>
      </c>
      <c r="G1" s="1" t="s">
        <v>7</v>
      </c>
      <c r="H1" s="1" t="s">
        <v>8</v>
      </c>
      <c r="I1" s="1" t="s">
        <v>9</v>
      </c>
      <c r="J1" s="1" t="s">
        <v>10</v>
      </c>
      <c r="K1" s="1" t="s">
        <v>11</v>
      </c>
      <c r="L1" s="1" t="s">
        <v>12</v>
      </c>
      <c r="M1" s="1" t="s">
        <v>14</v>
      </c>
      <c r="N1" s="4" t="s">
        <v>15</v>
      </c>
      <c r="O1" s="4" t="s">
        <v>17</v>
      </c>
      <c r="P1" s="4" t="s">
        <v>18</v>
      </c>
      <c r="Q1" s="4" t="s">
        <v>19</v>
      </c>
      <c r="R1" s="4" t="s">
        <v>20</v>
      </c>
      <c r="S1" s="4" t="s">
        <v>21</v>
      </c>
      <c r="T1" s="4" t="s">
        <v>22</v>
      </c>
      <c r="U1" s="4" t="s">
        <v>24</v>
      </c>
    </row>
    <row r="2">
      <c r="A2" s="7" t="s">
        <v>25</v>
      </c>
      <c r="B2" s="7" t="s">
        <v>27</v>
      </c>
      <c r="C2" s="7" t="s">
        <v>28</v>
      </c>
      <c r="D2" s="7" t="s">
        <v>29</v>
      </c>
      <c r="E2" s="7" t="s">
        <v>30</v>
      </c>
      <c r="F2" s="7" t="s">
        <v>31</v>
      </c>
      <c r="G2" s="7" t="s">
        <v>32</v>
      </c>
      <c r="H2" s="7" t="s">
        <v>33</v>
      </c>
      <c r="I2" s="7" t="s">
        <v>34</v>
      </c>
      <c r="J2" s="7" t="s">
        <v>35</v>
      </c>
      <c r="K2" s="7" t="s">
        <v>37</v>
      </c>
      <c r="L2" s="7" t="s">
        <v>38</v>
      </c>
      <c r="M2" s="7" t="s">
        <v>39</v>
      </c>
      <c r="N2" s="7" t="s">
        <v>40</v>
      </c>
      <c r="O2" s="7" t="s">
        <v>41</v>
      </c>
      <c r="P2" s="7"/>
      <c r="Q2" s="7"/>
      <c r="R2" s="7"/>
      <c r="S2" s="7" t="s">
        <v>42</v>
      </c>
      <c r="T2" s="7" t="s">
        <v>44</v>
      </c>
      <c r="U2" s="7" t="s">
        <v>45</v>
      </c>
    </row>
    <row r="3">
      <c r="A3" s="7" t="s">
        <v>25</v>
      </c>
      <c r="B3" s="7" t="s">
        <v>46</v>
      </c>
      <c r="C3" s="7" t="s">
        <v>47</v>
      </c>
      <c r="D3" s="7" t="s">
        <v>48</v>
      </c>
      <c r="E3" s="7"/>
      <c r="F3" s="7"/>
      <c r="G3" s="7" t="s">
        <v>49</v>
      </c>
      <c r="H3" s="7" t="s">
        <v>50</v>
      </c>
      <c r="I3" s="7" t="s">
        <v>51</v>
      </c>
      <c r="J3" s="7" t="s">
        <v>52</v>
      </c>
      <c r="K3" s="7" t="s">
        <v>54</v>
      </c>
      <c r="L3" s="7" t="s">
        <v>55</v>
      </c>
      <c r="M3" s="7" t="s">
        <v>56</v>
      </c>
      <c r="N3" s="7" t="s">
        <v>40</v>
      </c>
      <c r="O3" s="7" t="s">
        <v>41</v>
      </c>
      <c r="P3" s="7"/>
      <c r="Q3" s="7"/>
      <c r="R3" s="7"/>
      <c r="S3" s="7" t="s">
        <v>58</v>
      </c>
      <c r="T3" s="7" t="s">
        <v>59</v>
      </c>
      <c r="U3" s="7"/>
    </row>
    <row r="4">
      <c r="A4" s="7" t="s">
        <v>25</v>
      </c>
      <c r="B4" s="7" t="s">
        <v>60</v>
      </c>
      <c r="C4" s="7" t="s">
        <v>47</v>
      </c>
      <c r="D4" s="7" t="s">
        <v>48</v>
      </c>
      <c r="E4" s="7"/>
      <c r="F4" s="7"/>
      <c r="G4" s="7" t="s">
        <v>63</v>
      </c>
      <c r="H4" s="7" t="s">
        <v>33</v>
      </c>
      <c r="I4" s="7" t="s">
        <v>51</v>
      </c>
      <c r="J4" s="7" t="s">
        <v>67</v>
      </c>
      <c r="K4" s="7" t="s">
        <v>54</v>
      </c>
      <c r="L4" s="7" t="s">
        <v>69</v>
      </c>
      <c r="M4" s="7" t="s">
        <v>70</v>
      </c>
      <c r="N4" s="7" t="s">
        <v>40</v>
      </c>
      <c r="O4" s="7" t="s">
        <v>41</v>
      </c>
      <c r="P4" s="7"/>
      <c r="Q4" s="7"/>
      <c r="R4" s="7"/>
      <c r="S4" s="7" t="s">
        <v>72</v>
      </c>
      <c r="T4" s="7" t="s">
        <v>59</v>
      </c>
      <c r="U4" s="7"/>
    </row>
    <row r="5">
      <c r="A5" s="7" t="s">
        <v>25</v>
      </c>
      <c r="B5" s="7" t="s">
        <v>75</v>
      </c>
      <c r="C5" s="7" t="s">
        <v>47</v>
      </c>
      <c r="D5" s="7" t="s">
        <v>48</v>
      </c>
      <c r="E5" s="7"/>
      <c r="F5" s="7"/>
      <c r="G5" s="7" t="s">
        <v>63</v>
      </c>
      <c r="H5" s="7" t="s">
        <v>33</v>
      </c>
      <c r="I5" s="7" t="s">
        <v>79</v>
      </c>
      <c r="J5" s="7" t="s">
        <v>80</v>
      </c>
      <c r="K5" s="7" t="s">
        <v>54</v>
      </c>
      <c r="L5" s="7" t="s">
        <v>81</v>
      </c>
      <c r="M5" s="7" t="s">
        <v>83</v>
      </c>
      <c r="N5" s="7" t="s">
        <v>40</v>
      </c>
      <c r="O5" s="7" t="s">
        <v>41</v>
      </c>
      <c r="P5" s="7"/>
      <c r="Q5" s="7"/>
      <c r="R5" s="7"/>
      <c r="S5" s="7" t="s">
        <v>72</v>
      </c>
      <c r="T5" s="7" t="s">
        <v>59</v>
      </c>
      <c r="U5" s="7"/>
    </row>
    <row r="6">
      <c r="A6" s="7" t="s">
        <v>25</v>
      </c>
      <c r="B6" s="7" t="s">
        <v>87</v>
      </c>
      <c r="C6" s="7" t="s">
        <v>47</v>
      </c>
      <c r="D6" s="7" t="s">
        <v>48</v>
      </c>
      <c r="E6" s="7"/>
      <c r="F6" s="7"/>
      <c r="G6" s="7" t="s">
        <v>89</v>
      </c>
      <c r="H6" s="7" t="s">
        <v>50</v>
      </c>
      <c r="I6" s="7" t="s">
        <v>51</v>
      </c>
      <c r="J6" s="7" t="s">
        <v>91</v>
      </c>
      <c r="K6" s="7" t="s">
        <v>54</v>
      </c>
      <c r="L6" s="7" t="s">
        <v>93</v>
      </c>
      <c r="M6" s="7" t="s">
        <v>95</v>
      </c>
      <c r="N6" s="7" t="s">
        <v>40</v>
      </c>
      <c r="O6" s="7" t="s">
        <v>41</v>
      </c>
      <c r="P6" s="7"/>
      <c r="Q6" s="7"/>
      <c r="R6" s="7"/>
      <c r="S6" s="7" t="s">
        <v>96</v>
      </c>
      <c r="T6" s="7" t="s">
        <v>59</v>
      </c>
      <c r="U6" s="7"/>
    </row>
    <row r="7">
      <c r="A7" s="7" t="s">
        <v>97</v>
      </c>
      <c r="B7" s="7" t="s">
        <v>98</v>
      </c>
      <c r="C7" s="7" t="s">
        <v>47</v>
      </c>
      <c r="D7" s="7" t="s">
        <v>100</v>
      </c>
      <c r="E7" s="7"/>
      <c r="F7" s="7"/>
      <c r="G7" s="7" t="s">
        <v>101</v>
      </c>
      <c r="H7" s="7" t="s">
        <v>33</v>
      </c>
      <c r="I7" s="7" t="s">
        <v>51</v>
      </c>
      <c r="J7" s="7" t="s">
        <v>102</v>
      </c>
      <c r="K7" s="7" t="s">
        <v>54</v>
      </c>
      <c r="L7" s="7" t="s">
        <v>103</v>
      </c>
      <c r="M7" s="7" t="s">
        <v>104</v>
      </c>
      <c r="N7" s="7" t="s">
        <v>40</v>
      </c>
      <c r="O7" s="7" t="s">
        <v>41</v>
      </c>
      <c r="P7" s="7"/>
      <c r="Q7" s="7"/>
      <c r="R7" s="7"/>
      <c r="S7" s="7" t="s">
        <v>105</v>
      </c>
      <c r="T7" s="7" t="s">
        <v>106</v>
      </c>
      <c r="U7" s="7" t="s">
        <v>107</v>
      </c>
    </row>
    <row r="8">
      <c r="A8" s="7" t="s">
        <v>97</v>
      </c>
      <c r="B8" s="7" t="s">
        <v>108</v>
      </c>
      <c r="C8" s="7" t="s">
        <v>47</v>
      </c>
      <c r="D8" s="7" t="s">
        <v>110</v>
      </c>
      <c r="E8" s="7"/>
      <c r="F8" s="7"/>
      <c r="G8" s="7" t="s">
        <v>112</v>
      </c>
      <c r="H8" s="7" t="s">
        <v>33</v>
      </c>
      <c r="I8" s="7" t="s">
        <v>51</v>
      </c>
      <c r="J8" s="7" t="s">
        <v>115</v>
      </c>
      <c r="K8" s="7" t="s">
        <v>54</v>
      </c>
      <c r="L8" s="7" t="s">
        <v>116</v>
      </c>
      <c r="M8" s="7" t="s">
        <v>117</v>
      </c>
      <c r="N8" s="7" t="s">
        <v>40</v>
      </c>
      <c r="O8" s="7" t="s">
        <v>41</v>
      </c>
      <c r="P8" s="7"/>
      <c r="Q8" s="7"/>
      <c r="R8" s="7"/>
      <c r="S8" s="7" t="s">
        <v>118</v>
      </c>
      <c r="T8" s="7" t="s">
        <v>119</v>
      </c>
      <c r="U8" s="7"/>
    </row>
    <row r="9">
      <c r="A9" s="7" t="s">
        <v>97</v>
      </c>
      <c r="B9" s="7" t="s">
        <v>120</v>
      </c>
      <c r="C9" s="7" t="s">
        <v>47</v>
      </c>
      <c r="D9" s="7" t="s">
        <v>121</v>
      </c>
      <c r="E9" s="7"/>
      <c r="F9" s="7"/>
      <c r="G9" s="7" t="s">
        <v>63</v>
      </c>
      <c r="H9" s="7" t="s">
        <v>33</v>
      </c>
      <c r="I9" s="7" t="s">
        <v>34</v>
      </c>
      <c r="J9" s="7" t="s">
        <v>123</v>
      </c>
      <c r="K9" s="7" t="s">
        <v>37</v>
      </c>
      <c r="L9" s="7" t="s">
        <v>124</v>
      </c>
      <c r="M9" s="7" t="s">
        <v>125</v>
      </c>
      <c r="N9" s="7" t="s">
        <v>40</v>
      </c>
      <c r="O9" s="7" t="s">
        <v>41</v>
      </c>
      <c r="P9" s="7"/>
      <c r="Q9" s="7"/>
      <c r="R9" s="7"/>
      <c r="S9" s="7" t="s">
        <v>72</v>
      </c>
      <c r="T9" s="7" t="s">
        <v>127</v>
      </c>
      <c r="U9" s="7"/>
    </row>
    <row r="10">
      <c r="A10" s="7" t="s">
        <v>97</v>
      </c>
      <c r="B10" s="7" t="s">
        <v>130</v>
      </c>
      <c r="C10" s="7" t="s">
        <v>64</v>
      </c>
      <c r="D10" s="7" t="s">
        <v>132</v>
      </c>
      <c r="E10" s="7"/>
      <c r="F10" s="7"/>
      <c r="G10" s="7" t="s">
        <v>121</v>
      </c>
      <c r="H10" s="7" t="s">
        <v>121</v>
      </c>
      <c r="I10" s="7" t="s">
        <v>34</v>
      </c>
      <c r="J10" s="7" t="s">
        <v>133</v>
      </c>
      <c r="K10" s="7" t="s">
        <v>37</v>
      </c>
      <c r="L10" s="7" t="s">
        <v>134</v>
      </c>
      <c r="M10" s="7" t="s">
        <v>136</v>
      </c>
      <c r="N10" s="7" t="s">
        <v>40</v>
      </c>
      <c r="O10" s="7" t="s">
        <v>41</v>
      </c>
      <c r="P10" s="7"/>
      <c r="Q10" s="7" t="s">
        <v>121</v>
      </c>
      <c r="R10" s="7"/>
      <c r="S10" s="7" t="s">
        <v>138</v>
      </c>
      <c r="T10" s="7" t="s">
        <v>140</v>
      </c>
      <c r="U10" s="7" t="s">
        <v>141</v>
      </c>
    </row>
    <row r="11">
      <c r="A11" s="7" t="s">
        <v>97</v>
      </c>
      <c r="B11" s="7" t="s">
        <v>144</v>
      </c>
      <c r="C11" s="7" t="s">
        <v>47</v>
      </c>
      <c r="D11" s="7" t="s">
        <v>121</v>
      </c>
      <c r="E11" s="7"/>
      <c r="F11" s="7"/>
      <c r="G11" s="7" t="s">
        <v>63</v>
      </c>
      <c r="H11" s="7" t="s">
        <v>33</v>
      </c>
      <c r="I11" s="7" t="s">
        <v>34</v>
      </c>
      <c r="J11" s="7" t="s">
        <v>149</v>
      </c>
      <c r="K11" s="7" t="s">
        <v>37</v>
      </c>
      <c r="L11" s="7" t="s">
        <v>150</v>
      </c>
      <c r="M11" s="7" t="s">
        <v>151</v>
      </c>
      <c r="N11" s="7" t="s">
        <v>40</v>
      </c>
      <c r="O11" s="7" t="s">
        <v>41</v>
      </c>
      <c r="P11" s="7"/>
      <c r="Q11" s="7"/>
      <c r="R11" s="7"/>
      <c r="S11" s="7" t="s">
        <v>72</v>
      </c>
      <c r="T11" s="7" t="s">
        <v>127</v>
      </c>
      <c r="U11" s="7" t="s">
        <v>153</v>
      </c>
    </row>
    <row r="12">
      <c r="A12" s="7" t="s">
        <v>97</v>
      </c>
      <c r="B12" s="7" t="s">
        <v>154</v>
      </c>
      <c r="C12" s="7" t="s">
        <v>30</v>
      </c>
      <c r="D12" s="7" t="s">
        <v>156</v>
      </c>
      <c r="E12" s="7"/>
      <c r="F12" s="7"/>
      <c r="G12" s="7" t="s">
        <v>158</v>
      </c>
      <c r="H12" s="7" t="s">
        <v>159</v>
      </c>
      <c r="I12" s="7" t="s">
        <v>34</v>
      </c>
      <c r="J12" s="7" t="s">
        <v>161</v>
      </c>
      <c r="K12" s="7" t="s">
        <v>162</v>
      </c>
      <c r="L12" s="7" t="s">
        <v>164</v>
      </c>
      <c r="M12" s="7" t="s">
        <v>165</v>
      </c>
      <c r="N12" s="7" t="s">
        <v>40</v>
      </c>
      <c r="O12" s="7" t="s">
        <v>41</v>
      </c>
      <c r="P12" s="7"/>
      <c r="Q12" s="7"/>
      <c r="R12" s="7"/>
      <c r="S12" s="7" t="s">
        <v>166</v>
      </c>
      <c r="T12" s="7" t="s">
        <v>168</v>
      </c>
      <c r="U12" s="7"/>
    </row>
    <row r="13">
      <c r="A13" s="7" t="s">
        <v>97</v>
      </c>
      <c r="B13" s="7" t="s">
        <v>169</v>
      </c>
      <c r="C13" s="7" t="s">
        <v>62</v>
      </c>
      <c r="D13" s="7" t="s">
        <v>121</v>
      </c>
      <c r="E13" s="7"/>
      <c r="F13" s="7"/>
      <c r="G13" s="7" t="s">
        <v>121</v>
      </c>
      <c r="H13" s="7" t="s">
        <v>121</v>
      </c>
      <c r="I13" s="7" t="s">
        <v>34</v>
      </c>
      <c r="J13" s="7" t="s">
        <v>171</v>
      </c>
      <c r="K13" s="7" t="s">
        <v>162</v>
      </c>
      <c r="L13" s="7" t="s">
        <v>173</v>
      </c>
      <c r="M13" s="7" t="s">
        <v>174</v>
      </c>
      <c r="N13" s="7" t="s">
        <v>40</v>
      </c>
      <c r="O13" s="7" t="s">
        <v>41</v>
      </c>
      <c r="P13" s="7"/>
      <c r="Q13" s="7" t="s">
        <v>121</v>
      </c>
      <c r="R13" s="7"/>
      <c r="S13" s="7" t="s">
        <v>138</v>
      </c>
      <c r="T13" s="7" t="s">
        <v>177</v>
      </c>
      <c r="U13" s="7"/>
    </row>
    <row r="14">
      <c r="A14" s="7" t="s">
        <v>97</v>
      </c>
      <c r="B14" s="7" t="s">
        <v>179</v>
      </c>
      <c r="C14" s="7" t="s">
        <v>47</v>
      </c>
      <c r="D14" s="7" t="s">
        <v>48</v>
      </c>
      <c r="E14" s="7"/>
      <c r="F14" s="7"/>
      <c r="G14" s="7" t="s">
        <v>121</v>
      </c>
      <c r="H14" s="7" t="s">
        <v>121</v>
      </c>
      <c r="I14" s="7" t="s">
        <v>51</v>
      </c>
      <c r="J14" s="7" t="s">
        <v>181</v>
      </c>
      <c r="K14" s="7" t="s">
        <v>54</v>
      </c>
      <c r="L14" s="7" t="s">
        <v>183</v>
      </c>
      <c r="M14" s="7" t="s">
        <v>184</v>
      </c>
      <c r="N14" s="7" t="s">
        <v>40</v>
      </c>
      <c r="O14" s="7" t="s">
        <v>41</v>
      </c>
      <c r="P14" s="7"/>
      <c r="Q14" s="7" t="s">
        <v>121</v>
      </c>
      <c r="R14" s="7"/>
      <c r="S14" s="7" t="s">
        <v>138</v>
      </c>
      <c r="T14" s="7" t="s">
        <v>59</v>
      </c>
      <c r="U14" s="7"/>
    </row>
    <row r="15">
      <c r="A15" s="7" t="s">
        <v>97</v>
      </c>
      <c r="B15" s="7" t="s">
        <v>189</v>
      </c>
      <c r="C15" s="7" t="s">
        <v>57</v>
      </c>
      <c r="D15" s="7" t="s">
        <v>190</v>
      </c>
      <c r="E15" s="7" t="s">
        <v>66</v>
      </c>
      <c r="F15" s="7" t="s">
        <v>191</v>
      </c>
      <c r="G15" s="7" t="s">
        <v>121</v>
      </c>
      <c r="H15" s="7" t="s">
        <v>121</v>
      </c>
      <c r="I15" s="7" t="s">
        <v>142</v>
      </c>
      <c r="J15" s="7" t="s">
        <v>192</v>
      </c>
      <c r="K15" s="7" t="s">
        <v>54</v>
      </c>
      <c r="L15" s="7" t="s">
        <v>193</v>
      </c>
      <c r="M15" s="7" t="s">
        <v>194</v>
      </c>
      <c r="N15" s="7" t="s">
        <v>40</v>
      </c>
      <c r="O15" s="7" t="s">
        <v>41</v>
      </c>
      <c r="P15" s="7"/>
      <c r="Q15" s="7" t="s">
        <v>121</v>
      </c>
      <c r="R15" s="7"/>
      <c r="S15" s="7" t="s">
        <v>138</v>
      </c>
      <c r="T15" s="7" t="s">
        <v>195</v>
      </c>
      <c r="U15" s="7"/>
    </row>
    <row r="16">
      <c r="A16" s="7" t="s">
        <v>97</v>
      </c>
      <c r="B16" s="7" t="s">
        <v>196</v>
      </c>
      <c r="C16" s="7" t="s">
        <v>47</v>
      </c>
      <c r="D16" s="7" t="s">
        <v>100</v>
      </c>
      <c r="E16" s="7" t="s">
        <v>30</v>
      </c>
      <c r="F16" s="7" t="s">
        <v>156</v>
      </c>
      <c r="G16" s="7" t="s">
        <v>121</v>
      </c>
      <c r="H16" s="7" t="s">
        <v>121</v>
      </c>
      <c r="I16" s="7" t="s">
        <v>142</v>
      </c>
      <c r="J16" s="7" t="s">
        <v>198</v>
      </c>
      <c r="K16" s="7" t="s">
        <v>54</v>
      </c>
      <c r="L16" s="7" t="s">
        <v>199</v>
      </c>
      <c r="M16" s="7" t="s">
        <v>200</v>
      </c>
      <c r="N16" s="7" t="s">
        <v>40</v>
      </c>
      <c r="O16" s="7" t="s">
        <v>41</v>
      </c>
      <c r="P16" s="7"/>
      <c r="Q16" s="7" t="s">
        <v>121</v>
      </c>
      <c r="R16" s="7"/>
      <c r="S16" s="7" t="s">
        <v>138</v>
      </c>
      <c r="T16" s="7" t="s">
        <v>106</v>
      </c>
      <c r="U16" s="7" t="s">
        <v>201</v>
      </c>
    </row>
    <row r="17">
      <c r="A17" s="7" t="s">
        <v>202</v>
      </c>
      <c r="B17" s="7" t="s">
        <v>163</v>
      </c>
      <c r="C17" s="7"/>
      <c r="D17" s="7"/>
      <c r="E17" s="7"/>
      <c r="F17" s="7"/>
      <c r="G17" s="7" t="s">
        <v>121</v>
      </c>
      <c r="H17" s="7" t="s">
        <v>121</v>
      </c>
      <c r="I17" s="7"/>
      <c r="J17" s="7" t="s">
        <v>167</v>
      </c>
      <c r="K17" s="7" t="s">
        <v>167</v>
      </c>
      <c r="L17" s="7" t="s">
        <v>204</v>
      </c>
      <c r="M17" s="7" t="s">
        <v>206</v>
      </c>
      <c r="N17" s="7" t="s">
        <v>40</v>
      </c>
      <c r="O17" s="7" t="s">
        <v>170</v>
      </c>
      <c r="P17" s="7" t="s">
        <v>172</v>
      </c>
      <c r="Q17" s="7"/>
      <c r="R17" s="7"/>
      <c r="S17" s="7"/>
      <c r="T17" s="7"/>
      <c r="U17" s="7"/>
    </row>
    <row r="18">
      <c r="A18" s="7" t="s">
        <v>207</v>
      </c>
      <c r="B18" s="7" t="s">
        <v>208</v>
      </c>
      <c r="C18" s="7" t="s">
        <v>47</v>
      </c>
      <c r="D18" s="7" t="s">
        <v>48</v>
      </c>
      <c r="E18" s="7"/>
      <c r="F18" s="7"/>
      <c r="G18" s="7" t="s">
        <v>209</v>
      </c>
      <c r="H18" s="7" t="s">
        <v>33</v>
      </c>
      <c r="I18" s="7" t="s">
        <v>51</v>
      </c>
      <c r="J18" s="7" t="s">
        <v>210</v>
      </c>
      <c r="K18" s="7" t="s">
        <v>54</v>
      </c>
      <c r="L18" s="7" t="s">
        <v>211</v>
      </c>
      <c r="M18" s="7" t="s">
        <v>212</v>
      </c>
      <c r="N18" s="7" t="s">
        <v>40</v>
      </c>
      <c r="O18" s="7" t="s">
        <v>41</v>
      </c>
      <c r="P18" s="7"/>
      <c r="Q18" s="7"/>
      <c r="R18" s="7"/>
      <c r="S18" s="7" t="s">
        <v>215</v>
      </c>
      <c r="T18" s="7" t="s">
        <v>59</v>
      </c>
      <c r="U18" s="7" t="s">
        <v>107</v>
      </c>
    </row>
    <row r="19">
      <c r="A19" s="7" t="s">
        <v>207</v>
      </c>
      <c r="B19" s="7" t="s">
        <v>217</v>
      </c>
      <c r="C19" s="7" t="s">
        <v>47</v>
      </c>
      <c r="D19" s="7" t="s">
        <v>110</v>
      </c>
      <c r="E19" s="7"/>
      <c r="F19" s="7"/>
      <c r="G19" s="7" t="s">
        <v>63</v>
      </c>
      <c r="H19" s="7" t="s">
        <v>33</v>
      </c>
      <c r="I19" s="7" t="s">
        <v>34</v>
      </c>
      <c r="J19" s="7" t="s">
        <v>219</v>
      </c>
      <c r="K19" s="7" t="s">
        <v>37</v>
      </c>
      <c r="L19" s="7" t="s">
        <v>220</v>
      </c>
      <c r="M19" s="7" t="s">
        <v>212</v>
      </c>
      <c r="N19" s="7" t="s">
        <v>40</v>
      </c>
      <c r="O19" s="7" t="s">
        <v>41</v>
      </c>
      <c r="P19" s="7"/>
      <c r="Q19" s="7"/>
      <c r="R19" s="7"/>
      <c r="S19" s="7" t="s">
        <v>72</v>
      </c>
      <c r="T19" s="7" t="s">
        <v>119</v>
      </c>
      <c r="U19" s="7"/>
    </row>
    <row r="20">
      <c r="A20" s="7" t="s">
        <v>207</v>
      </c>
      <c r="B20" s="7" t="s">
        <v>222</v>
      </c>
      <c r="C20" s="7" t="s">
        <v>47</v>
      </c>
      <c r="D20" s="7" t="s">
        <v>48</v>
      </c>
      <c r="E20" s="7"/>
      <c r="F20" s="7"/>
      <c r="G20" s="7" t="s">
        <v>101</v>
      </c>
      <c r="H20" s="7" t="s">
        <v>33</v>
      </c>
      <c r="I20" s="7" t="s">
        <v>34</v>
      </c>
      <c r="J20" s="7" t="s">
        <v>223</v>
      </c>
      <c r="K20" s="7" t="s">
        <v>37</v>
      </c>
      <c r="L20" s="7" t="s">
        <v>225</v>
      </c>
      <c r="M20" s="7" t="s">
        <v>212</v>
      </c>
      <c r="N20" s="7" t="s">
        <v>40</v>
      </c>
      <c r="O20" s="7" t="s">
        <v>41</v>
      </c>
      <c r="P20" s="7"/>
      <c r="Q20" s="7"/>
      <c r="R20" s="7"/>
      <c r="S20" s="7" t="s">
        <v>105</v>
      </c>
      <c r="T20" s="7" t="s">
        <v>59</v>
      </c>
      <c r="U20" s="7" t="s">
        <v>226</v>
      </c>
    </row>
    <row r="21" ht="15.75" customHeight="1">
      <c r="A21" s="7" t="s">
        <v>207</v>
      </c>
      <c r="B21" s="7" t="s">
        <v>227</v>
      </c>
      <c r="C21" s="7" t="s">
        <v>47</v>
      </c>
      <c r="D21" s="7" t="s">
        <v>48</v>
      </c>
      <c r="E21" s="7" t="s">
        <v>30</v>
      </c>
      <c r="F21" s="7" t="s">
        <v>228</v>
      </c>
      <c r="G21" s="7" t="s">
        <v>230</v>
      </c>
      <c r="H21" s="7" t="s">
        <v>232</v>
      </c>
      <c r="I21" s="7" t="s">
        <v>51</v>
      </c>
      <c r="J21" s="7" t="s">
        <v>233</v>
      </c>
      <c r="K21" s="7" t="s">
        <v>54</v>
      </c>
      <c r="L21" s="7" t="s">
        <v>234</v>
      </c>
      <c r="M21" s="7" t="s">
        <v>212</v>
      </c>
      <c r="N21" s="7" t="s">
        <v>40</v>
      </c>
      <c r="O21" s="7" t="s">
        <v>41</v>
      </c>
      <c r="P21" s="7"/>
      <c r="Q21" s="7"/>
      <c r="R21" s="7"/>
      <c r="S21" s="7" t="s">
        <v>235</v>
      </c>
      <c r="T21" s="7" t="s">
        <v>59</v>
      </c>
      <c r="U21" s="7" t="s">
        <v>226</v>
      </c>
    </row>
    <row r="22" ht="15.75" customHeight="1">
      <c r="A22" s="7" t="s">
        <v>207</v>
      </c>
      <c r="B22" s="7" t="s">
        <v>236</v>
      </c>
      <c r="C22" s="7" t="s">
        <v>68</v>
      </c>
      <c r="D22" s="7" t="s">
        <v>121</v>
      </c>
      <c r="E22" s="7" t="s">
        <v>62</v>
      </c>
      <c r="F22" s="7" t="s">
        <v>238</v>
      </c>
      <c r="G22" s="7" t="s">
        <v>239</v>
      </c>
      <c r="H22" s="7" t="s">
        <v>50</v>
      </c>
      <c r="I22" s="7" t="s">
        <v>79</v>
      </c>
      <c r="J22" s="7" t="s">
        <v>240</v>
      </c>
      <c r="K22" s="7" t="s">
        <v>54</v>
      </c>
      <c r="L22" s="7" t="s">
        <v>242</v>
      </c>
      <c r="M22" s="7" t="s">
        <v>212</v>
      </c>
      <c r="N22" s="7" t="s">
        <v>40</v>
      </c>
      <c r="O22" s="7" t="s">
        <v>41</v>
      </c>
      <c r="P22" s="7"/>
      <c r="Q22" s="7"/>
      <c r="R22" s="7"/>
      <c r="S22" s="7" t="s">
        <v>246</v>
      </c>
      <c r="T22" s="7" t="s">
        <v>248</v>
      </c>
      <c r="U22" s="7" t="s">
        <v>250</v>
      </c>
    </row>
    <row r="23" ht="15.75" customHeight="1">
      <c r="A23" s="7" t="s">
        <v>207</v>
      </c>
      <c r="B23" s="7" t="s">
        <v>252</v>
      </c>
      <c r="C23" s="7" t="s">
        <v>47</v>
      </c>
      <c r="D23" s="7" t="s">
        <v>48</v>
      </c>
      <c r="E23" s="7"/>
      <c r="F23" s="7"/>
      <c r="G23" s="7" t="s">
        <v>253</v>
      </c>
      <c r="H23" s="7" t="s">
        <v>159</v>
      </c>
      <c r="I23" s="7" t="s">
        <v>79</v>
      </c>
      <c r="J23" s="7" t="s">
        <v>254</v>
      </c>
      <c r="K23" s="7" t="s">
        <v>54</v>
      </c>
      <c r="L23" s="7" t="s">
        <v>255</v>
      </c>
      <c r="M23" s="7" t="s">
        <v>212</v>
      </c>
      <c r="N23" s="7" t="s">
        <v>40</v>
      </c>
      <c r="O23" s="7" t="s">
        <v>41</v>
      </c>
      <c r="P23" s="7"/>
      <c r="Q23" s="7"/>
      <c r="R23" s="7"/>
      <c r="S23" s="7" t="s">
        <v>256</v>
      </c>
      <c r="T23" s="7" t="s">
        <v>59</v>
      </c>
      <c r="U23" s="7" t="s">
        <v>250</v>
      </c>
    </row>
    <row r="24" ht="15.75" customHeight="1">
      <c r="A24" s="7" t="s">
        <v>207</v>
      </c>
      <c r="B24" s="7" t="s">
        <v>258</v>
      </c>
      <c r="C24" s="7" t="s">
        <v>62</v>
      </c>
      <c r="D24" s="7" t="s">
        <v>259</v>
      </c>
      <c r="E24" s="7" t="s">
        <v>73</v>
      </c>
      <c r="F24" s="7" t="s">
        <v>262</v>
      </c>
      <c r="G24" s="7" t="s">
        <v>158</v>
      </c>
      <c r="H24" s="7" t="s">
        <v>159</v>
      </c>
      <c r="I24" s="7" t="s">
        <v>142</v>
      </c>
      <c r="J24" s="7" t="s">
        <v>264</v>
      </c>
      <c r="K24" s="7" t="s">
        <v>54</v>
      </c>
      <c r="L24" s="7" t="s">
        <v>266</v>
      </c>
      <c r="M24" s="7" t="s">
        <v>212</v>
      </c>
      <c r="N24" s="7" t="s">
        <v>40</v>
      </c>
      <c r="O24" s="7" t="s">
        <v>41</v>
      </c>
      <c r="P24" s="7"/>
      <c r="Q24" s="7"/>
      <c r="R24" s="7"/>
      <c r="S24" s="7" t="s">
        <v>166</v>
      </c>
      <c r="T24" s="7" t="s">
        <v>267</v>
      </c>
      <c r="U24" s="7" t="s">
        <v>268</v>
      </c>
    </row>
    <row r="25" ht="15.75" customHeight="1">
      <c r="A25" s="7" t="s">
        <v>207</v>
      </c>
      <c r="B25" s="7" t="s">
        <v>269</v>
      </c>
      <c r="C25" s="7" t="s">
        <v>62</v>
      </c>
      <c r="D25" s="7" t="s">
        <v>270</v>
      </c>
      <c r="E25" s="7"/>
      <c r="F25" s="7"/>
      <c r="G25" s="7" t="s">
        <v>209</v>
      </c>
      <c r="H25" s="7" t="s">
        <v>33</v>
      </c>
      <c r="I25" s="7" t="s">
        <v>142</v>
      </c>
      <c r="J25" s="7" t="s">
        <v>271</v>
      </c>
      <c r="K25" s="7" t="s">
        <v>247</v>
      </c>
      <c r="L25" s="7" t="s">
        <v>272</v>
      </c>
      <c r="M25" s="7" t="s">
        <v>212</v>
      </c>
      <c r="N25" s="7" t="s">
        <v>40</v>
      </c>
      <c r="O25" s="7" t="s">
        <v>41</v>
      </c>
      <c r="P25" s="7"/>
      <c r="Q25" s="7"/>
      <c r="R25" s="7"/>
      <c r="S25" s="7" t="s">
        <v>215</v>
      </c>
      <c r="T25" s="7" t="s">
        <v>274</v>
      </c>
      <c r="U25" s="7" t="s">
        <v>268</v>
      </c>
    </row>
    <row r="26" ht="15.75" customHeight="1">
      <c r="A26" s="7" t="s">
        <v>207</v>
      </c>
      <c r="B26" s="7" t="s">
        <v>276</v>
      </c>
      <c r="C26" s="7" t="s">
        <v>47</v>
      </c>
      <c r="D26" s="7" t="s">
        <v>100</v>
      </c>
      <c r="E26" s="7"/>
      <c r="F26" s="7"/>
      <c r="G26" s="7" t="s">
        <v>63</v>
      </c>
      <c r="H26" s="7" t="s">
        <v>33</v>
      </c>
      <c r="I26" s="7" t="s">
        <v>142</v>
      </c>
      <c r="J26" s="7" t="s">
        <v>278</v>
      </c>
      <c r="K26" s="7" t="s">
        <v>247</v>
      </c>
      <c r="L26" s="7" t="s">
        <v>279</v>
      </c>
      <c r="M26" s="7" t="s">
        <v>212</v>
      </c>
      <c r="N26" s="7" t="s">
        <v>40</v>
      </c>
      <c r="O26" s="7" t="s">
        <v>41</v>
      </c>
      <c r="P26" s="7"/>
      <c r="Q26" s="7"/>
      <c r="R26" s="7"/>
      <c r="S26" s="7" t="s">
        <v>72</v>
      </c>
      <c r="T26" s="7" t="s">
        <v>106</v>
      </c>
      <c r="U26" s="7"/>
    </row>
    <row r="27" ht="15.75" customHeight="1">
      <c r="A27" s="7" t="s">
        <v>207</v>
      </c>
      <c r="B27" s="7" t="s">
        <v>281</v>
      </c>
      <c r="C27" s="7" t="s">
        <v>47</v>
      </c>
      <c r="D27" s="7" t="s">
        <v>48</v>
      </c>
      <c r="E27" s="7"/>
      <c r="F27" s="7"/>
      <c r="G27" s="7" t="s">
        <v>121</v>
      </c>
      <c r="H27" s="7" t="s">
        <v>121</v>
      </c>
      <c r="I27" s="7" t="s">
        <v>51</v>
      </c>
      <c r="J27" s="7" t="s">
        <v>286</v>
      </c>
      <c r="K27" s="7" t="s">
        <v>54</v>
      </c>
      <c r="L27" s="7" t="s">
        <v>289</v>
      </c>
      <c r="M27" s="7" t="s">
        <v>212</v>
      </c>
      <c r="N27" s="7" t="s">
        <v>40</v>
      </c>
      <c r="O27" s="7" t="s">
        <v>41</v>
      </c>
      <c r="P27" s="7"/>
      <c r="Q27" s="7" t="s">
        <v>121</v>
      </c>
      <c r="R27" s="7"/>
      <c r="S27" s="7" t="s">
        <v>138</v>
      </c>
      <c r="T27" s="7" t="s">
        <v>59</v>
      </c>
      <c r="U27" s="7" t="s">
        <v>294</v>
      </c>
    </row>
    <row r="28" ht="15.75" customHeight="1">
      <c r="A28" s="7" t="s">
        <v>295</v>
      </c>
      <c r="B28" s="7" t="s">
        <v>296</v>
      </c>
      <c r="C28" s="7" t="s">
        <v>57</v>
      </c>
      <c r="D28" s="7" t="s">
        <v>190</v>
      </c>
      <c r="E28" s="7"/>
      <c r="F28" s="7"/>
      <c r="G28" s="7" t="s">
        <v>209</v>
      </c>
      <c r="H28" s="7" t="s">
        <v>33</v>
      </c>
      <c r="I28" s="7" t="s">
        <v>34</v>
      </c>
      <c r="J28" s="7" t="s">
        <v>300</v>
      </c>
      <c r="K28" s="7" t="s">
        <v>37</v>
      </c>
      <c r="L28" s="7" t="s">
        <v>167</v>
      </c>
      <c r="M28" s="7" t="s">
        <v>167</v>
      </c>
      <c r="N28" s="7" t="s">
        <v>40</v>
      </c>
      <c r="O28" s="7" t="s">
        <v>41</v>
      </c>
      <c r="P28" s="7"/>
      <c r="Q28" s="7"/>
      <c r="R28" s="7"/>
      <c r="S28" s="7" t="s">
        <v>215</v>
      </c>
      <c r="T28" s="7" t="s">
        <v>195</v>
      </c>
      <c r="U28" s="7"/>
    </row>
    <row r="29" ht="15.75" customHeight="1">
      <c r="A29" s="7" t="s">
        <v>295</v>
      </c>
      <c r="B29" s="7" t="s">
        <v>306</v>
      </c>
      <c r="C29" s="7" t="s">
        <v>64</v>
      </c>
      <c r="D29" s="7" t="s">
        <v>132</v>
      </c>
      <c r="E29" s="7"/>
      <c r="F29" s="7"/>
      <c r="G29" s="7" t="s">
        <v>101</v>
      </c>
      <c r="H29" s="7" t="s">
        <v>33</v>
      </c>
      <c r="I29" s="7" t="s">
        <v>34</v>
      </c>
      <c r="J29" s="7" t="s">
        <v>311</v>
      </c>
      <c r="K29" s="7" t="s">
        <v>37</v>
      </c>
      <c r="L29" s="7" t="s">
        <v>167</v>
      </c>
      <c r="M29" s="7" t="s">
        <v>167</v>
      </c>
      <c r="N29" s="7" t="s">
        <v>40</v>
      </c>
      <c r="O29" s="7" t="s">
        <v>41</v>
      </c>
      <c r="P29" s="7"/>
      <c r="Q29" s="7"/>
      <c r="R29" s="7"/>
      <c r="S29" s="7" t="s">
        <v>105</v>
      </c>
      <c r="T29" s="7" t="s">
        <v>140</v>
      </c>
      <c r="U29" s="7" t="s">
        <v>141</v>
      </c>
    </row>
    <row r="30" ht="15.75" customHeight="1">
      <c r="A30" s="7" t="s">
        <v>318</v>
      </c>
      <c r="B30" s="7" t="s">
        <v>320</v>
      </c>
      <c r="C30" s="7" t="s">
        <v>47</v>
      </c>
      <c r="D30" s="7" t="s">
        <v>110</v>
      </c>
      <c r="E30" s="7"/>
      <c r="F30" s="7"/>
      <c r="G30" s="7" t="s">
        <v>158</v>
      </c>
      <c r="H30" s="7" t="s">
        <v>159</v>
      </c>
      <c r="I30" s="7" t="s">
        <v>51</v>
      </c>
      <c r="J30" s="7" t="s">
        <v>167</v>
      </c>
      <c r="K30" s="7" t="s">
        <v>54</v>
      </c>
      <c r="L30" s="7" t="s">
        <v>327</v>
      </c>
      <c r="M30" s="7" t="s">
        <v>328</v>
      </c>
      <c r="N30" s="7" t="s">
        <v>40</v>
      </c>
      <c r="O30" s="7" t="s">
        <v>41</v>
      </c>
      <c r="P30" s="7"/>
      <c r="Q30" s="7"/>
      <c r="R30" s="7"/>
      <c r="S30" s="7" t="s">
        <v>166</v>
      </c>
      <c r="T30" s="7" t="s">
        <v>119</v>
      </c>
      <c r="U30" s="7"/>
    </row>
    <row r="31" ht="15.75" customHeight="1">
      <c r="A31" s="7" t="s">
        <v>318</v>
      </c>
      <c r="B31" s="7" t="s">
        <v>330</v>
      </c>
      <c r="C31" s="7" t="s">
        <v>47</v>
      </c>
      <c r="D31" s="7" t="s">
        <v>48</v>
      </c>
      <c r="E31" s="7"/>
      <c r="F31" s="7"/>
      <c r="G31" s="7" t="s">
        <v>209</v>
      </c>
      <c r="H31" s="7" t="s">
        <v>33</v>
      </c>
      <c r="I31" s="7" t="s">
        <v>34</v>
      </c>
      <c r="J31" s="7" t="s">
        <v>336</v>
      </c>
      <c r="K31" s="7" t="s">
        <v>37</v>
      </c>
      <c r="L31" s="7" t="s">
        <v>338</v>
      </c>
      <c r="M31" s="7" t="s">
        <v>340</v>
      </c>
      <c r="N31" s="7" t="s">
        <v>40</v>
      </c>
      <c r="O31" s="7" t="s">
        <v>41</v>
      </c>
      <c r="P31" s="7"/>
      <c r="Q31" s="7"/>
      <c r="R31" s="7"/>
      <c r="S31" s="7" t="s">
        <v>215</v>
      </c>
      <c r="T31" s="7" t="s">
        <v>59</v>
      </c>
      <c r="U31" s="7"/>
    </row>
    <row r="32" ht="15.75" customHeight="1">
      <c r="A32" s="7" t="s">
        <v>318</v>
      </c>
      <c r="B32" s="7" t="s">
        <v>348</v>
      </c>
      <c r="C32" s="7" t="s">
        <v>47</v>
      </c>
      <c r="D32" s="7" t="s">
        <v>48</v>
      </c>
      <c r="E32" s="7"/>
      <c r="F32" s="7"/>
      <c r="G32" s="7" t="s">
        <v>158</v>
      </c>
      <c r="H32" s="7" t="s">
        <v>159</v>
      </c>
      <c r="I32" s="7" t="s">
        <v>34</v>
      </c>
      <c r="J32" s="7" t="s">
        <v>352</v>
      </c>
      <c r="K32" s="7" t="s">
        <v>247</v>
      </c>
      <c r="L32" s="7" t="s">
        <v>354</v>
      </c>
      <c r="M32" s="7" t="s">
        <v>356</v>
      </c>
      <c r="N32" s="7" t="s">
        <v>40</v>
      </c>
      <c r="O32" s="7" t="s">
        <v>41</v>
      </c>
      <c r="P32" s="7"/>
      <c r="Q32" s="7"/>
      <c r="R32" s="7"/>
      <c r="S32" s="7" t="s">
        <v>166</v>
      </c>
      <c r="T32" s="7" t="s">
        <v>59</v>
      </c>
      <c r="U32" s="7" t="s">
        <v>361</v>
      </c>
    </row>
    <row r="33" ht="15.75" customHeight="1">
      <c r="A33" s="7" t="s">
        <v>318</v>
      </c>
      <c r="B33" s="7" t="s">
        <v>363</v>
      </c>
      <c r="C33" s="7" t="s">
        <v>47</v>
      </c>
      <c r="D33" s="7" t="s">
        <v>48</v>
      </c>
      <c r="E33" s="7"/>
      <c r="F33" s="7"/>
      <c r="G33" s="7" t="s">
        <v>261</v>
      </c>
      <c r="H33" s="7" t="s">
        <v>33</v>
      </c>
      <c r="I33" s="7" t="s">
        <v>79</v>
      </c>
      <c r="J33" s="7" t="s">
        <v>167</v>
      </c>
      <c r="K33" s="7" t="s">
        <v>54</v>
      </c>
      <c r="L33" s="7" t="s">
        <v>368</v>
      </c>
      <c r="M33" s="7" t="s">
        <v>369</v>
      </c>
      <c r="N33" s="7" t="s">
        <v>40</v>
      </c>
      <c r="O33" s="7" t="s">
        <v>41</v>
      </c>
      <c r="P33" s="7"/>
      <c r="Q33" s="7"/>
      <c r="R33" s="7"/>
      <c r="S33" s="7" t="s">
        <v>260</v>
      </c>
      <c r="T33" s="7" t="s">
        <v>59</v>
      </c>
      <c r="U33" s="7"/>
    </row>
    <row r="34" ht="15.75" customHeight="1">
      <c r="A34" s="7" t="s">
        <v>318</v>
      </c>
      <c r="B34" s="7" t="s">
        <v>375</v>
      </c>
      <c r="C34" s="7" t="s">
        <v>47</v>
      </c>
      <c r="D34" s="7" t="s">
        <v>48</v>
      </c>
      <c r="E34" s="7"/>
      <c r="F34" s="7"/>
      <c r="G34" s="7" t="s">
        <v>209</v>
      </c>
      <c r="H34" s="7" t="s">
        <v>33</v>
      </c>
      <c r="I34" s="7" t="s">
        <v>79</v>
      </c>
      <c r="J34" s="7" t="s">
        <v>378</v>
      </c>
      <c r="K34" s="7" t="s">
        <v>54</v>
      </c>
      <c r="L34" s="7" t="s">
        <v>381</v>
      </c>
      <c r="M34" s="7" t="s">
        <v>383</v>
      </c>
      <c r="N34" s="7" t="s">
        <v>40</v>
      </c>
      <c r="O34" s="7" t="s">
        <v>41</v>
      </c>
      <c r="P34" s="7"/>
      <c r="Q34" s="7"/>
      <c r="R34" s="7"/>
      <c r="S34" s="7" t="s">
        <v>215</v>
      </c>
      <c r="T34" s="7" t="s">
        <v>59</v>
      </c>
      <c r="U34" s="7"/>
    </row>
    <row r="35" ht="15.75" customHeight="1">
      <c r="A35" s="7" t="s">
        <v>318</v>
      </c>
      <c r="B35" s="7" t="s">
        <v>388</v>
      </c>
      <c r="C35" s="7" t="s">
        <v>47</v>
      </c>
      <c r="D35" s="7" t="s">
        <v>110</v>
      </c>
      <c r="E35" s="7"/>
      <c r="F35" s="7"/>
      <c r="G35" s="7" t="s">
        <v>209</v>
      </c>
      <c r="H35" s="7" t="s">
        <v>33</v>
      </c>
      <c r="I35" s="7" t="s">
        <v>79</v>
      </c>
      <c r="J35" s="7" t="s">
        <v>167</v>
      </c>
      <c r="K35" s="7" t="s">
        <v>54</v>
      </c>
      <c r="L35" s="7" t="s">
        <v>393</v>
      </c>
      <c r="M35" s="7" t="s">
        <v>397</v>
      </c>
      <c r="N35" s="7" t="s">
        <v>40</v>
      </c>
      <c r="O35" s="7" t="s">
        <v>41</v>
      </c>
      <c r="P35" s="7"/>
      <c r="Q35" s="7"/>
      <c r="R35" s="7"/>
      <c r="S35" s="7" t="s">
        <v>215</v>
      </c>
      <c r="T35" s="7" t="s">
        <v>119</v>
      </c>
      <c r="U35" s="7"/>
    </row>
    <row r="36" ht="15.75" customHeight="1">
      <c r="A36" s="7" t="s">
        <v>318</v>
      </c>
      <c r="B36" s="7" t="s">
        <v>401</v>
      </c>
      <c r="C36" s="7" t="s">
        <v>30</v>
      </c>
      <c r="D36" s="7" t="s">
        <v>156</v>
      </c>
      <c r="E36" s="7"/>
      <c r="F36" s="7"/>
      <c r="G36" s="7" t="s">
        <v>239</v>
      </c>
      <c r="H36" s="7" t="s">
        <v>50</v>
      </c>
      <c r="I36" s="7" t="s">
        <v>79</v>
      </c>
      <c r="J36" s="7" t="s">
        <v>167</v>
      </c>
      <c r="K36" s="7" t="s">
        <v>54</v>
      </c>
      <c r="L36" s="7" t="s">
        <v>408</v>
      </c>
      <c r="M36" s="7" t="s">
        <v>397</v>
      </c>
      <c r="N36" s="7" t="s">
        <v>40</v>
      </c>
      <c r="O36" s="7" t="s">
        <v>41</v>
      </c>
      <c r="P36" s="7"/>
      <c r="Q36" s="7"/>
      <c r="R36" s="7"/>
      <c r="S36" s="7" t="s">
        <v>246</v>
      </c>
      <c r="T36" s="7" t="s">
        <v>168</v>
      </c>
      <c r="U36" s="7"/>
    </row>
    <row r="37" ht="15.75" customHeight="1">
      <c r="A37" s="7" t="s">
        <v>318</v>
      </c>
      <c r="B37" s="7" t="s">
        <v>412</v>
      </c>
      <c r="C37" s="7" t="s">
        <v>47</v>
      </c>
      <c r="D37" s="7" t="s">
        <v>100</v>
      </c>
      <c r="E37" s="7"/>
      <c r="F37" s="7"/>
      <c r="G37" s="7" t="s">
        <v>415</v>
      </c>
      <c r="H37" s="7" t="s">
        <v>85</v>
      </c>
      <c r="I37" s="7" t="s">
        <v>79</v>
      </c>
      <c r="J37" s="7" t="s">
        <v>167</v>
      </c>
      <c r="K37" s="7" t="s">
        <v>54</v>
      </c>
      <c r="L37" s="7" t="s">
        <v>416</v>
      </c>
      <c r="M37" s="7" t="s">
        <v>417</v>
      </c>
      <c r="N37" s="7" t="s">
        <v>40</v>
      </c>
      <c r="O37" s="7" t="s">
        <v>41</v>
      </c>
      <c r="P37" s="7"/>
      <c r="Q37" s="7"/>
      <c r="R37" s="7"/>
      <c r="S37" s="7" t="s">
        <v>421</v>
      </c>
      <c r="T37" s="7" t="s">
        <v>106</v>
      </c>
      <c r="U37" s="7"/>
    </row>
    <row r="38" ht="15.75" customHeight="1">
      <c r="A38" s="7" t="s">
        <v>318</v>
      </c>
      <c r="B38" s="7" t="s">
        <v>425</v>
      </c>
      <c r="C38" s="7" t="s">
        <v>47</v>
      </c>
      <c r="D38" s="7" t="s">
        <v>48</v>
      </c>
      <c r="E38" s="7"/>
      <c r="F38" s="7"/>
      <c r="G38" s="7" t="s">
        <v>63</v>
      </c>
      <c r="H38" s="7" t="s">
        <v>33</v>
      </c>
      <c r="I38" s="7" t="s">
        <v>79</v>
      </c>
      <c r="J38" s="7" t="s">
        <v>167</v>
      </c>
      <c r="K38" s="7" t="s">
        <v>54</v>
      </c>
      <c r="L38" s="7" t="s">
        <v>431</v>
      </c>
      <c r="M38" s="7" t="s">
        <v>433</v>
      </c>
      <c r="N38" s="7" t="s">
        <v>40</v>
      </c>
      <c r="O38" s="7" t="s">
        <v>41</v>
      </c>
      <c r="P38" s="7"/>
      <c r="Q38" s="7"/>
      <c r="R38" s="7"/>
      <c r="S38" s="7" t="s">
        <v>72</v>
      </c>
      <c r="T38" s="7" t="s">
        <v>59</v>
      </c>
      <c r="U38" s="7"/>
    </row>
    <row r="39" ht="15.75" customHeight="1">
      <c r="A39" s="7" t="s">
        <v>318</v>
      </c>
      <c r="B39" s="7" t="s">
        <v>438</v>
      </c>
      <c r="C39" s="7" t="s">
        <v>47</v>
      </c>
      <c r="D39" s="7" t="s">
        <v>48</v>
      </c>
      <c r="E39" s="7"/>
      <c r="F39" s="7"/>
      <c r="G39" s="7" t="s">
        <v>441</v>
      </c>
      <c r="H39" s="7" t="s">
        <v>159</v>
      </c>
      <c r="I39" s="7" t="s">
        <v>79</v>
      </c>
      <c r="J39" s="7" t="s">
        <v>167</v>
      </c>
      <c r="K39" s="7" t="s">
        <v>54</v>
      </c>
      <c r="L39" s="7" t="s">
        <v>447</v>
      </c>
      <c r="M39" s="7" t="s">
        <v>449</v>
      </c>
      <c r="N39" s="7" t="s">
        <v>40</v>
      </c>
      <c r="O39" s="7" t="s">
        <v>41</v>
      </c>
      <c r="P39" s="7"/>
      <c r="Q39" s="7"/>
      <c r="R39" s="7"/>
      <c r="S39" s="7" t="s">
        <v>453</v>
      </c>
      <c r="T39" s="7" t="s">
        <v>59</v>
      </c>
      <c r="U39" s="7"/>
    </row>
    <row r="40" ht="15.75" customHeight="1">
      <c r="A40" s="7" t="s">
        <v>318</v>
      </c>
      <c r="B40" s="7" t="s">
        <v>455</v>
      </c>
      <c r="C40" s="7" t="s">
        <v>47</v>
      </c>
      <c r="D40" s="7" t="s">
        <v>121</v>
      </c>
      <c r="E40" s="7"/>
      <c r="F40" s="7"/>
      <c r="G40" s="7" t="s">
        <v>112</v>
      </c>
      <c r="H40" s="7" t="s">
        <v>33</v>
      </c>
      <c r="I40" s="7" t="s">
        <v>34</v>
      </c>
      <c r="J40" s="7" t="s">
        <v>458</v>
      </c>
      <c r="K40" s="7" t="s">
        <v>247</v>
      </c>
      <c r="L40" s="7" t="s">
        <v>459</v>
      </c>
      <c r="M40" s="7" t="s">
        <v>460</v>
      </c>
      <c r="N40" s="7" t="s">
        <v>40</v>
      </c>
      <c r="O40" s="7" t="s">
        <v>41</v>
      </c>
      <c r="P40" s="7"/>
      <c r="Q40" s="7"/>
      <c r="R40" s="7"/>
      <c r="S40" s="7" t="s">
        <v>118</v>
      </c>
      <c r="T40" s="7" t="s">
        <v>127</v>
      </c>
      <c r="U40" s="7" t="s">
        <v>462</v>
      </c>
    </row>
    <row r="41" ht="15.75" customHeight="1">
      <c r="A41" s="7" t="s">
        <v>318</v>
      </c>
      <c r="B41" s="7" t="s">
        <v>464</v>
      </c>
      <c r="C41" s="7" t="s">
        <v>47</v>
      </c>
      <c r="D41" s="7" t="s">
        <v>48</v>
      </c>
      <c r="E41" s="7"/>
      <c r="F41" s="7"/>
      <c r="G41" s="7" t="s">
        <v>466</v>
      </c>
      <c r="H41" s="7" t="s">
        <v>50</v>
      </c>
      <c r="I41" s="7" t="s">
        <v>51</v>
      </c>
      <c r="J41" s="7" t="s">
        <v>468</v>
      </c>
      <c r="K41" s="7" t="s">
        <v>54</v>
      </c>
      <c r="L41" s="7" t="s">
        <v>469</v>
      </c>
      <c r="M41" s="7" t="s">
        <v>470</v>
      </c>
      <c r="N41" s="7" t="s">
        <v>40</v>
      </c>
      <c r="O41" s="7" t="s">
        <v>41</v>
      </c>
      <c r="P41" s="7"/>
      <c r="Q41" s="7"/>
      <c r="R41" s="7"/>
      <c r="S41" s="7" t="s">
        <v>471</v>
      </c>
      <c r="T41" s="7" t="s">
        <v>59</v>
      </c>
      <c r="U41" s="7"/>
    </row>
    <row r="42" ht="15.75" customHeight="1">
      <c r="A42" s="7" t="s">
        <v>318</v>
      </c>
      <c r="B42" s="7" t="s">
        <v>473</v>
      </c>
      <c r="C42" s="7" t="s">
        <v>47</v>
      </c>
      <c r="D42" s="7" t="s">
        <v>48</v>
      </c>
      <c r="E42" s="7"/>
      <c r="F42" s="7"/>
      <c r="G42" s="7" t="s">
        <v>63</v>
      </c>
      <c r="H42" s="7" t="s">
        <v>33</v>
      </c>
      <c r="I42" s="7" t="s">
        <v>34</v>
      </c>
      <c r="J42" s="7" t="s">
        <v>475</v>
      </c>
      <c r="K42" s="7" t="s">
        <v>37</v>
      </c>
      <c r="L42" s="7" t="s">
        <v>476</v>
      </c>
      <c r="M42" s="7" t="s">
        <v>477</v>
      </c>
      <c r="N42" s="7" t="s">
        <v>40</v>
      </c>
      <c r="O42" s="7" t="s">
        <v>41</v>
      </c>
      <c r="P42" s="7"/>
      <c r="Q42" s="7"/>
      <c r="R42" s="7"/>
      <c r="S42" s="7" t="s">
        <v>72</v>
      </c>
      <c r="T42" s="7" t="s">
        <v>59</v>
      </c>
      <c r="U42" s="7"/>
    </row>
    <row r="43" ht="15.75" customHeight="1">
      <c r="A43" s="7" t="s">
        <v>318</v>
      </c>
      <c r="B43" s="7" t="s">
        <v>478</v>
      </c>
      <c r="C43" s="7" t="s">
        <v>47</v>
      </c>
      <c r="D43" s="7" t="s">
        <v>48</v>
      </c>
      <c r="E43" s="7"/>
      <c r="F43" s="7"/>
      <c r="G43" s="7" t="s">
        <v>63</v>
      </c>
      <c r="H43" s="7" t="s">
        <v>33</v>
      </c>
      <c r="I43" s="7" t="s">
        <v>34</v>
      </c>
      <c r="J43" s="7" t="s">
        <v>480</v>
      </c>
      <c r="K43" s="7" t="s">
        <v>247</v>
      </c>
      <c r="L43" s="7" t="s">
        <v>481</v>
      </c>
      <c r="M43" s="7" t="s">
        <v>482</v>
      </c>
      <c r="N43" s="7" t="s">
        <v>40</v>
      </c>
      <c r="O43" s="7" t="s">
        <v>41</v>
      </c>
      <c r="P43" s="7"/>
      <c r="Q43" s="7"/>
      <c r="R43" s="7"/>
      <c r="S43" s="7" t="s">
        <v>72</v>
      </c>
      <c r="T43" s="7" t="s">
        <v>59</v>
      </c>
      <c r="U43" s="7"/>
    </row>
    <row r="44" ht="15.75" customHeight="1">
      <c r="A44" s="7" t="s">
        <v>485</v>
      </c>
      <c r="B44" s="7" t="s">
        <v>486</v>
      </c>
      <c r="C44" s="7" t="s">
        <v>30</v>
      </c>
      <c r="D44" s="7" t="s">
        <v>121</v>
      </c>
      <c r="E44" s="7"/>
      <c r="F44" s="7"/>
      <c r="G44" s="7" t="s">
        <v>32</v>
      </c>
      <c r="H44" s="7" t="s">
        <v>33</v>
      </c>
      <c r="I44" s="7" t="s">
        <v>142</v>
      </c>
      <c r="J44" s="7" t="s">
        <v>167</v>
      </c>
      <c r="K44" s="7" t="s">
        <v>54</v>
      </c>
      <c r="L44" s="7" t="s">
        <v>487</v>
      </c>
      <c r="M44" s="7" t="s">
        <v>489</v>
      </c>
      <c r="N44" s="7" t="s">
        <v>40</v>
      </c>
      <c r="O44" s="7" t="s">
        <v>41</v>
      </c>
      <c r="P44" s="7"/>
      <c r="Q44" s="7"/>
      <c r="R44" s="7"/>
      <c r="S44" s="7" t="s">
        <v>42</v>
      </c>
      <c r="T44" s="7" t="s">
        <v>490</v>
      </c>
      <c r="U44" s="7"/>
    </row>
    <row r="45" ht="15.75" customHeight="1">
      <c r="A45" s="7" t="s">
        <v>485</v>
      </c>
      <c r="B45" s="7" t="s">
        <v>491</v>
      </c>
      <c r="C45" s="7" t="s">
        <v>73</v>
      </c>
      <c r="D45" s="7" t="s">
        <v>396</v>
      </c>
      <c r="E45" s="7"/>
      <c r="F45" s="7"/>
      <c r="G45" s="7" t="s">
        <v>243</v>
      </c>
      <c r="H45" s="7" t="s">
        <v>232</v>
      </c>
      <c r="I45" s="7" t="s">
        <v>79</v>
      </c>
      <c r="J45" s="7" t="s">
        <v>167</v>
      </c>
      <c r="K45" s="7" t="s">
        <v>54</v>
      </c>
      <c r="L45" s="7" t="s">
        <v>494</v>
      </c>
      <c r="M45" s="7" t="s">
        <v>495</v>
      </c>
      <c r="N45" s="7" t="s">
        <v>40</v>
      </c>
      <c r="O45" s="7" t="s">
        <v>41</v>
      </c>
      <c r="P45" s="7"/>
      <c r="Q45" s="7"/>
      <c r="R45" s="7"/>
      <c r="S45" s="7" t="s">
        <v>241</v>
      </c>
      <c r="T45" s="7" t="s">
        <v>496</v>
      </c>
      <c r="U45" s="7"/>
    </row>
    <row r="46" ht="15.75" customHeight="1">
      <c r="A46" s="7" t="s">
        <v>485</v>
      </c>
      <c r="B46" s="7" t="s">
        <v>497</v>
      </c>
      <c r="C46" s="7" t="s">
        <v>47</v>
      </c>
      <c r="D46" s="7" t="s">
        <v>121</v>
      </c>
      <c r="E46" s="7"/>
      <c r="F46" s="7"/>
      <c r="G46" s="7" t="s">
        <v>121</v>
      </c>
      <c r="H46" s="7" t="s">
        <v>121</v>
      </c>
      <c r="I46" s="7" t="s">
        <v>142</v>
      </c>
      <c r="J46" s="7" t="s">
        <v>499</v>
      </c>
      <c r="K46" s="7" t="s">
        <v>162</v>
      </c>
      <c r="L46" s="7" t="s">
        <v>500</v>
      </c>
      <c r="M46" s="7" t="s">
        <v>502</v>
      </c>
      <c r="N46" s="7" t="s">
        <v>40</v>
      </c>
      <c r="O46" s="7" t="s">
        <v>41</v>
      </c>
      <c r="P46" s="7"/>
      <c r="Q46" s="7" t="s">
        <v>121</v>
      </c>
      <c r="R46" s="7"/>
      <c r="S46" s="7" t="s">
        <v>138</v>
      </c>
      <c r="T46" s="7" t="s">
        <v>127</v>
      </c>
      <c r="U46" s="7"/>
    </row>
    <row r="47" ht="15.75" customHeight="1">
      <c r="A47" s="7" t="s">
        <v>504</v>
      </c>
      <c r="B47" s="7" t="s">
        <v>505</v>
      </c>
      <c r="C47" s="7" t="s">
        <v>47</v>
      </c>
      <c r="D47" s="7" t="s">
        <v>48</v>
      </c>
      <c r="E47" s="7" t="s">
        <v>57</v>
      </c>
      <c r="F47" s="7" t="s">
        <v>190</v>
      </c>
      <c r="G47" s="7" t="s">
        <v>466</v>
      </c>
      <c r="H47" s="7" t="s">
        <v>50</v>
      </c>
      <c r="I47" s="7" t="s">
        <v>34</v>
      </c>
      <c r="J47" s="7" t="s">
        <v>508</v>
      </c>
      <c r="K47" s="7" t="s">
        <v>162</v>
      </c>
      <c r="L47" s="7" t="s">
        <v>510</v>
      </c>
      <c r="M47" s="7" t="s">
        <v>511</v>
      </c>
      <c r="N47" s="7" t="s">
        <v>40</v>
      </c>
      <c r="O47" s="7" t="s">
        <v>41</v>
      </c>
      <c r="P47" s="7"/>
      <c r="Q47" s="7"/>
      <c r="R47" s="7"/>
      <c r="S47" s="7" t="s">
        <v>471</v>
      </c>
      <c r="T47" s="7" t="s">
        <v>59</v>
      </c>
      <c r="U47" s="7" t="s">
        <v>107</v>
      </c>
    </row>
    <row r="48" ht="15.75" customHeight="1">
      <c r="A48" s="7" t="s">
        <v>504</v>
      </c>
      <c r="B48" s="7" t="s">
        <v>513</v>
      </c>
      <c r="C48" s="7" t="s">
        <v>47</v>
      </c>
      <c r="D48" s="7" t="s">
        <v>48</v>
      </c>
      <c r="E48" s="7"/>
      <c r="F48" s="7"/>
      <c r="G48" s="7" t="s">
        <v>63</v>
      </c>
      <c r="H48" s="7" t="s">
        <v>33</v>
      </c>
      <c r="I48" s="7" t="s">
        <v>34</v>
      </c>
      <c r="J48" s="7" t="s">
        <v>516</v>
      </c>
      <c r="K48" s="7" t="s">
        <v>37</v>
      </c>
      <c r="L48" s="7" t="s">
        <v>517</v>
      </c>
      <c r="M48" s="7" t="s">
        <v>518</v>
      </c>
      <c r="N48" s="7" t="s">
        <v>40</v>
      </c>
      <c r="O48" s="7" t="s">
        <v>41</v>
      </c>
      <c r="P48" s="7"/>
      <c r="Q48" s="7"/>
      <c r="R48" s="7"/>
      <c r="S48" s="7" t="s">
        <v>72</v>
      </c>
      <c r="T48" s="7" t="s">
        <v>59</v>
      </c>
      <c r="U48" s="7"/>
    </row>
    <row r="49" ht="15.75" customHeight="1">
      <c r="A49" s="7" t="s">
        <v>504</v>
      </c>
      <c r="B49" s="7" t="s">
        <v>520</v>
      </c>
      <c r="C49" s="7" t="s">
        <v>47</v>
      </c>
      <c r="D49" s="7" t="s">
        <v>48</v>
      </c>
      <c r="E49" s="7" t="s">
        <v>30</v>
      </c>
      <c r="F49" s="7" t="s">
        <v>228</v>
      </c>
      <c r="G49" s="7" t="s">
        <v>307</v>
      </c>
      <c r="H49" s="7" t="s">
        <v>232</v>
      </c>
      <c r="I49" s="7" t="s">
        <v>34</v>
      </c>
      <c r="J49" s="7" t="s">
        <v>522</v>
      </c>
      <c r="K49" s="7" t="s">
        <v>37</v>
      </c>
      <c r="L49" s="7" t="s">
        <v>525</v>
      </c>
      <c r="M49" s="7" t="s">
        <v>526</v>
      </c>
      <c r="N49" s="7" t="s">
        <v>40</v>
      </c>
      <c r="O49" s="7" t="s">
        <v>41</v>
      </c>
      <c r="P49" s="7"/>
      <c r="Q49" s="7"/>
      <c r="R49" s="7"/>
      <c r="S49" s="7" t="s">
        <v>304</v>
      </c>
      <c r="T49" s="7" t="s">
        <v>59</v>
      </c>
      <c r="U49" s="7"/>
    </row>
    <row r="50" ht="15.75" customHeight="1">
      <c r="A50" s="7" t="s">
        <v>504</v>
      </c>
      <c r="B50" s="7" t="s">
        <v>529</v>
      </c>
      <c r="C50" s="7" t="s">
        <v>62</v>
      </c>
      <c r="D50" s="7" t="s">
        <v>238</v>
      </c>
      <c r="E50" s="7"/>
      <c r="F50" s="7"/>
      <c r="G50" s="7" t="s">
        <v>49</v>
      </c>
      <c r="H50" s="7" t="s">
        <v>50</v>
      </c>
      <c r="I50" s="7" t="s">
        <v>34</v>
      </c>
      <c r="J50" s="7" t="s">
        <v>532</v>
      </c>
      <c r="K50" s="7" t="s">
        <v>162</v>
      </c>
      <c r="L50" s="7" t="s">
        <v>533</v>
      </c>
      <c r="M50" s="7" t="s">
        <v>534</v>
      </c>
      <c r="N50" s="7" t="s">
        <v>40</v>
      </c>
      <c r="O50" s="7" t="s">
        <v>41</v>
      </c>
      <c r="P50" s="7"/>
      <c r="Q50" s="7"/>
      <c r="R50" s="7"/>
      <c r="S50" s="7" t="s">
        <v>58</v>
      </c>
      <c r="T50" s="7" t="s">
        <v>538</v>
      </c>
      <c r="U50" s="7"/>
    </row>
    <row r="51" ht="15.75" customHeight="1">
      <c r="A51" s="7" t="s">
        <v>504</v>
      </c>
      <c r="B51" s="7" t="s">
        <v>539</v>
      </c>
      <c r="C51" s="7" t="s">
        <v>47</v>
      </c>
      <c r="D51" s="7" t="s">
        <v>48</v>
      </c>
      <c r="E51" s="7"/>
      <c r="F51" s="7"/>
      <c r="G51" s="7" t="s">
        <v>542</v>
      </c>
      <c r="H51" s="7" t="s">
        <v>85</v>
      </c>
      <c r="I51" s="7" t="s">
        <v>34</v>
      </c>
      <c r="J51" s="7" t="s">
        <v>543</v>
      </c>
      <c r="K51" s="7" t="s">
        <v>37</v>
      </c>
      <c r="L51" s="7" t="s">
        <v>544</v>
      </c>
      <c r="M51" s="7" t="s">
        <v>545</v>
      </c>
      <c r="N51" s="7" t="s">
        <v>40</v>
      </c>
      <c r="O51" s="7" t="s">
        <v>41</v>
      </c>
      <c r="P51" s="7"/>
      <c r="Q51" s="7"/>
      <c r="R51" s="7"/>
      <c r="S51" s="7" t="s">
        <v>547</v>
      </c>
      <c r="T51" s="7" t="s">
        <v>59</v>
      </c>
      <c r="U51" s="7"/>
    </row>
    <row r="52" ht="15.75" customHeight="1">
      <c r="A52" s="7" t="s">
        <v>504</v>
      </c>
      <c r="B52" s="7" t="s">
        <v>548</v>
      </c>
      <c r="C52" s="7" t="s">
        <v>47</v>
      </c>
      <c r="D52" s="7" t="s">
        <v>110</v>
      </c>
      <c r="E52" s="7"/>
      <c r="F52" s="7"/>
      <c r="G52" s="7" t="s">
        <v>550</v>
      </c>
      <c r="H52" s="7" t="s">
        <v>33</v>
      </c>
      <c r="I52" s="7" t="s">
        <v>34</v>
      </c>
      <c r="J52" s="7" t="s">
        <v>553</v>
      </c>
      <c r="K52" s="7" t="s">
        <v>37</v>
      </c>
      <c r="L52" s="7" t="s">
        <v>554</v>
      </c>
      <c r="M52" s="7" t="s">
        <v>555</v>
      </c>
      <c r="N52" s="7" t="s">
        <v>40</v>
      </c>
      <c r="O52" s="7" t="s">
        <v>41</v>
      </c>
      <c r="P52" s="7"/>
      <c r="Q52" s="7"/>
      <c r="R52" s="7"/>
      <c r="S52" s="7" t="s">
        <v>556</v>
      </c>
      <c r="T52" s="7" t="s">
        <v>119</v>
      </c>
      <c r="U52" s="7" t="s">
        <v>557</v>
      </c>
    </row>
    <row r="53" ht="15.75" customHeight="1">
      <c r="A53" s="7" t="s">
        <v>504</v>
      </c>
      <c r="B53" s="7" t="s">
        <v>558</v>
      </c>
      <c r="C53" s="7" t="s">
        <v>47</v>
      </c>
      <c r="D53" s="7" t="s">
        <v>110</v>
      </c>
      <c r="E53" s="7" t="s">
        <v>30</v>
      </c>
      <c r="F53" s="7" t="s">
        <v>31</v>
      </c>
      <c r="G53" s="7" t="s">
        <v>261</v>
      </c>
      <c r="H53" s="7" t="s">
        <v>33</v>
      </c>
      <c r="I53" s="7" t="s">
        <v>34</v>
      </c>
      <c r="J53" s="7" t="s">
        <v>560</v>
      </c>
      <c r="K53" s="7" t="s">
        <v>37</v>
      </c>
      <c r="L53" s="7" t="s">
        <v>561</v>
      </c>
      <c r="M53" s="7" t="s">
        <v>562</v>
      </c>
      <c r="N53" s="7" t="s">
        <v>40</v>
      </c>
      <c r="O53" s="7" t="s">
        <v>41</v>
      </c>
      <c r="P53" s="7"/>
      <c r="Q53" s="7"/>
      <c r="R53" s="7"/>
      <c r="S53" s="7" t="s">
        <v>260</v>
      </c>
      <c r="T53" s="7" t="s">
        <v>119</v>
      </c>
      <c r="U53" s="7"/>
    </row>
    <row r="54" ht="15.75" customHeight="1">
      <c r="A54" s="7" t="s">
        <v>504</v>
      </c>
      <c r="B54" s="7" t="s">
        <v>565</v>
      </c>
      <c r="C54" s="7" t="s">
        <v>47</v>
      </c>
      <c r="D54" s="7" t="s">
        <v>110</v>
      </c>
      <c r="E54" s="7" t="s">
        <v>30</v>
      </c>
      <c r="F54" s="7" t="s">
        <v>31</v>
      </c>
      <c r="G54" s="7" t="s">
        <v>261</v>
      </c>
      <c r="H54" s="7" t="s">
        <v>33</v>
      </c>
      <c r="I54" s="7" t="s">
        <v>34</v>
      </c>
      <c r="J54" s="7" t="s">
        <v>566</v>
      </c>
      <c r="K54" s="7" t="s">
        <v>162</v>
      </c>
      <c r="L54" s="7" t="s">
        <v>567</v>
      </c>
      <c r="M54" s="7" t="s">
        <v>568</v>
      </c>
      <c r="N54" s="7" t="s">
        <v>40</v>
      </c>
      <c r="O54" s="7" t="s">
        <v>41</v>
      </c>
      <c r="P54" s="7"/>
      <c r="Q54" s="7"/>
      <c r="R54" s="7"/>
      <c r="S54" s="7" t="s">
        <v>260</v>
      </c>
      <c r="T54" s="7" t="s">
        <v>119</v>
      </c>
      <c r="U54" s="7" t="s">
        <v>570</v>
      </c>
    </row>
    <row r="55" ht="15.75" customHeight="1">
      <c r="A55" s="7" t="s">
        <v>504</v>
      </c>
      <c r="B55" s="7" t="s">
        <v>571</v>
      </c>
      <c r="C55" s="7" t="s">
        <v>47</v>
      </c>
      <c r="D55" s="7" t="s">
        <v>48</v>
      </c>
      <c r="E55" s="7"/>
      <c r="F55" s="7"/>
      <c r="G55" s="7" t="s">
        <v>63</v>
      </c>
      <c r="H55" s="7" t="s">
        <v>33</v>
      </c>
      <c r="I55" s="7" t="s">
        <v>34</v>
      </c>
      <c r="J55" s="7" t="s">
        <v>572</v>
      </c>
      <c r="K55" s="7" t="s">
        <v>162</v>
      </c>
      <c r="L55" s="7" t="s">
        <v>574</v>
      </c>
      <c r="M55" s="7" t="s">
        <v>576</v>
      </c>
      <c r="N55" s="7" t="s">
        <v>40</v>
      </c>
      <c r="O55" s="7" t="s">
        <v>41</v>
      </c>
      <c r="P55" s="7"/>
      <c r="Q55" s="7"/>
      <c r="R55" s="7"/>
      <c r="S55" s="7" t="s">
        <v>72</v>
      </c>
      <c r="T55" s="7" t="s">
        <v>59</v>
      </c>
      <c r="U55" s="7"/>
    </row>
    <row r="56" ht="15.75" customHeight="1">
      <c r="A56" s="7" t="s">
        <v>504</v>
      </c>
      <c r="B56" s="7" t="s">
        <v>578</v>
      </c>
      <c r="C56" s="7" t="s">
        <v>73</v>
      </c>
      <c r="D56" s="7" t="s">
        <v>262</v>
      </c>
      <c r="E56" s="7"/>
      <c r="F56" s="7"/>
      <c r="G56" s="7" t="s">
        <v>441</v>
      </c>
      <c r="H56" s="7" t="s">
        <v>159</v>
      </c>
      <c r="I56" s="7" t="s">
        <v>34</v>
      </c>
      <c r="J56" s="7" t="s">
        <v>579</v>
      </c>
      <c r="K56" s="7" t="s">
        <v>37</v>
      </c>
      <c r="L56" s="7" t="s">
        <v>580</v>
      </c>
      <c r="M56" s="7" t="s">
        <v>582</v>
      </c>
      <c r="N56" s="7" t="s">
        <v>40</v>
      </c>
      <c r="O56" s="7" t="s">
        <v>41</v>
      </c>
      <c r="P56" s="7"/>
      <c r="Q56" s="7"/>
      <c r="R56" s="7"/>
      <c r="S56" s="7" t="s">
        <v>453</v>
      </c>
      <c r="T56" s="7" t="s">
        <v>583</v>
      </c>
      <c r="U56" s="7"/>
    </row>
    <row r="57" ht="15.75" customHeight="1">
      <c r="A57" s="7" t="s">
        <v>504</v>
      </c>
      <c r="B57" s="7" t="s">
        <v>587</v>
      </c>
      <c r="C57" s="7" t="s">
        <v>47</v>
      </c>
      <c r="D57" s="7" t="s">
        <v>48</v>
      </c>
      <c r="E57" s="7"/>
      <c r="F57" s="7"/>
      <c r="G57" s="7" t="s">
        <v>89</v>
      </c>
      <c r="H57" s="7" t="s">
        <v>50</v>
      </c>
      <c r="I57" s="7" t="s">
        <v>79</v>
      </c>
      <c r="J57" s="7" t="s">
        <v>589</v>
      </c>
      <c r="K57" s="7" t="s">
        <v>167</v>
      </c>
      <c r="L57" s="7" t="s">
        <v>590</v>
      </c>
      <c r="M57" s="7" t="s">
        <v>591</v>
      </c>
      <c r="N57" s="7" t="s">
        <v>40</v>
      </c>
      <c r="O57" s="7" t="s">
        <v>41</v>
      </c>
      <c r="P57" s="7"/>
      <c r="Q57" s="7"/>
      <c r="R57" s="7"/>
      <c r="S57" s="7" t="s">
        <v>96</v>
      </c>
      <c r="T57" s="7" t="s">
        <v>59</v>
      </c>
      <c r="U57" s="7" t="s">
        <v>593</v>
      </c>
    </row>
    <row r="58" ht="15.75" customHeight="1">
      <c r="A58" s="7" t="s">
        <v>594</v>
      </c>
      <c r="B58" s="7" t="s">
        <v>595</v>
      </c>
      <c r="C58" s="7" t="s">
        <v>47</v>
      </c>
      <c r="D58" s="7" t="s">
        <v>329</v>
      </c>
      <c r="E58" s="7"/>
      <c r="F58" s="7"/>
      <c r="G58" s="7" t="s">
        <v>261</v>
      </c>
      <c r="H58" s="7" t="s">
        <v>33</v>
      </c>
      <c r="I58" s="7" t="s">
        <v>34</v>
      </c>
      <c r="J58" s="7" t="s">
        <v>597</v>
      </c>
      <c r="K58" s="7" t="s">
        <v>37</v>
      </c>
      <c r="L58" s="7" t="s">
        <v>599</v>
      </c>
      <c r="M58" s="7" t="s">
        <v>600</v>
      </c>
      <c r="N58" s="7" t="s">
        <v>40</v>
      </c>
      <c r="O58" s="7" t="s">
        <v>41</v>
      </c>
      <c r="P58" s="7"/>
      <c r="Q58" s="7"/>
      <c r="R58" s="7"/>
      <c r="S58" s="7" t="s">
        <v>260</v>
      </c>
      <c r="T58" s="7" t="s">
        <v>540</v>
      </c>
      <c r="U58" s="7"/>
    </row>
    <row r="59" ht="15.75" customHeight="1">
      <c r="A59" s="7" t="s">
        <v>594</v>
      </c>
      <c r="B59" s="7" t="s">
        <v>601</v>
      </c>
      <c r="C59" s="7" t="s">
        <v>47</v>
      </c>
      <c r="D59" s="7" t="s">
        <v>329</v>
      </c>
      <c r="E59" s="7" t="s">
        <v>64</v>
      </c>
      <c r="F59" s="7" t="s">
        <v>132</v>
      </c>
      <c r="G59" s="7" t="s">
        <v>253</v>
      </c>
      <c r="H59" s="7" t="s">
        <v>159</v>
      </c>
      <c r="I59" s="7" t="s">
        <v>34</v>
      </c>
      <c r="J59" s="7" t="s">
        <v>602</v>
      </c>
      <c r="K59" s="7" t="s">
        <v>37</v>
      </c>
      <c r="L59" s="7" t="s">
        <v>604</v>
      </c>
      <c r="M59" s="7" t="s">
        <v>605</v>
      </c>
      <c r="N59" s="7" t="s">
        <v>40</v>
      </c>
      <c r="O59" s="7" t="s">
        <v>41</v>
      </c>
      <c r="P59" s="7"/>
      <c r="Q59" s="7"/>
      <c r="R59" s="7"/>
      <c r="S59" s="7" t="s">
        <v>256</v>
      </c>
      <c r="T59" s="7" t="s">
        <v>540</v>
      </c>
      <c r="U59" s="7"/>
    </row>
    <row r="60" ht="15.75" customHeight="1">
      <c r="A60" s="7" t="s">
        <v>594</v>
      </c>
      <c r="B60" s="7" t="s">
        <v>608</v>
      </c>
      <c r="C60" s="7" t="s">
        <v>64</v>
      </c>
      <c r="D60" s="7" t="s">
        <v>337</v>
      </c>
      <c r="E60" s="7" t="s">
        <v>47</v>
      </c>
      <c r="F60" s="7" t="s">
        <v>329</v>
      </c>
      <c r="G60" s="7" t="s">
        <v>550</v>
      </c>
      <c r="H60" s="7" t="s">
        <v>33</v>
      </c>
      <c r="I60" s="7" t="s">
        <v>34</v>
      </c>
      <c r="J60" s="7" t="s">
        <v>609</v>
      </c>
      <c r="K60" s="7" t="s">
        <v>37</v>
      </c>
      <c r="L60" s="7" t="s">
        <v>610</v>
      </c>
      <c r="M60" s="7" t="s">
        <v>611</v>
      </c>
      <c r="N60" s="7" t="s">
        <v>40</v>
      </c>
      <c r="O60" s="7" t="s">
        <v>41</v>
      </c>
      <c r="P60" s="7"/>
      <c r="Q60" s="7"/>
      <c r="R60" s="7"/>
      <c r="S60" s="7" t="s">
        <v>556</v>
      </c>
      <c r="T60" s="7" t="s">
        <v>613</v>
      </c>
      <c r="U60" s="7"/>
    </row>
    <row r="61" ht="15.75" customHeight="1">
      <c r="A61" s="7" t="s">
        <v>594</v>
      </c>
      <c r="B61" s="7" t="s">
        <v>615</v>
      </c>
      <c r="C61" s="7" t="s">
        <v>47</v>
      </c>
      <c r="D61" s="7" t="s">
        <v>329</v>
      </c>
      <c r="E61" s="7"/>
      <c r="F61" s="7"/>
      <c r="G61" s="7" t="s">
        <v>63</v>
      </c>
      <c r="H61" s="7" t="s">
        <v>33</v>
      </c>
      <c r="I61" s="7" t="s">
        <v>34</v>
      </c>
      <c r="J61" s="7" t="s">
        <v>617</v>
      </c>
      <c r="K61" s="7" t="s">
        <v>37</v>
      </c>
      <c r="L61" s="7" t="s">
        <v>618</v>
      </c>
      <c r="M61" s="7" t="s">
        <v>619</v>
      </c>
      <c r="N61" s="7" t="s">
        <v>40</v>
      </c>
      <c r="O61" s="7" t="s">
        <v>41</v>
      </c>
      <c r="P61" s="7"/>
      <c r="Q61" s="7"/>
      <c r="R61" s="7"/>
      <c r="S61" s="7" t="s">
        <v>72</v>
      </c>
      <c r="T61" s="7" t="s">
        <v>540</v>
      </c>
      <c r="U61" s="7"/>
    </row>
    <row r="62" ht="15.75" customHeight="1">
      <c r="A62" s="7" t="s">
        <v>594</v>
      </c>
      <c r="B62" s="7" t="s">
        <v>620</v>
      </c>
      <c r="C62" s="7" t="s">
        <v>66</v>
      </c>
      <c r="D62" s="7" t="s">
        <v>365</v>
      </c>
      <c r="E62" s="7"/>
      <c r="F62" s="7"/>
      <c r="G62" s="7" t="s">
        <v>307</v>
      </c>
      <c r="H62" s="7" t="s">
        <v>232</v>
      </c>
      <c r="I62" s="7" t="s">
        <v>34</v>
      </c>
      <c r="J62" s="7" t="s">
        <v>622</v>
      </c>
      <c r="K62" s="7" t="s">
        <v>37</v>
      </c>
      <c r="L62" s="7" t="s">
        <v>624</v>
      </c>
      <c r="M62" s="7" t="s">
        <v>625</v>
      </c>
      <c r="N62" s="7" t="s">
        <v>40</v>
      </c>
      <c r="O62" s="7" t="s">
        <v>41</v>
      </c>
      <c r="P62" s="7"/>
      <c r="Q62" s="7"/>
      <c r="R62" s="7"/>
      <c r="S62" s="7" t="s">
        <v>304</v>
      </c>
      <c r="T62" s="7" t="s">
        <v>627</v>
      </c>
      <c r="U62" s="7"/>
    </row>
    <row r="63" ht="15.75" customHeight="1">
      <c r="A63" s="7" t="s">
        <v>594</v>
      </c>
      <c r="B63" s="7" t="s">
        <v>628</v>
      </c>
      <c r="C63" s="7" t="s">
        <v>47</v>
      </c>
      <c r="D63" s="7" t="s">
        <v>48</v>
      </c>
      <c r="E63" s="7"/>
      <c r="F63" s="7"/>
      <c r="G63" s="7" t="s">
        <v>307</v>
      </c>
      <c r="H63" s="7" t="s">
        <v>232</v>
      </c>
      <c r="I63" s="7" t="s">
        <v>34</v>
      </c>
      <c r="J63" s="7" t="s">
        <v>629</v>
      </c>
      <c r="K63" s="7" t="s">
        <v>162</v>
      </c>
      <c r="L63" s="7" t="s">
        <v>632</v>
      </c>
      <c r="M63" s="7" t="s">
        <v>633</v>
      </c>
      <c r="N63" s="7" t="s">
        <v>40</v>
      </c>
      <c r="O63" s="7" t="s">
        <v>41</v>
      </c>
      <c r="P63" s="7"/>
      <c r="Q63" s="7"/>
      <c r="R63" s="7"/>
      <c r="S63" s="7" t="s">
        <v>304</v>
      </c>
      <c r="T63" s="7" t="s">
        <v>59</v>
      </c>
      <c r="U63" s="7"/>
    </row>
    <row r="64" ht="15.75" customHeight="1">
      <c r="A64" s="7" t="s">
        <v>594</v>
      </c>
      <c r="B64" s="7" t="s">
        <v>636</v>
      </c>
      <c r="C64" s="7" t="s">
        <v>73</v>
      </c>
      <c r="D64" s="7" t="s">
        <v>262</v>
      </c>
      <c r="E64" s="7" t="s">
        <v>47</v>
      </c>
      <c r="F64" s="7" t="s">
        <v>329</v>
      </c>
      <c r="G64" s="7" t="s">
        <v>261</v>
      </c>
      <c r="H64" s="7" t="s">
        <v>33</v>
      </c>
      <c r="I64" s="7" t="s">
        <v>34</v>
      </c>
      <c r="J64" s="7" t="s">
        <v>637</v>
      </c>
      <c r="K64" s="7" t="s">
        <v>37</v>
      </c>
      <c r="L64" s="7" t="s">
        <v>638</v>
      </c>
      <c r="M64" s="7" t="s">
        <v>639</v>
      </c>
      <c r="N64" s="7" t="s">
        <v>40</v>
      </c>
      <c r="O64" s="7" t="s">
        <v>41</v>
      </c>
      <c r="P64" s="7"/>
      <c r="Q64" s="7"/>
      <c r="R64" s="7"/>
      <c r="S64" s="7" t="s">
        <v>260</v>
      </c>
      <c r="T64" s="7" t="s">
        <v>583</v>
      </c>
      <c r="U64" s="7"/>
    </row>
    <row r="65" ht="15.75" customHeight="1">
      <c r="A65" s="7" t="s">
        <v>594</v>
      </c>
      <c r="B65" s="7" t="s">
        <v>641</v>
      </c>
      <c r="C65" s="7" t="s">
        <v>47</v>
      </c>
      <c r="D65" s="7" t="s">
        <v>329</v>
      </c>
      <c r="E65" s="7"/>
      <c r="F65" s="7"/>
      <c r="G65" s="7" t="s">
        <v>89</v>
      </c>
      <c r="H65" s="7" t="s">
        <v>50</v>
      </c>
      <c r="I65" s="7" t="s">
        <v>34</v>
      </c>
      <c r="J65" s="7" t="s">
        <v>643</v>
      </c>
      <c r="K65" s="7" t="s">
        <v>37</v>
      </c>
      <c r="L65" s="7" t="s">
        <v>644</v>
      </c>
      <c r="M65" s="7" t="s">
        <v>645</v>
      </c>
      <c r="N65" s="7" t="s">
        <v>40</v>
      </c>
      <c r="O65" s="7" t="s">
        <v>41</v>
      </c>
      <c r="P65" s="7"/>
      <c r="Q65" s="7"/>
      <c r="R65" s="7"/>
      <c r="S65" s="7" t="s">
        <v>96</v>
      </c>
      <c r="T65" s="7" t="s">
        <v>540</v>
      </c>
      <c r="U65" s="7"/>
    </row>
    <row r="66" ht="15.75" customHeight="1">
      <c r="A66" s="7" t="s">
        <v>594</v>
      </c>
      <c r="B66" s="7" t="s">
        <v>647</v>
      </c>
      <c r="C66" s="7" t="s">
        <v>30</v>
      </c>
      <c r="D66" s="7" t="s">
        <v>228</v>
      </c>
      <c r="E66" s="7"/>
      <c r="F66" s="7"/>
      <c r="G66" s="7" t="s">
        <v>32</v>
      </c>
      <c r="H66" s="7" t="s">
        <v>33</v>
      </c>
      <c r="I66" s="7" t="s">
        <v>34</v>
      </c>
      <c r="J66" s="7" t="s">
        <v>648</v>
      </c>
      <c r="K66" s="7" t="s">
        <v>37</v>
      </c>
      <c r="L66" s="7" t="s">
        <v>651</v>
      </c>
      <c r="M66" s="7" t="s">
        <v>652</v>
      </c>
      <c r="N66" s="7" t="s">
        <v>40</v>
      </c>
      <c r="O66" s="7" t="s">
        <v>41</v>
      </c>
      <c r="P66" s="7"/>
      <c r="Q66" s="7"/>
      <c r="R66" s="7"/>
      <c r="S66" s="7" t="s">
        <v>42</v>
      </c>
      <c r="T66" s="7" t="s">
        <v>653</v>
      </c>
      <c r="U66" s="7"/>
    </row>
    <row r="67" ht="15.75" customHeight="1">
      <c r="A67" s="7" t="s">
        <v>594</v>
      </c>
      <c r="B67" s="7" t="s">
        <v>654</v>
      </c>
      <c r="C67" s="7" t="s">
        <v>47</v>
      </c>
      <c r="D67" s="7" t="s">
        <v>48</v>
      </c>
      <c r="E67" s="7"/>
      <c r="F67" s="7"/>
      <c r="G67" s="7" t="s">
        <v>658</v>
      </c>
      <c r="H67" s="7" t="s">
        <v>85</v>
      </c>
      <c r="I67" s="7" t="s">
        <v>34</v>
      </c>
      <c r="J67" s="7" t="s">
        <v>660</v>
      </c>
      <c r="K67" s="7" t="s">
        <v>37</v>
      </c>
      <c r="L67" s="7" t="s">
        <v>661</v>
      </c>
      <c r="M67" s="7" t="s">
        <v>662</v>
      </c>
      <c r="N67" s="7" t="s">
        <v>40</v>
      </c>
      <c r="O67" s="7" t="s">
        <v>41</v>
      </c>
      <c r="P67" s="7"/>
      <c r="Q67" s="7"/>
      <c r="R67" s="7"/>
      <c r="S67" s="7" t="s">
        <v>664</v>
      </c>
      <c r="T67" s="7" t="s">
        <v>59</v>
      </c>
      <c r="U67" s="7"/>
    </row>
    <row r="68" ht="15.75" customHeight="1">
      <c r="A68" s="7" t="s">
        <v>594</v>
      </c>
      <c r="B68" s="7" t="s">
        <v>666</v>
      </c>
      <c r="C68" s="7" t="s">
        <v>47</v>
      </c>
      <c r="D68" s="7" t="s">
        <v>48</v>
      </c>
      <c r="E68" s="7"/>
      <c r="F68" s="7"/>
      <c r="G68" s="7" t="s">
        <v>112</v>
      </c>
      <c r="H68" s="7" t="s">
        <v>33</v>
      </c>
      <c r="I68" s="7" t="s">
        <v>34</v>
      </c>
      <c r="J68" s="7" t="s">
        <v>667</v>
      </c>
      <c r="K68" s="7" t="s">
        <v>37</v>
      </c>
      <c r="L68" s="7" t="s">
        <v>668</v>
      </c>
      <c r="M68" s="7" t="s">
        <v>670</v>
      </c>
      <c r="N68" s="7" t="s">
        <v>40</v>
      </c>
      <c r="O68" s="7" t="s">
        <v>41</v>
      </c>
      <c r="P68" s="7"/>
      <c r="Q68" s="7"/>
      <c r="R68" s="7"/>
      <c r="S68" s="7" t="s">
        <v>118</v>
      </c>
      <c r="T68" s="7" t="s">
        <v>59</v>
      </c>
      <c r="U68" s="7"/>
    </row>
    <row r="69" ht="15.75" customHeight="1">
      <c r="A69" s="7" t="s">
        <v>594</v>
      </c>
      <c r="B69" s="7" t="s">
        <v>672</v>
      </c>
      <c r="C69" s="7" t="s">
        <v>47</v>
      </c>
      <c r="D69" s="7" t="s">
        <v>48</v>
      </c>
      <c r="E69" s="7"/>
      <c r="F69" s="7"/>
      <c r="G69" s="7" t="s">
        <v>101</v>
      </c>
      <c r="H69" s="7" t="s">
        <v>33</v>
      </c>
      <c r="I69" s="7" t="s">
        <v>34</v>
      </c>
      <c r="J69" s="7" t="s">
        <v>674</v>
      </c>
      <c r="K69" s="7" t="s">
        <v>37</v>
      </c>
      <c r="L69" s="7" t="s">
        <v>675</v>
      </c>
      <c r="M69" s="7" t="s">
        <v>676</v>
      </c>
      <c r="N69" s="7" t="s">
        <v>40</v>
      </c>
      <c r="O69" s="7" t="s">
        <v>41</v>
      </c>
      <c r="P69" s="7"/>
      <c r="Q69" s="7"/>
      <c r="R69" s="7"/>
      <c r="S69" s="7" t="s">
        <v>105</v>
      </c>
      <c r="T69" s="7" t="s">
        <v>59</v>
      </c>
      <c r="U69" s="7"/>
    </row>
    <row r="70" ht="15.75" customHeight="1">
      <c r="A70" s="7" t="s">
        <v>594</v>
      </c>
      <c r="B70" s="7" t="s">
        <v>678</v>
      </c>
      <c r="C70" s="7" t="s">
        <v>47</v>
      </c>
      <c r="D70" s="7" t="s">
        <v>48</v>
      </c>
      <c r="E70" s="7"/>
      <c r="F70" s="7"/>
      <c r="G70" s="7" t="s">
        <v>550</v>
      </c>
      <c r="H70" s="7" t="s">
        <v>33</v>
      </c>
      <c r="I70" s="7" t="s">
        <v>34</v>
      </c>
      <c r="J70" s="7" t="s">
        <v>679</v>
      </c>
      <c r="K70" s="7" t="s">
        <v>37</v>
      </c>
      <c r="L70" s="7" t="s">
        <v>680</v>
      </c>
      <c r="M70" s="7" t="s">
        <v>681</v>
      </c>
      <c r="N70" s="7" t="s">
        <v>40</v>
      </c>
      <c r="O70" s="7" t="s">
        <v>41</v>
      </c>
      <c r="P70" s="7"/>
      <c r="Q70" s="7"/>
      <c r="R70" s="7"/>
      <c r="S70" s="7" t="s">
        <v>556</v>
      </c>
      <c r="T70" s="7" t="s">
        <v>59</v>
      </c>
      <c r="U70" s="7"/>
    </row>
    <row r="71" ht="15.75" customHeight="1">
      <c r="A71" s="7" t="s">
        <v>594</v>
      </c>
      <c r="B71" s="7" t="s">
        <v>682</v>
      </c>
      <c r="C71" s="7" t="s">
        <v>62</v>
      </c>
      <c r="D71" s="7" t="s">
        <v>238</v>
      </c>
      <c r="E71" s="7" t="s">
        <v>47</v>
      </c>
      <c r="F71" s="7" t="s">
        <v>329</v>
      </c>
      <c r="G71" s="7" t="s">
        <v>683</v>
      </c>
      <c r="H71" s="7" t="s">
        <v>684</v>
      </c>
      <c r="I71" s="7" t="s">
        <v>34</v>
      </c>
      <c r="J71" s="7" t="s">
        <v>685</v>
      </c>
      <c r="K71" s="7" t="s">
        <v>37</v>
      </c>
      <c r="L71" s="7" t="s">
        <v>687</v>
      </c>
      <c r="M71" s="7" t="s">
        <v>689</v>
      </c>
      <c r="N71" s="7" t="s">
        <v>40</v>
      </c>
      <c r="O71" s="7" t="s">
        <v>41</v>
      </c>
      <c r="P71" s="7"/>
      <c r="Q71" s="7"/>
      <c r="R71" s="7"/>
      <c r="S71" s="7" t="s">
        <v>691</v>
      </c>
      <c r="T71" s="7" t="s">
        <v>538</v>
      </c>
      <c r="U71" s="7"/>
    </row>
    <row r="72" ht="15.75" customHeight="1">
      <c r="A72" s="7" t="s">
        <v>594</v>
      </c>
      <c r="B72" s="7" t="s">
        <v>693</v>
      </c>
      <c r="C72" s="7" t="s">
        <v>30</v>
      </c>
      <c r="D72" s="7" t="s">
        <v>228</v>
      </c>
      <c r="E72" s="7"/>
      <c r="F72" s="7"/>
      <c r="G72" s="7" t="s">
        <v>696</v>
      </c>
      <c r="H72" s="7" t="s">
        <v>33</v>
      </c>
      <c r="I72" s="7" t="s">
        <v>34</v>
      </c>
      <c r="J72" s="7" t="s">
        <v>698</v>
      </c>
      <c r="K72" s="7" t="s">
        <v>162</v>
      </c>
      <c r="L72" s="7" t="s">
        <v>699</v>
      </c>
      <c r="M72" s="7" t="s">
        <v>701</v>
      </c>
      <c r="N72" s="7" t="s">
        <v>40</v>
      </c>
      <c r="O72" s="7" t="s">
        <v>41</v>
      </c>
      <c r="P72" s="7"/>
      <c r="Q72" s="7"/>
      <c r="R72" s="7"/>
      <c r="S72" s="7" t="s">
        <v>703</v>
      </c>
      <c r="T72" s="7" t="s">
        <v>653</v>
      </c>
      <c r="U72" s="7"/>
    </row>
    <row r="73" ht="15.75" customHeight="1">
      <c r="A73" s="7" t="s">
        <v>594</v>
      </c>
      <c r="B73" s="7" t="s">
        <v>706</v>
      </c>
      <c r="C73" s="7" t="s">
        <v>73</v>
      </c>
      <c r="D73" s="7" t="s">
        <v>262</v>
      </c>
      <c r="E73" s="7"/>
      <c r="F73" s="7"/>
      <c r="G73" s="7" t="s">
        <v>63</v>
      </c>
      <c r="H73" s="7" t="s">
        <v>33</v>
      </c>
      <c r="I73" s="7" t="s">
        <v>34</v>
      </c>
      <c r="J73" s="7" t="s">
        <v>708</v>
      </c>
      <c r="K73" s="7" t="s">
        <v>162</v>
      </c>
      <c r="L73" s="7" t="s">
        <v>710</v>
      </c>
      <c r="M73" s="7" t="s">
        <v>712</v>
      </c>
      <c r="N73" s="7" t="s">
        <v>40</v>
      </c>
      <c r="O73" s="7" t="s">
        <v>41</v>
      </c>
      <c r="P73" s="7"/>
      <c r="Q73" s="7"/>
      <c r="R73" s="7"/>
      <c r="S73" s="7" t="s">
        <v>72</v>
      </c>
      <c r="T73" s="7" t="s">
        <v>583</v>
      </c>
      <c r="U73" s="7"/>
    </row>
    <row r="74" ht="15.75" customHeight="1">
      <c r="A74" s="7" t="s">
        <v>594</v>
      </c>
      <c r="B74" s="7" t="s">
        <v>714</v>
      </c>
      <c r="C74" s="7" t="s">
        <v>47</v>
      </c>
      <c r="D74" s="7" t="s">
        <v>329</v>
      </c>
      <c r="E74" s="7"/>
      <c r="F74" s="7"/>
      <c r="G74" s="7" t="s">
        <v>63</v>
      </c>
      <c r="H74" s="7" t="s">
        <v>33</v>
      </c>
      <c r="I74" s="7" t="s">
        <v>34</v>
      </c>
      <c r="J74" s="7" t="s">
        <v>715</v>
      </c>
      <c r="K74" s="7" t="s">
        <v>37</v>
      </c>
      <c r="L74" s="7" t="s">
        <v>718</v>
      </c>
      <c r="M74" s="7" t="s">
        <v>719</v>
      </c>
      <c r="N74" s="7" t="s">
        <v>40</v>
      </c>
      <c r="O74" s="7" t="s">
        <v>41</v>
      </c>
      <c r="P74" s="7"/>
      <c r="Q74" s="7"/>
      <c r="R74" s="7"/>
      <c r="S74" s="7" t="s">
        <v>72</v>
      </c>
      <c r="T74" s="7" t="s">
        <v>540</v>
      </c>
      <c r="U74" s="7"/>
    </row>
    <row r="75" ht="15.75" customHeight="1">
      <c r="A75" s="7" t="s">
        <v>594</v>
      </c>
      <c r="B75" s="7" t="s">
        <v>721</v>
      </c>
      <c r="C75" s="7" t="s">
        <v>28</v>
      </c>
      <c r="D75" s="7" t="s">
        <v>29</v>
      </c>
      <c r="E75" s="7" t="s">
        <v>47</v>
      </c>
      <c r="F75" s="7" t="s">
        <v>329</v>
      </c>
      <c r="G75" s="7" t="s">
        <v>725</v>
      </c>
      <c r="H75" s="7" t="s">
        <v>50</v>
      </c>
      <c r="I75" s="7" t="s">
        <v>51</v>
      </c>
      <c r="J75" s="7" t="s">
        <v>715</v>
      </c>
      <c r="K75" s="7" t="s">
        <v>54</v>
      </c>
      <c r="L75" s="7" t="s">
        <v>726</v>
      </c>
      <c r="M75" s="7" t="s">
        <v>719</v>
      </c>
      <c r="N75" s="7" t="s">
        <v>40</v>
      </c>
      <c r="O75" s="7" t="s">
        <v>41</v>
      </c>
      <c r="P75" s="7"/>
      <c r="Q75" s="7"/>
      <c r="R75" s="7"/>
      <c r="S75" s="7" t="s">
        <v>729</v>
      </c>
      <c r="T75" s="7" t="s">
        <v>44</v>
      </c>
      <c r="U75" s="7"/>
    </row>
    <row r="76" ht="15.75" customHeight="1">
      <c r="A76" s="7" t="s">
        <v>730</v>
      </c>
      <c r="B76" s="7" t="s">
        <v>731</v>
      </c>
      <c r="C76" s="7" t="s">
        <v>57</v>
      </c>
      <c r="D76" s="7" t="s">
        <v>190</v>
      </c>
      <c r="E76" s="7"/>
      <c r="F76" s="7"/>
      <c r="G76" s="7" t="s">
        <v>63</v>
      </c>
      <c r="H76" s="7" t="s">
        <v>33</v>
      </c>
      <c r="I76" s="7" t="s">
        <v>34</v>
      </c>
      <c r="J76" s="7" t="s">
        <v>732</v>
      </c>
      <c r="K76" s="7" t="s">
        <v>162</v>
      </c>
      <c r="L76" s="7" t="s">
        <v>733</v>
      </c>
      <c r="M76" s="7" t="s">
        <v>734</v>
      </c>
      <c r="N76" s="7" t="s">
        <v>40</v>
      </c>
      <c r="O76" s="7" t="s">
        <v>41</v>
      </c>
      <c r="P76" s="7"/>
      <c r="Q76" s="7"/>
      <c r="R76" s="7"/>
      <c r="S76" s="7" t="s">
        <v>72</v>
      </c>
      <c r="T76" s="7" t="s">
        <v>195</v>
      </c>
      <c r="U76" s="7"/>
    </row>
    <row r="77" ht="15.75" customHeight="1">
      <c r="A77" s="7" t="s">
        <v>730</v>
      </c>
      <c r="B77" s="7" t="s">
        <v>736</v>
      </c>
      <c r="C77" s="7" t="s">
        <v>57</v>
      </c>
      <c r="D77" s="7" t="s">
        <v>285</v>
      </c>
      <c r="E77" s="7"/>
      <c r="F77" s="7"/>
      <c r="G77" s="7" t="s">
        <v>158</v>
      </c>
      <c r="H77" s="7" t="s">
        <v>159</v>
      </c>
      <c r="I77" s="7" t="s">
        <v>34</v>
      </c>
      <c r="J77" s="7" t="s">
        <v>739</v>
      </c>
      <c r="K77" s="7" t="s">
        <v>37</v>
      </c>
      <c r="L77" s="7" t="s">
        <v>740</v>
      </c>
      <c r="M77" s="7" t="s">
        <v>741</v>
      </c>
      <c r="N77" s="7" t="s">
        <v>40</v>
      </c>
      <c r="O77" s="7" t="s">
        <v>41</v>
      </c>
      <c r="P77" s="7"/>
      <c r="Q77" s="7"/>
      <c r="R77" s="7"/>
      <c r="S77" s="7" t="s">
        <v>166</v>
      </c>
      <c r="T77" s="7" t="s">
        <v>742</v>
      </c>
      <c r="U77" s="7"/>
    </row>
    <row r="78" ht="15.75" customHeight="1">
      <c r="A78" s="7" t="s">
        <v>730</v>
      </c>
      <c r="B78" s="7" t="s">
        <v>743</v>
      </c>
      <c r="C78" s="7" t="s">
        <v>57</v>
      </c>
      <c r="D78" s="7" t="s">
        <v>287</v>
      </c>
      <c r="E78" s="7"/>
      <c r="F78" s="7"/>
      <c r="G78" s="7" t="s">
        <v>745</v>
      </c>
      <c r="H78" s="7" t="s">
        <v>159</v>
      </c>
      <c r="I78" s="7" t="s">
        <v>34</v>
      </c>
      <c r="J78" s="7" t="s">
        <v>667</v>
      </c>
      <c r="K78" s="7" t="s">
        <v>37</v>
      </c>
      <c r="L78" s="7" t="s">
        <v>746</v>
      </c>
      <c r="M78" s="7" t="s">
        <v>741</v>
      </c>
      <c r="N78" s="7" t="s">
        <v>40</v>
      </c>
      <c r="O78" s="7" t="s">
        <v>41</v>
      </c>
      <c r="P78" s="7"/>
      <c r="Q78" s="7"/>
      <c r="R78" s="7"/>
      <c r="S78" s="7" t="s">
        <v>748</v>
      </c>
      <c r="T78" s="7" t="s">
        <v>750</v>
      </c>
      <c r="U78" s="7"/>
    </row>
    <row r="79" ht="15.75" customHeight="1">
      <c r="A79" s="7" t="s">
        <v>730</v>
      </c>
      <c r="B79" s="7" t="s">
        <v>751</v>
      </c>
      <c r="C79" s="7" t="s">
        <v>62</v>
      </c>
      <c r="D79" s="7" t="s">
        <v>238</v>
      </c>
      <c r="E79" s="7"/>
      <c r="F79" s="7"/>
      <c r="G79" s="7" t="s">
        <v>752</v>
      </c>
      <c r="H79" s="7" t="s">
        <v>684</v>
      </c>
      <c r="I79" s="7" t="s">
        <v>34</v>
      </c>
      <c r="J79" s="7" t="s">
        <v>753</v>
      </c>
      <c r="K79" s="7" t="s">
        <v>247</v>
      </c>
      <c r="L79" s="7" t="s">
        <v>756</v>
      </c>
      <c r="M79" s="7" t="s">
        <v>757</v>
      </c>
      <c r="N79" s="7" t="s">
        <v>40</v>
      </c>
      <c r="O79" s="7" t="s">
        <v>41</v>
      </c>
      <c r="P79" s="7"/>
      <c r="Q79" s="7"/>
      <c r="R79" s="7"/>
      <c r="S79" s="7" t="s">
        <v>759</v>
      </c>
      <c r="T79" s="7" t="s">
        <v>538</v>
      </c>
      <c r="U79" s="7"/>
    </row>
    <row r="80" ht="15.75" customHeight="1">
      <c r="A80" s="7" t="s">
        <v>730</v>
      </c>
      <c r="B80" s="7" t="s">
        <v>761</v>
      </c>
      <c r="C80" s="7" t="s">
        <v>62</v>
      </c>
      <c r="D80" s="7" t="s">
        <v>270</v>
      </c>
      <c r="E80" s="7"/>
      <c r="F80" s="7"/>
      <c r="G80" s="7" t="s">
        <v>762</v>
      </c>
      <c r="H80" s="7" t="s">
        <v>232</v>
      </c>
      <c r="I80" s="7" t="s">
        <v>34</v>
      </c>
      <c r="J80" s="7" t="s">
        <v>765</v>
      </c>
      <c r="K80" s="7" t="s">
        <v>162</v>
      </c>
      <c r="L80" s="7" t="s">
        <v>766</v>
      </c>
      <c r="M80" s="7" t="s">
        <v>757</v>
      </c>
      <c r="N80" s="7" t="s">
        <v>40</v>
      </c>
      <c r="O80" s="7" t="s">
        <v>41</v>
      </c>
      <c r="P80" s="7"/>
      <c r="Q80" s="7"/>
      <c r="R80" s="7"/>
      <c r="S80" s="7" t="s">
        <v>767</v>
      </c>
      <c r="T80" s="7" t="s">
        <v>274</v>
      </c>
      <c r="U80" s="7"/>
    </row>
    <row r="81" ht="15.75" customHeight="1">
      <c r="A81" s="7" t="s">
        <v>730</v>
      </c>
      <c r="B81" s="7" t="s">
        <v>768</v>
      </c>
      <c r="C81" s="7" t="s">
        <v>66</v>
      </c>
      <c r="D81" s="7" t="s">
        <v>191</v>
      </c>
      <c r="E81" s="7"/>
      <c r="F81" s="7"/>
      <c r="G81" s="7" t="s">
        <v>441</v>
      </c>
      <c r="H81" s="7" t="s">
        <v>159</v>
      </c>
      <c r="I81" s="7" t="s">
        <v>51</v>
      </c>
      <c r="J81" s="7" t="s">
        <v>770</v>
      </c>
      <c r="K81" s="7" t="s">
        <v>54</v>
      </c>
      <c r="L81" s="7" t="s">
        <v>772</v>
      </c>
      <c r="M81" s="7" t="s">
        <v>773</v>
      </c>
      <c r="N81" s="7" t="s">
        <v>40</v>
      </c>
      <c r="O81" s="7" t="s">
        <v>41</v>
      </c>
      <c r="P81" s="7"/>
      <c r="Q81" s="7"/>
      <c r="R81" s="7"/>
      <c r="S81" s="7" t="s">
        <v>453</v>
      </c>
      <c r="T81" s="7" t="s">
        <v>774</v>
      </c>
      <c r="U81" s="7"/>
    </row>
    <row r="82" ht="15.75" customHeight="1">
      <c r="A82" s="7" t="s">
        <v>730</v>
      </c>
      <c r="B82" s="7" t="s">
        <v>776</v>
      </c>
      <c r="C82" s="7" t="s">
        <v>57</v>
      </c>
      <c r="D82" s="7" t="s">
        <v>282</v>
      </c>
      <c r="E82" s="7" t="s">
        <v>30</v>
      </c>
      <c r="F82" s="7" t="s">
        <v>228</v>
      </c>
      <c r="G82" s="7" t="s">
        <v>32</v>
      </c>
      <c r="H82" s="7" t="s">
        <v>33</v>
      </c>
      <c r="I82" s="7" t="s">
        <v>51</v>
      </c>
      <c r="J82" s="7" t="s">
        <v>779</v>
      </c>
      <c r="K82" s="7" t="s">
        <v>54</v>
      </c>
      <c r="L82" s="7" t="s">
        <v>780</v>
      </c>
      <c r="M82" s="7" t="s">
        <v>781</v>
      </c>
      <c r="N82" s="7" t="s">
        <v>40</v>
      </c>
      <c r="O82" s="7" t="s">
        <v>41</v>
      </c>
      <c r="P82" s="7"/>
      <c r="Q82" s="7"/>
      <c r="R82" s="7"/>
      <c r="S82" s="7" t="s">
        <v>42</v>
      </c>
      <c r="T82" s="7" t="s">
        <v>783</v>
      </c>
      <c r="U82" s="7"/>
    </row>
    <row r="83" ht="15.75" customHeight="1">
      <c r="A83" s="7" t="s">
        <v>730</v>
      </c>
      <c r="B83" s="7" t="s">
        <v>784</v>
      </c>
      <c r="C83" s="7" t="s">
        <v>47</v>
      </c>
      <c r="D83" s="7" t="s">
        <v>48</v>
      </c>
      <c r="E83" s="7"/>
      <c r="F83" s="7"/>
      <c r="G83" s="7" t="s">
        <v>725</v>
      </c>
      <c r="H83" s="7" t="s">
        <v>50</v>
      </c>
      <c r="I83" s="7" t="s">
        <v>34</v>
      </c>
      <c r="J83" s="7" t="s">
        <v>786</v>
      </c>
      <c r="K83" s="7" t="s">
        <v>162</v>
      </c>
      <c r="L83" s="7" t="s">
        <v>787</v>
      </c>
      <c r="M83" s="7" t="s">
        <v>781</v>
      </c>
      <c r="N83" s="7" t="s">
        <v>40</v>
      </c>
      <c r="O83" s="7" t="s">
        <v>41</v>
      </c>
      <c r="P83" s="7"/>
      <c r="Q83" s="7"/>
      <c r="R83" s="7"/>
      <c r="S83" s="7" t="s">
        <v>729</v>
      </c>
      <c r="T83" s="7" t="s">
        <v>59</v>
      </c>
      <c r="U83" s="7"/>
    </row>
    <row r="84" ht="15.75" customHeight="1">
      <c r="A84" s="7" t="s">
        <v>730</v>
      </c>
      <c r="B84" s="7" t="s">
        <v>788</v>
      </c>
      <c r="C84" s="7" t="s">
        <v>47</v>
      </c>
      <c r="D84" s="7" t="s">
        <v>329</v>
      </c>
      <c r="E84" s="7"/>
      <c r="F84" s="7"/>
      <c r="G84" s="7" t="s">
        <v>725</v>
      </c>
      <c r="H84" s="7" t="s">
        <v>50</v>
      </c>
      <c r="I84" s="7" t="s">
        <v>34</v>
      </c>
      <c r="J84" s="7" t="s">
        <v>790</v>
      </c>
      <c r="K84" s="7" t="s">
        <v>162</v>
      </c>
      <c r="L84" s="7" t="s">
        <v>791</v>
      </c>
      <c r="M84" s="7" t="s">
        <v>792</v>
      </c>
      <c r="N84" s="7" t="s">
        <v>40</v>
      </c>
      <c r="O84" s="7" t="s">
        <v>41</v>
      </c>
      <c r="P84" s="7"/>
      <c r="Q84" s="7"/>
      <c r="R84" s="7"/>
      <c r="S84" s="7" t="s">
        <v>729</v>
      </c>
      <c r="T84" s="7" t="s">
        <v>540</v>
      </c>
      <c r="U84" s="7"/>
    </row>
    <row r="85" ht="15.75" customHeight="1">
      <c r="A85" s="7" t="s">
        <v>730</v>
      </c>
      <c r="B85" s="7" t="s">
        <v>795</v>
      </c>
      <c r="C85" s="7" t="s">
        <v>64</v>
      </c>
      <c r="D85" s="7" t="s">
        <v>132</v>
      </c>
      <c r="E85" s="7"/>
      <c r="F85" s="7"/>
      <c r="G85" s="7" t="s">
        <v>158</v>
      </c>
      <c r="H85" s="7" t="s">
        <v>159</v>
      </c>
      <c r="I85" s="7" t="s">
        <v>34</v>
      </c>
      <c r="J85" s="7" t="s">
        <v>797</v>
      </c>
      <c r="K85" s="7" t="s">
        <v>162</v>
      </c>
      <c r="L85" s="7" t="s">
        <v>799</v>
      </c>
      <c r="M85" s="7" t="s">
        <v>801</v>
      </c>
      <c r="N85" s="7" t="s">
        <v>40</v>
      </c>
      <c r="O85" s="7" t="s">
        <v>41</v>
      </c>
      <c r="P85" s="7"/>
      <c r="Q85" s="7"/>
      <c r="R85" s="7"/>
      <c r="S85" s="7" t="s">
        <v>166</v>
      </c>
      <c r="T85" s="7" t="s">
        <v>140</v>
      </c>
      <c r="U85" s="7"/>
    </row>
    <row r="86" ht="15.75" customHeight="1">
      <c r="A86" s="7" t="s">
        <v>730</v>
      </c>
      <c r="B86" s="7" t="s">
        <v>803</v>
      </c>
      <c r="C86" s="7" t="s">
        <v>77</v>
      </c>
      <c r="D86" s="7" t="s">
        <v>442</v>
      </c>
      <c r="E86" s="7"/>
      <c r="F86" s="7"/>
      <c r="G86" s="7" t="s">
        <v>209</v>
      </c>
      <c r="H86" s="7" t="s">
        <v>33</v>
      </c>
      <c r="I86" s="7" t="s">
        <v>34</v>
      </c>
      <c r="J86" s="7" t="s">
        <v>806</v>
      </c>
      <c r="K86" s="7" t="s">
        <v>162</v>
      </c>
      <c r="L86" s="7" t="s">
        <v>807</v>
      </c>
      <c r="M86" s="7" t="s">
        <v>808</v>
      </c>
      <c r="N86" s="7" t="s">
        <v>40</v>
      </c>
      <c r="O86" s="7" t="s">
        <v>41</v>
      </c>
      <c r="P86" s="7"/>
      <c r="Q86" s="7"/>
      <c r="R86" s="7"/>
      <c r="S86" s="7" t="s">
        <v>215</v>
      </c>
      <c r="T86" s="7" t="s">
        <v>809</v>
      </c>
      <c r="U86" s="7"/>
    </row>
    <row r="87" ht="15.75" customHeight="1">
      <c r="A87" s="7" t="s">
        <v>730</v>
      </c>
      <c r="B87" s="7" t="s">
        <v>811</v>
      </c>
      <c r="C87" s="7" t="s">
        <v>77</v>
      </c>
      <c r="D87" s="7" t="s">
        <v>442</v>
      </c>
      <c r="E87" s="7"/>
      <c r="F87" s="7"/>
      <c r="G87" s="7" t="s">
        <v>49</v>
      </c>
      <c r="H87" s="7" t="s">
        <v>50</v>
      </c>
      <c r="I87" s="7" t="s">
        <v>34</v>
      </c>
      <c r="J87" s="7" t="s">
        <v>812</v>
      </c>
      <c r="K87" s="7" t="s">
        <v>37</v>
      </c>
      <c r="L87" s="7" t="s">
        <v>815</v>
      </c>
      <c r="M87" s="7" t="s">
        <v>808</v>
      </c>
      <c r="N87" s="7" t="s">
        <v>40</v>
      </c>
      <c r="O87" s="7" t="s">
        <v>41</v>
      </c>
      <c r="P87" s="7"/>
      <c r="Q87" s="7"/>
      <c r="R87" s="7"/>
      <c r="S87" s="7" t="s">
        <v>58</v>
      </c>
      <c r="T87" s="7" t="s">
        <v>809</v>
      </c>
      <c r="U87" s="7"/>
    </row>
    <row r="88" ht="15.75" customHeight="1">
      <c r="A88" s="7" t="s">
        <v>730</v>
      </c>
      <c r="B88" s="7" t="s">
        <v>816</v>
      </c>
      <c r="C88" s="7" t="s">
        <v>77</v>
      </c>
      <c r="D88" s="7" t="s">
        <v>443</v>
      </c>
      <c r="E88" s="7"/>
      <c r="F88" s="7"/>
      <c r="G88" s="7" t="s">
        <v>63</v>
      </c>
      <c r="H88" s="7" t="s">
        <v>33</v>
      </c>
      <c r="I88" s="7" t="s">
        <v>34</v>
      </c>
      <c r="J88" s="7" t="s">
        <v>820</v>
      </c>
      <c r="K88" s="7" t="s">
        <v>162</v>
      </c>
      <c r="L88" s="7" t="s">
        <v>822</v>
      </c>
      <c r="M88" s="7" t="s">
        <v>823</v>
      </c>
      <c r="N88" s="7" t="s">
        <v>40</v>
      </c>
      <c r="O88" s="7" t="s">
        <v>41</v>
      </c>
      <c r="P88" s="7"/>
      <c r="Q88" s="7"/>
      <c r="R88" s="7"/>
      <c r="S88" s="7" t="s">
        <v>72</v>
      </c>
      <c r="T88" s="7" t="s">
        <v>824</v>
      </c>
      <c r="U88" s="7"/>
    </row>
    <row r="89" ht="15.75" customHeight="1">
      <c r="A89" s="7" t="s">
        <v>730</v>
      </c>
      <c r="B89" s="7" t="s">
        <v>827</v>
      </c>
      <c r="C89" s="7" t="s">
        <v>47</v>
      </c>
      <c r="D89" s="7" t="s">
        <v>48</v>
      </c>
      <c r="E89" s="7" t="s">
        <v>62</v>
      </c>
      <c r="F89" s="7" t="s">
        <v>270</v>
      </c>
      <c r="G89" s="7" t="s">
        <v>725</v>
      </c>
      <c r="H89" s="7" t="s">
        <v>50</v>
      </c>
      <c r="I89" s="7" t="s">
        <v>34</v>
      </c>
      <c r="J89" s="7" t="s">
        <v>831</v>
      </c>
      <c r="K89" s="7" t="s">
        <v>37</v>
      </c>
      <c r="L89" s="7" t="s">
        <v>832</v>
      </c>
      <c r="M89" s="7" t="s">
        <v>823</v>
      </c>
      <c r="N89" s="7" t="s">
        <v>40</v>
      </c>
      <c r="O89" s="7" t="s">
        <v>41</v>
      </c>
      <c r="P89" s="7"/>
      <c r="Q89" s="7"/>
      <c r="R89" s="7"/>
      <c r="S89" s="7" t="s">
        <v>729</v>
      </c>
      <c r="T89" s="7" t="s">
        <v>59</v>
      </c>
      <c r="U89" s="7"/>
    </row>
    <row r="90" ht="15.75" customHeight="1">
      <c r="A90" s="7" t="s">
        <v>730</v>
      </c>
      <c r="B90" s="7" t="s">
        <v>833</v>
      </c>
      <c r="C90" s="7" t="s">
        <v>62</v>
      </c>
      <c r="D90" s="7" t="s">
        <v>315</v>
      </c>
      <c r="E90" s="7"/>
      <c r="F90" s="7"/>
      <c r="G90" s="7" t="s">
        <v>63</v>
      </c>
      <c r="H90" s="7" t="s">
        <v>33</v>
      </c>
      <c r="I90" s="7" t="s">
        <v>51</v>
      </c>
      <c r="J90" s="7" t="s">
        <v>834</v>
      </c>
      <c r="K90" s="7" t="s">
        <v>54</v>
      </c>
      <c r="L90" s="7" t="s">
        <v>837</v>
      </c>
      <c r="M90" s="7" t="s">
        <v>839</v>
      </c>
      <c r="N90" s="7" t="s">
        <v>40</v>
      </c>
      <c r="O90" s="7" t="s">
        <v>41</v>
      </c>
      <c r="P90" s="7"/>
      <c r="Q90" s="7"/>
      <c r="R90" s="7"/>
      <c r="S90" s="7" t="s">
        <v>72</v>
      </c>
      <c r="T90" s="7" t="s">
        <v>842</v>
      </c>
      <c r="U90" s="7"/>
    </row>
    <row r="91" ht="15.75" customHeight="1">
      <c r="A91" s="7" t="s">
        <v>730</v>
      </c>
      <c r="B91" s="7" t="s">
        <v>843</v>
      </c>
      <c r="C91" s="7" t="s">
        <v>47</v>
      </c>
      <c r="D91" s="7" t="s">
        <v>48</v>
      </c>
      <c r="E91" s="7"/>
      <c r="F91" s="7"/>
      <c r="G91" s="7" t="s">
        <v>844</v>
      </c>
      <c r="H91" s="7" t="s">
        <v>232</v>
      </c>
      <c r="I91" s="7" t="s">
        <v>34</v>
      </c>
      <c r="J91" s="7" t="s">
        <v>847</v>
      </c>
      <c r="K91" s="7" t="s">
        <v>37</v>
      </c>
      <c r="L91" s="7" t="s">
        <v>849</v>
      </c>
      <c r="M91" s="7" t="s">
        <v>850</v>
      </c>
      <c r="N91" s="7" t="s">
        <v>40</v>
      </c>
      <c r="O91" s="7" t="s">
        <v>41</v>
      </c>
      <c r="P91" s="7"/>
      <c r="Q91" s="7"/>
      <c r="R91" s="7"/>
      <c r="S91" s="7" t="s">
        <v>851</v>
      </c>
      <c r="T91" s="7" t="s">
        <v>59</v>
      </c>
      <c r="U91" s="7"/>
    </row>
    <row r="92" ht="15.75" customHeight="1">
      <c r="A92" s="7" t="s">
        <v>730</v>
      </c>
      <c r="B92" s="7" t="s">
        <v>852</v>
      </c>
      <c r="C92" s="7" t="s">
        <v>47</v>
      </c>
      <c r="D92" s="7" t="s">
        <v>48</v>
      </c>
      <c r="E92" s="7"/>
      <c r="F92" s="7"/>
      <c r="G92" s="7" t="s">
        <v>415</v>
      </c>
      <c r="H92" s="7" t="s">
        <v>85</v>
      </c>
      <c r="I92" s="7" t="s">
        <v>51</v>
      </c>
      <c r="J92" s="7" t="s">
        <v>854</v>
      </c>
      <c r="K92" s="7" t="s">
        <v>54</v>
      </c>
      <c r="L92" s="7" t="s">
        <v>855</v>
      </c>
      <c r="M92" s="7" t="s">
        <v>856</v>
      </c>
      <c r="N92" s="7" t="s">
        <v>40</v>
      </c>
      <c r="O92" s="7" t="s">
        <v>41</v>
      </c>
      <c r="P92" s="7"/>
      <c r="Q92" s="7"/>
      <c r="R92" s="7"/>
      <c r="S92" s="7" t="s">
        <v>421</v>
      </c>
      <c r="T92" s="7" t="s">
        <v>59</v>
      </c>
      <c r="U92" s="7"/>
    </row>
    <row r="93" ht="15.75" customHeight="1">
      <c r="A93" s="7" t="s">
        <v>730</v>
      </c>
      <c r="B93" s="7" t="s">
        <v>858</v>
      </c>
      <c r="C93" s="7" t="s">
        <v>47</v>
      </c>
      <c r="D93" s="7" t="s">
        <v>48</v>
      </c>
      <c r="E93" s="7"/>
      <c r="F93" s="7"/>
      <c r="G93" s="7" t="s">
        <v>415</v>
      </c>
      <c r="H93" s="7" t="s">
        <v>85</v>
      </c>
      <c r="I93" s="7" t="s">
        <v>51</v>
      </c>
      <c r="J93" s="7" t="s">
        <v>861</v>
      </c>
      <c r="K93" s="7" t="s">
        <v>54</v>
      </c>
      <c r="L93" s="7" t="s">
        <v>863</v>
      </c>
      <c r="M93" s="7" t="s">
        <v>864</v>
      </c>
      <c r="N93" s="7" t="s">
        <v>40</v>
      </c>
      <c r="O93" s="7" t="s">
        <v>41</v>
      </c>
      <c r="P93" s="7"/>
      <c r="Q93" s="7"/>
      <c r="R93" s="7"/>
      <c r="S93" s="7" t="s">
        <v>421</v>
      </c>
      <c r="T93" s="7" t="s">
        <v>59</v>
      </c>
      <c r="U93" s="7"/>
    </row>
    <row r="94" ht="15.75" customHeight="1">
      <c r="A94" s="7" t="s">
        <v>730</v>
      </c>
      <c r="B94" s="7" t="s">
        <v>867</v>
      </c>
      <c r="C94" s="7" t="s">
        <v>57</v>
      </c>
      <c r="D94" s="7" t="s">
        <v>282</v>
      </c>
      <c r="E94" s="7"/>
      <c r="F94" s="7"/>
      <c r="G94" s="7" t="s">
        <v>870</v>
      </c>
      <c r="H94" s="7" t="s">
        <v>33</v>
      </c>
      <c r="I94" s="7" t="s">
        <v>34</v>
      </c>
      <c r="J94" s="7" t="s">
        <v>871</v>
      </c>
      <c r="K94" s="7" t="s">
        <v>162</v>
      </c>
      <c r="L94" s="7" t="s">
        <v>872</v>
      </c>
      <c r="M94" s="7" t="s">
        <v>874</v>
      </c>
      <c r="N94" s="7" t="s">
        <v>40</v>
      </c>
      <c r="O94" s="7" t="s">
        <v>41</v>
      </c>
      <c r="P94" s="7"/>
      <c r="Q94" s="7"/>
      <c r="R94" s="7"/>
      <c r="S94" s="7" t="s">
        <v>877</v>
      </c>
      <c r="T94" s="7" t="s">
        <v>783</v>
      </c>
      <c r="U94" s="7"/>
    </row>
    <row r="95" ht="15.75" customHeight="1">
      <c r="A95" s="7" t="s">
        <v>730</v>
      </c>
      <c r="B95" s="7" t="s">
        <v>879</v>
      </c>
      <c r="C95" s="7" t="s">
        <v>62</v>
      </c>
      <c r="D95" s="7" t="s">
        <v>316</v>
      </c>
      <c r="E95" s="7"/>
      <c r="F95" s="7"/>
      <c r="G95" s="7" t="s">
        <v>881</v>
      </c>
      <c r="H95" s="7" t="s">
        <v>232</v>
      </c>
      <c r="I95" s="7" t="s">
        <v>34</v>
      </c>
      <c r="J95" s="7" t="s">
        <v>884</v>
      </c>
      <c r="K95" s="7" t="s">
        <v>162</v>
      </c>
      <c r="L95" s="7" t="s">
        <v>885</v>
      </c>
      <c r="M95" s="7" t="s">
        <v>886</v>
      </c>
      <c r="N95" s="7" t="s">
        <v>40</v>
      </c>
      <c r="O95" s="7" t="s">
        <v>41</v>
      </c>
      <c r="P95" s="7"/>
      <c r="Q95" s="7"/>
      <c r="R95" s="7"/>
      <c r="S95" s="7" t="s">
        <v>887</v>
      </c>
      <c r="T95" s="7" t="s">
        <v>888</v>
      </c>
      <c r="U95" s="7"/>
    </row>
    <row r="96" ht="15.75" customHeight="1">
      <c r="A96" s="7" t="s">
        <v>730</v>
      </c>
      <c r="B96" s="7" t="s">
        <v>889</v>
      </c>
      <c r="C96" s="7" t="s">
        <v>62</v>
      </c>
      <c r="D96" s="7" t="s">
        <v>259</v>
      </c>
      <c r="E96" s="7"/>
      <c r="F96" s="7"/>
      <c r="G96" s="7" t="s">
        <v>253</v>
      </c>
      <c r="H96" s="7" t="s">
        <v>159</v>
      </c>
      <c r="I96" s="7" t="s">
        <v>34</v>
      </c>
      <c r="J96" s="7" t="s">
        <v>892</v>
      </c>
      <c r="K96" s="7" t="s">
        <v>247</v>
      </c>
      <c r="L96" s="7" t="s">
        <v>893</v>
      </c>
      <c r="M96" s="7" t="s">
        <v>894</v>
      </c>
      <c r="N96" s="7" t="s">
        <v>40</v>
      </c>
      <c r="O96" s="7" t="s">
        <v>41</v>
      </c>
      <c r="P96" s="7"/>
      <c r="Q96" s="7"/>
      <c r="R96" s="7"/>
      <c r="S96" s="7" t="s">
        <v>256</v>
      </c>
      <c r="T96" s="7" t="s">
        <v>267</v>
      </c>
      <c r="U96" s="7"/>
    </row>
    <row r="97" ht="15.75" customHeight="1">
      <c r="A97" s="7" t="s">
        <v>730</v>
      </c>
      <c r="B97" s="7" t="s">
        <v>899</v>
      </c>
      <c r="C97" s="7" t="s">
        <v>62</v>
      </c>
      <c r="D97" s="7" t="s">
        <v>315</v>
      </c>
      <c r="E97" s="7"/>
      <c r="F97" s="7"/>
      <c r="G97" s="7" t="s">
        <v>63</v>
      </c>
      <c r="H97" s="7" t="s">
        <v>33</v>
      </c>
      <c r="I97" s="7" t="s">
        <v>34</v>
      </c>
      <c r="J97" s="7" t="s">
        <v>900</v>
      </c>
      <c r="K97" s="7" t="s">
        <v>37</v>
      </c>
      <c r="L97" s="7" t="s">
        <v>901</v>
      </c>
      <c r="M97" s="7" t="s">
        <v>902</v>
      </c>
      <c r="N97" s="7" t="s">
        <v>40</v>
      </c>
      <c r="O97" s="7" t="s">
        <v>41</v>
      </c>
      <c r="P97" s="7"/>
      <c r="Q97" s="7"/>
      <c r="R97" s="7"/>
      <c r="S97" s="7" t="s">
        <v>72</v>
      </c>
      <c r="T97" s="7" t="s">
        <v>842</v>
      </c>
      <c r="U97" s="7"/>
    </row>
    <row r="98" ht="15.75" customHeight="1">
      <c r="A98" s="7" t="s">
        <v>730</v>
      </c>
      <c r="B98" s="7" t="s">
        <v>904</v>
      </c>
      <c r="C98" s="7" t="s">
        <v>73</v>
      </c>
      <c r="D98" s="7" t="s">
        <v>262</v>
      </c>
      <c r="E98" s="7"/>
      <c r="F98" s="7"/>
      <c r="G98" s="7" t="s">
        <v>441</v>
      </c>
      <c r="H98" s="7" t="s">
        <v>159</v>
      </c>
      <c r="I98" s="7" t="s">
        <v>34</v>
      </c>
      <c r="J98" s="7" t="s">
        <v>907</v>
      </c>
      <c r="K98" s="7" t="s">
        <v>162</v>
      </c>
      <c r="L98" s="7" t="s">
        <v>908</v>
      </c>
      <c r="M98" s="7" t="s">
        <v>902</v>
      </c>
      <c r="N98" s="7" t="s">
        <v>40</v>
      </c>
      <c r="O98" s="7" t="s">
        <v>41</v>
      </c>
      <c r="P98" s="7"/>
      <c r="Q98" s="7"/>
      <c r="R98" s="7"/>
      <c r="S98" s="7" t="s">
        <v>453</v>
      </c>
      <c r="T98" s="7" t="s">
        <v>583</v>
      </c>
      <c r="U98" s="7"/>
    </row>
    <row r="99" ht="15.75" customHeight="1">
      <c r="A99" s="7" t="s">
        <v>730</v>
      </c>
      <c r="B99" s="7" t="s">
        <v>909</v>
      </c>
      <c r="C99" s="7" t="s">
        <v>74</v>
      </c>
      <c r="D99" s="7" t="s">
        <v>407</v>
      </c>
      <c r="E99" s="7"/>
      <c r="F99" s="7"/>
      <c r="G99" s="7" t="s">
        <v>63</v>
      </c>
      <c r="H99" s="7" t="s">
        <v>33</v>
      </c>
      <c r="I99" s="7" t="s">
        <v>34</v>
      </c>
      <c r="J99" s="7" t="s">
        <v>911</v>
      </c>
      <c r="K99" s="7" t="s">
        <v>162</v>
      </c>
      <c r="L99" s="7" t="s">
        <v>912</v>
      </c>
      <c r="M99" s="7" t="s">
        <v>913</v>
      </c>
      <c r="N99" s="7" t="s">
        <v>40</v>
      </c>
      <c r="O99" s="7" t="s">
        <v>41</v>
      </c>
      <c r="P99" s="7"/>
      <c r="Q99" s="7"/>
      <c r="R99" s="7"/>
      <c r="S99" s="7" t="s">
        <v>72</v>
      </c>
      <c r="T99" s="7" t="s">
        <v>917</v>
      </c>
      <c r="U99" s="7"/>
    </row>
    <row r="100" ht="15.75" customHeight="1">
      <c r="A100" s="7" t="s">
        <v>730</v>
      </c>
      <c r="B100" s="7" t="s">
        <v>918</v>
      </c>
      <c r="C100" s="7" t="s">
        <v>74</v>
      </c>
      <c r="D100" s="7" t="s">
        <v>409</v>
      </c>
      <c r="E100" s="7"/>
      <c r="F100" s="7"/>
      <c r="G100" s="7" t="s">
        <v>209</v>
      </c>
      <c r="H100" s="7" t="s">
        <v>33</v>
      </c>
      <c r="I100" s="7" t="s">
        <v>79</v>
      </c>
      <c r="J100" s="7" t="s">
        <v>919</v>
      </c>
      <c r="K100" s="7" t="s">
        <v>167</v>
      </c>
      <c r="L100" s="7" t="s">
        <v>920</v>
      </c>
      <c r="M100" s="7" t="s">
        <v>921</v>
      </c>
      <c r="N100" s="7" t="s">
        <v>40</v>
      </c>
      <c r="O100" s="7" t="s">
        <v>41</v>
      </c>
      <c r="P100" s="7"/>
      <c r="Q100" s="7"/>
      <c r="R100" s="7"/>
      <c r="S100" s="7" t="s">
        <v>215</v>
      </c>
      <c r="T100" s="7" t="s">
        <v>923</v>
      </c>
      <c r="U100" s="7"/>
    </row>
    <row r="101" ht="15.75" customHeight="1">
      <c r="A101" s="7" t="s">
        <v>730</v>
      </c>
      <c r="B101" s="7" t="s">
        <v>924</v>
      </c>
      <c r="C101" s="7" t="s">
        <v>66</v>
      </c>
      <c r="D101" s="7" t="s">
        <v>191</v>
      </c>
      <c r="E101" s="7" t="s">
        <v>62</v>
      </c>
      <c r="F101" s="7" t="s">
        <v>270</v>
      </c>
      <c r="G101" s="7" t="s">
        <v>745</v>
      </c>
      <c r="H101" s="7" t="s">
        <v>159</v>
      </c>
      <c r="I101" s="7" t="s">
        <v>51</v>
      </c>
      <c r="J101" s="7" t="s">
        <v>167</v>
      </c>
      <c r="K101" s="7" t="s">
        <v>167</v>
      </c>
      <c r="L101" s="7" t="s">
        <v>929</v>
      </c>
      <c r="M101" s="7" t="s">
        <v>930</v>
      </c>
      <c r="N101" s="7" t="s">
        <v>40</v>
      </c>
      <c r="O101" s="7" t="s">
        <v>41</v>
      </c>
      <c r="P101" s="7"/>
      <c r="Q101" s="7"/>
      <c r="R101" s="7"/>
      <c r="S101" s="7" t="s">
        <v>748</v>
      </c>
      <c r="T101" s="7" t="s">
        <v>774</v>
      </c>
      <c r="U101" s="7"/>
    </row>
    <row r="102" ht="15.75" customHeight="1">
      <c r="A102" s="7" t="s">
        <v>730</v>
      </c>
      <c r="B102" s="7" t="s">
        <v>931</v>
      </c>
      <c r="C102" s="7" t="s">
        <v>66</v>
      </c>
      <c r="D102" s="7" t="s">
        <v>191</v>
      </c>
      <c r="E102" s="7"/>
      <c r="F102" s="7"/>
      <c r="G102" s="7" t="s">
        <v>158</v>
      </c>
      <c r="H102" s="7" t="s">
        <v>159</v>
      </c>
      <c r="I102" s="7" t="s">
        <v>51</v>
      </c>
      <c r="J102" s="7" t="s">
        <v>167</v>
      </c>
      <c r="K102" s="7" t="s">
        <v>167</v>
      </c>
      <c r="L102" s="7" t="s">
        <v>932</v>
      </c>
      <c r="M102" s="7" t="s">
        <v>930</v>
      </c>
      <c r="N102" s="7" t="s">
        <v>40</v>
      </c>
      <c r="O102" s="7" t="s">
        <v>41</v>
      </c>
      <c r="P102" s="7"/>
      <c r="Q102" s="7"/>
      <c r="R102" s="7"/>
      <c r="S102" s="7" t="s">
        <v>166</v>
      </c>
      <c r="T102" s="7" t="s">
        <v>774</v>
      </c>
      <c r="U102" s="7"/>
    </row>
    <row r="103" ht="15.75" customHeight="1">
      <c r="A103" s="7" t="s">
        <v>730</v>
      </c>
      <c r="B103" s="7" t="s">
        <v>933</v>
      </c>
      <c r="C103" s="7" t="s">
        <v>64</v>
      </c>
      <c r="D103" s="7" t="s">
        <v>132</v>
      </c>
      <c r="E103" s="7"/>
      <c r="F103" s="7"/>
      <c r="G103" s="7" t="s">
        <v>550</v>
      </c>
      <c r="H103" s="7" t="s">
        <v>33</v>
      </c>
      <c r="I103" s="7" t="s">
        <v>51</v>
      </c>
      <c r="J103" s="7" t="s">
        <v>167</v>
      </c>
      <c r="K103" s="7" t="s">
        <v>167</v>
      </c>
      <c r="L103" s="7" t="s">
        <v>935</v>
      </c>
      <c r="M103" s="7" t="s">
        <v>930</v>
      </c>
      <c r="N103" s="7" t="s">
        <v>40</v>
      </c>
      <c r="O103" s="7" t="s">
        <v>41</v>
      </c>
      <c r="P103" s="7"/>
      <c r="Q103" s="7"/>
      <c r="R103" s="7"/>
      <c r="S103" s="7" t="s">
        <v>556</v>
      </c>
      <c r="T103" s="7" t="s">
        <v>140</v>
      </c>
      <c r="U103" s="7"/>
    </row>
    <row r="104" ht="15.75" customHeight="1">
      <c r="A104" s="7" t="s">
        <v>937</v>
      </c>
      <c r="B104" s="7" t="s">
        <v>939</v>
      </c>
      <c r="C104" s="7" t="s">
        <v>47</v>
      </c>
      <c r="D104" s="7" t="s">
        <v>48</v>
      </c>
      <c r="E104" s="7"/>
      <c r="F104" s="7"/>
      <c r="G104" s="7" t="s">
        <v>550</v>
      </c>
      <c r="H104" s="7" t="s">
        <v>33</v>
      </c>
      <c r="I104" s="7" t="s">
        <v>34</v>
      </c>
      <c r="J104" s="7" t="s">
        <v>941</v>
      </c>
      <c r="K104" s="7" t="s">
        <v>37</v>
      </c>
      <c r="L104" s="7" t="s">
        <v>942</v>
      </c>
      <c r="M104" s="7" t="s">
        <v>943</v>
      </c>
      <c r="N104" s="7" t="s">
        <v>40</v>
      </c>
      <c r="O104" s="7" t="s">
        <v>41</v>
      </c>
      <c r="P104" s="7"/>
      <c r="Q104" s="7"/>
      <c r="R104" s="7"/>
      <c r="S104" s="7" t="s">
        <v>556</v>
      </c>
      <c r="T104" s="7" t="s">
        <v>59</v>
      </c>
      <c r="U104" s="7"/>
    </row>
    <row r="105" ht="15.75" customHeight="1">
      <c r="A105" s="7" t="s">
        <v>937</v>
      </c>
      <c r="B105" s="7" t="s">
        <v>945</v>
      </c>
      <c r="C105" s="7" t="s">
        <v>64</v>
      </c>
      <c r="D105" s="7" t="s">
        <v>132</v>
      </c>
      <c r="E105" s="7"/>
      <c r="F105" s="7"/>
      <c r="G105" s="7" t="s">
        <v>101</v>
      </c>
      <c r="H105" s="7" t="s">
        <v>33</v>
      </c>
      <c r="I105" s="7" t="s">
        <v>34</v>
      </c>
      <c r="J105" s="7" t="s">
        <v>946</v>
      </c>
      <c r="K105" s="7" t="s">
        <v>37</v>
      </c>
      <c r="L105" s="7" t="s">
        <v>949</v>
      </c>
      <c r="M105" s="7" t="s">
        <v>943</v>
      </c>
      <c r="N105" s="7" t="s">
        <v>40</v>
      </c>
      <c r="O105" s="7" t="s">
        <v>41</v>
      </c>
      <c r="P105" s="7"/>
      <c r="Q105" s="7"/>
      <c r="R105" s="7"/>
      <c r="S105" s="7" t="s">
        <v>105</v>
      </c>
      <c r="T105" s="7" t="s">
        <v>140</v>
      </c>
      <c r="U105" s="7"/>
    </row>
    <row r="106" ht="15.75" customHeight="1">
      <c r="A106" s="7" t="s">
        <v>937</v>
      </c>
      <c r="B106" s="7" t="s">
        <v>950</v>
      </c>
      <c r="C106" s="7" t="s">
        <v>47</v>
      </c>
      <c r="D106" s="7" t="s">
        <v>48</v>
      </c>
      <c r="E106" s="7"/>
      <c r="F106" s="7"/>
      <c r="G106" s="7" t="s">
        <v>63</v>
      </c>
      <c r="H106" s="7" t="s">
        <v>33</v>
      </c>
      <c r="I106" s="7" t="s">
        <v>79</v>
      </c>
      <c r="J106" s="7" t="s">
        <v>953</v>
      </c>
      <c r="K106" s="7" t="s">
        <v>167</v>
      </c>
      <c r="L106" s="7" t="s">
        <v>954</v>
      </c>
      <c r="M106" s="7" t="s">
        <v>943</v>
      </c>
      <c r="N106" s="7" t="s">
        <v>40</v>
      </c>
      <c r="O106" s="7" t="s">
        <v>41</v>
      </c>
      <c r="P106" s="7"/>
      <c r="Q106" s="7"/>
      <c r="R106" s="7"/>
      <c r="S106" s="7" t="s">
        <v>72</v>
      </c>
      <c r="T106" s="7" t="s">
        <v>59</v>
      </c>
      <c r="U106" s="7"/>
    </row>
    <row r="107" ht="15.75" customHeight="1">
      <c r="A107" s="7" t="s">
        <v>937</v>
      </c>
      <c r="B107" s="7" t="s">
        <v>957</v>
      </c>
      <c r="C107" s="7" t="s">
        <v>47</v>
      </c>
      <c r="D107" s="7" t="s">
        <v>48</v>
      </c>
      <c r="E107" s="7"/>
      <c r="F107" s="7"/>
      <c r="G107" s="7" t="s">
        <v>466</v>
      </c>
      <c r="H107" s="7" t="s">
        <v>50</v>
      </c>
      <c r="I107" s="7" t="s">
        <v>79</v>
      </c>
      <c r="J107" s="7" t="s">
        <v>958</v>
      </c>
      <c r="K107" s="7" t="s">
        <v>167</v>
      </c>
      <c r="L107" s="7" t="s">
        <v>959</v>
      </c>
      <c r="M107" s="7" t="s">
        <v>943</v>
      </c>
      <c r="N107" s="7" t="s">
        <v>40</v>
      </c>
      <c r="O107" s="7" t="s">
        <v>41</v>
      </c>
      <c r="P107" s="7"/>
      <c r="Q107" s="7"/>
      <c r="R107" s="7"/>
      <c r="S107" s="7" t="s">
        <v>471</v>
      </c>
      <c r="T107" s="7" t="s">
        <v>59</v>
      </c>
      <c r="U107" s="7"/>
    </row>
    <row r="108" ht="15.75" customHeight="1">
      <c r="A108" s="7" t="s">
        <v>937</v>
      </c>
      <c r="B108" s="7" t="s">
        <v>961</v>
      </c>
      <c r="C108" s="7" t="s">
        <v>47</v>
      </c>
      <c r="D108" s="7" t="s">
        <v>48</v>
      </c>
      <c r="E108" s="7"/>
      <c r="F108" s="7"/>
      <c r="G108" s="7" t="s">
        <v>963</v>
      </c>
      <c r="H108" s="7" t="s">
        <v>85</v>
      </c>
      <c r="I108" s="7" t="s">
        <v>79</v>
      </c>
      <c r="J108" s="7" t="s">
        <v>965</v>
      </c>
      <c r="K108" s="7" t="s">
        <v>167</v>
      </c>
      <c r="L108" s="7" t="s">
        <v>966</v>
      </c>
      <c r="M108" s="7" t="s">
        <v>943</v>
      </c>
      <c r="N108" s="7" t="s">
        <v>40</v>
      </c>
      <c r="O108" s="7" t="s">
        <v>41</v>
      </c>
      <c r="P108" s="7"/>
      <c r="Q108" s="7"/>
      <c r="R108" s="7"/>
      <c r="S108" s="7" t="s">
        <v>967</v>
      </c>
      <c r="T108" s="7" t="s">
        <v>59</v>
      </c>
      <c r="U108" s="7"/>
    </row>
    <row r="109" ht="15.75" customHeight="1">
      <c r="A109" s="7" t="s">
        <v>937</v>
      </c>
      <c r="B109" s="7" t="s">
        <v>969</v>
      </c>
      <c r="C109" s="7" t="s">
        <v>73</v>
      </c>
      <c r="D109" s="7" t="s">
        <v>262</v>
      </c>
      <c r="E109" s="7"/>
      <c r="F109" s="7"/>
      <c r="G109" s="7" t="s">
        <v>101</v>
      </c>
      <c r="H109" s="7" t="s">
        <v>33</v>
      </c>
      <c r="I109" s="7" t="s">
        <v>79</v>
      </c>
      <c r="J109" s="7" t="s">
        <v>970</v>
      </c>
      <c r="K109" s="7" t="s">
        <v>167</v>
      </c>
      <c r="L109" s="7" t="s">
        <v>971</v>
      </c>
      <c r="M109" s="7" t="s">
        <v>943</v>
      </c>
      <c r="N109" s="7" t="s">
        <v>40</v>
      </c>
      <c r="O109" s="7" t="s">
        <v>41</v>
      </c>
      <c r="P109" s="7"/>
      <c r="Q109" s="7"/>
      <c r="R109" s="7"/>
      <c r="S109" s="7" t="s">
        <v>105</v>
      </c>
      <c r="T109" s="7" t="s">
        <v>583</v>
      </c>
      <c r="U109" s="7"/>
    </row>
    <row r="110" ht="15.75" customHeight="1">
      <c r="A110" s="7" t="s">
        <v>937</v>
      </c>
      <c r="B110" s="7" t="s">
        <v>974</v>
      </c>
      <c r="C110" s="7" t="s">
        <v>47</v>
      </c>
      <c r="D110" s="7" t="s">
        <v>48</v>
      </c>
      <c r="E110" s="7"/>
      <c r="F110" s="7"/>
      <c r="G110" s="7" t="s">
        <v>975</v>
      </c>
      <c r="H110" s="7" t="s">
        <v>159</v>
      </c>
      <c r="I110" s="7" t="s">
        <v>79</v>
      </c>
      <c r="J110" s="7" t="s">
        <v>976</v>
      </c>
      <c r="K110" s="7" t="s">
        <v>167</v>
      </c>
      <c r="L110" s="7" t="s">
        <v>978</v>
      </c>
      <c r="M110" s="7" t="s">
        <v>943</v>
      </c>
      <c r="N110" s="7" t="s">
        <v>40</v>
      </c>
      <c r="O110" s="7" t="s">
        <v>41</v>
      </c>
      <c r="P110" s="7"/>
      <c r="Q110" s="7"/>
      <c r="R110" s="7"/>
      <c r="S110" s="7" t="s">
        <v>979</v>
      </c>
      <c r="T110" s="7" t="s">
        <v>59</v>
      </c>
      <c r="U110" s="7"/>
    </row>
    <row r="111" ht="15.75" customHeight="1">
      <c r="A111" s="7" t="s">
        <v>937</v>
      </c>
      <c r="B111" s="7" t="s">
        <v>981</v>
      </c>
      <c r="C111" s="7" t="s">
        <v>47</v>
      </c>
      <c r="D111" s="7" t="s">
        <v>48</v>
      </c>
      <c r="E111" s="7"/>
      <c r="F111" s="7"/>
      <c r="G111" s="7" t="s">
        <v>63</v>
      </c>
      <c r="H111" s="7" t="s">
        <v>33</v>
      </c>
      <c r="I111" s="7" t="s">
        <v>79</v>
      </c>
      <c r="J111" s="7" t="s">
        <v>983</v>
      </c>
      <c r="K111" s="7" t="s">
        <v>167</v>
      </c>
      <c r="L111" s="7" t="s">
        <v>986</v>
      </c>
      <c r="M111" s="7" t="s">
        <v>943</v>
      </c>
      <c r="N111" s="7" t="s">
        <v>40</v>
      </c>
      <c r="O111" s="7" t="s">
        <v>41</v>
      </c>
      <c r="P111" s="7"/>
      <c r="Q111" s="7"/>
      <c r="R111" s="7"/>
      <c r="S111" s="7" t="s">
        <v>72</v>
      </c>
      <c r="T111" s="7" t="s">
        <v>59</v>
      </c>
      <c r="U111" s="7"/>
    </row>
    <row r="112" ht="15.75" customHeight="1">
      <c r="A112" s="7" t="s">
        <v>937</v>
      </c>
      <c r="B112" s="7" t="s">
        <v>989</v>
      </c>
      <c r="C112" s="7" t="s">
        <v>30</v>
      </c>
      <c r="D112" s="7" t="s">
        <v>156</v>
      </c>
      <c r="E112" s="7"/>
      <c r="F112" s="7"/>
      <c r="G112" s="7" t="s">
        <v>121</v>
      </c>
      <c r="H112" s="7" t="s">
        <v>121</v>
      </c>
      <c r="I112" s="7" t="s">
        <v>79</v>
      </c>
      <c r="J112" s="7" t="s">
        <v>992</v>
      </c>
      <c r="K112" s="7" t="s">
        <v>167</v>
      </c>
      <c r="L112" s="7" t="s">
        <v>993</v>
      </c>
      <c r="M112" s="7" t="s">
        <v>943</v>
      </c>
      <c r="N112" s="7" t="s">
        <v>40</v>
      </c>
      <c r="O112" s="7" t="s">
        <v>41</v>
      </c>
      <c r="P112" s="7"/>
      <c r="Q112" s="7" t="s">
        <v>121</v>
      </c>
      <c r="R112" s="7"/>
      <c r="S112" s="7" t="s">
        <v>138</v>
      </c>
      <c r="T112" s="7" t="s">
        <v>168</v>
      </c>
      <c r="U112" s="7"/>
    </row>
    <row r="113" ht="15.75" customHeight="1">
      <c r="A113" s="7" t="s">
        <v>937</v>
      </c>
      <c r="B113" s="7" t="s">
        <v>997</v>
      </c>
      <c r="C113" s="7" t="s">
        <v>62</v>
      </c>
      <c r="D113" s="7" t="s">
        <v>270</v>
      </c>
      <c r="E113" s="7" t="s">
        <v>47</v>
      </c>
      <c r="F113" s="7" t="s">
        <v>48</v>
      </c>
      <c r="G113" s="7" t="s">
        <v>998</v>
      </c>
      <c r="H113" s="7" t="s">
        <v>684</v>
      </c>
      <c r="I113" s="7" t="s">
        <v>79</v>
      </c>
      <c r="J113" s="7" t="s">
        <v>999</v>
      </c>
      <c r="K113" s="7" t="s">
        <v>167</v>
      </c>
      <c r="L113" s="7" t="s">
        <v>1001</v>
      </c>
      <c r="M113" s="7" t="s">
        <v>1002</v>
      </c>
      <c r="N113" s="7" t="s">
        <v>40</v>
      </c>
      <c r="O113" s="7" t="s">
        <v>41</v>
      </c>
      <c r="P113" s="7"/>
      <c r="Q113" s="7"/>
      <c r="R113" s="7"/>
      <c r="S113" s="7" t="s">
        <v>1004</v>
      </c>
      <c r="T113" s="7" t="s">
        <v>274</v>
      </c>
      <c r="U113" s="7"/>
    </row>
    <row r="114" ht="15.75" customHeight="1">
      <c r="A114" s="7" t="s">
        <v>937</v>
      </c>
      <c r="B114" s="7" t="s">
        <v>1007</v>
      </c>
      <c r="C114" s="7" t="s">
        <v>66</v>
      </c>
      <c r="D114" s="7" t="s">
        <v>191</v>
      </c>
      <c r="E114" s="7"/>
      <c r="F114" s="7"/>
      <c r="G114" s="7" t="s">
        <v>1009</v>
      </c>
      <c r="H114" s="7" t="s">
        <v>33</v>
      </c>
      <c r="I114" s="7" t="s">
        <v>51</v>
      </c>
      <c r="J114" s="7" t="s">
        <v>1010</v>
      </c>
      <c r="K114" s="7" t="s">
        <v>54</v>
      </c>
      <c r="L114" s="7" t="s">
        <v>1011</v>
      </c>
      <c r="M114" s="7" t="s">
        <v>1013</v>
      </c>
      <c r="N114" s="7" t="s">
        <v>40</v>
      </c>
      <c r="O114" s="7" t="s">
        <v>41</v>
      </c>
      <c r="P114" s="7"/>
      <c r="Q114" s="7"/>
      <c r="R114" s="7"/>
      <c r="S114" s="7" t="s">
        <v>1015</v>
      </c>
      <c r="T114" s="7" t="s">
        <v>774</v>
      </c>
      <c r="U114" s="7"/>
    </row>
    <row r="115" ht="15.75" customHeight="1">
      <c r="A115" s="7" t="s">
        <v>937</v>
      </c>
      <c r="B115" s="7" t="s">
        <v>1016</v>
      </c>
      <c r="C115" s="7" t="s">
        <v>47</v>
      </c>
      <c r="D115" s="7" t="s">
        <v>48</v>
      </c>
      <c r="E115" s="7" t="s">
        <v>66</v>
      </c>
      <c r="F115" s="7" t="s">
        <v>191</v>
      </c>
      <c r="G115" s="7" t="s">
        <v>844</v>
      </c>
      <c r="H115" s="7" t="s">
        <v>232</v>
      </c>
      <c r="I115" s="7" t="s">
        <v>79</v>
      </c>
      <c r="J115" s="7" t="s">
        <v>1018</v>
      </c>
      <c r="K115" s="7" t="s">
        <v>167</v>
      </c>
      <c r="L115" s="7" t="s">
        <v>1019</v>
      </c>
      <c r="M115" s="7" t="s">
        <v>1020</v>
      </c>
      <c r="N115" s="7" t="s">
        <v>40</v>
      </c>
      <c r="O115" s="7" t="s">
        <v>41</v>
      </c>
      <c r="P115" s="7"/>
      <c r="Q115" s="7"/>
      <c r="R115" s="7"/>
      <c r="S115" s="7" t="s">
        <v>851</v>
      </c>
      <c r="T115" s="7" t="s">
        <v>59</v>
      </c>
      <c r="U115" s="7"/>
    </row>
    <row r="116" ht="15.75" customHeight="1">
      <c r="A116" s="7" t="s">
        <v>937</v>
      </c>
      <c r="B116" s="7" t="s">
        <v>1022</v>
      </c>
      <c r="C116" s="7" t="s">
        <v>47</v>
      </c>
      <c r="D116" s="7" t="s">
        <v>48</v>
      </c>
      <c r="E116" s="7"/>
      <c r="F116" s="7"/>
      <c r="G116" s="7" t="s">
        <v>844</v>
      </c>
      <c r="H116" s="7" t="s">
        <v>232</v>
      </c>
      <c r="I116" s="7" t="s">
        <v>79</v>
      </c>
      <c r="J116" s="7" t="s">
        <v>1023</v>
      </c>
      <c r="K116" s="7" t="s">
        <v>167</v>
      </c>
      <c r="L116" s="7" t="s">
        <v>1024</v>
      </c>
      <c r="M116" s="7" t="s">
        <v>1002</v>
      </c>
      <c r="N116" s="7" t="s">
        <v>40</v>
      </c>
      <c r="O116" s="7" t="s">
        <v>41</v>
      </c>
      <c r="P116" s="7"/>
      <c r="Q116" s="7"/>
      <c r="R116" s="7"/>
      <c r="S116" s="7" t="s">
        <v>851</v>
      </c>
      <c r="T116" s="7" t="s">
        <v>59</v>
      </c>
      <c r="U116" s="7"/>
    </row>
    <row r="117" ht="15.75" customHeight="1">
      <c r="A117" s="7" t="s">
        <v>937</v>
      </c>
      <c r="B117" s="7" t="s">
        <v>1026</v>
      </c>
      <c r="C117" s="7" t="s">
        <v>47</v>
      </c>
      <c r="D117" s="7" t="s">
        <v>329</v>
      </c>
      <c r="E117" s="7"/>
      <c r="F117" s="7"/>
      <c r="G117" s="7" t="s">
        <v>1009</v>
      </c>
      <c r="H117" s="7" t="s">
        <v>33</v>
      </c>
      <c r="I117" s="7" t="s">
        <v>79</v>
      </c>
      <c r="J117" s="7" t="s">
        <v>1028</v>
      </c>
      <c r="K117" s="7" t="s">
        <v>167</v>
      </c>
      <c r="L117" s="7" t="s">
        <v>1029</v>
      </c>
      <c r="M117" s="7" t="s">
        <v>1020</v>
      </c>
      <c r="N117" s="7" t="s">
        <v>40</v>
      </c>
      <c r="O117" s="7" t="s">
        <v>41</v>
      </c>
      <c r="P117" s="7"/>
      <c r="Q117" s="7"/>
      <c r="R117" s="7"/>
      <c r="S117" s="7" t="s">
        <v>1015</v>
      </c>
      <c r="T117" s="7" t="s">
        <v>540</v>
      </c>
      <c r="U117" s="7"/>
    </row>
    <row r="118" ht="15.75" customHeight="1">
      <c r="A118" s="7" t="s">
        <v>937</v>
      </c>
      <c r="B118" s="7" t="s">
        <v>1032</v>
      </c>
      <c r="C118" s="7" t="s">
        <v>47</v>
      </c>
      <c r="D118" s="7" t="s">
        <v>48</v>
      </c>
      <c r="E118" s="7" t="s">
        <v>66</v>
      </c>
      <c r="F118" s="7" t="s">
        <v>191</v>
      </c>
      <c r="G118" s="7" t="s">
        <v>307</v>
      </c>
      <c r="H118" s="7" t="s">
        <v>232</v>
      </c>
      <c r="I118" s="7" t="s">
        <v>34</v>
      </c>
      <c r="J118" s="7" t="s">
        <v>1036</v>
      </c>
      <c r="K118" s="7" t="s">
        <v>247</v>
      </c>
      <c r="L118" s="7" t="s">
        <v>1037</v>
      </c>
      <c r="M118" s="7" t="s">
        <v>1002</v>
      </c>
      <c r="N118" s="7" t="s">
        <v>40</v>
      </c>
      <c r="O118" s="7" t="s">
        <v>41</v>
      </c>
      <c r="P118" s="7"/>
      <c r="Q118" s="7"/>
      <c r="R118" s="7"/>
      <c r="S118" s="7" t="s">
        <v>304</v>
      </c>
      <c r="T118" s="7" t="s">
        <v>59</v>
      </c>
      <c r="U118" s="7"/>
    </row>
    <row r="119" ht="15.75" customHeight="1">
      <c r="A119" s="7" t="s">
        <v>937</v>
      </c>
      <c r="B119" s="7" t="s">
        <v>1040</v>
      </c>
      <c r="C119" s="7" t="s">
        <v>47</v>
      </c>
      <c r="D119" s="7" t="s">
        <v>48</v>
      </c>
      <c r="E119" s="7"/>
      <c r="F119" s="7"/>
      <c r="G119" s="7" t="s">
        <v>1041</v>
      </c>
      <c r="H119" s="7" t="s">
        <v>33</v>
      </c>
      <c r="I119" s="7" t="s">
        <v>79</v>
      </c>
      <c r="J119" s="7" t="s">
        <v>992</v>
      </c>
      <c r="K119" s="7" t="s">
        <v>167</v>
      </c>
      <c r="L119" s="7" t="s">
        <v>1043</v>
      </c>
      <c r="M119" s="7" t="s">
        <v>1044</v>
      </c>
      <c r="N119" s="7" t="s">
        <v>40</v>
      </c>
      <c r="O119" s="7" t="s">
        <v>41</v>
      </c>
      <c r="P119" s="7"/>
      <c r="Q119" s="7"/>
      <c r="R119" s="7"/>
      <c r="S119" s="7" t="s">
        <v>1045</v>
      </c>
      <c r="T119" s="7" t="s">
        <v>59</v>
      </c>
      <c r="U119" s="7"/>
    </row>
    <row r="120" ht="15.75" customHeight="1">
      <c r="A120" s="7" t="s">
        <v>937</v>
      </c>
      <c r="B120" s="7" t="s">
        <v>1048</v>
      </c>
      <c r="C120" s="7" t="s">
        <v>47</v>
      </c>
      <c r="D120" s="7" t="s">
        <v>48</v>
      </c>
      <c r="E120" s="7"/>
      <c r="F120" s="7"/>
      <c r="G120" s="7" t="s">
        <v>63</v>
      </c>
      <c r="H120" s="7" t="s">
        <v>33</v>
      </c>
      <c r="I120" s="7" t="s">
        <v>79</v>
      </c>
      <c r="J120" s="7" t="s">
        <v>1049</v>
      </c>
      <c r="K120" s="7" t="s">
        <v>167</v>
      </c>
      <c r="L120" s="7" t="s">
        <v>1050</v>
      </c>
      <c r="M120" s="7" t="s">
        <v>1044</v>
      </c>
      <c r="N120" s="7" t="s">
        <v>40</v>
      </c>
      <c r="O120" s="7" t="s">
        <v>41</v>
      </c>
      <c r="P120" s="7"/>
      <c r="Q120" s="7"/>
      <c r="R120" s="7"/>
      <c r="S120" s="7" t="s">
        <v>72</v>
      </c>
      <c r="T120" s="7" t="s">
        <v>59</v>
      </c>
      <c r="U120" s="7"/>
    </row>
    <row r="121" ht="15.75" customHeight="1">
      <c r="A121" s="7" t="s">
        <v>937</v>
      </c>
      <c r="B121" s="7" t="s">
        <v>1051</v>
      </c>
      <c r="C121" s="7" t="s">
        <v>47</v>
      </c>
      <c r="D121" s="7" t="s">
        <v>48</v>
      </c>
      <c r="E121" s="7"/>
      <c r="F121" s="7"/>
      <c r="G121" s="7" t="s">
        <v>63</v>
      </c>
      <c r="H121" s="7" t="s">
        <v>33</v>
      </c>
      <c r="I121" s="7" t="s">
        <v>34</v>
      </c>
      <c r="J121" s="7" t="s">
        <v>1053</v>
      </c>
      <c r="K121" s="7" t="s">
        <v>37</v>
      </c>
      <c r="L121" s="7" t="s">
        <v>1054</v>
      </c>
      <c r="M121" s="7" t="s">
        <v>1013</v>
      </c>
      <c r="N121" s="7" t="s">
        <v>40</v>
      </c>
      <c r="O121" s="7" t="s">
        <v>41</v>
      </c>
      <c r="P121" s="7"/>
      <c r="Q121" s="7"/>
      <c r="R121" s="7"/>
      <c r="S121" s="7" t="s">
        <v>72</v>
      </c>
      <c r="T121" s="7" t="s">
        <v>59</v>
      </c>
      <c r="U121" s="7"/>
    </row>
    <row r="122" ht="15.75" customHeight="1">
      <c r="A122" s="7" t="s">
        <v>937</v>
      </c>
      <c r="B122" s="7" t="s">
        <v>1057</v>
      </c>
      <c r="C122" s="7" t="s">
        <v>47</v>
      </c>
      <c r="D122" s="7" t="s">
        <v>48</v>
      </c>
      <c r="E122" s="7" t="s">
        <v>64</v>
      </c>
      <c r="F122" s="7" t="s">
        <v>132</v>
      </c>
      <c r="G122" s="7" t="s">
        <v>550</v>
      </c>
      <c r="H122" s="7" t="s">
        <v>33</v>
      </c>
      <c r="I122" s="7" t="s">
        <v>34</v>
      </c>
      <c r="J122" s="7" t="s">
        <v>1058</v>
      </c>
      <c r="K122" s="7" t="s">
        <v>247</v>
      </c>
      <c r="L122" s="7" t="s">
        <v>1059</v>
      </c>
      <c r="M122" s="7" t="s">
        <v>1013</v>
      </c>
      <c r="N122" s="7" t="s">
        <v>40</v>
      </c>
      <c r="O122" s="7" t="s">
        <v>41</v>
      </c>
      <c r="P122" s="7"/>
      <c r="Q122" s="7"/>
      <c r="R122" s="7"/>
      <c r="S122" s="7" t="s">
        <v>556</v>
      </c>
      <c r="T122" s="7" t="s">
        <v>59</v>
      </c>
      <c r="U122" s="7"/>
    </row>
    <row r="123" ht="15.75" customHeight="1">
      <c r="A123" s="7" t="s">
        <v>937</v>
      </c>
      <c r="B123" s="7" t="s">
        <v>1061</v>
      </c>
      <c r="C123" s="7" t="s">
        <v>47</v>
      </c>
      <c r="D123" s="7" t="s">
        <v>48</v>
      </c>
      <c r="E123" s="7"/>
      <c r="F123" s="7"/>
      <c r="G123" s="7" t="s">
        <v>101</v>
      </c>
      <c r="H123" s="7" t="s">
        <v>33</v>
      </c>
      <c r="I123" s="7" t="s">
        <v>142</v>
      </c>
      <c r="J123" s="7" t="s">
        <v>1064</v>
      </c>
      <c r="K123" s="7" t="s">
        <v>167</v>
      </c>
      <c r="L123" s="7" t="s">
        <v>1065</v>
      </c>
      <c r="M123" s="7" t="s">
        <v>1066</v>
      </c>
      <c r="N123" s="7" t="s">
        <v>40</v>
      </c>
      <c r="O123" s="7" t="s">
        <v>41</v>
      </c>
      <c r="P123" s="7"/>
      <c r="Q123" s="7"/>
      <c r="R123" s="7"/>
      <c r="S123" s="7" t="s">
        <v>105</v>
      </c>
      <c r="T123" s="7" t="s">
        <v>59</v>
      </c>
      <c r="U123" s="7"/>
    </row>
    <row r="124" ht="15.75" customHeight="1">
      <c r="A124" s="7" t="s">
        <v>937</v>
      </c>
      <c r="B124" s="7" t="s">
        <v>1068</v>
      </c>
      <c r="C124" s="7" t="s">
        <v>47</v>
      </c>
      <c r="D124" s="7" t="s">
        <v>48</v>
      </c>
      <c r="E124" s="7"/>
      <c r="F124" s="7"/>
      <c r="G124" s="7" t="s">
        <v>121</v>
      </c>
      <c r="H124" s="7" t="s">
        <v>121</v>
      </c>
      <c r="I124" s="7" t="s">
        <v>142</v>
      </c>
      <c r="J124" s="7" t="s">
        <v>1071</v>
      </c>
      <c r="K124" s="7" t="s">
        <v>167</v>
      </c>
      <c r="L124" s="7" t="s">
        <v>1073</v>
      </c>
      <c r="M124" s="7" t="s">
        <v>1074</v>
      </c>
      <c r="N124" s="7" t="s">
        <v>40</v>
      </c>
      <c r="O124" s="7" t="s">
        <v>41</v>
      </c>
      <c r="P124" s="7"/>
      <c r="Q124" s="7" t="s">
        <v>121</v>
      </c>
      <c r="R124" s="7"/>
      <c r="S124" s="7" t="s">
        <v>138</v>
      </c>
      <c r="T124" s="7" t="s">
        <v>59</v>
      </c>
      <c r="U124" s="7"/>
    </row>
    <row r="125" ht="15.75" customHeight="1">
      <c r="A125" s="7" t="s">
        <v>937</v>
      </c>
      <c r="B125" s="7" t="s">
        <v>1075</v>
      </c>
      <c r="C125" s="7" t="s">
        <v>66</v>
      </c>
      <c r="D125" s="7" t="s">
        <v>191</v>
      </c>
      <c r="E125" s="7" t="s">
        <v>73</v>
      </c>
      <c r="F125" s="7" t="s">
        <v>262</v>
      </c>
      <c r="G125" s="7" t="s">
        <v>121</v>
      </c>
      <c r="H125" s="7" t="s">
        <v>121</v>
      </c>
      <c r="I125" s="7" t="s">
        <v>142</v>
      </c>
      <c r="J125" s="7" t="s">
        <v>698</v>
      </c>
      <c r="K125" s="7" t="s">
        <v>167</v>
      </c>
      <c r="L125" s="7" t="s">
        <v>1077</v>
      </c>
      <c r="M125" s="7" t="s">
        <v>1074</v>
      </c>
      <c r="N125" s="7" t="s">
        <v>40</v>
      </c>
      <c r="O125" s="7" t="s">
        <v>41</v>
      </c>
      <c r="P125" s="7"/>
      <c r="Q125" s="7" t="s">
        <v>121</v>
      </c>
      <c r="R125" s="7"/>
      <c r="S125" s="7" t="s">
        <v>138</v>
      </c>
      <c r="T125" s="7" t="s">
        <v>774</v>
      </c>
      <c r="U125" s="7"/>
    </row>
    <row r="126" ht="15.75" customHeight="1">
      <c r="A126" s="7" t="s">
        <v>937</v>
      </c>
      <c r="B126" s="7" t="s">
        <v>1081</v>
      </c>
      <c r="C126" s="7" t="s">
        <v>47</v>
      </c>
      <c r="D126" s="7" t="s">
        <v>48</v>
      </c>
      <c r="E126" s="7"/>
      <c r="F126" s="7"/>
      <c r="G126" s="7" t="s">
        <v>121</v>
      </c>
      <c r="H126" s="7" t="s">
        <v>121</v>
      </c>
      <c r="I126" s="7" t="s">
        <v>142</v>
      </c>
      <c r="J126" s="7" t="s">
        <v>1082</v>
      </c>
      <c r="K126" s="7" t="s">
        <v>167</v>
      </c>
      <c r="L126" s="7" t="s">
        <v>1084</v>
      </c>
      <c r="M126" s="7" t="s">
        <v>1066</v>
      </c>
      <c r="N126" s="7" t="s">
        <v>40</v>
      </c>
      <c r="O126" s="7" t="s">
        <v>41</v>
      </c>
      <c r="P126" s="7"/>
      <c r="Q126" s="7" t="s">
        <v>121</v>
      </c>
      <c r="R126" s="7"/>
      <c r="S126" s="7" t="s">
        <v>138</v>
      </c>
      <c r="T126" s="7" t="s">
        <v>59</v>
      </c>
      <c r="U126" s="7"/>
    </row>
    <row r="127" ht="15.75" customHeight="1">
      <c r="A127" s="7" t="s">
        <v>1085</v>
      </c>
      <c r="B127" s="7" t="s">
        <v>1086</v>
      </c>
      <c r="C127" s="7" t="s">
        <v>47</v>
      </c>
      <c r="D127" s="7" t="s">
        <v>329</v>
      </c>
      <c r="E127" s="7"/>
      <c r="F127" s="7"/>
      <c r="G127" s="7" t="s">
        <v>550</v>
      </c>
      <c r="H127" s="7" t="s">
        <v>33</v>
      </c>
      <c r="I127" s="7" t="s">
        <v>34</v>
      </c>
      <c r="J127" s="7" t="s">
        <v>1058</v>
      </c>
      <c r="K127" s="7" t="s">
        <v>37</v>
      </c>
      <c r="L127" s="7" t="s">
        <v>1088</v>
      </c>
      <c r="M127" s="7" t="s">
        <v>1089</v>
      </c>
      <c r="N127" s="7" t="s">
        <v>40</v>
      </c>
      <c r="O127" s="7" t="s">
        <v>41</v>
      </c>
      <c r="P127" s="7"/>
      <c r="Q127" s="7"/>
      <c r="R127" s="7"/>
      <c r="S127" s="7" t="s">
        <v>556</v>
      </c>
      <c r="T127" s="7" t="s">
        <v>540</v>
      </c>
      <c r="U127" s="7"/>
    </row>
    <row r="128" ht="15.75" customHeight="1">
      <c r="A128" s="7" t="s">
        <v>1085</v>
      </c>
      <c r="B128" s="7" t="s">
        <v>1094</v>
      </c>
      <c r="C128" s="7" t="s">
        <v>47</v>
      </c>
      <c r="D128" s="7" t="s">
        <v>110</v>
      </c>
      <c r="E128" s="7"/>
      <c r="F128" s="7"/>
      <c r="G128" s="7" t="s">
        <v>63</v>
      </c>
      <c r="H128" s="7" t="s">
        <v>33</v>
      </c>
      <c r="I128" s="7" t="s">
        <v>34</v>
      </c>
      <c r="J128" s="7" t="s">
        <v>1058</v>
      </c>
      <c r="K128" s="7" t="s">
        <v>37</v>
      </c>
      <c r="L128" s="7" t="s">
        <v>1097</v>
      </c>
      <c r="M128" s="7" t="s">
        <v>1089</v>
      </c>
      <c r="N128" s="7" t="s">
        <v>40</v>
      </c>
      <c r="O128" s="7" t="s">
        <v>41</v>
      </c>
      <c r="P128" s="7"/>
      <c r="Q128" s="7"/>
      <c r="R128" s="7"/>
      <c r="S128" s="7" t="s">
        <v>72</v>
      </c>
      <c r="T128" s="7" t="s">
        <v>119</v>
      </c>
      <c r="U128" s="7"/>
    </row>
    <row r="129" ht="15.75" customHeight="1">
      <c r="A129" s="7" t="s">
        <v>1085</v>
      </c>
      <c r="B129" s="7" t="s">
        <v>1098</v>
      </c>
      <c r="C129" s="7" t="s">
        <v>47</v>
      </c>
      <c r="D129" s="7" t="s">
        <v>329</v>
      </c>
      <c r="E129" s="7"/>
      <c r="F129" s="7"/>
      <c r="G129" s="7" t="s">
        <v>63</v>
      </c>
      <c r="H129" s="7" t="s">
        <v>33</v>
      </c>
      <c r="I129" s="7" t="s">
        <v>34</v>
      </c>
      <c r="J129" s="7" t="s">
        <v>1049</v>
      </c>
      <c r="K129" s="7" t="s">
        <v>162</v>
      </c>
      <c r="L129" s="7" t="s">
        <v>1100</v>
      </c>
      <c r="M129" s="7" t="s">
        <v>1101</v>
      </c>
      <c r="N129" s="7" t="s">
        <v>40</v>
      </c>
      <c r="O129" s="7" t="s">
        <v>41</v>
      </c>
      <c r="P129" s="7"/>
      <c r="Q129" s="7"/>
      <c r="R129" s="7"/>
      <c r="S129" s="7" t="s">
        <v>72</v>
      </c>
      <c r="T129" s="7" t="s">
        <v>540</v>
      </c>
      <c r="U129" s="7"/>
    </row>
    <row r="130" ht="15.75" customHeight="1">
      <c r="A130" s="7" t="s">
        <v>1085</v>
      </c>
      <c r="B130" s="7" t="s">
        <v>1103</v>
      </c>
      <c r="C130" s="7" t="s">
        <v>47</v>
      </c>
      <c r="D130" s="7" t="s">
        <v>329</v>
      </c>
      <c r="E130" s="7"/>
      <c r="F130" s="7"/>
      <c r="G130" s="7" t="s">
        <v>550</v>
      </c>
      <c r="H130" s="7" t="s">
        <v>33</v>
      </c>
      <c r="I130" s="7" t="s">
        <v>51</v>
      </c>
      <c r="J130" s="7" t="s">
        <v>1104</v>
      </c>
      <c r="K130" s="7" t="s">
        <v>54</v>
      </c>
      <c r="L130" s="7" t="s">
        <v>1105</v>
      </c>
      <c r="M130" s="7" t="s">
        <v>1101</v>
      </c>
      <c r="N130" s="7" t="s">
        <v>40</v>
      </c>
      <c r="O130" s="7" t="s">
        <v>41</v>
      </c>
      <c r="P130" s="7"/>
      <c r="Q130" s="7"/>
      <c r="R130" s="7"/>
      <c r="S130" s="7" t="s">
        <v>556</v>
      </c>
      <c r="T130" s="7" t="s">
        <v>540</v>
      </c>
      <c r="U130" s="7"/>
    </row>
    <row r="131" ht="15.75" customHeight="1">
      <c r="A131" s="7" t="s">
        <v>1085</v>
      </c>
      <c r="B131" s="7" t="s">
        <v>1107</v>
      </c>
      <c r="C131" s="7" t="s">
        <v>30</v>
      </c>
      <c r="D131" s="7" t="s">
        <v>31</v>
      </c>
      <c r="E131" s="7" t="s">
        <v>47</v>
      </c>
      <c r="F131" s="7" t="s">
        <v>329</v>
      </c>
      <c r="G131" s="7" t="s">
        <v>261</v>
      </c>
      <c r="H131" s="7" t="s">
        <v>33</v>
      </c>
      <c r="I131" s="7" t="s">
        <v>34</v>
      </c>
      <c r="J131" s="7" t="s">
        <v>976</v>
      </c>
      <c r="K131" s="7" t="s">
        <v>37</v>
      </c>
      <c r="L131" s="7" t="s">
        <v>1109</v>
      </c>
      <c r="M131" s="7" t="s">
        <v>1101</v>
      </c>
      <c r="N131" s="7" t="s">
        <v>40</v>
      </c>
      <c r="O131" s="7" t="s">
        <v>41</v>
      </c>
      <c r="P131" s="7"/>
      <c r="Q131" s="7"/>
      <c r="R131" s="7"/>
      <c r="S131" s="7" t="s">
        <v>260</v>
      </c>
      <c r="T131" s="7" t="s">
        <v>1110</v>
      </c>
      <c r="U131" s="7"/>
    </row>
    <row r="132" ht="15.75" customHeight="1">
      <c r="A132" s="7" t="s">
        <v>1085</v>
      </c>
      <c r="B132" s="7" t="s">
        <v>1111</v>
      </c>
      <c r="C132" s="7" t="s">
        <v>47</v>
      </c>
      <c r="D132" s="7" t="s">
        <v>100</v>
      </c>
      <c r="E132" s="7"/>
      <c r="F132" s="7"/>
      <c r="G132" s="7" t="s">
        <v>63</v>
      </c>
      <c r="H132" s="7" t="s">
        <v>33</v>
      </c>
      <c r="I132" s="7" t="s">
        <v>51</v>
      </c>
      <c r="J132" s="7" t="s">
        <v>1113</v>
      </c>
      <c r="K132" s="7" t="s">
        <v>54</v>
      </c>
      <c r="L132" s="7" t="s">
        <v>1115</v>
      </c>
      <c r="M132" s="7" t="s">
        <v>1117</v>
      </c>
      <c r="N132" s="7" t="s">
        <v>40</v>
      </c>
      <c r="O132" s="7" t="s">
        <v>41</v>
      </c>
      <c r="P132" s="7"/>
      <c r="Q132" s="7"/>
      <c r="R132" s="7"/>
      <c r="S132" s="7" t="s">
        <v>72</v>
      </c>
      <c r="T132" s="7" t="s">
        <v>106</v>
      </c>
      <c r="U132" s="7"/>
    </row>
    <row r="133" ht="15.75" customHeight="1">
      <c r="A133" s="7" t="s">
        <v>1085</v>
      </c>
      <c r="B133" s="7" t="s">
        <v>1120</v>
      </c>
      <c r="C133" s="7" t="s">
        <v>47</v>
      </c>
      <c r="D133" s="7" t="s">
        <v>100</v>
      </c>
      <c r="E133" s="7"/>
      <c r="F133" s="7"/>
      <c r="G133" s="7" t="s">
        <v>101</v>
      </c>
      <c r="H133" s="7" t="s">
        <v>33</v>
      </c>
      <c r="I133" s="7" t="s">
        <v>34</v>
      </c>
      <c r="J133" s="7" t="s">
        <v>1123</v>
      </c>
      <c r="K133" s="7" t="s">
        <v>247</v>
      </c>
      <c r="L133" s="7" t="s">
        <v>1124</v>
      </c>
      <c r="M133" s="7" t="s">
        <v>1125</v>
      </c>
      <c r="N133" s="7" t="s">
        <v>40</v>
      </c>
      <c r="O133" s="7" t="s">
        <v>41</v>
      </c>
      <c r="P133" s="7"/>
      <c r="Q133" s="7"/>
      <c r="R133" s="7"/>
      <c r="S133" s="7" t="s">
        <v>105</v>
      </c>
      <c r="T133" s="7" t="s">
        <v>106</v>
      </c>
      <c r="U133" s="7"/>
    </row>
    <row r="134" ht="15.75" customHeight="1">
      <c r="A134" s="7" t="s">
        <v>1085</v>
      </c>
      <c r="B134" s="7" t="s">
        <v>1127</v>
      </c>
      <c r="C134" s="7" t="s">
        <v>47</v>
      </c>
      <c r="D134" s="7" t="s">
        <v>329</v>
      </c>
      <c r="E134" s="7"/>
      <c r="F134" s="7"/>
      <c r="G134" s="7" t="s">
        <v>550</v>
      </c>
      <c r="H134" s="7" t="s">
        <v>33</v>
      </c>
      <c r="I134" s="7" t="s">
        <v>34</v>
      </c>
      <c r="J134" s="7" t="s">
        <v>1130</v>
      </c>
      <c r="K134" s="7" t="s">
        <v>37</v>
      </c>
      <c r="L134" s="7" t="s">
        <v>1133</v>
      </c>
      <c r="M134" s="7" t="s">
        <v>1135</v>
      </c>
      <c r="N134" s="7" t="s">
        <v>40</v>
      </c>
      <c r="O134" s="7" t="s">
        <v>41</v>
      </c>
      <c r="P134" s="7"/>
      <c r="Q134" s="7"/>
      <c r="R134" s="7"/>
      <c r="S134" s="7" t="s">
        <v>556</v>
      </c>
      <c r="T134" s="7" t="s">
        <v>540</v>
      </c>
      <c r="U134" s="7"/>
    </row>
    <row r="135" ht="15.75" customHeight="1">
      <c r="A135" s="7" t="s">
        <v>1136</v>
      </c>
      <c r="B135" s="7" t="s">
        <v>1137</v>
      </c>
      <c r="C135" s="7" t="s">
        <v>47</v>
      </c>
      <c r="D135" s="7" t="s">
        <v>110</v>
      </c>
      <c r="E135" s="7"/>
      <c r="F135" s="7"/>
      <c r="G135" s="7" t="s">
        <v>63</v>
      </c>
      <c r="H135" s="7" t="s">
        <v>33</v>
      </c>
      <c r="I135" s="7" t="s">
        <v>34</v>
      </c>
      <c r="J135" s="7" t="s">
        <v>1140</v>
      </c>
      <c r="K135" s="7" t="s">
        <v>37</v>
      </c>
      <c r="L135" s="7" t="s">
        <v>1141</v>
      </c>
      <c r="M135" s="7" t="s">
        <v>1142</v>
      </c>
      <c r="N135" s="7" t="s">
        <v>40</v>
      </c>
      <c r="O135" s="7" t="s">
        <v>41</v>
      </c>
      <c r="P135" s="7"/>
      <c r="Q135" s="7"/>
      <c r="R135" s="7"/>
      <c r="S135" s="7" t="s">
        <v>72</v>
      </c>
      <c r="T135" s="7" t="s">
        <v>119</v>
      </c>
      <c r="U135" s="7"/>
    </row>
    <row r="136" ht="15.75" customHeight="1">
      <c r="A136" s="7" t="s">
        <v>1136</v>
      </c>
      <c r="B136" s="7" t="s">
        <v>1143</v>
      </c>
      <c r="C136" s="7" t="s">
        <v>47</v>
      </c>
      <c r="D136" s="7" t="s">
        <v>110</v>
      </c>
      <c r="E136" s="7"/>
      <c r="F136" s="7"/>
      <c r="G136" s="7" t="s">
        <v>63</v>
      </c>
      <c r="H136" s="7" t="s">
        <v>33</v>
      </c>
      <c r="I136" s="7" t="s">
        <v>34</v>
      </c>
      <c r="J136" s="7" t="s">
        <v>1145</v>
      </c>
      <c r="K136" s="7" t="s">
        <v>162</v>
      </c>
      <c r="L136" s="7" t="s">
        <v>1146</v>
      </c>
      <c r="M136" s="7" t="s">
        <v>1147</v>
      </c>
      <c r="N136" s="7" t="s">
        <v>40</v>
      </c>
      <c r="O136" s="7" t="s">
        <v>41</v>
      </c>
      <c r="P136" s="7"/>
      <c r="Q136" s="7"/>
      <c r="R136" s="7"/>
      <c r="S136" s="7" t="s">
        <v>72</v>
      </c>
      <c r="T136" s="7" t="s">
        <v>119</v>
      </c>
      <c r="U136" s="7"/>
    </row>
    <row r="137" ht="15.75" customHeight="1">
      <c r="A137" s="7" t="s">
        <v>1136</v>
      </c>
      <c r="B137" s="7" t="s">
        <v>1150</v>
      </c>
      <c r="C137" s="7" t="s">
        <v>47</v>
      </c>
      <c r="D137" s="7" t="s">
        <v>100</v>
      </c>
      <c r="E137" s="7"/>
      <c r="F137" s="7"/>
      <c r="G137" s="7" t="s">
        <v>550</v>
      </c>
      <c r="H137" s="7" t="s">
        <v>33</v>
      </c>
      <c r="I137" s="7" t="s">
        <v>51</v>
      </c>
      <c r="J137" s="7" t="s">
        <v>1151</v>
      </c>
      <c r="K137" s="7" t="s">
        <v>54</v>
      </c>
      <c r="L137" s="7" t="s">
        <v>1152</v>
      </c>
      <c r="M137" s="7" t="s">
        <v>1147</v>
      </c>
      <c r="N137" s="7" t="s">
        <v>40</v>
      </c>
      <c r="O137" s="7" t="s">
        <v>41</v>
      </c>
      <c r="P137" s="7"/>
      <c r="Q137" s="7"/>
      <c r="R137" s="7"/>
      <c r="S137" s="7" t="s">
        <v>556</v>
      </c>
      <c r="T137" s="7" t="s">
        <v>106</v>
      </c>
      <c r="U137" s="7"/>
    </row>
    <row r="138" ht="15.75" customHeight="1">
      <c r="A138" s="7" t="s">
        <v>1136</v>
      </c>
      <c r="B138" s="7" t="s">
        <v>1154</v>
      </c>
      <c r="C138" s="7" t="s">
        <v>64</v>
      </c>
      <c r="D138" s="7" t="s">
        <v>337</v>
      </c>
      <c r="E138" s="7"/>
      <c r="F138" s="7"/>
      <c r="G138" s="7" t="s">
        <v>101</v>
      </c>
      <c r="H138" s="7" t="s">
        <v>33</v>
      </c>
      <c r="I138" s="7" t="s">
        <v>34</v>
      </c>
      <c r="J138" s="7" t="s">
        <v>1157</v>
      </c>
      <c r="K138" s="7" t="s">
        <v>247</v>
      </c>
      <c r="L138" s="7" t="s">
        <v>1158</v>
      </c>
      <c r="M138" s="7" t="s">
        <v>1159</v>
      </c>
      <c r="N138" s="7" t="s">
        <v>40</v>
      </c>
      <c r="O138" s="7" t="s">
        <v>41</v>
      </c>
      <c r="P138" s="7"/>
      <c r="Q138" s="7"/>
      <c r="R138" s="7"/>
      <c r="S138" s="7" t="s">
        <v>105</v>
      </c>
      <c r="T138" s="7" t="s">
        <v>613</v>
      </c>
      <c r="U138" s="7"/>
    </row>
    <row r="139" ht="15.75" customHeight="1">
      <c r="A139" s="7" t="s">
        <v>1136</v>
      </c>
      <c r="B139" s="7" t="s">
        <v>1160</v>
      </c>
      <c r="C139" s="7" t="s">
        <v>64</v>
      </c>
      <c r="D139" s="7" t="s">
        <v>132</v>
      </c>
      <c r="E139" s="7"/>
      <c r="F139" s="7"/>
      <c r="G139" s="7" t="s">
        <v>101</v>
      </c>
      <c r="H139" s="7" t="s">
        <v>33</v>
      </c>
      <c r="I139" s="7" t="s">
        <v>51</v>
      </c>
      <c r="J139" s="7" t="s">
        <v>1163</v>
      </c>
      <c r="K139" s="7" t="s">
        <v>54</v>
      </c>
      <c r="L139" s="7" t="s">
        <v>1164</v>
      </c>
      <c r="M139" s="7" t="s">
        <v>1165</v>
      </c>
      <c r="N139" s="7" t="s">
        <v>40</v>
      </c>
      <c r="O139" s="7" t="s">
        <v>41</v>
      </c>
      <c r="P139" s="7"/>
      <c r="Q139" s="7"/>
      <c r="R139" s="7"/>
      <c r="S139" s="7" t="s">
        <v>105</v>
      </c>
      <c r="T139" s="7" t="s">
        <v>140</v>
      </c>
      <c r="U139" s="7"/>
    </row>
    <row r="140" ht="15.75" customHeight="1">
      <c r="A140" s="7" t="s">
        <v>1136</v>
      </c>
      <c r="B140" s="7" t="s">
        <v>1168</v>
      </c>
      <c r="C140" s="7" t="s">
        <v>62</v>
      </c>
      <c r="D140" s="7" t="s">
        <v>315</v>
      </c>
      <c r="E140" s="7" t="s">
        <v>47</v>
      </c>
      <c r="F140" s="7" t="s">
        <v>329</v>
      </c>
      <c r="G140" s="7" t="s">
        <v>725</v>
      </c>
      <c r="H140" s="7" t="s">
        <v>50</v>
      </c>
      <c r="I140" s="7" t="s">
        <v>34</v>
      </c>
      <c r="J140" s="7" t="s">
        <v>1169</v>
      </c>
      <c r="K140" s="7" t="s">
        <v>162</v>
      </c>
      <c r="L140" s="7" t="s">
        <v>1170</v>
      </c>
      <c r="M140" s="7" t="s">
        <v>1172</v>
      </c>
      <c r="N140" s="7" t="s">
        <v>40</v>
      </c>
      <c r="O140" s="7" t="s">
        <v>41</v>
      </c>
      <c r="P140" s="7"/>
      <c r="Q140" s="7"/>
      <c r="R140" s="7"/>
      <c r="S140" s="7" t="s">
        <v>729</v>
      </c>
      <c r="T140" s="7" t="s">
        <v>842</v>
      </c>
      <c r="U140" s="7"/>
    </row>
    <row r="141" ht="15.75" customHeight="1">
      <c r="A141" s="7" t="s">
        <v>1136</v>
      </c>
      <c r="B141" s="7" t="s">
        <v>1173</v>
      </c>
      <c r="C141" s="7" t="s">
        <v>47</v>
      </c>
      <c r="D141" s="7" t="s">
        <v>329</v>
      </c>
      <c r="E141" s="7"/>
      <c r="F141" s="7"/>
      <c r="G141" s="7" t="s">
        <v>261</v>
      </c>
      <c r="H141" s="7" t="s">
        <v>33</v>
      </c>
      <c r="I141" s="7" t="s">
        <v>51</v>
      </c>
      <c r="J141" s="7" t="s">
        <v>1175</v>
      </c>
      <c r="K141" s="7" t="s">
        <v>54</v>
      </c>
      <c r="L141" s="7" t="s">
        <v>1176</v>
      </c>
      <c r="M141" s="7" t="s">
        <v>1165</v>
      </c>
      <c r="N141" s="7" t="s">
        <v>40</v>
      </c>
      <c r="O141" s="7" t="s">
        <v>41</v>
      </c>
      <c r="P141" s="7"/>
      <c r="Q141" s="7"/>
      <c r="R141" s="7"/>
      <c r="S141" s="7" t="s">
        <v>260</v>
      </c>
      <c r="T141" s="7" t="s">
        <v>540</v>
      </c>
      <c r="U141" s="7"/>
    </row>
    <row r="142" ht="15.75" customHeight="1">
      <c r="A142" s="7" t="s">
        <v>1136</v>
      </c>
      <c r="B142" s="7" t="s">
        <v>1181</v>
      </c>
      <c r="C142" s="7" t="s">
        <v>47</v>
      </c>
      <c r="D142" s="7" t="s">
        <v>110</v>
      </c>
      <c r="E142" s="7"/>
      <c r="F142" s="7"/>
      <c r="G142" s="7" t="s">
        <v>101</v>
      </c>
      <c r="H142" s="7" t="s">
        <v>33</v>
      </c>
      <c r="I142" s="7" t="s">
        <v>34</v>
      </c>
      <c r="J142" s="7" t="s">
        <v>1169</v>
      </c>
      <c r="K142" s="7" t="s">
        <v>162</v>
      </c>
      <c r="L142" s="7" t="s">
        <v>1184</v>
      </c>
      <c r="M142" s="7" t="s">
        <v>1185</v>
      </c>
      <c r="N142" s="7" t="s">
        <v>40</v>
      </c>
      <c r="O142" s="7" t="s">
        <v>41</v>
      </c>
      <c r="P142" s="7"/>
      <c r="Q142" s="7"/>
      <c r="R142" s="7"/>
      <c r="S142" s="7" t="s">
        <v>105</v>
      </c>
      <c r="T142" s="7" t="s">
        <v>119</v>
      </c>
      <c r="U142" s="7"/>
    </row>
    <row r="143" ht="15.75" customHeight="1">
      <c r="A143" s="7" t="s">
        <v>1136</v>
      </c>
      <c r="B143" s="7" t="s">
        <v>1186</v>
      </c>
      <c r="C143" s="7" t="s">
        <v>47</v>
      </c>
      <c r="D143" s="7" t="s">
        <v>329</v>
      </c>
      <c r="E143" s="7"/>
      <c r="F143" s="7"/>
      <c r="G143" s="7" t="s">
        <v>243</v>
      </c>
      <c r="H143" s="7" t="s">
        <v>232</v>
      </c>
      <c r="I143" s="7" t="s">
        <v>51</v>
      </c>
      <c r="J143" s="7" t="s">
        <v>1188</v>
      </c>
      <c r="K143" s="7" t="s">
        <v>54</v>
      </c>
      <c r="L143" s="7" t="s">
        <v>1190</v>
      </c>
      <c r="M143" s="7" t="s">
        <v>1185</v>
      </c>
      <c r="N143" s="7" t="s">
        <v>40</v>
      </c>
      <c r="O143" s="7" t="s">
        <v>41</v>
      </c>
      <c r="P143" s="7"/>
      <c r="Q143" s="7"/>
      <c r="R143" s="7"/>
      <c r="S143" s="7" t="s">
        <v>241</v>
      </c>
      <c r="T143" s="7" t="s">
        <v>540</v>
      </c>
      <c r="U143" s="7"/>
    </row>
    <row r="144" ht="15.75" customHeight="1">
      <c r="A144" s="7" t="s">
        <v>1192</v>
      </c>
      <c r="B144" s="7" t="s">
        <v>1193</v>
      </c>
      <c r="C144" s="7" t="s">
        <v>47</v>
      </c>
      <c r="D144" s="7" t="s">
        <v>329</v>
      </c>
      <c r="E144" s="7"/>
      <c r="F144" s="7"/>
      <c r="G144" s="7" t="s">
        <v>63</v>
      </c>
      <c r="H144" s="7" t="s">
        <v>33</v>
      </c>
      <c r="I144" s="7" t="s">
        <v>34</v>
      </c>
      <c r="J144" s="7" t="s">
        <v>1194</v>
      </c>
      <c r="K144" s="7" t="s">
        <v>162</v>
      </c>
      <c r="L144" s="7" t="s">
        <v>1196</v>
      </c>
      <c r="M144" s="7" t="s">
        <v>1197</v>
      </c>
      <c r="N144" s="7" t="s">
        <v>40</v>
      </c>
      <c r="O144" s="7" t="s">
        <v>41</v>
      </c>
      <c r="P144" s="7"/>
      <c r="Q144" s="7"/>
      <c r="R144" s="7"/>
      <c r="S144" s="7" t="s">
        <v>72</v>
      </c>
      <c r="T144" s="7" t="s">
        <v>540</v>
      </c>
      <c r="U144" s="7"/>
    </row>
    <row r="145" ht="15.75" customHeight="1">
      <c r="A145" s="7" t="s">
        <v>1192</v>
      </c>
      <c r="B145" s="7" t="s">
        <v>1200</v>
      </c>
      <c r="C145" s="7" t="s">
        <v>47</v>
      </c>
      <c r="D145" s="7" t="s">
        <v>100</v>
      </c>
      <c r="E145" s="7"/>
      <c r="F145" s="7"/>
      <c r="G145" s="7" t="s">
        <v>63</v>
      </c>
      <c r="H145" s="7" t="s">
        <v>33</v>
      </c>
      <c r="I145" s="7" t="s">
        <v>34</v>
      </c>
      <c r="J145" s="7" t="s">
        <v>1201</v>
      </c>
      <c r="K145" s="7" t="s">
        <v>37</v>
      </c>
      <c r="L145" s="7" t="s">
        <v>1202</v>
      </c>
      <c r="M145" s="7" t="s">
        <v>1197</v>
      </c>
      <c r="N145" s="7" t="s">
        <v>40</v>
      </c>
      <c r="O145" s="7" t="s">
        <v>41</v>
      </c>
      <c r="P145" s="7"/>
      <c r="Q145" s="7"/>
      <c r="R145" s="7"/>
      <c r="S145" s="7" t="s">
        <v>72</v>
      </c>
      <c r="T145" s="7" t="s">
        <v>106</v>
      </c>
      <c r="U145" s="7"/>
    </row>
    <row r="146" ht="15.75" customHeight="1">
      <c r="A146" s="7" t="s">
        <v>1192</v>
      </c>
      <c r="B146" s="7" t="s">
        <v>1204</v>
      </c>
      <c r="C146" s="7" t="s">
        <v>47</v>
      </c>
      <c r="D146" s="7" t="s">
        <v>110</v>
      </c>
      <c r="E146" s="7"/>
      <c r="F146" s="7"/>
      <c r="G146" s="7" t="s">
        <v>63</v>
      </c>
      <c r="H146" s="7" t="s">
        <v>33</v>
      </c>
      <c r="I146" s="7" t="s">
        <v>51</v>
      </c>
      <c r="J146" s="7" t="s">
        <v>1205</v>
      </c>
      <c r="K146" s="7" t="s">
        <v>54</v>
      </c>
      <c r="L146" s="7" t="s">
        <v>1206</v>
      </c>
      <c r="M146" s="7" t="s">
        <v>1197</v>
      </c>
      <c r="N146" s="7" t="s">
        <v>40</v>
      </c>
      <c r="O146" s="7" t="s">
        <v>41</v>
      </c>
      <c r="P146" s="7"/>
      <c r="Q146" s="7"/>
      <c r="R146" s="7"/>
      <c r="S146" s="7" t="s">
        <v>72</v>
      </c>
      <c r="T146" s="7" t="s">
        <v>119</v>
      </c>
      <c r="U146" s="7"/>
    </row>
    <row r="147" ht="15.75" customHeight="1">
      <c r="A147" s="7" t="s">
        <v>1192</v>
      </c>
      <c r="B147" s="7" t="s">
        <v>1208</v>
      </c>
      <c r="C147" s="7" t="s">
        <v>47</v>
      </c>
      <c r="D147" s="7" t="s">
        <v>329</v>
      </c>
      <c r="E147" s="7"/>
      <c r="F147" s="7"/>
      <c r="G147" s="7" t="s">
        <v>63</v>
      </c>
      <c r="H147" s="7" t="s">
        <v>33</v>
      </c>
      <c r="I147" s="7" t="s">
        <v>51</v>
      </c>
      <c r="J147" s="7" t="s">
        <v>1209</v>
      </c>
      <c r="K147" s="7" t="s">
        <v>54</v>
      </c>
      <c r="L147" s="7" t="s">
        <v>1210</v>
      </c>
      <c r="M147" s="7" t="s">
        <v>1211</v>
      </c>
      <c r="N147" s="7" t="s">
        <v>40</v>
      </c>
      <c r="O147" s="7" t="s">
        <v>41</v>
      </c>
      <c r="P147" s="7"/>
      <c r="Q147" s="7"/>
      <c r="R147" s="7"/>
      <c r="S147" s="7" t="s">
        <v>72</v>
      </c>
      <c r="T147" s="7" t="s">
        <v>540</v>
      </c>
      <c r="U147" s="7"/>
    </row>
    <row r="148" ht="15.75" customHeight="1">
      <c r="A148" s="7" t="s">
        <v>1192</v>
      </c>
      <c r="B148" s="7" t="s">
        <v>1213</v>
      </c>
      <c r="C148" s="7" t="s">
        <v>47</v>
      </c>
      <c r="D148" s="7" t="s">
        <v>329</v>
      </c>
      <c r="E148" s="7" t="s">
        <v>64</v>
      </c>
      <c r="F148" s="7" t="s">
        <v>337</v>
      </c>
      <c r="G148" s="7" t="s">
        <v>63</v>
      </c>
      <c r="H148" s="7" t="s">
        <v>33</v>
      </c>
      <c r="I148" s="7" t="s">
        <v>51</v>
      </c>
      <c r="J148" s="7" t="s">
        <v>1215</v>
      </c>
      <c r="K148" s="7" t="s">
        <v>54</v>
      </c>
      <c r="L148" s="7" t="s">
        <v>1216</v>
      </c>
      <c r="M148" s="7" t="s">
        <v>1211</v>
      </c>
      <c r="N148" s="7" t="s">
        <v>40</v>
      </c>
      <c r="O148" s="7" t="s">
        <v>41</v>
      </c>
      <c r="P148" s="7"/>
      <c r="Q148" s="7"/>
      <c r="R148" s="7"/>
      <c r="S148" s="7" t="s">
        <v>72</v>
      </c>
      <c r="T148" s="7" t="s">
        <v>540</v>
      </c>
      <c r="U148" s="7"/>
    </row>
    <row r="149" ht="15.75" customHeight="1">
      <c r="A149" s="7" t="s">
        <v>1192</v>
      </c>
      <c r="B149" s="7" t="s">
        <v>1219</v>
      </c>
      <c r="C149" s="7" t="s">
        <v>47</v>
      </c>
      <c r="D149" s="7" t="s">
        <v>110</v>
      </c>
      <c r="E149" s="7" t="s">
        <v>73</v>
      </c>
      <c r="F149" s="7" t="s">
        <v>262</v>
      </c>
      <c r="G149" s="7" t="s">
        <v>63</v>
      </c>
      <c r="H149" s="7" t="s">
        <v>33</v>
      </c>
      <c r="I149" s="7" t="s">
        <v>34</v>
      </c>
      <c r="J149" s="7" t="s">
        <v>1222</v>
      </c>
      <c r="K149" s="7" t="s">
        <v>37</v>
      </c>
      <c r="L149" s="7" t="s">
        <v>1223</v>
      </c>
      <c r="M149" s="7" t="s">
        <v>1224</v>
      </c>
      <c r="N149" s="7" t="s">
        <v>40</v>
      </c>
      <c r="O149" s="7" t="s">
        <v>41</v>
      </c>
      <c r="P149" s="7"/>
      <c r="Q149" s="7"/>
      <c r="R149" s="7"/>
      <c r="S149" s="7" t="s">
        <v>72</v>
      </c>
      <c r="T149" s="7" t="s">
        <v>119</v>
      </c>
      <c r="U149" s="7"/>
    </row>
    <row r="150" ht="15.75" customHeight="1">
      <c r="A150" s="7" t="s">
        <v>1192</v>
      </c>
      <c r="B150" s="7" t="s">
        <v>1227</v>
      </c>
      <c r="C150" s="7" t="s">
        <v>47</v>
      </c>
      <c r="D150" s="7" t="s">
        <v>329</v>
      </c>
      <c r="E150" s="7"/>
      <c r="F150" s="7"/>
      <c r="G150" s="7" t="s">
        <v>243</v>
      </c>
      <c r="H150" s="7" t="s">
        <v>232</v>
      </c>
      <c r="I150" s="7" t="s">
        <v>51</v>
      </c>
      <c r="J150" s="7" t="s">
        <v>1229</v>
      </c>
      <c r="K150" s="7" t="s">
        <v>54</v>
      </c>
      <c r="L150" s="7" t="s">
        <v>1232</v>
      </c>
      <c r="M150" s="7" t="s">
        <v>1234</v>
      </c>
      <c r="N150" s="7" t="s">
        <v>40</v>
      </c>
      <c r="O150" s="7" t="s">
        <v>41</v>
      </c>
      <c r="P150" s="7"/>
      <c r="Q150" s="7"/>
      <c r="R150" s="7"/>
      <c r="S150" s="7" t="s">
        <v>241</v>
      </c>
      <c r="T150" s="7" t="s">
        <v>540</v>
      </c>
      <c r="U150" s="7"/>
    </row>
    <row r="151" ht="15.75" customHeight="1">
      <c r="A151" s="7" t="s">
        <v>1192</v>
      </c>
      <c r="B151" s="7" t="s">
        <v>1236</v>
      </c>
      <c r="C151" s="7" t="s">
        <v>73</v>
      </c>
      <c r="D151" s="7" t="s">
        <v>262</v>
      </c>
      <c r="E151" s="7"/>
      <c r="F151" s="7"/>
      <c r="G151" s="7" t="s">
        <v>158</v>
      </c>
      <c r="H151" s="7" t="s">
        <v>159</v>
      </c>
      <c r="I151" s="7" t="s">
        <v>34</v>
      </c>
      <c r="J151" s="7" t="s">
        <v>1239</v>
      </c>
      <c r="K151" s="7" t="s">
        <v>37</v>
      </c>
      <c r="L151" s="7" t="s">
        <v>1240</v>
      </c>
      <c r="M151" s="7" t="s">
        <v>1241</v>
      </c>
      <c r="N151" s="7" t="s">
        <v>40</v>
      </c>
      <c r="O151" s="7" t="s">
        <v>41</v>
      </c>
      <c r="P151" s="7"/>
      <c r="Q151" s="7"/>
      <c r="R151" s="7"/>
      <c r="S151" s="7" t="s">
        <v>166</v>
      </c>
      <c r="T151" s="7" t="s">
        <v>583</v>
      </c>
      <c r="U151" s="7"/>
    </row>
    <row r="152" ht="15.75" customHeight="1">
      <c r="A152" s="7" t="s">
        <v>1192</v>
      </c>
      <c r="B152" s="7" t="s">
        <v>1242</v>
      </c>
      <c r="C152" s="7" t="s">
        <v>73</v>
      </c>
      <c r="D152" s="7" t="s">
        <v>262</v>
      </c>
      <c r="E152" s="7"/>
      <c r="F152" s="7"/>
      <c r="G152" s="7" t="s">
        <v>441</v>
      </c>
      <c r="H152" s="7" t="s">
        <v>159</v>
      </c>
      <c r="I152" s="7" t="s">
        <v>34</v>
      </c>
      <c r="J152" s="7" t="s">
        <v>1244</v>
      </c>
      <c r="K152" s="7" t="s">
        <v>162</v>
      </c>
      <c r="L152" s="7" t="s">
        <v>1245</v>
      </c>
      <c r="M152" s="7" t="s">
        <v>1246</v>
      </c>
      <c r="N152" s="7" t="s">
        <v>40</v>
      </c>
      <c r="O152" s="7" t="s">
        <v>41</v>
      </c>
      <c r="P152" s="7"/>
      <c r="Q152" s="7"/>
      <c r="R152" s="7"/>
      <c r="S152" s="7" t="s">
        <v>453</v>
      </c>
      <c r="T152" s="7" t="s">
        <v>583</v>
      </c>
      <c r="U152" s="7"/>
    </row>
    <row r="153" ht="15.75" customHeight="1">
      <c r="A153" s="7" t="s">
        <v>1249</v>
      </c>
      <c r="B153" s="7" t="s">
        <v>1250</v>
      </c>
      <c r="C153" s="7" t="s">
        <v>47</v>
      </c>
      <c r="D153" s="7" t="s">
        <v>48</v>
      </c>
      <c r="E153" s="7"/>
      <c r="F153" s="7"/>
      <c r="G153" s="7" t="s">
        <v>243</v>
      </c>
      <c r="H153" s="7" t="s">
        <v>232</v>
      </c>
      <c r="I153" s="7" t="s">
        <v>34</v>
      </c>
      <c r="J153" s="7" t="s">
        <v>1251</v>
      </c>
      <c r="K153" s="7" t="s">
        <v>247</v>
      </c>
      <c r="L153" s="7" t="s">
        <v>1253</v>
      </c>
      <c r="M153" s="7" t="s">
        <v>1254</v>
      </c>
      <c r="N153" s="7" t="s">
        <v>40</v>
      </c>
      <c r="O153" s="7" t="s">
        <v>41</v>
      </c>
      <c r="P153" s="7"/>
      <c r="Q153" s="7"/>
      <c r="R153" s="7"/>
      <c r="S153" s="7" t="s">
        <v>241</v>
      </c>
      <c r="T153" s="7" t="s">
        <v>59</v>
      </c>
      <c r="U153" s="7"/>
    </row>
    <row r="154" ht="15.75" customHeight="1">
      <c r="A154" s="7" t="s">
        <v>1249</v>
      </c>
      <c r="B154" s="7" t="s">
        <v>1257</v>
      </c>
      <c r="C154" s="7" t="s">
        <v>47</v>
      </c>
      <c r="D154" s="7" t="s">
        <v>48</v>
      </c>
      <c r="E154" s="7"/>
      <c r="F154" s="7"/>
      <c r="G154" s="7" t="s">
        <v>243</v>
      </c>
      <c r="H154" s="7" t="s">
        <v>232</v>
      </c>
      <c r="I154" s="7" t="s">
        <v>34</v>
      </c>
      <c r="J154" s="7" t="s">
        <v>1260</v>
      </c>
      <c r="K154" s="7" t="s">
        <v>37</v>
      </c>
      <c r="L154" s="7" t="s">
        <v>1262</v>
      </c>
      <c r="M154" s="7" t="s">
        <v>1254</v>
      </c>
      <c r="N154" s="7" t="s">
        <v>40</v>
      </c>
      <c r="O154" s="7" t="s">
        <v>41</v>
      </c>
      <c r="P154" s="7"/>
      <c r="Q154" s="7"/>
      <c r="R154" s="7"/>
      <c r="S154" s="7" t="s">
        <v>241</v>
      </c>
      <c r="T154" s="7" t="s">
        <v>59</v>
      </c>
      <c r="U154" s="7"/>
    </row>
    <row r="155" ht="15.75" customHeight="1">
      <c r="A155" s="7" t="s">
        <v>1249</v>
      </c>
      <c r="B155" s="7" t="s">
        <v>1265</v>
      </c>
      <c r="C155" s="7" t="s">
        <v>47</v>
      </c>
      <c r="D155" s="7" t="s">
        <v>48</v>
      </c>
      <c r="E155" s="7"/>
      <c r="F155" s="7"/>
      <c r="G155" s="7" t="s">
        <v>243</v>
      </c>
      <c r="H155" s="7" t="s">
        <v>232</v>
      </c>
      <c r="I155" s="7" t="s">
        <v>34</v>
      </c>
      <c r="J155" s="7" t="s">
        <v>1266</v>
      </c>
      <c r="K155" s="7" t="s">
        <v>37</v>
      </c>
      <c r="L155" s="7" t="s">
        <v>1267</v>
      </c>
      <c r="M155" s="7" t="s">
        <v>1268</v>
      </c>
      <c r="N155" s="7" t="s">
        <v>40</v>
      </c>
      <c r="O155" s="7" t="s">
        <v>41</v>
      </c>
      <c r="P155" s="7"/>
      <c r="Q155" s="7"/>
      <c r="R155" s="7"/>
      <c r="S155" s="7" t="s">
        <v>241</v>
      </c>
      <c r="T155" s="7" t="s">
        <v>59</v>
      </c>
      <c r="U155" s="7"/>
    </row>
    <row r="156" ht="15.75" customHeight="1">
      <c r="A156" s="7" t="s">
        <v>1249</v>
      </c>
      <c r="B156" s="7" t="s">
        <v>1270</v>
      </c>
      <c r="C156" s="7" t="s">
        <v>66</v>
      </c>
      <c r="D156" s="7" t="s">
        <v>191</v>
      </c>
      <c r="E156" s="7" t="s">
        <v>47</v>
      </c>
      <c r="F156" s="7" t="s">
        <v>110</v>
      </c>
      <c r="G156" s="7" t="s">
        <v>63</v>
      </c>
      <c r="H156" s="7" t="s">
        <v>33</v>
      </c>
      <c r="I156" s="7" t="s">
        <v>51</v>
      </c>
      <c r="J156" s="7" t="s">
        <v>1272</v>
      </c>
      <c r="K156" s="7" t="s">
        <v>54</v>
      </c>
      <c r="L156" s="7" t="s">
        <v>1273</v>
      </c>
      <c r="M156" s="7" t="s">
        <v>1274</v>
      </c>
      <c r="N156" s="7" t="s">
        <v>40</v>
      </c>
      <c r="O156" s="7" t="s">
        <v>41</v>
      </c>
      <c r="P156" s="7"/>
      <c r="Q156" s="7"/>
      <c r="R156" s="7"/>
      <c r="S156" s="7" t="s">
        <v>72</v>
      </c>
      <c r="T156" s="7" t="s">
        <v>774</v>
      </c>
      <c r="U156" s="7"/>
    </row>
    <row r="157" ht="15.75" customHeight="1">
      <c r="A157" s="7" t="s">
        <v>1249</v>
      </c>
      <c r="B157" s="7" t="s">
        <v>1277</v>
      </c>
      <c r="C157" s="7" t="s">
        <v>47</v>
      </c>
      <c r="D157" s="7" t="s">
        <v>110</v>
      </c>
      <c r="E157" s="7"/>
      <c r="F157" s="7"/>
      <c r="G157" s="7" t="s">
        <v>550</v>
      </c>
      <c r="H157" s="7" t="s">
        <v>33</v>
      </c>
      <c r="I157" s="7" t="s">
        <v>34</v>
      </c>
      <c r="J157" s="7" t="s">
        <v>1280</v>
      </c>
      <c r="K157" s="7" t="s">
        <v>247</v>
      </c>
      <c r="L157" s="7" t="s">
        <v>1281</v>
      </c>
      <c r="M157" s="7" t="s">
        <v>1282</v>
      </c>
      <c r="N157" s="7" t="s">
        <v>40</v>
      </c>
      <c r="O157" s="7" t="s">
        <v>41</v>
      </c>
      <c r="P157" s="7"/>
      <c r="Q157" s="7"/>
      <c r="R157" s="7"/>
      <c r="S157" s="7" t="s">
        <v>556</v>
      </c>
      <c r="T157" s="7" t="s">
        <v>119</v>
      </c>
      <c r="U157" s="7"/>
    </row>
    <row r="158" ht="15.75" customHeight="1">
      <c r="A158" s="7" t="s">
        <v>1249</v>
      </c>
      <c r="B158" s="7" t="s">
        <v>1285</v>
      </c>
      <c r="C158" s="7" t="s">
        <v>66</v>
      </c>
      <c r="D158" s="7" t="s">
        <v>191</v>
      </c>
      <c r="E158" s="7"/>
      <c r="F158" s="7"/>
      <c r="G158" s="7" t="s">
        <v>1286</v>
      </c>
      <c r="H158" s="7" t="s">
        <v>50</v>
      </c>
      <c r="I158" s="7" t="s">
        <v>34</v>
      </c>
      <c r="J158" s="7" t="s">
        <v>1288</v>
      </c>
      <c r="K158" s="7" t="s">
        <v>247</v>
      </c>
      <c r="L158" s="7" t="s">
        <v>1290</v>
      </c>
      <c r="M158" s="7" t="s">
        <v>1292</v>
      </c>
      <c r="N158" s="7" t="s">
        <v>40</v>
      </c>
      <c r="O158" s="7" t="s">
        <v>41</v>
      </c>
      <c r="P158" s="7"/>
      <c r="Q158" s="7"/>
      <c r="R158" s="7"/>
      <c r="S158" s="7" t="s">
        <v>1293</v>
      </c>
      <c r="T158" s="7" t="s">
        <v>774</v>
      </c>
      <c r="U158" s="7"/>
    </row>
    <row r="159" ht="15.75" customHeight="1">
      <c r="A159" s="7" t="s">
        <v>1249</v>
      </c>
      <c r="B159" s="7" t="s">
        <v>1294</v>
      </c>
      <c r="C159" s="7" t="s">
        <v>47</v>
      </c>
      <c r="D159" s="7" t="s">
        <v>48</v>
      </c>
      <c r="E159" s="7" t="s">
        <v>30</v>
      </c>
      <c r="F159" s="7" t="s">
        <v>228</v>
      </c>
      <c r="G159" s="7" t="s">
        <v>307</v>
      </c>
      <c r="H159" s="7" t="s">
        <v>232</v>
      </c>
      <c r="I159" s="7" t="s">
        <v>34</v>
      </c>
      <c r="J159" s="7" t="s">
        <v>1295</v>
      </c>
      <c r="K159" s="7" t="s">
        <v>162</v>
      </c>
      <c r="L159" s="7" t="s">
        <v>1297</v>
      </c>
      <c r="M159" s="7" t="s">
        <v>1299</v>
      </c>
      <c r="N159" s="7" t="s">
        <v>40</v>
      </c>
      <c r="O159" s="7" t="s">
        <v>41</v>
      </c>
      <c r="P159" s="7"/>
      <c r="Q159" s="7"/>
      <c r="R159" s="7"/>
      <c r="S159" s="7" t="s">
        <v>304</v>
      </c>
      <c r="T159" s="7" t="s">
        <v>59</v>
      </c>
      <c r="U159" s="7"/>
    </row>
    <row r="160" ht="15.75" customHeight="1">
      <c r="A160" s="7" t="s">
        <v>1249</v>
      </c>
      <c r="B160" s="7" t="s">
        <v>1301</v>
      </c>
      <c r="C160" s="7" t="s">
        <v>47</v>
      </c>
      <c r="D160" s="7" t="s">
        <v>48</v>
      </c>
      <c r="E160" s="7"/>
      <c r="F160" s="7"/>
      <c r="G160" s="7" t="s">
        <v>702</v>
      </c>
      <c r="H160" s="7" t="s">
        <v>33</v>
      </c>
      <c r="I160" s="7" t="s">
        <v>34</v>
      </c>
      <c r="J160" s="7" t="s">
        <v>1302</v>
      </c>
      <c r="K160" s="7" t="s">
        <v>37</v>
      </c>
      <c r="L160" s="7" t="s">
        <v>1303</v>
      </c>
      <c r="M160" s="7" t="s">
        <v>1304</v>
      </c>
      <c r="N160" s="7" t="s">
        <v>40</v>
      </c>
      <c r="O160" s="7" t="s">
        <v>41</v>
      </c>
      <c r="P160" s="7"/>
      <c r="Q160" s="7"/>
      <c r="R160" s="7"/>
      <c r="S160" s="7" t="s">
        <v>700</v>
      </c>
      <c r="T160" s="7" t="s">
        <v>59</v>
      </c>
      <c r="U160" s="7"/>
    </row>
    <row r="161" ht="15.75" customHeight="1">
      <c r="A161" s="7" t="s">
        <v>1249</v>
      </c>
      <c r="B161" s="7" t="s">
        <v>1308</v>
      </c>
      <c r="C161" s="7" t="s">
        <v>47</v>
      </c>
      <c r="D161" s="7" t="s">
        <v>110</v>
      </c>
      <c r="E161" s="7"/>
      <c r="F161" s="7"/>
      <c r="G161" s="7" t="s">
        <v>762</v>
      </c>
      <c r="H161" s="7" t="s">
        <v>232</v>
      </c>
      <c r="I161" s="7" t="s">
        <v>34</v>
      </c>
      <c r="J161" s="7" t="s">
        <v>1311</v>
      </c>
      <c r="K161" s="7" t="s">
        <v>37</v>
      </c>
      <c r="L161" s="7" t="s">
        <v>1312</v>
      </c>
      <c r="M161" s="7" t="s">
        <v>1313</v>
      </c>
      <c r="N161" s="7" t="s">
        <v>40</v>
      </c>
      <c r="O161" s="7" t="s">
        <v>41</v>
      </c>
      <c r="P161" s="7"/>
      <c r="Q161" s="7"/>
      <c r="R161" s="7"/>
      <c r="S161" s="7" t="s">
        <v>767</v>
      </c>
      <c r="T161" s="7" t="s">
        <v>119</v>
      </c>
      <c r="U161" s="7"/>
    </row>
    <row r="162" ht="15.75" customHeight="1">
      <c r="A162" s="7" t="s">
        <v>1249</v>
      </c>
      <c r="B162" s="7" t="s">
        <v>1317</v>
      </c>
      <c r="C162" s="7" t="s">
        <v>47</v>
      </c>
      <c r="D162" s="7" t="s">
        <v>48</v>
      </c>
      <c r="E162" s="7" t="s">
        <v>71</v>
      </c>
      <c r="F162" s="7" t="s">
        <v>391</v>
      </c>
      <c r="G162" s="7" t="s">
        <v>1321</v>
      </c>
      <c r="H162" s="7" t="s">
        <v>232</v>
      </c>
      <c r="I162" s="7" t="s">
        <v>51</v>
      </c>
      <c r="J162" s="7" t="s">
        <v>1322</v>
      </c>
      <c r="K162" s="7" t="s">
        <v>54</v>
      </c>
      <c r="L162" s="7" t="s">
        <v>1323</v>
      </c>
      <c r="M162" s="7" t="s">
        <v>1324</v>
      </c>
      <c r="N162" s="7" t="s">
        <v>40</v>
      </c>
      <c r="O162" s="7" t="s">
        <v>41</v>
      </c>
      <c r="P162" s="7"/>
      <c r="Q162" s="7"/>
      <c r="R162" s="7"/>
      <c r="S162" s="7" t="s">
        <v>1325</v>
      </c>
      <c r="T162" s="7" t="s">
        <v>59</v>
      </c>
      <c r="U162" s="7"/>
    </row>
    <row r="163" ht="15.75" customHeight="1">
      <c r="A163" s="7" t="s">
        <v>1249</v>
      </c>
      <c r="B163" s="7" t="s">
        <v>1326</v>
      </c>
      <c r="C163" s="7" t="s">
        <v>47</v>
      </c>
      <c r="D163" s="7" t="s">
        <v>48</v>
      </c>
      <c r="E163" s="7"/>
      <c r="F163" s="7"/>
      <c r="G163" s="7" t="s">
        <v>63</v>
      </c>
      <c r="H163" s="7" t="s">
        <v>33</v>
      </c>
      <c r="I163" s="7" t="s">
        <v>34</v>
      </c>
      <c r="J163" s="7" t="s">
        <v>1329</v>
      </c>
      <c r="K163" s="7" t="s">
        <v>247</v>
      </c>
      <c r="L163" s="7" t="s">
        <v>1331</v>
      </c>
      <c r="M163" s="7" t="s">
        <v>1333</v>
      </c>
      <c r="N163" s="7" t="s">
        <v>40</v>
      </c>
      <c r="O163" s="7" t="s">
        <v>41</v>
      </c>
      <c r="P163" s="7"/>
      <c r="Q163" s="7"/>
      <c r="R163" s="7"/>
      <c r="S163" s="7" t="s">
        <v>72</v>
      </c>
      <c r="T163" s="7" t="s">
        <v>59</v>
      </c>
      <c r="U163" s="7"/>
    </row>
    <row r="164" ht="15.75" customHeight="1">
      <c r="A164" s="7" t="s">
        <v>1249</v>
      </c>
      <c r="B164" s="7" t="s">
        <v>1334</v>
      </c>
      <c r="C164" s="7" t="s">
        <v>47</v>
      </c>
      <c r="D164" s="7" t="s">
        <v>329</v>
      </c>
      <c r="E164" s="7"/>
      <c r="F164" s="7"/>
      <c r="G164" s="7" t="s">
        <v>1335</v>
      </c>
      <c r="H164" s="7" t="s">
        <v>159</v>
      </c>
      <c r="I164" s="7" t="s">
        <v>34</v>
      </c>
      <c r="J164" s="7" t="s">
        <v>1338</v>
      </c>
      <c r="K164" s="7" t="s">
        <v>37</v>
      </c>
      <c r="L164" s="7" t="s">
        <v>1339</v>
      </c>
      <c r="M164" s="7" t="s">
        <v>1340</v>
      </c>
      <c r="N164" s="7" t="s">
        <v>40</v>
      </c>
      <c r="O164" s="7" t="s">
        <v>41</v>
      </c>
      <c r="P164" s="7"/>
      <c r="Q164" s="7"/>
      <c r="R164" s="7"/>
      <c r="S164" s="7" t="s">
        <v>1341</v>
      </c>
      <c r="T164" s="7" t="s">
        <v>540</v>
      </c>
      <c r="U164" s="7"/>
    </row>
    <row r="165" ht="15.75" customHeight="1">
      <c r="A165" s="7" t="s">
        <v>1342</v>
      </c>
      <c r="B165" s="7" t="s">
        <v>1344</v>
      </c>
      <c r="C165" s="7" t="s">
        <v>47</v>
      </c>
      <c r="D165" s="7" t="s">
        <v>110</v>
      </c>
      <c r="E165" s="7"/>
      <c r="F165" s="7"/>
      <c r="G165" s="7" t="s">
        <v>63</v>
      </c>
      <c r="H165" s="7" t="s">
        <v>33</v>
      </c>
      <c r="I165" s="7" t="s">
        <v>34</v>
      </c>
      <c r="J165" s="7" t="s">
        <v>667</v>
      </c>
      <c r="K165" s="7" t="s">
        <v>37</v>
      </c>
      <c r="L165" s="7" t="s">
        <v>1346</v>
      </c>
      <c r="M165" s="7" t="s">
        <v>1348</v>
      </c>
      <c r="N165" s="7" t="s">
        <v>40</v>
      </c>
      <c r="O165" s="7" t="s">
        <v>41</v>
      </c>
      <c r="P165" s="7"/>
      <c r="Q165" s="7"/>
      <c r="R165" s="7"/>
      <c r="S165" s="7" t="s">
        <v>72</v>
      </c>
      <c r="T165" s="7" t="s">
        <v>119</v>
      </c>
      <c r="U165" s="7"/>
    </row>
    <row r="166" ht="15.75" customHeight="1">
      <c r="A166" s="7" t="s">
        <v>1342</v>
      </c>
      <c r="B166" s="7" t="s">
        <v>1349</v>
      </c>
      <c r="C166" s="7" t="s">
        <v>47</v>
      </c>
      <c r="D166" s="7" t="s">
        <v>110</v>
      </c>
      <c r="E166" s="7"/>
      <c r="F166" s="7"/>
      <c r="G166" s="7" t="s">
        <v>89</v>
      </c>
      <c r="H166" s="7" t="s">
        <v>50</v>
      </c>
      <c r="I166" s="7" t="s">
        <v>34</v>
      </c>
      <c r="J166" s="7" t="s">
        <v>976</v>
      </c>
      <c r="K166" s="7" t="s">
        <v>37</v>
      </c>
      <c r="L166" s="7" t="s">
        <v>1351</v>
      </c>
      <c r="M166" s="7" t="s">
        <v>1352</v>
      </c>
      <c r="N166" s="7" t="s">
        <v>40</v>
      </c>
      <c r="O166" s="7" t="s">
        <v>41</v>
      </c>
      <c r="P166" s="7"/>
      <c r="Q166" s="7"/>
      <c r="R166" s="7"/>
      <c r="S166" s="7" t="s">
        <v>96</v>
      </c>
      <c r="T166" s="7" t="s">
        <v>119</v>
      </c>
      <c r="U166" s="7"/>
    </row>
    <row r="167" ht="15.75" customHeight="1">
      <c r="A167" s="7" t="s">
        <v>1342</v>
      </c>
      <c r="B167" s="7" t="s">
        <v>1353</v>
      </c>
      <c r="C167" s="7" t="s">
        <v>47</v>
      </c>
      <c r="D167" s="7" t="s">
        <v>110</v>
      </c>
      <c r="E167" s="7"/>
      <c r="F167" s="7"/>
      <c r="G167" s="7" t="s">
        <v>89</v>
      </c>
      <c r="H167" s="7" t="s">
        <v>50</v>
      </c>
      <c r="I167" s="7" t="s">
        <v>142</v>
      </c>
      <c r="J167" s="7" t="s">
        <v>739</v>
      </c>
      <c r="K167" s="7" t="s">
        <v>167</v>
      </c>
      <c r="L167" s="7" t="s">
        <v>1355</v>
      </c>
      <c r="M167" s="7" t="s">
        <v>1356</v>
      </c>
      <c r="N167" s="7" t="s">
        <v>40</v>
      </c>
      <c r="O167" s="7" t="s">
        <v>41</v>
      </c>
      <c r="P167" s="7"/>
      <c r="Q167" s="7"/>
      <c r="R167" s="7"/>
      <c r="S167" s="7" t="s">
        <v>96</v>
      </c>
      <c r="T167" s="7" t="s">
        <v>119</v>
      </c>
      <c r="U167" s="7"/>
    </row>
    <row r="168" ht="15.75" customHeight="1">
      <c r="A168" s="7" t="s">
        <v>1342</v>
      </c>
      <c r="B168" s="7" t="s">
        <v>1360</v>
      </c>
      <c r="C168" s="7" t="s">
        <v>47</v>
      </c>
      <c r="D168" s="7" t="s">
        <v>110</v>
      </c>
      <c r="E168" s="7"/>
      <c r="F168" s="7"/>
      <c r="G168" s="7" t="s">
        <v>243</v>
      </c>
      <c r="H168" s="7" t="s">
        <v>232</v>
      </c>
      <c r="I168" s="7" t="s">
        <v>34</v>
      </c>
      <c r="J168" s="7" t="s">
        <v>1049</v>
      </c>
      <c r="K168" s="7" t="s">
        <v>37</v>
      </c>
      <c r="L168" s="7" t="s">
        <v>1361</v>
      </c>
      <c r="M168" s="7" t="s">
        <v>1362</v>
      </c>
      <c r="N168" s="7" t="s">
        <v>40</v>
      </c>
      <c r="O168" s="7" t="s">
        <v>41</v>
      </c>
      <c r="P168" s="7"/>
      <c r="Q168" s="7"/>
      <c r="R168" s="7"/>
      <c r="S168" s="7" t="s">
        <v>241</v>
      </c>
      <c r="T168" s="7" t="s">
        <v>119</v>
      </c>
      <c r="U168" s="7"/>
    </row>
    <row r="169" ht="15.75" customHeight="1">
      <c r="A169" s="7" t="s">
        <v>1342</v>
      </c>
      <c r="B169" s="7" t="s">
        <v>1365</v>
      </c>
      <c r="C169" s="7" t="s">
        <v>47</v>
      </c>
      <c r="D169" s="7" t="s">
        <v>110</v>
      </c>
      <c r="E169" s="7"/>
      <c r="F169" s="7"/>
      <c r="G169" s="7" t="s">
        <v>63</v>
      </c>
      <c r="H169" s="7" t="s">
        <v>33</v>
      </c>
      <c r="I169" s="7" t="s">
        <v>34</v>
      </c>
      <c r="J169" s="7" t="s">
        <v>1053</v>
      </c>
      <c r="K169" s="7" t="s">
        <v>37</v>
      </c>
      <c r="L169" s="7" t="s">
        <v>1368</v>
      </c>
      <c r="M169" s="7" t="s">
        <v>1369</v>
      </c>
      <c r="N169" s="7" t="s">
        <v>40</v>
      </c>
      <c r="O169" s="7" t="s">
        <v>41</v>
      </c>
      <c r="P169" s="7"/>
      <c r="Q169" s="7"/>
      <c r="R169" s="7"/>
      <c r="S169" s="7" t="s">
        <v>72</v>
      </c>
      <c r="T169" s="7" t="s">
        <v>119</v>
      </c>
      <c r="U169" s="7"/>
    </row>
    <row r="170" ht="15.75" customHeight="1">
      <c r="A170" s="7" t="s">
        <v>1342</v>
      </c>
      <c r="B170" s="7" t="s">
        <v>1372</v>
      </c>
      <c r="C170" s="7" t="s">
        <v>47</v>
      </c>
      <c r="D170" s="7" t="s">
        <v>48</v>
      </c>
      <c r="E170" s="7"/>
      <c r="F170" s="7"/>
      <c r="G170" s="7" t="s">
        <v>63</v>
      </c>
      <c r="H170" s="7" t="s">
        <v>33</v>
      </c>
      <c r="I170" s="7" t="s">
        <v>34</v>
      </c>
      <c r="J170" s="7" t="s">
        <v>698</v>
      </c>
      <c r="K170" s="7" t="s">
        <v>162</v>
      </c>
      <c r="L170" s="7" t="s">
        <v>1373</v>
      </c>
      <c r="M170" s="7" t="s">
        <v>1374</v>
      </c>
      <c r="N170" s="7" t="s">
        <v>40</v>
      </c>
      <c r="O170" s="7" t="s">
        <v>41</v>
      </c>
      <c r="P170" s="7"/>
      <c r="Q170" s="7"/>
      <c r="R170" s="7"/>
      <c r="S170" s="7" t="s">
        <v>72</v>
      </c>
      <c r="T170" s="7" t="s">
        <v>59</v>
      </c>
      <c r="U170" s="7"/>
    </row>
    <row r="171" ht="15.75" customHeight="1">
      <c r="A171" s="7" t="s">
        <v>1342</v>
      </c>
      <c r="B171" s="7" t="s">
        <v>1376</v>
      </c>
      <c r="C171" s="7" t="s">
        <v>47</v>
      </c>
      <c r="D171" s="7" t="s">
        <v>48</v>
      </c>
      <c r="E171" s="7"/>
      <c r="F171" s="7"/>
      <c r="G171" s="7" t="s">
        <v>63</v>
      </c>
      <c r="H171" s="7" t="s">
        <v>33</v>
      </c>
      <c r="I171" s="7" t="s">
        <v>34</v>
      </c>
      <c r="J171" s="7" t="s">
        <v>1113</v>
      </c>
      <c r="K171" s="7" t="s">
        <v>162</v>
      </c>
      <c r="L171" s="7" t="s">
        <v>1379</v>
      </c>
      <c r="M171" s="7" t="s">
        <v>1380</v>
      </c>
      <c r="N171" s="7" t="s">
        <v>40</v>
      </c>
      <c r="O171" s="7" t="s">
        <v>41</v>
      </c>
      <c r="P171" s="7"/>
      <c r="Q171" s="7"/>
      <c r="R171" s="7"/>
      <c r="S171" s="7" t="s">
        <v>72</v>
      </c>
      <c r="T171" s="7" t="s">
        <v>59</v>
      </c>
      <c r="U171" s="7"/>
    </row>
    <row r="172" ht="15.75" customHeight="1">
      <c r="A172" s="7" t="s">
        <v>1342</v>
      </c>
      <c r="B172" s="7" t="s">
        <v>1381</v>
      </c>
      <c r="C172" s="7" t="s">
        <v>47</v>
      </c>
      <c r="D172" s="7" t="s">
        <v>110</v>
      </c>
      <c r="E172" s="7"/>
      <c r="F172" s="7"/>
      <c r="G172" s="7" t="s">
        <v>63</v>
      </c>
      <c r="H172" s="7" t="s">
        <v>33</v>
      </c>
      <c r="I172" s="7" t="s">
        <v>51</v>
      </c>
      <c r="J172" s="7" t="s">
        <v>1104</v>
      </c>
      <c r="K172" s="7" t="s">
        <v>54</v>
      </c>
      <c r="L172" s="7" t="s">
        <v>1383</v>
      </c>
      <c r="M172" s="7" t="s">
        <v>1384</v>
      </c>
      <c r="N172" s="7" t="s">
        <v>40</v>
      </c>
      <c r="O172" s="7" t="s">
        <v>41</v>
      </c>
      <c r="P172" s="7"/>
      <c r="Q172" s="7"/>
      <c r="R172" s="7"/>
      <c r="S172" s="7" t="s">
        <v>72</v>
      </c>
      <c r="T172" s="7" t="s">
        <v>119</v>
      </c>
      <c r="U172" s="7"/>
    </row>
    <row r="173" ht="15.75" customHeight="1">
      <c r="A173" s="7" t="s">
        <v>1342</v>
      </c>
      <c r="B173" s="7" t="s">
        <v>1387</v>
      </c>
      <c r="C173" s="7" t="s">
        <v>47</v>
      </c>
      <c r="D173" s="7" t="s">
        <v>110</v>
      </c>
      <c r="E173" s="7"/>
      <c r="F173" s="7"/>
      <c r="G173" s="7" t="s">
        <v>550</v>
      </c>
      <c r="H173" s="7" t="s">
        <v>33</v>
      </c>
      <c r="I173" s="7" t="s">
        <v>34</v>
      </c>
      <c r="J173" s="7" t="s">
        <v>667</v>
      </c>
      <c r="K173" s="7" t="s">
        <v>37</v>
      </c>
      <c r="L173" s="7" t="s">
        <v>1388</v>
      </c>
      <c r="M173" s="7" t="s">
        <v>1384</v>
      </c>
      <c r="N173" s="7" t="s">
        <v>40</v>
      </c>
      <c r="O173" s="7" t="s">
        <v>41</v>
      </c>
      <c r="P173" s="7"/>
      <c r="Q173" s="7"/>
      <c r="R173" s="7"/>
      <c r="S173" s="7" t="s">
        <v>556</v>
      </c>
      <c r="T173" s="7" t="s">
        <v>119</v>
      </c>
      <c r="U173" s="7"/>
    </row>
    <row r="174" ht="15.75" customHeight="1">
      <c r="A174" s="7" t="s">
        <v>1342</v>
      </c>
      <c r="B174" s="7" t="s">
        <v>1390</v>
      </c>
      <c r="C174" s="7" t="s">
        <v>47</v>
      </c>
      <c r="D174" s="7" t="s">
        <v>110</v>
      </c>
      <c r="E174" s="7"/>
      <c r="F174" s="7"/>
      <c r="G174" s="7" t="s">
        <v>466</v>
      </c>
      <c r="H174" s="7" t="s">
        <v>50</v>
      </c>
      <c r="I174" s="7" t="s">
        <v>34</v>
      </c>
      <c r="J174" s="7" t="s">
        <v>1393</v>
      </c>
      <c r="K174" s="7" t="s">
        <v>37</v>
      </c>
      <c r="L174" s="7" t="s">
        <v>1394</v>
      </c>
      <c r="M174" s="7" t="s">
        <v>1395</v>
      </c>
      <c r="N174" s="7" t="s">
        <v>40</v>
      </c>
      <c r="O174" s="7" t="s">
        <v>41</v>
      </c>
      <c r="P174" s="7"/>
      <c r="Q174" s="7"/>
      <c r="R174" s="7"/>
      <c r="S174" s="7" t="s">
        <v>471</v>
      </c>
      <c r="T174" s="7" t="s">
        <v>119</v>
      </c>
      <c r="U174" s="7"/>
    </row>
    <row r="175" ht="15.75" customHeight="1">
      <c r="A175" s="7" t="s">
        <v>1342</v>
      </c>
      <c r="B175" s="7" t="s">
        <v>1398</v>
      </c>
      <c r="C175" s="7" t="s">
        <v>47</v>
      </c>
      <c r="D175" s="7" t="s">
        <v>329</v>
      </c>
      <c r="E175" s="7"/>
      <c r="F175" s="7"/>
      <c r="G175" s="7" t="s">
        <v>63</v>
      </c>
      <c r="H175" s="7" t="s">
        <v>33</v>
      </c>
      <c r="I175" s="7" t="s">
        <v>34</v>
      </c>
      <c r="J175" s="7" t="s">
        <v>1401</v>
      </c>
      <c r="K175" s="7" t="s">
        <v>37</v>
      </c>
      <c r="L175" s="7" t="s">
        <v>1402</v>
      </c>
      <c r="M175" s="7" t="s">
        <v>1403</v>
      </c>
      <c r="N175" s="7" t="s">
        <v>40</v>
      </c>
      <c r="O175" s="7" t="s">
        <v>41</v>
      </c>
      <c r="P175" s="7"/>
      <c r="Q175" s="7"/>
      <c r="R175" s="7"/>
      <c r="S175" s="7" t="s">
        <v>72</v>
      </c>
      <c r="T175" s="7" t="s">
        <v>540</v>
      </c>
      <c r="U175" s="7"/>
    </row>
    <row r="176" ht="15.75" customHeight="1">
      <c r="A176" s="7" t="s">
        <v>1342</v>
      </c>
      <c r="B176" s="7" t="s">
        <v>1406</v>
      </c>
      <c r="C176" s="7" t="s">
        <v>47</v>
      </c>
      <c r="D176" s="7" t="s">
        <v>48</v>
      </c>
      <c r="E176" s="7"/>
      <c r="F176" s="7"/>
      <c r="G176" s="7" t="s">
        <v>49</v>
      </c>
      <c r="H176" s="7" t="s">
        <v>50</v>
      </c>
      <c r="I176" s="7" t="s">
        <v>34</v>
      </c>
      <c r="J176" s="7" t="s">
        <v>1408</v>
      </c>
      <c r="K176" s="7" t="s">
        <v>37</v>
      </c>
      <c r="L176" s="7" t="s">
        <v>1409</v>
      </c>
      <c r="M176" s="7" t="s">
        <v>1410</v>
      </c>
      <c r="N176" s="7" t="s">
        <v>40</v>
      </c>
      <c r="O176" s="7" t="s">
        <v>41</v>
      </c>
      <c r="P176" s="7"/>
      <c r="Q176" s="7"/>
      <c r="R176" s="7"/>
      <c r="S176" s="7" t="s">
        <v>58</v>
      </c>
      <c r="T176" s="7" t="s">
        <v>59</v>
      </c>
      <c r="U176" s="7"/>
    </row>
    <row r="177" ht="15.75" customHeight="1">
      <c r="A177" s="7" t="s">
        <v>1342</v>
      </c>
      <c r="B177" s="7" t="s">
        <v>1412</v>
      </c>
      <c r="C177" s="7" t="s">
        <v>47</v>
      </c>
      <c r="D177" s="7" t="s">
        <v>110</v>
      </c>
      <c r="E177" s="7"/>
      <c r="F177" s="7"/>
      <c r="G177" s="7" t="s">
        <v>307</v>
      </c>
      <c r="H177" s="7" t="s">
        <v>232</v>
      </c>
      <c r="I177" s="7" t="s">
        <v>142</v>
      </c>
      <c r="J177" s="7" t="s">
        <v>1058</v>
      </c>
      <c r="K177" s="7" t="s">
        <v>167</v>
      </c>
      <c r="L177" s="7" t="s">
        <v>1414</v>
      </c>
      <c r="M177" s="7" t="s">
        <v>1356</v>
      </c>
      <c r="N177" s="7" t="s">
        <v>40</v>
      </c>
      <c r="O177" s="7" t="s">
        <v>41</v>
      </c>
      <c r="P177" s="7"/>
      <c r="Q177" s="7"/>
      <c r="R177" s="7"/>
      <c r="S177" s="7" t="s">
        <v>304</v>
      </c>
      <c r="T177" s="7" t="s">
        <v>119</v>
      </c>
      <c r="U177" s="7"/>
    </row>
    <row r="178" ht="15.75" customHeight="1">
      <c r="A178" s="7" t="s">
        <v>1342</v>
      </c>
      <c r="B178" s="7" t="s">
        <v>1415</v>
      </c>
      <c r="C178" s="7" t="s">
        <v>47</v>
      </c>
      <c r="D178" s="7" t="s">
        <v>110</v>
      </c>
      <c r="E178" s="7" t="s">
        <v>30</v>
      </c>
      <c r="F178" s="7" t="s">
        <v>31</v>
      </c>
      <c r="G178" s="7" t="s">
        <v>261</v>
      </c>
      <c r="H178" s="7" t="s">
        <v>33</v>
      </c>
      <c r="I178" s="7" t="s">
        <v>142</v>
      </c>
      <c r="J178" s="7" t="s">
        <v>1401</v>
      </c>
      <c r="K178" s="7" t="s">
        <v>167</v>
      </c>
      <c r="L178" s="7" t="s">
        <v>1417</v>
      </c>
      <c r="M178" s="7" t="s">
        <v>1356</v>
      </c>
      <c r="N178" s="7" t="s">
        <v>40</v>
      </c>
      <c r="O178" s="7" t="s">
        <v>41</v>
      </c>
      <c r="P178" s="7"/>
      <c r="Q178" s="7"/>
      <c r="R178" s="7"/>
      <c r="S178" s="7" t="s">
        <v>260</v>
      </c>
      <c r="T178" s="7" t="s">
        <v>119</v>
      </c>
      <c r="U178" s="7"/>
    </row>
    <row r="179" ht="15.75" customHeight="1">
      <c r="A179" s="7" t="s">
        <v>1342</v>
      </c>
      <c r="B179" s="7" t="s">
        <v>1419</v>
      </c>
      <c r="C179" s="7" t="s">
        <v>47</v>
      </c>
      <c r="D179" s="7" t="s">
        <v>110</v>
      </c>
      <c r="E179" s="7"/>
      <c r="F179" s="7"/>
      <c r="G179" s="7" t="s">
        <v>550</v>
      </c>
      <c r="H179" s="7" t="s">
        <v>33</v>
      </c>
      <c r="I179" s="7" t="s">
        <v>142</v>
      </c>
      <c r="J179" s="7" t="s">
        <v>698</v>
      </c>
      <c r="K179" s="7" t="s">
        <v>167</v>
      </c>
      <c r="L179" s="7" t="s">
        <v>1420</v>
      </c>
      <c r="M179" s="7" t="s">
        <v>1356</v>
      </c>
      <c r="N179" s="7" t="s">
        <v>40</v>
      </c>
      <c r="O179" s="7" t="s">
        <v>41</v>
      </c>
      <c r="P179" s="7"/>
      <c r="Q179" s="7"/>
      <c r="R179" s="7"/>
      <c r="S179" s="7" t="s">
        <v>556</v>
      </c>
      <c r="T179" s="7" t="s">
        <v>119</v>
      </c>
      <c r="U179" s="7"/>
    </row>
    <row r="180" ht="15.75" customHeight="1">
      <c r="A180" s="7" t="s">
        <v>1342</v>
      </c>
      <c r="B180" s="7" t="s">
        <v>1422</v>
      </c>
      <c r="C180" s="7" t="s">
        <v>47</v>
      </c>
      <c r="D180" s="7" t="s">
        <v>110</v>
      </c>
      <c r="E180" s="7"/>
      <c r="F180" s="7"/>
      <c r="G180" s="7" t="s">
        <v>63</v>
      </c>
      <c r="H180" s="7" t="s">
        <v>33</v>
      </c>
      <c r="I180" s="7" t="s">
        <v>51</v>
      </c>
      <c r="J180" s="7" t="s">
        <v>1423</v>
      </c>
      <c r="K180" s="7" t="s">
        <v>54</v>
      </c>
      <c r="L180" s="7" t="s">
        <v>1426</v>
      </c>
      <c r="M180" s="7" t="s">
        <v>1427</v>
      </c>
      <c r="N180" s="7" t="s">
        <v>40</v>
      </c>
      <c r="O180" s="7" t="s">
        <v>41</v>
      </c>
      <c r="P180" s="7"/>
      <c r="Q180" s="7"/>
      <c r="R180" s="7"/>
      <c r="S180" s="7" t="s">
        <v>72</v>
      </c>
      <c r="T180" s="7" t="s">
        <v>119</v>
      </c>
      <c r="U180" s="7"/>
    </row>
    <row r="181" ht="15.75" customHeight="1">
      <c r="A181" s="7" t="s">
        <v>1342</v>
      </c>
      <c r="B181" s="7" t="s">
        <v>1428</v>
      </c>
      <c r="C181" s="7" t="s">
        <v>47</v>
      </c>
      <c r="D181" s="7" t="s">
        <v>110</v>
      </c>
      <c r="E181" s="7"/>
      <c r="F181" s="7"/>
      <c r="G181" s="7" t="s">
        <v>63</v>
      </c>
      <c r="H181" s="7" t="s">
        <v>33</v>
      </c>
      <c r="I181" s="7" t="s">
        <v>34</v>
      </c>
      <c r="J181" s="7" t="s">
        <v>1430</v>
      </c>
      <c r="K181" s="7" t="s">
        <v>37</v>
      </c>
      <c r="L181" s="7" t="s">
        <v>1431</v>
      </c>
      <c r="M181" s="7" t="s">
        <v>1403</v>
      </c>
      <c r="N181" s="7" t="s">
        <v>40</v>
      </c>
      <c r="O181" s="7" t="s">
        <v>41</v>
      </c>
      <c r="P181" s="7"/>
      <c r="Q181" s="7"/>
      <c r="R181" s="7"/>
      <c r="S181" s="7" t="s">
        <v>72</v>
      </c>
      <c r="T181" s="7" t="s">
        <v>119</v>
      </c>
      <c r="U181" s="7"/>
    </row>
    <row r="182" ht="15.75" customHeight="1">
      <c r="A182" s="7" t="s">
        <v>1433</v>
      </c>
      <c r="B182" s="7" t="s">
        <v>1434</v>
      </c>
      <c r="C182" s="7" t="s">
        <v>47</v>
      </c>
      <c r="D182" s="7" t="s">
        <v>329</v>
      </c>
      <c r="E182" s="7"/>
      <c r="F182" s="7"/>
      <c r="G182" s="7" t="s">
        <v>63</v>
      </c>
      <c r="H182" s="7" t="s">
        <v>33</v>
      </c>
      <c r="I182" s="7" t="s">
        <v>51</v>
      </c>
      <c r="J182" s="7" t="s">
        <v>1435</v>
      </c>
      <c r="K182" s="7" t="s">
        <v>54</v>
      </c>
      <c r="L182" s="7" t="s">
        <v>1436</v>
      </c>
      <c r="M182" s="7" t="s">
        <v>1437</v>
      </c>
      <c r="N182" s="7" t="s">
        <v>40</v>
      </c>
      <c r="O182" s="7" t="s">
        <v>41</v>
      </c>
      <c r="P182" s="7"/>
      <c r="Q182" s="7"/>
      <c r="R182" s="7"/>
      <c r="S182" s="7" t="s">
        <v>72</v>
      </c>
      <c r="T182" s="7" t="s">
        <v>540</v>
      </c>
      <c r="U182" s="7"/>
    </row>
    <row r="183" ht="15.75" customHeight="1">
      <c r="A183" s="7" t="s">
        <v>1433</v>
      </c>
      <c r="B183" s="7" t="s">
        <v>1439</v>
      </c>
      <c r="C183" s="7" t="s">
        <v>47</v>
      </c>
      <c r="D183" s="7" t="s">
        <v>110</v>
      </c>
      <c r="E183" s="7"/>
      <c r="F183" s="7"/>
      <c r="G183" s="7" t="s">
        <v>63</v>
      </c>
      <c r="H183" s="7" t="s">
        <v>33</v>
      </c>
      <c r="I183" s="7" t="s">
        <v>51</v>
      </c>
      <c r="J183" s="7" t="s">
        <v>1443</v>
      </c>
      <c r="K183" s="7" t="s">
        <v>54</v>
      </c>
      <c r="L183" s="7" t="s">
        <v>1444</v>
      </c>
      <c r="M183" s="7" t="s">
        <v>1445</v>
      </c>
      <c r="N183" s="7" t="s">
        <v>40</v>
      </c>
      <c r="O183" s="7" t="s">
        <v>41</v>
      </c>
      <c r="P183" s="7"/>
      <c r="Q183" s="7"/>
      <c r="R183" s="7"/>
      <c r="S183" s="7" t="s">
        <v>72</v>
      </c>
      <c r="T183" s="7" t="s">
        <v>119</v>
      </c>
      <c r="U183" s="7"/>
    </row>
    <row r="184" ht="15.75" customHeight="1">
      <c r="A184" s="7" t="s">
        <v>1433</v>
      </c>
      <c r="B184" s="7" t="s">
        <v>1447</v>
      </c>
      <c r="C184" s="7" t="s">
        <v>47</v>
      </c>
      <c r="D184" s="7" t="s">
        <v>110</v>
      </c>
      <c r="E184" s="7"/>
      <c r="F184" s="7"/>
      <c r="G184" s="7" t="s">
        <v>63</v>
      </c>
      <c r="H184" s="7" t="s">
        <v>33</v>
      </c>
      <c r="I184" s="7" t="s">
        <v>51</v>
      </c>
      <c r="J184" s="7" t="s">
        <v>1449</v>
      </c>
      <c r="K184" s="7" t="s">
        <v>54</v>
      </c>
      <c r="L184" s="7" t="s">
        <v>1451</v>
      </c>
      <c r="M184" s="7" t="s">
        <v>1437</v>
      </c>
      <c r="N184" s="7" t="s">
        <v>40</v>
      </c>
      <c r="O184" s="7" t="s">
        <v>41</v>
      </c>
      <c r="P184" s="7"/>
      <c r="Q184" s="7"/>
      <c r="R184" s="7"/>
      <c r="S184" s="7" t="s">
        <v>72</v>
      </c>
      <c r="T184" s="7" t="s">
        <v>119</v>
      </c>
      <c r="U184" s="7"/>
    </row>
    <row r="185" ht="15.75" customHeight="1">
      <c r="A185" s="7" t="s">
        <v>1433</v>
      </c>
      <c r="B185" s="7" t="s">
        <v>1454</v>
      </c>
      <c r="C185" s="7" t="s">
        <v>47</v>
      </c>
      <c r="D185" s="7" t="s">
        <v>329</v>
      </c>
      <c r="E185" s="7"/>
      <c r="F185" s="7"/>
      <c r="G185" s="7" t="s">
        <v>209</v>
      </c>
      <c r="H185" s="7" t="s">
        <v>33</v>
      </c>
      <c r="I185" s="7" t="s">
        <v>51</v>
      </c>
      <c r="J185" s="7" t="s">
        <v>1456</v>
      </c>
      <c r="K185" s="7" t="s">
        <v>54</v>
      </c>
      <c r="L185" s="7" t="s">
        <v>1457</v>
      </c>
      <c r="M185" s="7" t="s">
        <v>1437</v>
      </c>
      <c r="N185" s="7" t="s">
        <v>40</v>
      </c>
      <c r="O185" s="7" t="s">
        <v>41</v>
      </c>
      <c r="P185" s="7"/>
      <c r="Q185" s="7"/>
      <c r="R185" s="7"/>
      <c r="S185" s="7" t="s">
        <v>215</v>
      </c>
      <c r="T185" s="7" t="s">
        <v>540</v>
      </c>
      <c r="U185" s="7"/>
    </row>
    <row r="186" ht="15.75" customHeight="1">
      <c r="A186" s="7" t="s">
        <v>1433</v>
      </c>
      <c r="B186" s="7" t="s">
        <v>1459</v>
      </c>
      <c r="C186" s="7" t="s">
        <v>47</v>
      </c>
      <c r="D186" s="7" t="s">
        <v>48</v>
      </c>
      <c r="E186" s="7" t="s">
        <v>30</v>
      </c>
      <c r="F186" s="7" t="s">
        <v>31</v>
      </c>
      <c r="G186" s="7" t="s">
        <v>1460</v>
      </c>
      <c r="H186" s="7" t="s">
        <v>33</v>
      </c>
      <c r="I186" s="7" t="s">
        <v>51</v>
      </c>
      <c r="J186" s="7" t="s">
        <v>1461</v>
      </c>
      <c r="K186" s="7" t="s">
        <v>54</v>
      </c>
      <c r="L186" s="7" t="s">
        <v>1463</v>
      </c>
      <c r="M186" s="7" t="s">
        <v>1464</v>
      </c>
      <c r="N186" s="7" t="s">
        <v>40</v>
      </c>
      <c r="O186" s="7" t="s">
        <v>41</v>
      </c>
      <c r="P186" s="7"/>
      <c r="Q186" s="7"/>
      <c r="R186" s="7"/>
      <c r="S186" s="7" t="s">
        <v>1465</v>
      </c>
      <c r="T186" s="7" t="s">
        <v>59</v>
      </c>
      <c r="U186" s="7"/>
    </row>
    <row r="187" ht="15.75" customHeight="1">
      <c r="A187" s="7" t="s">
        <v>1433</v>
      </c>
      <c r="B187" s="7" t="s">
        <v>1466</v>
      </c>
      <c r="C187" s="7" t="s">
        <v>47</v>
      </c>
      <c r="D187" s="7" t="s">
        <v>110</v>
      </c>
      <c r="E187" s="7"/>
      <c r="F187" s="7"/>
      <c r="G187" s="7" t="s">
        <v>550</v>
      </c>
      <c r="H187" s="7" t="s">
        <v>33</v>
      </c>
      <c r="I187" s="7" t="s">
        <v>34</v>
      </c>
      <c r="J187" s="7" t="s">
        <v>1468</v>
      </c>
      <c r="K187" s="7" t="s">
        <v>37</v>
      </c>
      <c r="L187" s="7" t="s">
        <v>1469</v>
      </c>
      <c r="M187" s="7" t="s">
        <v>1471</v>
      </c>
      <c r="N187" s="7" t="s">
        <v>40</v>
      </c>
      <c r="O187" s="7" t="s">
        <v>41</v>
      </c>
      <c r="P187" s="7"/>
      <c r="Q187" s="7"/>
      <c r="R187" s="7"/>
      <c r="S187" s="7" t="s">
        <v>556</v>
      </c>
      <c r="T187" s="7" t="s">
        <v>119</v>
      </c>
      <c r="U187" s="7" t="s">
        <v>1472</v>
      </c>
    </row>
    <row r="188" ht="15.75" customHeight="1">
      <c r="A188" s="7" t="s">
        <v>1433</v>
      </c>
      <c r="B188" s="7" t="s">
        <v>1475</v>
      </c>
      <c r="C188" s="7" t="s">
        <v>47</v>
      </c>
      <c r="D188" s="7" t="s">
        <v>110</v>
      </c>
      <c r="E188" s="7"/>
      <c r="F188" s="7"/>
      <c r="G188" s="7" t="s">
        <v>209</v>
      </c>
      <c r="H188" s="7" t="s">
        <v>33</v>
      </c>
      <c r="I188" s="7" t="s">
        <v>142</v>
      </c>
      <c r="J188" s="7" t="s">
        <v>167</v>
      </c>
      <c r="K188" s="7" t="s">
        <v>167</v>
      </c>
      <c r="L188" s="7" t="s">
        <v>1478</v>
      </c>
      <c r="M188" s="7" t="s">
        <v>1479</v>
      </c>
      <c r="N188" s="7" t="s">
        <v>40</v>
      </c>
      <c r="O188" s="7" t="s">
        <v>41</v>
      </c>
      <c r="P188" s="7"/>
      <c r="Q188" s="7"/>
      <c r="R188" s="7"/>
      <c r="S188" s="7" t="s">
        <v>215</v>
      </c>
      <c r="T188" s="7" t="s">
        <v>119</v>
      </c>
      <c r="U188" s="7"/>
    </row>
    <row r="189" ht="15.75" customHeight="1">
      <c r="A189" s="7" t="s">
        <v>1433</v>
      </c>
      <c r="B189" s="7" t="s">
        <v>1482</v>
      </c>
      <c r="C189" s="7" t="s">
        <v>47</v>
      </c>
      <c r="D189" s="7" t="s">
        <v>329</v>
      </c>
      <c r="E189" s="7"/>
      <c r="F189" s="7"/>
      <c r="G189" s="7" t="s">
        <v>121</v>
      </c>
      <c r="H189" s="7" t="s">
        <v>121</v>
      </c>
      <c r="I189" s="7" t="s">
        <v>51</v>
      </c>
      <c r="J189" s="7" t="s">
        <v>1485</v>
      </c>
      <c r="K189" s="7" t="s">
        <v>54</v>
      </c>
      <c r="L189" s="7" t="s">
        <v>1486</v>
      </c>
      <c r="M189" s="7" t="s">
        <v>1437</v>
      </c>
      <c r="N189" s="7" t="s">
        <v>40</v>
      </c>
      <c r="O189" s="7" t="s">
        <v>41</v>
      </c>
      <c r="P189" s="7"/>
      <c r="Q189" s="7" t="s">
        <v>121</v>
      </c>
      <c r="R189" s="7"/>
      <c r="S189" s="7" t="s">
        <v>138</v>
      </c>
      <c r="T189" s="7" t="s">
        <v>540</v>
      </c>
      <c r="U189" s="7"/>
    </row>
    <row r="190" ht="15.75" customHeight="1">
      <c r="A190" s="7" t="s">
        <v>1488</v>
      </c>
      <c r="B190" s="7" t="s">
        <v>1489</v>
      </c>
      <c r="C190" s="7" t="s">
        <v>47</v>
      </c>
      <c r="D190" s="7" t="s">
        <v>110</v>
      </c>
      <c r="E190" s="7"/>
      <c r="F190" s="7"/>
      <c r="G190" s="7" t="s">
        <v>466</v>
      </c>
      <c r="H190" s="7" t="s">
        <v>50</v>
      </c>
      <c r="I190" s="7" t="s">
        <v>34</v>
      </c>
      <c r="J190" s="7" t="s">
        <v>1492</v>
      </c>
      <c r="K190" s="7" t="s">
        <v>37</v>
      </c>
      <c r="L190" s="7" t="s">
        <v>1493</v>
      </c>
      <c r="M190" s="7" t="s">
        <v>1494</v>
      </c>
      <c r="N190" s="7" t="s">
        <v>40</v>
      </c>
      <c r="O190" s="7" t="s">
        <v>41</v>
      </c>
      <c r="P190" s="7"/>
      <c r="Q190" s="7"/>
      <c r="R190" s="7"/>
      <c r="S190" s="7" t="s">
        <v>471</v>
      </c>
      <c r="T190" s="7" t="s">
        <v>119</v>
      </c>
      <c r="U190" s="7" t="s">
        <v>1496</v>
      </c>
    </row>
    <row r="191" ht="15.75" customHeight="1">
      <c r="A191" s="7" t="s">
        <v>1488</v>
      </c>
      <c r="B191" s="7" t="s">
        <v>1499</v>
      </c>
      <c r="C191" s="7" t="s">
        <v>47</v>
      </c>
      <c r="D191" s="7" t="s">
        <v>110</v>
      </c>
      <c r="E191" s="7"/>
      <c r="F191" s="7"/>
      <c r="G191" s="7" t="s">
        <v>63</v>
      </c>
      <c r="H191" s="7" t="s">
        <v>33</v>
      </c>
      <c r="I191" s="7" t="s">
        <v>34</v>
      </c>
      <c r="J191" s="7" t="s">
        <v>1435</v>
      </c>
      <c r="K191" s="7" t="s">
        <v>37</v>
      </c>
      <c r="L191" s="7" t="s">
        <v>1501</v>
      </c>
      <c r="M191" s="7" t="s">
        <v>1502</v>
      </c>
      <c r="N191" s="7" t="s">
        <v>40</v>
      </c>
      <c r="O191" s="7" t="s">
        <v>41</v>
      </c>
      <c r="P191" s="7"/>
      <c r="Q191" s="7"/>
      <c r="R191" s="7"/>
      <c r="S191" s="7" t="s">
        <v>72</v>
      </c>
      <c r="T191" s="7" t="s">
        <v>119</v>
      </c>
      <c r="U191" s="7"/>
    </row>
    <row r="192" ht="15.75" customHeight="1">
      <c r="A192" s="7" t="s">
        <v>1488</v>
      </c>
      <c r="B192" s="7" t="s">
        <v>1506</v>
      </c>
      <c r="C192" s="7" t="s">
        <v>47</v>
      </c>
      <c r="D192" s="7" t="s">
        <v>110</v>
      </c>
      <c r="E192" s="7"/>
      <c r="F192" s="7"/>
      <c r="G192" s="7" t="s">
        <v>63</v>
      </c>
      <c r="H192" s="7" t="s">
        <v>33</v>
      </c>
      <c r="I192" s="7" t="s">
        <v>51</v>
      </c>
      <c r="J192" s="7" t="s">
        <v>1508</v>
      </c>
      <c r="K192" s="7" t="s">
        <v>54</v>
      </c>
      <c r="L192" s="7" t="s">
        <v>1509</v>
      </c>
      <c r="M192" s="7" t="s">
        <v>1511</v>
      </c>
      <c r="N192" s="7" t="s">
        <v>40</v>
      </c>
      <c r="O192" s="7" t="s">
        <v>41</v>
      </c>
      <c r="P192" s="7"/>
      <c r="Q192" s="7"/>
      <c r="R192" s="7"/>
      <c r="S192" s="7" t="s">
        <v>72</v>
      </c>
      <c r="T192" s="7" t="s">
        <v>119</v>
      </c>
      <c r="U192" s="7" t="s">
        <v>153</v>
      </c>
    </row>
    <row r="193" ht="15.75" customHeight="1">
      <c r="A193" s="7" t="s">
        <v>1488</v>
      </c>
      <c r="B193" s="7" t="s">
        <v>1513</v>
      </c>
      <c r="C193" s="7" t="s">
        <v>47</v>
      </c>
      <c r="D193" s="7" t="s">
        <v>110</v>
      </c>
      <c r="E193" s="7"/>
      <c r="F193" s="7"/>
      <c r="G193" s="7" t="s">
        <v>63</v>
      </c>
      <c r="H193" s="7" t="s">
        <v>33</v>
      </c>
      <c r="I193" s="7" t="s">
        <v>51</v>
      </c>
      <c r="J193" s="7" t="s">
        <v>1515</v>
      </c>
      <c r="K193" s="7" t="s">
        <v>54</v>
      </c>
      <c r="L193" s="7" t="s">
        <v>1517</v>
      </c>
      <c r="M193" s="7" t="s">
        <v>1511</v>
      </c>
      <c r="N193" s="7" t="s">
        <v>40</v>
      </c>
      <c r="O193" s="7" t="s">
        <v>41</v>
      </c>
      <c r="P193" s="7"/>
      <c r="Q193" s="7"/>
      <c r="R193" s="7"/>
      <c r="S193" s="7" t="s">
        <v>72</v>
      </c>
      <c r="T193" s="7" t="s">
        <v>119</v>
      </c>
      <c r="U193" s="7"/>
    </row>
    <row r="194" ht="15.75" customHeight="1">
      <c r="A194" s="7" t="s">
        <v>1488</v>
      </c>
      <c r="B194" s="7" t="s">
        <v>1520</v>
      </c>
      <c r="C194" s="7" t="s">
        <v>47</v>
      </c>
      <c r="D194" s="7" t="s">
        <v>110</v>
      </c>
      <c r="E194" s="7"/>
      <c r="F194" s="7"/>
      <c r="G194" s="7" t="s">
        <v>696</v>
      </c>
      <c r="H194" s="7" t="s">
        <v>33</v>
      </c>
      <c r="I194" s="7" t="s">
        <v>51</v>
      </c>
      <c r="J194" s="7" t="s">
        <v>1521</v>
      </c>
      <c r="K194" s="7" t="s">
        <v>54</v>
      </c>
      <c r="L194" s="7" t="s">
        <v>1523</v>
      </c>
      <c r="M194" s="7" t="s">
        <v>1511</v>
      </c>
      <c r="N194" s="7" t="s">
        <v>40</v>
      </c>
      <c r="O194" s="7" t="s">
        <v>41</v>
      </c>
      <c r="P194" s="7"/>
      <c r="Q194" s="7"/>
      <c r="R194" s="7"/>
      <c r="S194" s="7" t="s">
        <v>703</v>
      </c>
      <c r="T194" s="7" t="s">
        <v>119</v>
      </c>
      <c r="U194" s="7" t="s">
        <v>1526</v>
      </c>
    </row>
    <row r="195" ht="15.75" customHeight="1">
      <c r="A195" s="7" t="s">
        <v>1488</v>
      </c>
      <c r="B195" s="7" t="s">
        <v>1530</v>
      </c>
      <c r="C195" s="7" t="s">
        <v>47</v>
      </c>
      <c r="D195" s="7" t="s">
        <v>100</v>
      </c>
      <c r="E195" s="7" t="s">
        <v>30</v>
      </c>
      <c r="F195" s="7" t="s">
        <v>31</v>
      </c>
      <c r="G195" s="7" t="s">
        <v>261</v>
      </c>
      <c r="H195" s="7" t="s">
        <v>33</v>
      </c>
      <c r="I195" s="7" t="s">
        <v>51</v>
      </c>
      <c r="J195" s="7" t="s">
        <v>1531</v>
      </c>
      <c r="K195" s="7" t="s">
        <v>54</v>
      </c>
      <c r="L195" s="7" t="s">
        <v>1532</v>
      </c>
      <c r="M195" s="7" t="s">
        <v>1511</v>
      </c>
      <c r="N195" s="7" t="s">
        <v>40</v>
      </c>
      <c r="O195" s="7" t="s">
        <v>41</v>
      </c>
      <c r="P195" s="7"/>
      <c r="Q195" s="7"/>
      <c r="R195" s="7"/>
      <c r="S195" s="7" t="s">
        <v>260</v>
      </c>
      <c r="T195" s="7" t="s">
        <v>106</v>
      </c>
      <c r="U195" s="7"/>
    </row>
    <row r="196" ht="15.75" customHeight="1">
      <c r="A196" s="7" t="s">
        <v>1488</v>
      </c>
      <c r="B196" s="7" t="s">
        <v>1535</v>
      </c>
      <c r="C196" s="7" t="s">
        <v>47</v>
      </c>
      <c r="D196" s="7" t="s">
        <v>100</v>
      </c>
      <c r="E196" s="7"/>
      <c r="F196" s="7"/>
      <c r="G196" s="7" t="s">
        <v>550</v>
      </c>
      <c r="H196" s="7" t="s">
        <v>33</v>
      </c>
      <c r="I196" s="7" t="s">
        <v>34</v>
      </c>
      <c r="J196" s="7" t="s">
        <v>1540</v>
      </c>
      <c r="K196" s="7" t="s">
        <v>162</v>
      </c>
      <c r="L196" s="7" t="s">
        <v>1541</v>
      </c>
      <c r="M196" s="7" t="s">
        <v>1511</v>
      </c>
      <c r="N196" s="7" t="s">
        <v>40</v>
      </c>
      <c r="O196" s="7" t="s">
        <v>41</v>
      </c>
      <c r="P196" s="7"/>
      <c r="Q196" s="7"/>
      <c r="R196" s="7"/>
      <c r="S196" s="7" t="s">
        <v>556</v>
      </c>
      <c r="T196" s="7" t="s">
        <v>106</v>
      </c>
      <c r="U196" s="7"/>
    </row>
    <row r="197" ht="15.75" customHeight="1">
      <c r="A197" s="7" t="s">
        <v>1488</v>
      </c>
      <c r="B197" s="7" t="s">
        <v>1542</v>
      </c>
      <c r="C197" s="7" t="s">
        <v>62</v>
      </c>
      <c r="D197" s="7" t="s">
        <v>316</v>
      </c>
      <c r="E197" s="7"/>
      <c r="F197" s="7"/>
      <c r="G197" s="7" t="s">
        <v>1544</v>
      </c>
      <c r="H197" s="7" t="s">
        <v>85</v>
      </c>
      <c r="I197" s="7" t="s">
        <v>51</v>
      </c>
      <c r="J197" s="7" t="s">
        <v>1545</v>
      </c>
      <c r="K197" s="7" t="s">
        <v>54</v>
      </c>
      <c r="L197" s="7" t="s">
        <v>1547</v>
      </c>
      <c r="M197" s="7" t="s">
        <v>1511</v>
      </c>
      <c r="N197" s="7" t="s">
        <v>40</v>
      </c>
      <c r="O197" s="7" t="s">
        <v>41</v>
      </c>
      <c r="P197" s="7"/>
      <c r="Q197" s="7"/>
      <c r="R197" s="7"/>
      <c r="S197" s="7" t="s">
        <v>1550</v>
      </c>
      <c r="T197" s="7" t="s">
        <v>888</v>
      </c>
      <c r="U197" s="7"/>
    </row>
    <row r="198" ht="15.75" customHeight="1">
      <c r="A198" s="7" t="s">
        <v>1488</v>
      </c>
      <c r="B198" s="7" t="s">
        <v>1551</v>
      </c>
      <c r="C198" s="7" t="s">
        <v>30</v>
      </c>
      <c r="D198" s="7" t="s">
        <v>31</v>
      </c>
      <c r="E198" s="7" t="s">
        <v>47</v>
      </c>
      <c r="F198" s="7" t="s">
        <v>110</v>
      </c>
      <c r="G198" s="7" t="s">
        <v>32</v>
      </c>
      <c r="H198" s="7" t="s">
        <v>33</v>
      </c>
      <c r="I198" s="7" t="s">
        <v>51</v>
      </c>
      <c r="J198" s="7" t="s">
        <v>1553</v>
      </c>
      <c r="K198" s="7" t="s">
        <v>54</v>
      </c>
      <c r="L198" s="7" t="s">
        <v>1554</v>
      </c>
      <c r="M198" s="7" t="s">
        <v>1555</v>
      </c>
      <c r="N198" s="7" t="s">
        <v>40</v>
      </c>
      <c r="O198" s="7" t="s">
        <v>41</v>
      </c>
      <c r="P198" s="7"/>
      <c r="Q198" s="7"/>
      <c r="R198" s="7"/>
      <c r="S198" s="7" t="s">
        <v>42</v>
      </c>
      <c r="T198" s="7" t="s">
        <v>1110</v>
      </c>
      <c r="U198" s="7"/>
    </row>
    <row r="199" ht="15.75" customHeight="1">
      <c r="A199" s="7" t="s">
        <v>1488</v>
      </c>
      <c r="B199" s="7" t="s">
        <v>1557</v>
      </c>
      <c r="C199" s="7" t="s">
        <v>47</v>
      </c>
      <c r="D199" s="7" t="s">
        <v>329</v>
      </c>
      <c r="E199" s="7"/>
      <c r="F199" s="7"/>
      <c r="G199" s="7" t="s">
        <v>63</v>
      </c>
      <c r="H199" s="7" t="s">
        <v>33</v>
      </c>
      <c r="I199" s="7" t="s">
        <v>34</v>
      </c>
      <c r="J199" s="7" t="s">
        <v>1558</v>
      </c>
      <c r="K199" s="7" t="s">
        <v>37</v>
      </c>
      <c r="L199" s="7" t="s">
        <v>1559</v>
      </c>
      <c r="M199" s="7" t="s">
        <v>1560</v>
      </c>
      <c r="N199" s="7" t="s">
        <v>40</v>
      </c>
      <c r="O199" s="7" t="s">
        <v>41</v>
      </c>
      <c r="P199" s="7"/>
      <c r="Q199" s="7"/>
      <c r="R199" s="7"/>
      <c r="S199" s="7" t="s">
        <v>72</v>
      </c>
      <c r="T199" s="7" t="s">
        <v>540</v>
      </c>
      <c r="U199" s="7"/>
    </row>
    <row r="200" ht="15.75" customHeight="1">
      <c r="A200" s="7" t="s">
        <v>1488</v>
      </c>
      <c r="B200" s="7" t="s">
        <v>1562</v>
      </c>
      <c r="C200" s="7" t="s">
        <v>47</v>
      </c>
      <c r="D200" s="7" t="s">
        <v>329</v>
      </c>
      <c r="E200" s="7"/>
      <c r="F200" s="7"/>
      <c r="G200" s="7" t="s">
        <v>725</v>
      </c>
      <c r="H200" s="7" t="s">
        <v>50</v>
      </c>
      <c r="I200" s="7" t="s">
        <v>51</v>
      </c>
      <c r="J200" s="7" t="s">
        <v>1565</v>
      </c>
      <c r="K200" s="7" t="s">
        <v>54</v>
      </c>
      <c r="L200" s="7" t="s">
        <v>1566</v>
      </c>
      <c r="M200" s="7" t="s">
        <v>1511</v>
      </c>
      <c r="N200" s="7" t="s">
        <v>40</v>
      </c>
      <c r="O200" s="7" t="s">
        <v>41</v>
      </c>
      <c r="P200" s="7"/>
      <c r="Q200" s="7"/>
      <c r="R200" s="7"/>
      <c r="S200" s="7" t="s">
        <v>729</v>
      </c>
      <c r="T200" s="7" t="s">
        <v>540</v>
      </c>
      <c r="U200" s="7"/>
    </row>
    <row r="201" ht="15.75" customHeight="1">
      <c r="A201" s="7" t="s">
        <v>1488</v>
      </c>
      <c r="B201" s="7" t="s">
        <v>1567</v>
      </c>
      <c r="C201" s="7" t="s">
        <v>47</v>
      </c>
      <c r="D201" s="7" t="s">
        <v>329</v>
      </c>
      <c r="E201" s="7"/>
      <c r="F201" s="7"/>
      <c r="G201" s="7" t="s">
        <v>209</v>
      </c>
      <c r="H201" s="7" t="s">
        <v>33</v>
      </c>
      <c r="I201" s="7" t="s">
        <v>34</v>
      </c>
      <c r="J201" s="7" t="s">
        <v>1569</v>
      </c>
      <c r="K201" s="7" t="s">
        <v>162</v>
      </c>
      <c r="L201" s="7" t="s">
        <v>1571</v>
      </c>
      <c r="M201" s="7" t="s">
        <v>1572</v>
      </c>
      <c r="N201" s="7" t="s">
        <v>40</v>
      </c>
      <c r="O201" s="7" t="s">
        <v>41</v>
      </c>
      <c r="P201" s="7"/>
      <c r="Q201" s="7"/>
      <c r="R201" s="7"/>
      <c r="S201" s="7" t="s">
        <v>215</v>
      </c>
      <c r="T201" s="7" t="s">
        <v>540</v>
      </c>
      <c r="U201" s="7"/>
    </row>
    <row r="202" ht="15.75" customHeight="1">
      <c r="A202" s="7" t="s">
        <v>1488</v>
      </c>
      <c r="B202" s="7" t="s">
        <v>1575</v>
      </c>
      <c r="C202" s="7" t="s">
        <v>47</v>
      </c>
      <c r="D202" s="7" t="s">
        <v>110</v>
      </c>
      <c r="E202" s="7"/>
      <c r="F202" s="7"/>
      <c r="G202" s="7" t="s">
        <v>63</v>
      </c>
      <c r="H202" s="7" t="s">
        <v>33</v>
      </c>
      <c r="I202" s="7" t="s">
        <v>34</v>
      </c>
      <c r="J202" s="7" t="s">
        <v>1577</v>
      </c>
      <c r="K202" s="7" t="s">
        <v>37</v>
      </c>
      <c r="L202" s="7" t="s">
        <v>1578</v>
      </c>
      <c r="M202" s="7" t="s">
        <v>1579</v>
      </c>
      <c r="N202" s="7" t="s">
        <v>40</v>
      </c>
      <c r="O202" s="7" t="s">
        <v>41</v>
      </c>
      <c r="P202" s="7"/>
      <c r="Q202" s="7"/>
      <c r="R202" s="7"/>
      <c r="S202" s="7" t="s">
        <v>72</v>
      </c>
      <c r="T202" s="7" t="s">
        <v>119</v>
      </c>
      <c r="U202" s="7"/>
    </row>
    <row r="203" ht="15.75" customHeight="1">
      <c r="A203" s="7" t="s">
        <v>1488</v>
      </c>
      <c r="B203" s="7" t="s">
        <v>1582</v>
      </c>
      <c r="C203" s="7" t="s">
        <v>73</v>
      </c>
      <c r="D203" s="7" t="s">
        <v>262</v>
      </c>
      <c r="E203" s="7"/>
      <c r="F203" s="7"/>
      <c r="G203" s="7" t="s">
        <v>63</v>
      </c>
      <c r="H203" s="7" t="s">
        <v>33</v>
      </c>
      <c r="I203" s="7" t="s">
        <v>34</v>
      </c>
      <c r="J203" s="7" t="s">
        <v>1585</v>
      </c>
      <c r="K203" s="7" t="s">
        <v>247</v>
      </c>
      <c r="L203" s="7" t="s">
        <v>1588</v>
      </c>
      <c r="M203" s="7" t="s">
        <v>1590</v>
      </c>
      <c r="N203" s="7" t="s">
        <v>40</v>
      </c>
      <c r="O203" s="7" t="s">
        <v>41</v>
      </c>
      <c r="P203" s="7"/>
      <c r="Q203" s="7"/>
      <c r="R203" s="7"/>
      <c r="S203" s="7" t="s">
        <v>72</v>
      </c>
      <c r="T203" s="7" t="s">
        <v>583</v>
      </c>
      <c r="U203" s="7"/>
    </row>
    <row r="204" ht="15.75" customHeight="1">
      <c r="A204" s="7" t="s">
        <v>1488</v>
      </c>
      <c r="B204" s="7" t="s">
        <v>1595</v>
      </c>
      <c r="C204" s="7" t="s">
        <v>47</v>
      </c>
      <c r="D204" s="7" t="s">
        <v>110</v>
      </c>
      <c r="E204" s="7"/>
      <c r="F204" s="7"/>
      <c r="G204" s="7" t="s">
        <v>63</v>
      </c>
      <c r="H204" s="7" t="s">
        <v>33</v>
      </c>
      <c r="I204" s="7" t="s">
        <v>51</v>
      </c>
      <c r="J204" s="7" t="s">
        <v>1596</v>
      </c>
      <c r="K204" s="7" t="s">
        <v>54</v>
      </c>
      <c r="L204" s="7" t="s">
        <v>1597</v>
      </c>
      <c r="M204" s="7" t="s">
        <v>1590</v>
      </c>
      <c r="N204" s="7" t="s">
        <v>40</v>
      </c>
      <c r="O204" s="7" t="s">
        <v>41</v>
      </c>
      <c r="P204" s="7"/>
      <c r="Q204" s="7"/>
      <c r="R204" s="7"/>
      <c r="S204" s="7" t="s">
        <v>72</v>
      </c>
      <c r="T204" s="7" t="s">
        <v>119</v>
      </c>
      <c r="U204" s="7"/>
    </row>
    <row r="205" ht="15.75" customHeight="1">
      <c r="A205" s="7" t="s">
        <v>1488</v>
      </c>
      <c r="B205" s="7" t="s">
        <v>1599</v>
      </c>
      <c r="C205" s="7" t="s">
        <v>47</v>
      </c>
      <c r="D205" s="7" t="s">
        <v>110</v>
      </c>
      <c r="E205" s="7"/>
      <c r="F205" s="7"/>
      <c r="G205" s="7" t="s">
        <v>307</v>
      </c>
      <c r="H205" s="7" t="s">
        <v>232</v>
      </c>
      <c r="I205" s="7" t="s">
        <v>34</v>
      </c>
      <c r="J205" s="7" t="s">
        <v>1602</v>
      </c>
      <c r="K205" s="7" t="s">
        <v>162</v>
      </c>
      <c r="L205" s="7" t="s">
        <v>1603</v>
      </c>
      <c r="M205" s="7" t="s">
        <v>1604</v>
      </c>
      <c r="N205" s="7" t="s">
        <v>40</v>
      </c>
      <c r="O205" s="7" t="s">
        <v>41</v>
      </c>
      <c r="P205" s="7"/>
      <c r="Q205" s="7"/>
      <c r="R205" s="7"/>
      <c r="S205" s="7" t="s">
        <v>304</v>
      </c>
      <c r="T205" s="7" t="s">
        <v>119</v>
      </c>
      <c r="U205" s="7" t="s">
        <v>1606</v>
      </c>
    </row>
    <row r="206" ht="15.75" customHeight="1">
      <c r="A206" s="7" t="s">
        <v>1607</v>
      </c>
      <c r="B206" s="7" t="s">
        <v>163</v>
      </c>
      <c r="C206" s="7"/>
      <c r="D206" s="7"/>
      <c r="E206" s="7"/>
      <c r="F206" s="7"/>
      <c r="G206" s="7" t="s">
        <v>121</v>
      </c>
      <c r="H206" s="7" t="s">
        <v>121</v>
      </c>
      <c r="I206" s="7"/>
      <c r="J206" s="7" t="s">
        <v>167</v>
      </c>
      <c r="K206" s="7" t="s">
        <v>167</v>
      </c>
      <c r="L206" s="7"/>
      <c r="M206" s="7"/>
      <c r="N206" s="7" t="s">
        <v>40</v>
      </c>
      <c r="O206" s="7" t="s">
        <v>170</v>
      </c>
      <c r="P206" s="7" t="s">
        <v>172</v>
      </c>
      <c r="Q206" s="7"/>
      <c r="R206" s="7"/>
      <c r="S206" s="7"/>
      <c r="T206" s="7"/>
      <c r="U206" s="7"/>
    </row>
    <row r="207" ht="15.75" customHeight="1">
      <c r="A207" s="7" t="s">
        <v>1610</v>
      </c>
      <c r="B207" s="7" t="s">
        <v>1611</v>
      </c>
      <c r="C207" s="7" t="s">
        <v>62</v>
      </c>
      <c r="D207" s="7" t="s">
        <v>238</v>
      </c>
      <c r="E207" s="7" t="s">
        <v>71</v>
      </c>
      <c r="F207" s="7" t="s">
        <v>390</v>
      </c>
      <c r="G207" s="7" t="s">
        <v>1591</v>
      </c>
      <c r="H207" s="7" t="s">
        <v>684</v>
      </c>
      <c r="I207" s="7" t="s">
        <v>34</v>
      </c>
      <c r="J207" s="7" t="s">
        <v>1613</v>
      </c>
      <c r="K207" s="7" t="s">
        <v>247</v>
      </c>
      <c r="L207" s="7" t="s">
        <v>1616</v>
      </c>
      <c r="M207" s="7" t="s">
        <v>1617</v>
      </c>
      <c r="N207" s="7" t="s">
        <v>40</v>
      </c>
      <c r="O207" s="7" t="s">
        <v>41</v>
      </c>
      <c r="P207" s="7"/>
      <c r="Q207" s="7"/>
      <c r="R207" s="7"/>
      <c r="S207" s="7" t="s">
        <v>1589</v>
      </c>
      <c r="T207" s="7" t="s">
        <v>538</v>
      </c>
      <c r="U207" s="7" t="s">
        <v>1618</v>
      </c>
    </row>
    <row r="208" ht="15.75" customHeight="1">
      <c r="A208" s="7" t="s">
        <v>1619</v>
      </c>
      <c r="B208" s="7" t="s">
        <v>163</v>
      </c>
      <c r="C208" s="7"/>
      <c r="D208" s="7"/>
      <c r="E208" s="7"/>
      <c r="F208" s="7"/>
      <c r="G208" s="7" t="s">
        <v>121</v>
      </c>
      <c r="H208" s="7" t="s">
        <v>121</v>
      </c>
      <c r="I208" s="7"/>
      <c r="J208" s="7" t="s">
        <v>167</v>
      </c>
      <c r="K208" s="7" t="s">
        <v>167</v>
      </c>
      <c r="L208" s="7"/>
      <c r="M208" s="7"/>
      <c r="N208" s="7" t="s">
        <v>40</v>
      </c>
      <c r="O208" s="7" t="s">
        <v>170</v>
      </c>
      <c r="P208" s="7" t="s">
        <v>172</v>
      </c>
      <c r="Q208" s="7"/>
      <c r="R208" s="7"/>
      <c r="S208" s="7"/>
      <c r="T208" s="7"/>
      <c r="U208" s="7"/>
    </row>
    <row r="209" ht="15.75" customHeight="1">
      <c r="A209" s="7" t="s">
        <v>1621</v>
      </c>
      <c r="B209" s="7" t="s">
        <v>1623</v>
      </c>
      <c r="C209" s="7" t="s">
        <v>62</v>
      </c>
      <c r="D209" s="7" t="s">
        <v>270</v>
      </c>
      <c r="E209" s="7" t="s">
        <v>61</v>
      </c>
      <c r="F209" s="7" t="s">
        <v>305</v>
      </c>
      <c r="G209" s="7" t="s">
        <v>49</v>
      </c>
      <c r="H209" s="7" t="s">
        <v>50</v>
      </c>
      <c r="I209" s="7" t="s">
        <v>79</v>
      </c>
      <c r="J209" s="7" t="s">
        <v>167</v>
      </c>
      <c r="K209" s="7" t="s">
        <v>167</v>
      </c>
      <c r="L209" s="7" t="s">
        <v>1625</v>
      </c>
      <c r="M209" s="7" t="s">
        <v>1627</v>
      </c>
      <c r="N209" s="7" t="s">
        <v>40</v>
      </c>
      <c r="O209" s="7" t="s">
        <v>41</v>
      </c>
      <c r="P209" s="7"/>
      <c r="Q209" s="7"/>
      <c r="R209" s="7"/>
      <c r="S209" s="7" t="s">
        <v>58</v>
      </c>
      <c r="T209" s="7" t="s">
        <v>274</v>
      </c>
      <c r="U209" s="7"/>
    </row>
    <row r="210" ht="15.75" customHeight="1">
      <c r="A210" s="7" t="s">
        <v>1621</v>
      </c>
      <c r="B210" s="7" t="s">
        <v>1630</v>
      </c>
      <c r="C210" s="7" t="s">
        <v>64</v>
      </c>
      <c r="D210" s="7" t="s">
        <v>335</v>
      </c>
      <c r="E210" s="7"/>
      <c r="F210" s="7"/>
      <c r="G210" s="7" t="s">
        <v>1591</v>
      </c>
      <c r="H210" s="7" t="s">
        <v>684</v>
      </c>
      <c r="I210" s="7" t="s">
        <v>79</v>
      </c>
      <c r="J210" s="7" t="s">
        <v>167</v>
      </c>
      <c r="K210" s="7" t="s">
        <v>167</v>
      </c>
      <c r="L210" s="7" t="s">
        <v>1631</v>
      </c>
      <c r="M210" s="7" t="s">
        <v>1627</v>
      </c>
      <c r="N210" s="7" t="s">
        <v>40</v>
      </c>
      <c r="O210" s="7" t="s">
        <v>41</v>
      </c>
      <c r="P210" s="7"/>
      <c r="Q210" s="7"/>
      <c r="R210" s="7"/>
      <c r="S210" s="7" t="s">
        <v>1589</v>
      </c>
      <c r="T210" s="7" t="s">
        <v>1632</v>
      </c>
      <c r="U210" s="7"/>
    </row>
    <row r="211" ht="15.75" customHeight="1">
      <c r="A211" s="7" t="s">
        <v>1621</v>
      </c>
      <c r="B211" s="7" t="s">
        <v>1635</v>
      </c>
      <c r="C211" s="7" t="s">
        <v>66</v>
      </c>
      <c r="D211" s="7" t="s">
        <v>191</v>
      </c>
      <c r="E211" s="7"/>
      <c r="F211" s="7"/>
      <c r="G211" s="7" t="s">
        <v>441</v>
      </c>
      <c r="H211" s="7" t="s">
        <v>159</v>
      </c>
      <c r="I211" s="7" t="s">
        <v>79</v>
      </c>
      <c r="J211" s="7" t="s">
        <v>167</v>
      </c>
      <c r="K211" s="7" t="s">
        <v>167</v>
      </c>
      <c r="L211" s="7" t="s">
        <v>1638</v>
      </c>
      <c r="M211" s="7" t="s">
        <v>1627</v>
      </c>
      <c r="N211" s="7" t="s">
        <v>40</v>
      </c>
      <c r="O211" s="7" t="s">
        <v>41</v>
      </c>
      <c r="P211" s="7"/>
      <c r="Q211" s="7"/>
      <c r="R211" s="7"/>
      <c r="S211" s="7" t="s">
        <v>453</v>
      </c>
      <c r="T211" s="7" t="s">
        <v>774</v>
      </c>
      <c r="U211" s="7"/>
    </row>
    <row r="212" ht="15.75" customHeight="1">
      <c r="A212" s="7" t="s">
        <v>1621</v>
      </c>
      <c r="B212" s="7" t="s">
        <v>1641</v>
      </c>
      <c r="C212" s="7" t="s">
        <v>62</v>
      </c>
      <c r="D212" s="7" t="s">
        <v>259</v>
      </c>
      <c r="E212" s="7"/>
      <c r="F212" s="7"/>
      <c r="G212" s="7" t="s">
        <v>415</v>
      </c>
      <c r="H212" s="7" t="s">
        <v>85</v>
      </c>
      <c r="I212" s="7" t="s">
        <v>142</v>
      </c>
      <c r="J212" s="7" t="s">
        <v>167</v>
      </c>
      <c r="K212" s="7" t="s">
        <v>54</v>
      </c>
      <c r="L212" s="7" t="s">
        <v>1643</v>
      </c>
      <c r="M212" s="7" t="s">
        <v>1644</v>
      </c>
      <c r="N212" s="7" t="s">
        <v>40</v>
      </c>
      <c r="O212" s="7" t="s">
        <v>41</v>
      </c>
      <c r="P212" s="7"/>
      <c r="Q212" s="7"/>
      <c r="R212" s="7"/>
      <c r="S212" s="7" t="s">
        <v>421</v>
      </c>
      <c r="T212" s="7" t="s">
        <v>267</v>
      </c>
      <c r="U212" s="7"/>
    </row>
    <row r="213" ht="15.75" customHeight="1">
      <c r="A213" s="7" t="s">
        <v>1647</v>
      </c>
      <c r="B213" s="7" t="s">
        <v>1648</v>
      </c>
      <c r="C213" s="7" t="s">
        <v>47</v>
      </c>
      <c r="D213" s="7" t="s">
        <v>48</v>
      </c>
      <c r="E213" s="7"/>
      <c r="F213" s="7"/>
      <c r="G213" s="7" t="s">
        <v>63</v>
      </c>
      <c r="H213" s="7" t="s">
        <v>33</v>
      </c>
      <c r="I213" s="7" t="s">
        <v>34</v>
      </c>
      <c r="J213" s="7" t="s">
        <v>1649</v>
      </c>
      <c r="K213" s="7" t="s">
        <v>247</v>
      </c>
      <c r="L213" s="7" t="s">
        <v>1650</v>
      </c>
      <c r="M213" s="7" t="s">
        <v>1651</v>
      </c>
      <c r="N213" s="7" t="s">
        <v>40</v>
      </c>
      <c r="O213" s="7" t="s">
        <v>41</v>
      </c>
      <c r="P213" s="7"/>
      <c r="Q213" s="7"/>
      <c r="R213" s="7"/>
      <c r="S213" s="7" t="s">
        <v>72</v>
      </c>
      <c r="T213" s="7" t="s">
        <v>59</v>
      </c>
      <c r="U213" s="7"/>
    </row>
    <row r="214" ht="15.75" customHeight="1">
      <c r="A214" s="7" t="s">
        <v>1647</v>
      </c>
      <c r="B214" s="7" t="s">
        <v>1653</v>
      </c>
      <c r="C214" s="7" t="s">
        <v>47</v>
      </c>
      <c r="D214" s="7" t="s">
        <v>100</v>
      </c>
      <c r="E214" s="7"/>
      <c r="F214" s="7"/>
      <c r="G214" s="7" t="s">
        <v>63</v>
      </c>
      <c r="H214" s="7" t="s">
        <v>33</v>
      </c>
      <c r="I214" s="7" t="s">
        <v>51</v>
      </c>
      <c r="J214" s="7" t="s">
        <v>1655</v>
      </c>
      <c r="K214" s="7" t="s">
        <v>54</v>
      </c>
      <c r="L214" s="7" t="s">
        <v>1656</v>
      </c>
      <c r="M214" s="7" t="s">
        <v>1651</v>
      </c>
      <c r="N214" s="7" t="s">
        <v>40</v>
      </c>
      <c r="O214" s="7" t="s">
        <v>41</v>
      </c>
      <c r="P214" s="7"/>
      <c r="Q214" s="7"/>
      <c r="R214" s="7"/>
      <c r="S214" s="7" t="s">
        <v>72</v>
      </c>
      <c r="T214" s="7" t="s">
        <v>106</v>
      </c>
      <c r="U214" s="7"/>
    </row>
    <row r="215" ht="15.75" customHeight="1">
      <c r="A215" s="7" t="s">
        <v>1647</v>
      </c>
      <c r="B215" s="7" t="s">
        <v>1657</v>
      </c>
      <c r="C215" s="7" t="s">
        <v>47</v>
      </c>
      <c r="D215" s="7" t="s">
        <v>48</v>
      </c>
      <c r="E215" s="7"/>
      <c r="F215" s="7"/>
      <c r="G215" s="7" t="s">
        <v>550</v>
      </c>
      <c r="H215" s="7" t="s">
        <v>33</v>
      </c>
      <c r="I215" s="7" t="s">
        <v>34</v>
      </c>
      <c r="J215" s="7" t="s">
        <v>1659</v>
      </c>
      <c r="K215" s="7" t="s">
        <v>247</v>
      </c>
      <c r="L215" s="7" t="s">
        <v>1661</v>
      </c>
      <c r="M215" s="7" t="s">
        <v>1662</v>
      </c>
      <c r="N215" s="7" t="s">
        <v>40</v>
      </c>
      <c r="O215" s="7" t="s">
        <v>41</v>
      </c>
      <c r="P215" s="7"/>
      <c r="Q215" s="7"/>
      <c r="R215" s="7"/>
      <c r="S215" s="7" t="s">
        <v>556</v>
      </c>
      <c r="T215" s="7" t="s">
        <v>59</v>
      </c>
      <c r="U215" s="7"/>
    </row>
    <row r="216" ht="15.75" customHeight="1">
      <c r="A216" s="7" t="s">
        <v>1647</v>
      </c>
      <c r="B216" s="7" t="s">
        <v>1665</v>
      </c>
      <c r="C216" s="7" t="s">
        <v>47</v>
      </c>
      <c r="D216" s="7" t="s">
        <v>110</v>
      </c>
      <c r="E216" s="7" t="s">
        <v>73</v>
      </c>
      <c r="F216" s="7" t="s">
        <v>399</v>
      </c>
      <c r="G216" s="7" t="s">
        <v>121</v>
      </c>
      <c r="H216" s="7" t="s">
        <v>121</v>
      </c>
      <c r="I216" s="7" t="s">
        <v>142</v>
      </c>
      <c r="J216" s="7" t="s">
        <v>1666</v>
      </c>
      <c r="K216" s="7" t="s">
        <v>167</v>
      </c>
      <c r="L216" s="7" t="s">
        <v>1667</v>
      </c>
      <c r="M216" s="7" t="s">
        <v>1668</v>
      </c>
      <c r="N216" s="7" t="s">
        <v>40</v>
      </c>
      <c r="O216" s="7" t="s">
        <v>41</v>
      </c>
      <c r="P216" s="7"/>
      <c r="Q216" s="7" t="s">
        <v>121</v>
      </c>
      <c r="R216" s="7"/>
      <c r="S216" s="7" t="s">
        <v>138</v>
      </c>
      <c r="T216" s="7" t="s">
        <v>119</v>
      </c>
      <c r="U216" s="7"/>
    </row>
    <row r="217" ht="15.75" customHeight="1">
      <c r="A217" s="7" t="s">
        <v>1647</v>
      </c>
      <c r="B217" s="7" t="s">
        <v>1670</v>
      </c>
      <c r="C217" s="7" t="s">
        <v>47</v>
      </c>
      <c r="D217" s="7" t="s">
        <v>48</v>
      </c>
      <c r="E217" s="7"/>
      <c r="F217" s="7"/>
      <c r="G217" s="7" t="s">
        <v>121</v>
      </c>
      <c r="H217" s="7" t="s">
        <v>121</v>
      </c>
      <c r="I217" s="7" t="s">
        <v>142</v>
      </c>
      <c r="J217" s="7" t="s">
        <v>1671</v>
      </c>
      <c r="K217" s="7" t="s">
        <v>167</v>
      </c>
      <c r="L217" s="7" t="s">
        <v>1673</v>
      </c>
      <c r="M217" s="7" t="s">
        <v>1675</v>
      </c>
      <c r="N217" s="7" t="s">
        <v>40</v>
      </c>
      <c r="O217" s="7" t="s">
        <v>41</v>
      </c>
      <c r="P217" s="7"/>
      <c r="Q217" s="7" t="s">
        <v>121</v>
      </c>
      <c r="R217" s="7"/>
      <c r="S217" s="7" t="s">
        <v>138</v>
      </c>
      <c r="T217" s="7" t="s">
        <v>59</v>
      </c>
      <c r="U217" s="7"/>
    </row>
    <row r="218" ht="15.75" customHeight="1">
      <c r="A218" s="7" t="s">
        <v>1647</v>
      </c>
      <c r="B218" s="7" t="s">
        <v>1676</v>
      </c>
      <c r="C218" s="7" t="s">
        <v>47</v>
      </c>
      <c r="D218" s="7" t="s">
        <v>110</v>
      </c>
      <c r="E218" s="7" t="s">
        <v>30</v>
      </c>
      <c r="F218" s="7" t="s">
        <v>228</v>
      </c>
      <c r="G218" s="7" t="s">
        <v>121</v>
      </c>
      <c r="H218" s="7" t="s">
        <v>121</v>
      </c>
      <c r="I218" s="7" t="s">
        <v>142</v>
      </c>
      <c r="J218" s="7" t="s">
        <v>1677</v>
      </c>
      <c r="K218" s="7" t="s">
        <v>167</v>
      </c>
      <c r="L218" s="7" t="s">
        <v>1679</v>
      </c>
      <c r="M218" s="7" t="s">
        <v>1680</v>
      </c>
      <c r="N218" s="7" t="s">
        <v>40</v>
      </c>
      <c r="O218" s="7" t="s">
        <v>41</v>
      </c>
      <c r="P218" s="7"/>
      <c r="Q218" s="7" t="s">
        <v>121</v>
      </c>
      <c r="R218" s="7"/>
      <c r="S218" s="7" t="s">
        <v>138</v>
      </c>
      <c r="T218" s="7" t="s">
        <v>119</v>
      </c>
      <c r="U218" s="7"/>
    </row>
    <row r="219" ht="15.75" customHeight="1">
      <c r="A219" s="7" t="s">
        <v>1647</v>
      </c>
      <c r="B219" s="7" t="s">
        <v>1682</v>
      </c>
      <c r="C219" s="7" t="s">
        <v>47</v>
      </c>
      <c r="D219" s="7" t="s">
        <v>110</v>
      </c>
      <c r="E219" s="7"/>
      <c r="F219" s="7"/>
      <c r="G219" s="7" t="s">
        <v>101</v>
      </c>
      <c r="H219" s="7" t="s">
        <v>33</v>
      </c>
      <c r="I219" s="7" t="s">
        <v>34</v>
      </c>
      <c r="J219" s="7" t="s">
        <v>1683</v>
      </c>
      <c r="K219" s="7" t="s">
        <v>37</v>
      </c>
      <c r="L219" s="7" t="s">
        <v>1684</v>
      </c>
      <c r="M219" s="7" t="s">
        <v>1680</v>
      </c>
      <c r="N219" s="7" t="s">
        <v>40</v>
      </c>
      <c r="O219" s="7" t="s">
        <v>41</v>
      </c>
      <c r="P219" s="7"/>
      <c r="Q219" s="7"/>
      <c r="R219" s="7"/>
      <c r="S219" s="7" t="s">
        <v>105</v>
      </c>
      <c r="T219" s="7" t="s">
        <v>119</v>
      </c>
      <c r="U219" s="7"/>
    </row>
    <row r="220" ht="15.75" customHeight="1">
      <c r="A220" s="7" t="s">
        <v>1647</v>
      </c>
      <c r="B220" s="7" t="s">
        <v>1687</v>
      </c>
      <c r="C220" s="7" t="s">
        <v>47</v>
      </c>
      <c r="D220" s="7" t="s">
        <v>48</v>
      </c>
      <c r="E220" s="7"/>
      <c r="F220" s="7"/>
      <c r="G220" s="7" t="s">
        <v>121</v>
      </c>
      <c r="H220" s="7" t="s">
        <v>121</v>
      </c>
      <c r="I220" s="7" t="s">
        <v>79</v>
      </c>
      <c r="J220" s="7" t="s">
        <v>1690</v>
      </c>
      <c r="K220" s="7" t="s">
        <v>167</v>
      </c>
      <c r="L220" s="7" t="s">
        <v>1691</v>
      </c>
      <c r="M220" s="7" t="s">
        <v>1668</v>
      </c>
      <c r="N220" s="7" t="s">
        <v>40</v>
      </c>
      <c r="O220" s="7" t="s">
        <v>41</v>
      </c>
      <c r="P220" s="7"/>
      <c r="Q220" s="7" t="s">
        <v>121</v>
      </c>
      <c r="R220" s="7"/>
      <c r="S220" s="7" t="s">
        <v>138</v>
      </c>
      <c r="T220" s="7" t="s">
        <v>59</v>
      </c>
      <c r="U220" s="7"/>
    </row>
    <row r="221" ht="15.75" customHeight="1">
      <c r="A221" s="7" t="s">
        <v>1694</v>
      </c>
      <c r="B221" s="7" t="s">
        <v>1695</v>
      </c>
      <c r="C221" s="7" t="s">
        <v>47</v>
      </c>
      <c r="D221" s="7" t="s">
        <v>110</v>
      </c>
      <c r="E221" s="7"/>
      <c r="F221" s="7"/>
      <c r="G221" s="7" t="s">
        <v>63</v>
      </c>
      <c r="H221" s="7" t="s">
        <v>33</v>
      </c>
      <c r="I221" s="7" t="s">
        <v>34</v>
      </c>
      <c r="J221" s="7" t="s">
        <v>1697</v>
      </c>
      <c r="K221" s="7" t="s">
        <v>162</v>
      </c>
      <c r="L221" s="7" t="s">
        <v>1698</v>
      </c>
      <c r="M221" s="7" t="s">
        <v>1699</v>
      </c>
      <c r="N221" s="7" t="s">
        <v>40</v>
      </c>
      <c r="O221" s="7" t="s">
        <v>41</v>
      </c>
      <c r="P221" s="7"/>
      <c r="Q221" s="7"/>
      <c r="R221" s="7"/>
      <c r="S221" s="7" t="s">
        <v>72</v>
      </c>
      <c r="T221" s="7" t="s">
        <v>119</v>
      </c>
      <c r="U221" s="7"/>
    </row>
    <row r="222" ht="15.75" customHeight="1">
      <c r="A222" s="7" t="s">
        <v>1694</v>
      </c>
      <c r="B222" s="7" t="s">
        <v>1702</v>
      </c>
      <c r="C222" s="7" t="s">
        <v>62</v>
      </c>
      <c r="D222" s="7" t="s">
        <v>270</v>
      </c>
      <c r="E222" s="7"/>
      <c r="F222" s="7"/>
      <c r="G222" s="7" t="s">
        <v>844</v>
      </c>
      <c r="H222" s="7" t="s">
        <v>232</v>
      </c>
      <c r="I222" s="7" t="s">
        <v>51</v>
      </c>
      <c r="J222" s="7" t="s">
        <v>1703</v>
      </c>
      <c r="K222" s="7" t="s">
        <v>167</v>
      </c>
      <c r="L222" s="7" t="s">
        <v>1704</v>
      </c>
      <c r="M222" s="7" t="s">
        <v>1705</v>
      </c>
      <c r="N222" s="7" t="s">
        <v>40</v>
      </c>
      <c r="O222" s="7" t="s">
        <v>41</v>
      </c>
      <c r="P222" s="7"/>
      <c r="Q222" s="7"/>
      <c r="R222" s="7"/>
      <c r="S222" s="7" t="s">
        <v>851</v>
      </c>
      <c r="T222" s="7" t="s">
        <v>274</v>
      </c>
      <c r="U222" s="7"/>
    </row>
    <row r="223" ht="15.75" customHeight="1">
      <c r="A223" s="7" t="s">
        <v>1694</v>
      </c>
      <c r="B223" s="7" t="s">
        <v>1707</v>
      </c>
      <c r="C223" s="7" t="s">
        <v>47</v>
      </c>
      <c r="D223" s="7" t="s">
        <v>100</v>
      </c>
      <c r="E223" s="7"/>
      <c r="F223" s="7"/>
      <c r="G223" s="7" t="s">
        <v>63</v>
      </c>
      <c r="H223" s="7" t="s">
        <v>33</v>
      </c>
      <c r="I223" s="7" t="s">
        <v>51</v>
      </c>
      <c r="J223" s="7" t="s">
        <v>1710</v>
      </c>
      <c r="K223" s="7" t="s">
        <v>167</v>
      </c>
      <c r="L223" s="7" t="s">
        <v>1712</v>
      </c>
      <c r="M223" s="7" t="s">
        <v>1714</v>
      </c>
      <c r="N223" s="7" t="s">
        <v>40</v>
      </c>
      <c r="O223" s="7" t="s">
        <v>41</v>
      </c>
      <c r="P223" s="7"/>
      <c r="Q223" s="7"/>
      <c r="R223" s="7"/>
      <c r="S223" s="7" t="s">
        <v>72</v>
      </c>
      <c r="T223" s="7" t="s">
        <v>106</v>
      </c>
      <c r="U223" s="7"/>
    </row>
    <row r="224" ht="15.75" customHeight="1">
      <c r="A224" s="7" t="s">
        <v>1694</v>
      </c>
      <c r="B224" s="7" t="s">
        <v>1718</v>
      </c>
      <c r="C224" s="7" t="s">
        <v>64</v>
      </c>
      <c r="D224" s="7" t="s">
        <v>132</v>
      </c>
      <c r="E224" s="7"/>
      <c r="F224" s="7"/>
      <c r="G224" s="7" t="s">
        <v>158</v>
      </c>
      <c r="H224" s="7" t="s">
        <v>159</v>
      </c>
      <c r="I224" s="7" t="s">
        <v>34</v>
      </c>
      <c r="J224" s="7" t="s">
        <v>1721</v>
      </c>
      <c r="K224" s="7" t="s">
        <v>247</v>
      </c>
      <c r="L224" s="7" t="s">
        <v>1722</v>
      </c>
      <c r="M224" s="7" t="s">
        <v>1723</v>
      </c>
      <c r="N224" s="7" t="s">
        <v>40</v>
      </c>
      <c r="O224" s="7" t="s">
        <v>41</v>
      </c>
      <c r="P224" s="7"/>
      <c r="Q224" s="7"/>
      <c r="R224" s="7"/>
      <c r="S224" s="7" t="s">
        <v>166</v>
      </c>
      <c r="T224" s="7" t="s">
        <v>140</v>
      </c>
      <c r="U224" s="7"/>
    </row>
    <row r="225" ht="15.75" customHeight="1">
      <c r="A225" s="7" t="s">
        <v>1694</v>
      </c>
      <c r="B225" s="7" t="s">
        <v>1725</v>
      </c>
      <c r="C225" s="7" t="s">
        <v>47</v>
      </c>
      <c r="D225" s="7" t="s">
        <v>48</v>
      </c>
      <c r="E225" s="7"/>
      <c r="F225" s="7"/>
      <c r="G225" s="7" t="s">
        <v>112</v>
      </c>
      <c r="H225" s="7" t="s">
        <v>33</v>
      </c>
      <c r="I225" s="7" t="s">
        <v>34</v>
      </c>
      <c r="J225" s="7" t="s">
        <v>1726</v>
      </c>
      <c r="K225" s="7" t="s">
        <v>37</v>
      </c>
      <c r="L225" s="7" t="s">
        <v>1728</v>
      </c>
      <c r="M225" s="7" t="s">
        <v>1729</v>
      </c>
      <c r="N225" s="7" t="s">
        <v>40</v>
      </c>
      <c r="O225" s="7" t="s">
        <v>41</v>
      </c>
      <c r="P225" s="7"/>
      <c r="Q225" s="7"/>
      <c r="R225" s="7"/>
      <c r="S225" s="7" t="s">
        <v>118</v>
      </c>
      <c r="T225" s="7" t="s">
        <v>59</v>
      </c>
      <c r="U225" s="7"/>
    </row>
    <row r="226" ht="15.75" customHeight="1">
      <c r="A226" s="7" t="s">
        <v>1694</v>
      </c>
      <c r="B226" s="7" t="s">
        <v>1730</v>
      </c>
      <c r="C226" s="7" t="s">
        <v>73</v>
      </c>
      <c r="D226" s="7" t="s">
        <v>262</v>
      </c>
      <c r="E226" s="7"/>
      <c r="F226" s="7"/>
      <c r="G226" s="7" t="s">
        <v>101</v>
      </c>
      <c r="H226" s="7" t="s">
        <v>33</v>
      </c>
      <c r="I226" s="7" t="s">
        <v>51</v>
      </c>
      <c r="J226" s="7" t="s">
        <v>1732</v>
      </c>
      <c r="K226" s="7" t="s">
        <v>167</v>
      </c>
      <c r="L226" s="7" t="s">
        <v>1733</v>
      </c>
      <c r="M226" s="7" t="s">
        <v>1735</v>
      </c>
      <c r="N226" s="7" t="s">
        <v>40</v>
      </c>
      <c r="O226" s="7" t="s">
        <v>41</v>
      </c>
      <c r="P226" s="7"/>
      <c r="Q226" s="7"/>
      <c r="R226" s="7"/>
      <c r="S226" s="7" t="s">
        <v>105</v>
      </c>
      <c r="T226" s="7" t="s">
        <v>583</v>
      </c>
      <c r="U226" s="7"/>
    </row>
    <row r="227" ht="15.75" customHeight="1">
      <c r="A227" s="7" t="s">
        <v>1694</v>
      </c>
      <c r="B227" s="7" t="s">
        <v>1736</v>
      </c>
      <c r="C227" s="7" t="s">
        <v>30</v>
      </c>
      <c r="D227" s="7" t="s">
        <v>228</v>
      </c>
      <c r="E227" s="7"/>
      <c r="F227" s="7"/>
      <c r="G227" s="7" t="s">
        <v>696</v>
      </c>
      <c r="H227" s="7" t="s">
        <v>33</v>
      </c>
      <c r="I227" s="7" t="s">
        <v>51</v>
      </c>
      <c r="J227" s="7" t="s">
        <v>1740</v>
      </c>
      <c r="K227" s="7" t="s">
        <v>167</v>
      </c>
      <c r="L227" s="7" t="s">
        <v>1742</v>
      </c>
      <c r="M227" s="7" t="s">
        <v>1735</v>
      </c>
      <c r="N227" s="7" t="s">
        <v>40</v>
      </c>
      <c r="O227" s="7" t="s">
        <v>41</v>
      </c>
      <c r="P227" s="7"/>
      <c r="Q227" s="7"/>
      <c r="R227" s="7"/>
      <c r="S227" s="7" t="s">
        <v>703</v>
      </c>
      <c r="T227" s="7" t="s">
        <v>653</v>
      </c>
      <c r="U227" s="7"/>
    </row>
    <row r="228" ht="15.75" customHeight="1">
      <c r="A228" s="7" t="s">
        <v>1694</v>
      </c>
      <c r="B228" s="7" t="s">
        <v>1743</v>
      </c>
      <c r="C228" s="7" t="s">
        <v>62</v>
      </c>
      <c r="D228" s="7" t="s">
        <v>315</v>
      </c>
      <c r="E228" s="7"/>
      <c r="F228" s="7"/>
      <c r="G228" s="7" t="s">
        <v>881</v>
      </c>
      <c r="H228" s="7" t="s">
        <v>232</v>
      </c>
      <c r="I228" s="7" t="s">
        <v>51</v>
      </c>
      <c r="J228" s="7" t="s">
        <v>1746</v>
      </c>
      <c r="K228" s="7" t="s">
        <v>167</v>
      </c>
      <c r="L228" s="7" t="s">
        <v>1747</v>
      </c>
      <c r="M228" s="7" t="s">
        <v>1735</v>
      </c>
      <c r="N228" s="7" t="s">
        <v>40</v>
      </c>
      <c r="O228" s="7" t="s">
        <v>41</v>
      </c>
      <c r="P228" s="7"/>
      <c r="Q228" s="7"/>
      <c r="R228" s="7"/>
      <c r="S228" s="7" t="s">
        <v>887</v>
      </c>
      <c r="T228" s="7" t="s">
        <v>842</v>
      </c>
      <c r="U228" s="7"/>
    </row>
    <row r="229" ht="15.75" customHeight="1">
      <c r="A229" s="7" t="s">
        <v>1694</v>
      </c>
      <c r="B229" s="7" t="s">
        <v>1748</v>
      </c>
      <c r="C229" s="7" t="s">
        <v>47</v>
      </c>
      <c r="D229" s="7" t="s">
        <v>329</v>
      </c>
      <c r="E229" s="7"/>
      <c r="F229" s="7"/>
      <c r="G229" s="7" t="s">
        <v>550</v>
      </c>
      <c r="H229" s="7" t="s">
        <v>33</v>
      </c>
      <c r="I229" s="7" t="s">
        <v>34</v>
      </c>
      <c r="J229" s="7" t="s">
        <v>1750</v>
      </c>
      <c r="K229" s="7" t="s">
        <v>37</v>
      </c>
      <c r="L229" s="7" t="s">
        <v>1751</v>
      </c>
      <c r="M229" s="7" t="s">
        <v>1752</v>
      </c>
      <c r="N229" s="7" t="s">
        <v>40</v>
      </c>
      <c r="O229" s="7" t="s">
        <v>41</v>
      </c>
      <c r="P229" s="7"/>
      <c r="Q229" s="7"/>
      <c r="R229" s="7"/>
      <c r="S229" s="7" t="s">
        <v>556</v>
      </c>
      <c r="T229" s="7" t="s">
        <v>540</v>
      </c>
      <c r="U229" s="7"/>
    </row>
    <row r="230" ht="15.75" customHeight="1">
      <c r="A230" s="7" t="s">
        <v>1694</v>
      </c>
      <c r="B230" s="7" t="s">
        <v>1755</v>
      </c>
      <c r="C230" s="7" t="s">
        <v>57</v>
      </c>
      <c r="D230" s="7" t="s">
        <v>282</v>
      </c>
      <c r="E230" s="7"/>
      <c r="F230" s="7"/>
      <c r="G230" s="7" t="s">
        <v>870</v>
      </c>
      <c r="H230" s="7" t="s">
        <v>33</v>
      </c>
      <c r="I230" s="7" t="s">
        <v>51</v>
      </c>
      <c r="J230" s="7" t="s">
        <v>1756</v>
      </c>
      <c r="K230" s="7" t="s">
        <v>167</v>
      </c>
      <c r="L230" s="7" t="s">
        <v>1757</v>
      </c>
      <c r="M230" s="7" t="s">
        <v>1758</v>
      </c>
      <c r="N230" s="7" t="s">
        <v>40</v>
      </c>
      <c r="O230" s="7" t="s">
        <v>41</v>
      </c>
      <c r="P230" s="7"/>
      <c r="Q230" s="7"/>
      <c r="R230" s="7"/>
      <c r="S230" s="7" t="s">
        <v>877</v>
      </c>
      <c r="T230" s="7" t="s">
        <v>783</v>
      </c>
      <c r="U230" s="7"/>
    </row>
    <row r="231" ht="15.75" customHeight="1">
      <c r="A231" s="7" t="s">
        <v>1760</v>
      </c>
      <c r="B231" s="7" t="s">
        <v>1761</v>
      </c>
      <c r="C231" s="7" t="s">
        <v>47</v>
      </c>
      <c r="D231" s="7" t="s">
        <v>110</v>
      </c>
      <c r="E231" s="7"/>
      <c r="F231" s="7"/>
      <c r="G231" s="7" t="s">
        <v>63</v>
      </c>
      <c r="H231" s="7" t="s">
        <v>33</v>
      </c>
      <c r="I231" s="7" t="s">
        <v>51</v>
      </c>
      <c r="J231" s="7" t="s">
        <v>643</v>
      </c>
      <c r="K231" s="7" t="s">
        <v>54</v>
      </c>
      <c r="L231" s="7" t="s">
        <v>1762</v>
      </c>
      <c r="M231" s="7" t="s">
        <v>1764</v>
      </c>
      <c r="N231" s="7" t="s">
        <v>40</v>
      </c>
      <c r="O231" s="7" t="s">
        <v>41</v>
      </c>
      <c r="P231" s="7"/>
      <c r="Q231" s="7"/>
      <c r="R231" s="7"/>
      <c r="S231" s="7" t="s">
        <v>72</v>
      </c>
      <c r="T231" s="7" t="s">
        <v>119</v>
      </c>
      <c r="U231" s="7"/>
    </row>
    <row r="232" ht="15.75" customHeight="1">
      <c r="A232" s="7" t="s">
        <v>1760</v>
      </c>
      <c r="B232" s="7" t="s">
        <v>1766</v>
      </c>
      <c r="C232" s="7" t="s">
        <v>47</v>
      </c>
      <c r="D232" s="7" t="s">
        <v>110</v>
      </c>
      <c r="E232" s="7"/>
      <c r="F232" s="7"/>
      <c r="G232" s="7" t="s">
        <v>243</v>
      </c>
      <c r="H232" s="7" t="s">
        <v>232</v>
      </c>
      <c r="I232" s="7" t="s">
        <v>51</v>
      </c>
      <c r="J232" s="7" t="s">
        <v>643</v>
      </c>
      <c r="K232" s="7" t="s">
        <v>54</v>
      </c>
      <c r="L232" s="7" t="s">
        <v>1769</v>
      </c>
      <c r="M232" s="7" t="s">
        <v>1764</v>
      </c>
      <c r="N232" s="7" t="s">
        <v>40</v>
      </c>
      <c r="O232" s="7" t="s">
        <v>41</v>
      </c>
      <c r="P232" s="7"/>
      <c r="Q232" s="7"/>
      <c r="R232" s="7"/>
      <c r="S232" s="7" t="s">
        <v>241</v>
      </c>
      <c r="T232" s="7" t="s">
        <v>119</v>
      </c>
      <c r="U232" s="7"/>
    </row>
    <row r="233" ht="15.75" customHeight="1">
      <c r="A233" s="7" t="s">
        <v>1760</v>
      </c>
      <c r="B233" s="7" t="s">
        <v>1772</v>
      </c>
      <c r="C233" s="7" t="s">
        <v>47</v>
      </c>
      <c r="D233" s="7" t="s">
        <v>48</v>
      </c>
      <c r="E233" s="7"/>
      <c r="F233" s="7"/>
      <c r="G233" s="7" t="s">
        <v>209</v>
      </c>
      <c r="H233" s="7" t="s">
        <v>33</v>
      </c>
      <c r="I233" s="7" t="s">
        <v>51</v>
      </c>
      <c r="J233" s="7" t="s">
        <v>1774</v>
      </c>
      <c r="K233" s="7" t="s">
        <v>54</v>
      </c>
      <c r="L233" s="7" t="s">
        <v>1776</v>
      </c>
      <c r="M233" s="7" t="s">
        <v>1764</v>
      </c>
      <c r="N233" s="7" t="s">
        <v>40</v>
      </c>
      <c r="O233" s="7" t="s">
        <v>41</v>
      </c>
      <c r="P233" s="7"/>
      <c r="Q233" s="7"/>
      <c r="R233" s="7"/>
      <c r="S233" s="7" t="s">
        <v>215</v>
      </c>
      <c r="T233" s="7" t="s">
        <v>59</v>
      </c>
      <c r="U233" s="7"/>
    </row>
    <row r="234" ht="15.75" customHeight="1">
      <c r="A234" s="7" t="s">
        <v>1760</v>
      </c>
      <c r="B234" s="7" t="s">
        <v>1777</v>
      </c>
      <c r="C234" s="7" t="s">
        <v>47</v>
      </c>
      <c r="D234" s="7" t="s">
        <v>48</v>
      </c>
      <c r="E234" s="7"/>
      <c r="F234" s="7"/>
      <c r="G234" s="7" t="s">
        <v>63</v>
      </c>
      <c r="H234" s="7" t="s">
        <v>33</v>
      </c>
      <c r="I234" s="7" t="s">
        <v>34</v>
      </c>
      <c r="J234" s="7" t="s">
        <v>1049</v>
      </c>
      <c r="K234" s="7" t="s">
        <v>162</v>
      </c>
      <c r="L234" s="7" t="s">
        <v>1779</v>
      </c>
      <c r="M234" s="7" t="s">
        <v>1764</v>
      </c>
      <c r="N234" s="7" t="s">
        <v>40</v>
      </c>
      <c r="O234" s="7" t="s">
        <v>41</v>
      </c>
      <c r="P234" s="7"/>
      <c r="Q234" s="7"/>
      <c r="R234" s="7"/>
      <c r="S234" s="7" t="s">
        <v>72</v>
      </c>
      <c r="T234" s="7" t="s">
        <v>59</v>
      </c>
      <c r="U234" s="7"/>
    </row>
    <row r="235" ht="15.75" customHeight="1">
      <c r="A235" s="7" t="s">
        <v>1760</v>
      </c>
      <c r="B235" s="7" t="s">
        <v>1782</v>
      </c>
      <c r="C235" s="7" t="s">
        <v>47</v>
      </c>
      <c r="D235" s="7" t="s">
        <v>110</v>
      </c>
      <c r="E235" s="7"/>
      <c r="F235" s="7"/>
      <c r="G235" s="7" t="s">
        <v>209</v>
      </c>
      <c r="H235" s="7" t="s">
        <v>33</v>
      </c>
      <c r="I235" s="7" t="s">
        <v>51</v>
      </c>
      <c r="J235" s="7" t="s">
        <v>674</v>
      </c>
      <c r="K235" s="7" t="s">
        <v>54</v>
      </c>
      <c r="L235" s="7" t="s">
        <v>1783</v>
      </c>
      <c r="M235" s="7" t="s">
        <v>1784</v>
      </c>
      <c r="N235" s="7" t="s">
        <v>40</v>
      </c>
      <c r="O235" s="7" t="s">
        <v>41</v>
      </c>
      <c r="P235" s="7"/>
      <c r="Q235" s="7"/>
      <c r="R235" s="7"/>
      <c r="S235" s="7" t="s">
        <v>215</v>
      </c>
      <c r="T235" s="7" t="s">
        <v>119</v>
      </c>
      <c r="U235" s="7"/>
    </row>
    <row r="236" ht="15.75" customHeight="1">
      <c r="A236" s="7" t="s">
        <v>1760</v>
      </c>
      <c r="B236" s="7" t="s">
        <v>1786</v>
      </c>
      <c r="C236" s="7" t="s">
        <v>47</v>
      </c>
      <c r="D236" s="7" t="s">
        <v>325</v>
      </c>
      <c r="E236" s="7"/>
      <c r="F236" s="7"/>
      <c r="G236" s="7" t="s">
        <v>550</v>
      </c>
      <c r="H236" s="7" t="s">
        <v>33</v>
      </c>
      <c r="I236" s="7" t="s">
        <v>79</v>
      </c>
      <c r="J236" s="7" t="s">
        <v>637</v>
      </c>
      <c r="K236" s="7" t="s">
        <v>54</v>
      </c>
      <c r="L236" s="7" t="s">
        <v>1788</v>
      </c>
      <c r="M236" s="7" t="s">
        <v>1789</v>
      </c>
      <c r="N236" s="7" t="s">
        <v>40</v>
      </c>
      <c r="O236" s="7" t="s">
        <v>41</v>
      </c>
      <c r="P236" s="7"/>
      <c r="Q236" s="7"/>
      <c r="R236" s="7"/>
      <c r="S236" s="7" t="s">
        <v>556</v>
      </c>
      <c r="T236" s="7" t="s">
        <v>1791</v>
      </c>
      <c r="U236" s="7"/>
    </row>
    <row r="237" ht="15.75" customHeight="1">
      <c r="A237" s="7" t="s">
        <v>1760</v>
      </c>
      <c r="B237" s="7" t="s">
        <v>1795</v>
      </c>
      <c r="C237" s="7" t="s">
        <v>47</v>
      </c>
      <c r="D237" s="7" t="s">
        <v>48</v>
      </c>
      <c r="E237" s="7"/>
      <c r="F237" s="7"/>
      <c r="G237" s="7" t="s">
        <v>63</v>
      </c>
      <c r="H237" s="7" t="s">
        <v>33</v>
      </c>
      <c r="I237" s="7" t="s">
        <v>51</v>
      </c>
      <c r="J237" s="7" t="s">
        <v>708</v>
      </c>
      <c r="K237" s="7" t="s">
        <v>54</v>
      </c>
      <c r="L237" s="7" t="s">
        <v>1797</v>
      </c>
      <c r="M237" s="7" t="s">
        <v>1798</v>
      </c>
      <c r="N237" s="7" t="s">
        <v>40</v>
      </c>
      <c r="O237" s="7" t="s">
        <v>41</v>
      </c>
      <c r="P237" s="7"/>
      <c r="Q237" s="7"/>
      <c r="R237" s="7"/>
      <c r="S237" s="7" t="s">
        <v>72</v>
      </c>
      <c r="T237" s="7" t="s">
        <v>59</v>
      </c>
      <c r="U237" s="7"/>
    </row>
    <row r="238" ht="15.75" customHeight="1">
      <c r="A238" s="7" t="s">
        <v>1760</v>
      </c>
      <c r="B238" s="7" t="s">
        <v>1801</v>
      </c>
      <c r="C238" s="7" t="s">
        <v>30</v>
      </c>
      <c r="D238" s="7" t="s">
        <v>156</v>
      </c>
      <c r="E238" s="7"/>
      <c r="F238" s="7"/>
      <c r="G238" s="7" t="s">
        <v>49</v>
      </c>
      <c r="H238" s="7" t="s">
        <v>50</v>
      </c>
      <c r="I238" s="7" t="s">
        <v>142</v>
      </c>
      <c r="J238" s="7" t="s">
        <v>167</v>
      </c>
      <c r="K238" s="7" t="s">
        <v>167</v>
      </c>
      <c r="L238" s="7" t="s">
        <v>1802</v>
      </c>
      <c r="M238" s="7" t="s">
        <v>1803</v>
      </c>
      <c r="N238" s="7" t="s">
        <v>40</v>
      </c>
      <c r="O238" s="7" t="s">
        <v>41</v>
      </c>
      <c r="P238" s="7"/>
      <c r="Q238" s="7"/>
      <c r="R238" s="7"/>
      <c r="S238" s="7" t="s">
        <v>58</v>
      </c>
      <c r="T238" s="7" t="s">
        <v>168</v>
      </c>
      <c r="U238" s="7"/>
    </row>
    <row r="239" ht="15.75" customHeight="1">
      <c r="A239" s="7" t="s">
        <v>1805</v>
      </c>
      <c r="B239" s="7" t="s">
        <v>1806</v>
      </c>
      <c r="C239" s="7" t="s">
        <v>47</v>
      </c>
      <c r="D239" s="7" t="s">
        <v>48</v>
      </c>
      <c r="E239" s="7"/>
      <c r="F239" s="7"/>
      <c r="G239" s="7" t="s">
        <v>63</v>
      </c>
      <c r="H239" s="7" t="s">
        <v>33</v>
      </c>
      <c r="I239" s="7" t="s">
        <v>34</v>
      </c>
      <c r="J239" s="7" t="s">
        <v>1809</v>
      </c>
      <c r="K239" s="7" t="s">
        <v>162</v>
      </c>
      <c r="L239" s="7" t="s">
        <v>1810</v>
      </c>
      <c r="M239" s="7" t="s">
        <v>1811</v>
      </c>
      <c r="N239" s="7" t="s">
        <v>40</v>
      </c>
      <c r="O239" s="7" t="s">
        <v>41</v>
      </c>
      <c r="P239" s="7"/>
      <c r="Q239" s="7"/>
      <c r="R239" s="7"/>
      <c r="S239" s="7" t="s">
        <v>72</v>
      </c>
      <c r="T239" s="7" t="s">
        <v>59</v>
      </c>
      <c r="U239" s="7"/>
    </row>
    <row r="240" ht="15.75" customHeight="1">
      <c r="A240" s="7" t="s">
        <v>1805</v>
      </c>
      <c r="B240" s="7" t="s">
        <v>1812</v>
      </c>
      <c r="C240" s="7" t="s">
        <v>47</v>
      </c>
      <c r="D240" s="7" t="s">
        <v>110</v>
      </c>
      <c r="E240" s="7"/>
      <c r="F240" s="7"/>
      <c r="G240" s="7" t="s">
        <v>63</v>
      </c>
      <c r="H240" s="7" t="s">
        <v>33</v>
      </c>
      <c r="I240" s="7" t="s">
        <v>34</v>
      </c>
      <c r="J240" s="7" t="s">
        <v>167</v>
      </c>
      <c r="K240" s="7" t="s">
        <v>37</v>
      </c>
      <c r="L240" s="7" t="s">
        <v>1814</v>
      </c>
      <c r="M240" s="7" t="s">
        <v>1815</v>
      </c>
      <c r="N240" s="7" t="s">
        <v>40</v>
      </c>
      <c r="O240" s="7" t="s">
        <v>41</v>
      </c>
      <c r="P240" s="7"/>
      <c r="Q240" s="7"/>
      <c r="R240" s="7"/>
      <c r="S240" s="7" t="s">
        <v>72</v>
      </c>
      <c r="T240" s="7" t="s">
        <v>119</v>
      </c>
      <c r="U240" s="7"/>
    </row>
    <row r="241" ht="15.75" customHeight="1">
      <c r="A241" s="7" t="s">
        <v>1805</v>
      </c>
      <c r="B241" s="7" t="s">
        <v>1817</v>
      </c>
      <c r="C241" s="7" t="s">
        <v>47</v>
      </c>
      <c r="D241" s="7" t="s">
        <v>48</v>
      </c>
      <c r="E241" s="7"/>
      <c r="F241" s="7"/>
      <c r="G241" s="7" t="s">
        <v>253</v>
      </c>
      <c r="H241" s="7" t="s">
        <v>159</v>
      </c>
      <c r="I241" s="7" t="s">
        <v>51</v>
      </c>
      <c r="J241" s="7" t="s">
        <v>167</v>
      </c>
      <c r="K241" s="7" t="s">
        <v>54</v>
      </c>
      <c r="L241" s="7" t="s">
        <v>1818</v>
      </c>
      <c r="M241" s="7" t="s">
        <v>1815</v>
      </c>
      <c r="N241" s="7" t="s">
        <v>40</v>
      </c>
      <c r="O241" s="7" t="s">
        <v>41</v>
      </c>
      <c r="P241" s="7"/>
      <c r="Q241" s="7"/>
      <c r="R241" s="7"/>
      <c r="S241" s="7" t="s">
        <v>256</v>
      </c>
      <c r="T241" s="7" t="s">
        <v>59</v>
      </c>
      <c r="U241" s="7"/>
    </row>
    <row r="242" ht="15.75" customHeight="1">
      <c r="A242" s="7" t="s">
        <v>1805</v>
      </c>
      <c r="B242" s="7" t="s">
        <v>1821</v>
      </c>
      <c r="C242" s="7" t="s">
        <v>47</v>
      </c>
      <c r="D242" s="7" t="s">
        <v>100</v>
      </c>
      <c r="E242" s="7"/>
      <c r="F242" s="7"/>
      <c r="G242" s="7" t="s">
        <v>550</v>
      </c>
      <c r="H242" s="7" t="s">
        <v>33</v>
      </c>
      <c r="I242" s="7" t="s">
        <v>34</v>
      </c>
      <c r="J242" s="7" t="s">
        <v>1824</v>
      </c>
      <c r="K242" s="7" t="s">
        <v>162</v>
      </c>
      <c r="L242" s="7" t="s">
        <v>1825</v>
      </c>
      <c r="M242" s="7" t="s">
        <v>1826</v>
      </c>
      <c r="N242" s="7" t="s">
        <v>40</v>
      </c>
      <c r="O242" s="7" t="s">
        <v>41</v>
      </c>
      <c r="P242" s="7"/>
      <c r="Q242" s="7"/>
      <c r="R242" s="7"/>
      <c r="S242" s="7" t="s">
        <v>556</v>
      </c>
      <c r="T242" s="7" t="s">
        <v>106</v>
      </c>
      <c r="U242" s="7" t="s">
        <v>294</v>
      </c>
    </row>
    <row r="243" ht="15.75" customHeight="1">
      <c r="A243" s="7" t="s">
        <v>1805</v>
      </c>
      <c r="B243" s="7" t="s">
        <v>1830</v>
      </c>
      <c r="C243" s="7" t="s">
        <v>47</v>
      </c>
      <c r="D243" s="7" t="s">
        <v>48</v>
      </c>
      <c r="E243" s="7"/>
      <c r="F243" s="7"/>
      <c r="G243" s="7" t="s">
        <v>63</v>
      </c>
      <c r="H243" s="7" t="s">
        <v>33</v>
      </c>
      <c r="I243" s="7" t="s">
        <v>79</v>
      </c>
      <c r="J243" s="7" t="s">
        <v>911</v>
      </c>
      <c r="K243" s="7" t="s">
        <v>167</v>
      </c>
      <c r="L243" s="7" t="s">
        <v>1832</v>
      </c>
      <c r="M243" s="7" t="s">
        <v>1826</v>
      </c>
      <c r="N243" s="7" t="s">
        <v>40</v>
      </c>
      <c r="O243" s="7" t="s">
        <v>41</v>
      </c>
      <c r="P243" s="7"/>
      <c r="Q243" s="7"/>
      <c r="R243" s="7"/>
      <c r="S243" s="7" t="s">
        <v>72</v>
      </c>
      <c r="T243" s="7" t="s">
        <v>59</v>
      </c>
      <c r="U243" s="7"/>
    </row>
    <row r="244" ht="15.75" customHeight="1">
      <c r="A244" s="7" t="s">
        <v>1805</v>
      </c>
      <c r="B244" s="7" t="s">
        <v>1836</v>
      </c>
      <c r="C244" s="7" t="s">
        <v>47</v>
      </c>
      <c r="D244" s="7" t="s">
        <v>110</v>
      </c>
      <c r="E244" s="7"/>
      <c r="F244" s="7"/>
      <c r="G244" s="7" t="s">
        <v>63</v>
      </c>
      <c r="H244" s="7" t="s">
        <v>33</v>
      </c>
      <c r="I244" s="7" t="s">
        <v>79</v>
      </c>
      <c r="J244" s="7" t="s">
        <v>1837</v>
      </c>
      <c r="K244" s="7" t="s">
        <v>167</v>
      </c>
      <c r="L244" s="7" t="s">
        <v>1838</v>
      </c>
      <c r="M244" s="7" t="s">
        <v>1826</v>
      </c>
      <c r="N244" s="7" t="s">
        <v>40</v>
      </c>
      <c r="O244" s="7" t="s">
        <v>41</v>
      </c>
      <c r="P244" s="7"/>
      <c r="Q244" s="7"/>
      <c r="R244" s="7"/>
      <c r="S244" s="7" t="s">
        <v>72</v>
      </c>
      <c r="T244" s="7" t="s">
        <v>119</v>
      </c>
      <c r="U244" s="7"/>
    </row>
    <row r="245" ht="15.75" customHeight="1">
      <c r="A245" s="7" t="s">
        <v>1805</v>
      </c>
      <c r="B245" s="7" t="s">
        <v>1840</v>
      </c>
      <c r="C245" s="7" t="s">
        <v>47</v>
      </c>
      <c r="D245" s="7" t="s">
        <v>100</v>
      </c>
      <c r="E245" s="7"/>
      <c r="F245" s="7"/>
      <c r="G245" s="7" t="s">
        <v>550</v>
      </c>
      <c r="H245" s="7" t="s">
        <v>33</v>
      </c>
      <c r="I245" s="7" t="s">
        <v>79</v>
      </c>
      <c r="J245" s="7" t="s">
        <v>1842</v>
      </c>
      <c r="K245" s="7" t="s">
        <v>167</v>
      </c>
      <c r="L245" s="7" t="s">
        <v>1843</v>
      </c>
      <c r="M245" s="7" t="s">
        <v>1826</v>
      </c>
      <c r="N245" s="7" t="s">
        <v>40</v>
      </c>
      <c r="O245" s="7" t="s">
        <v>41</v>
      </c>
      <c r="P245" s="7"/>
      <c r="Q245" s="7"/>
      <c r="R245" s="7"/>
      <c r="S245" s="7" t="s">
        <v>556</v>
      </c>
      <c r="T245" s="7" t="s">
        <v>106</v>
      </c>
      <c r="U245" s="7"/>
    </row>
    <row r="246" ht="15.75" customHeight="1">
      <c r="A246" s="7" t="s">
        <v>1805</v>
      </c>
      <c r="B246" s="7" t="s">
        <v>1845</v>
      </c>
      <c r="C246" s="7" t="s">
        <v>47</v>
      </c>
      <c r="D246" s="7" t="s">
        <v>329</v>
      </c>
      <c r="E246" s="7"/>
      <c r="F246" s="7"/>
      <c r="G246" s="7" t="s">
        <v>243</v>
      </c>
      <c r="H246" s="7" t="s">
        <v>232</v>
      </c>
      <c r="I246" s="7" t="s">
        <v>142</v>
      </c>
      <c r="J246" s="7" t="s">
        <v>1847</v>
      </c>
      <c r="K246" s="7" t="s">
        <v>167</v>
      </c>
      <c r="L246" s="7" t="s">
        <v>1850</v>
      </c>
      <c r="M246" s="7" t="s">
        <v>1851</v>
      </c>
      <c r="N246" s="7" t="s">
        <v>40</v>
      </c>
      <c r="O246" s="7" t="s">
        <v>41</v>
      </c>
      <c r="P246" s="7"/>
      <c r="Q246" s="7"/>
      <c r="R246" s="7"/>
      <c r="S246" s="7" t="s">
        <v>241</v>
      </c>
      <c r="T246" s="7" t="s">
        <v>540</v>
      </c>
      <c r="U246" s="7"/>
    </row>
    <row r="247" ht="15.75" customHeight="1">
      <c r="A247" s="7" t="s">
        <v>1852</v>
      </c>
      <c r="B247" s="7" t="s">
        <v>163</v>
      </c>
      <c r="C247" s="7"/>
      <c r="D247" s="7"/>
      <c r="E247" s="7"/>
      <c r="F247" s="7"/>
      <c r="G247" s="7" t="s">
        <v>121</v>
      </c>
      <c r="H247" s="7" t="s">
        <v>121</v>
      </c>
      <c r="I247" s="7"/>
      <c r="J247" s="7" t="s">
        <v>167</v>
      </c>
      <c r="K247" s="7" t="s">
        <v>167</v>
      </c>
      <c r="L247" s="7" t="s">
        <v>167</v>
      </c>
      <c r="M247" s="7" t="s">
        <v>167</v>
      </c>
      <c r="N247" s="7" t="s">
        <v>40</v>
      </c>
      <c r="O247" s="7" t="s">
        <v>170</v>
      </c>
      <c r="P247" s="7" t="s">
        <v>172</v>
      </c>
      <c r="Q247" s="7"/>
      <c r="R247" s="7"/>
      <c r="S247" s="7"/>
      <c r="T247" s="7"/>
      <c r="U247" s="7"/>
    </row>
    <row r="248" ht="15.75" customHeight="1">
      <c r="A248" s="7" t="s">
        <v>1857</v>
      </c>
      <c r="B248" s="7" t="s">
        <v>1858</v>
      </c>
      <c r="C248" s="7" t="s">
        <v>47</v>
      </c>
      <c r="D248" s="7" t="s">
        <v>110</v>
      </c>
      <c r="E248" s="7"/>
      <c r="F248" s="7"/>
      <c r="G248" s="7" t="s">
        <v>63</v>
      </c>
      <c r="H248" s="7" t="s">
        <v>33</v>
      </c>
      <c r="I248" s="7" t="s">
        <v>34</v>
      </c>
      <c r="J248" s="7" t="s">
        <v>708</v>
      </c>
      <c r="K248" s="7" t="s">
        <v>247</v>
      </c>
      <c r="L248" s="7" t="s">
        <v>1860</v>
      </c>
      <c r="M248" s="7" t="s">
        <v>1862</v>
      </c>
      <c r="N248" s="7" t="s">
        <v>40</v>
      </c>
      <c r="O248" s="7" t="s">
        <v>41</v>
      </c>
      <c r="P248" s="7"/>
      <c r="Q248" s="7"/>
      <c r="R248" s="7"/>
      <c r="S248" s="7" t="s">
        <v>72</v>
      </c>
      <c r="T248" s="7" t="s">
        <v>119</v>
      </c>
      <c r="U248" s="7"/>
    </row>
    <row r="249" ht="15.75" customHeight="1">
      <c r="A249" s="7" t="s">
        <v>1857</v>
      </c>
      <c r="B249" s="7" t="s">
        <v>1865</v>
      </c>
      <c r="C249" s="7" t="s">
        <v>47</v>
      </c>
      <c r="D249" s="7" t="s">
        <v>110</v>
      </c>
      <c r="E249" s="7" t="s">
        <v>73</v>
      </c>
      <c r="F249" s="7" t="s">
        <v>262</v>
      </c>
      <c r="G249" s="7" t="s">
        <v>63</v>
      </c>
      <c r="H249" s="7" t="s">
        <v>33</v>
      </c>
      <c r="I249" s="7" t="s">
        <v>34</v>
      </c>
      <c r="J249" s="7" t="s">
        <v>1867</v>
      </c>
      <c r="K249" s="7" t="s">
        <v>162</v>
      </c>
      <c r="L249" s="7" t="s">
        <v>1869</v>
      </c>
      <c r="M249" s="7" t="s">
        <v>1870</v>
      </c>
      <c r="N249" s="7" t="s">
        <v>40</v>
      </c>
      <c r="O249" s="7" t="s">
        <v>41</v>
      </c>
      <c r="P249" s="7"/>
      <c r="Q249" s="7"/>
      <c r="R249" s="7"/>
      <c r="S249" s="7" t="s">
        <v>72</v>
      </c>
      <c r="T249" s="7" t="s">
        <v>119</v>
      </c>
      <c r="U249" s="7"/>
    </row>
    <row r="250" ht="15.75" customHeight="1">
      <c r="A250" s="7" t="s">
        <v>1857</v>
      </c>
      <c r="B250" s="7" t="s">
        <v>1873</v>
      </c>
      <c r="C250" s="7" t="s">
        <v>47</v>
      </c>
      <c r="D250" s="7" t="s">
        <v>110</v>
      </c>
      <c r="E250" s="7"/>
      <c r="F250" s="7"/>
      <c r="G250" s="7" t="s">
        <v>63</v>
      </c>
      <c r="H250" s="7" t="s">
        <v>33</v>
      </c>
      <c r="I250" s="7" t="s">
        <v>34</v>
      </c>
      <c r="J250" s="7" t="s">
        <v>1875</v>
      </c>
      <c r="K250" s="7" t="s">
        <v>37</v>
      </c>
      <c r="L250" s="7" t="s">
        <v>1876</v>
      </c>
      <c r="M250" s="7" t="s">
        <v>1880</v>
      </c>
      <c r="N250" s="7" t="s">
        <v>40</v>
      </c>
      <c r="O250" s="7" t="s">
        <v>41</v>
      </c>
      <c r="P250" s="7"/>
      <c r="Q250" s="7"/>
      <c r="R250" s="7"/>
      <c r="S250" s="7" t="s">
        <v>72</v>
      </c>
      <c r="T250" s="7" t="s">
        <v>119</v>
      </c>
      <c r="U250" s="7"/>
    </row>
    <row r="251" ht="15.75" customHeight="1">
      <c r="A251" s="7" t="s">
        <v>1857</v>
      </c>
      <c r="B251" s="7" t="s">
        <v>1884</v>
      </c>
      <c r="C251" s="7" t="s">
        <v>47</v>
      </c>
      <c r="D251" s="7" t="s">
        <v>110</v>
      </c>
      <c r="E251" s="7"/>
      <c r="F251" s="7"/>
      <c r="G251" s="7" t="s">
        <v>63</v>
      </c>
      <c r="H251" s="7" t="s">
        <v>33</v>
      </c>
      <c r="I251" s="7" t="s">
        <v>34</v>
      </c>
      <c r="J251" s="7" t="s">
        <v>1886</v>
      </c>
      <c r="K251" s="7" t="s">
        <v>162</v>
      </c>
      <c r="L251" s="7" t="s">
        <v>1889</v>
      </c>
      <c r="M251" s="7" t="s">
        <v>1890</v>
      </c>
      <c r="N251" s="7" t="s">
        <v>40</v>
      </c>
      <c r="O251" s="7" t="s">
        <v>41</v>
      </c>
      <c r="P251" s="7"/>
      <c r="Q251" s="7"/>
      <c r="R251" s="7"/>
      <c r="S251" s="7" t="s">
        <v>72</v>
      </c>
      <c r="T251" s="7" t="s">
        <v>119</v>
      </c>
      <c r="U251" s="7"/>
    </row>
    <row r="252" ht="15.75" customHeight="1">
      <c r="A252" s="7" t="s">
        <v>1857</v>
      </c>
      <c r="B252" s="7" t="s">
        <v>1893</v>
      </c>
      <c r="C252" s="7" t="s">
        <v>64</v>
      </c>
      <c r="D252" s="7" t="s">
        <v>132</v>
      </c>
      <c r="E252" s="7"/>
      <c r="F252" s="7"/>
      <c r="G252" s="7" t="s">
        <v>121</v>
      </c>
      <c r="H252" s="7" t="s">
        <v>121</v>
      </c>
      <c r="I252" s="7" t="s">
        <v>34</v>
      </c>
      <c r="J252" s="7" t="s">
        <v>1895</v>
      </c>
      <c r="K252" s="7" t="s">
        <v>247</v>
      </c>
      <c r="L252" s="7" t="s">
        <v>1897</v>
      </c>
      <c r="M252" s="7" t="s">
        <v>1899</v>
      </c>
      <c r="N252" s="7" t="s">
        <v>40</v>
      </c>
      <c r="O252" s="7" t="s">
        <v>41</v>
      </c>
      <c r="P252" s="7"/>
      <c r="Q252" s="7" t="s">
        <v>121</v>
      </c>
      <c r="R252" s="7"/>
      <c r="S252" s="7" t="s">
        <v>138</v>
      </c>
      <c r="T252" s="7" t="s">
        <v>140</v>
      </c>
      <c r="U252" s="7"/>
    </row>
    <row r="253" ht="15.75" customHeight="1">
      <c r="A253" s="7" t="s">
        <v>1857</v>
      </c>
      <c r="B253" s="7" t="s">
        <v>1903</v>
      </c>
      <c r="C253" s="7" t="s">
        <v>47</v>
      </c>
      <c r="D253" s="7" t="s">
        <v>110</v>
      </c>
      <c r="E253" s="7"/>
      <c r="F253" s="7"/>
      <c r="G253" s="7" t="s">
        <v>63</v>
      </c>
      <c r="H253" s="7" t="s">
        <v>33</v>
      </c>
      <c r="I253" s="7" t="s">
        <v>34</v>
      </c>
      <c r="J253" s="7" t="s">
        <v>679</v>
      </c>
      <c r="K253" s="7" t="s">
        <v>247</v>
      </c>
      <c r="L253" s="7" t="s">
        <v>1906</v>
      </c>
      <c r="M253" s="7" t="s">
        <v>1907</v>
      </c>
      <c r="N253" s="7" t="s">
        <v>40</v>
      </c>
      <c r="O253" s="7" t="s">
        <v>41</v>
      </c>
      <c r="P253" s="7"/>
      <c r="Q253" s="7"/>
      <c r="R253" s="7"/>
      <c r="S253" s="7" t="s">
        <v>72</v>
      </c>
      <c r="T253" s="7" t="s">
        <v>119</v>
      </c>
      <c r="U253" s="7"/>
    </row>
    <row r="254" ht="15.75" customHeight="1">
      <c r="A254" s="7" t="s">
        <v>1857</v>
      </c>
      <c r="B254" s="7" t="s">
        <v>1912</v>
      </c>
      <c r="C254" s="7" t="s">
        <v>47</v>
      </c>
      <c r="D254" s="7" t="s">
        <v>110</v>
      </c>
      <c r="E254" s="7"/>
      <c r="F254" s="7"/>
      <c r="G254" s="7" t="s">
        <v>63</v>
      </c>
      <c r="H254" s="7" t="s">
        <v>33</v>
      </c>
      <c r="I254" s="7" t="s">
        <v>34</v>
      </c>
      <c r="J254" s="7" t="s">
        <v>602</v>
      </c>
      <c r="K254" s="7" t="s">
        <v>247</v>
      </c>
      <c r="L254" s="7" t="s">
        <v>1915</v>
      </c>
      <c r="M254" s="7" t="s">
        <v>1917</v>
      </c>
      <c r="N254" s="7" t="s">
        <v>40</v>
      </c>
      <c r="O254" s="7" t="s">
        <v>41</v>
      </c>
      <c r="P254" s="7"/>
      <c r="Q254" s="7"/>
      <c r="R254" s="7"/>
      <c r="S254" s="7" t="s">
        <v>72</v>
      </c>
      <c r="T254" s="7" t="s">
        <v>119</v>
      </c>
      <c r="U254" s="7"/>
    </row>
    <row r="255" ht="15.75" customHeight="1">
      <c r="A255" s="7" t="s">
        <v>1857</v>
      </c>
      <c r="B255" s="7" t="s">
        <v>1918</v>
      </c>
      <c r="C255" s="7" t="s">
        <v>47</v>
      </c>
      <c r="D255" s="7" t="s">
        <v>110</v>
      </c>
      <c r="E255" s="7"/>
      <c r="F255" s="7"/>
      <c r="G255" s="7" t="s">
        <v>121</v>
      </c>
      <c r="H255" s="7" t="s">
        <v>121</v>
      </c>
      <c r="I255" s="7" t="s">
        <v>79</v>
      </c>
      <c r="J255" s="7" t="s">
        <v>715</v>
      </c>
      <c r="K255" s="7" t="s">
        <v>167</v>
      </c>
      <c r="L255" s="7" t="s">
        <v>1924</v>
      </c>
      <c r="M255" s="7" t="s">
        <v>1917</v>
      </c>
      <c r="N255" s="7" t="s">
        <v>40</v>
      </c>
      <c r="O255" s="7" t="s">
        <v>41</v>
      </c>
      <c r="P255" s="7"/>
      <c r="Q255" s="7" t="s">
        <v>121</v>
      </c>
      <c r="R255" s="7"/>
      <c r="S255" s="7" t="s">
        <v>138</v>
      </c>
      <c r="T255" s="7" t="s">
        <v>119</v>
      </c>
      <c r="U255" s="7"/>
    </row>
    <row r="256" ht="15.75" customHeight="1">
      <c r="A256" s="7" t="s">
        <v>1857</v>
      </c>
      <c r="B256" s="7" t="s">
        <v>1927</v>
      </c>
      <c r="C256" s="7" t="s">
        <v>47</v>
      </c>
      <c r="D256" s="7" t="s">
        <v>110</v>
      </c>
      <c r="E256" s="7"/>
      <c r="F256" s="7"/>
      <c r="G256" s="7" t="s">
        <v>121</v>
      </c>
      <c r="H256" s="7" t="s">
        <v>121</v>
      </c>
      <c r="I256" s="7" t="s">
        <v>79</v>
      </c>
      <c r="J256" s="7" t="s">
        <v>617</v>
      </c>
      <c r="K256" s="7" t="s">
        <v>167</v>
      </c>
      <c r="L256" s="7" t="s">
        <v>1929</v>
      </c>
      <c r="M256" s="7" t="s">
        <v>1917</v>
      </c>
      <c r="N256" s="7" t="s">
        <v>40</v>
      </c>
      <c r="O256" s="7" t="s">
        <v>41</v>
      </c>
      <c r="P256" s="7"/>
      <c r="Q256" s="7" t="s">
        <v>121</v>
      </c>
      <c r="R256" s="7"/>
      <c r="S256" s="7" t="s">
        <v>138</v>
      </c>
      <c r="T256" s="7" t="s">
        <v>119</v>
      </c>
      <c r="U256" s="7"/>
    </row>
    <row r="257" ht="15.75" customHeight="1">
      <c r="A257" s="7" t="s">
        <v>1930</v>
      </c>
      <c r="B257" s="7" t="s">
        <v>1932</v>
      </c>
      <c r="C257" s="7" t="s">
        <v>47</v>
      </c>
      <c r="D257" s="7" t="s">
        <v>325</v>
      </c>
      <c r="E257" s="7" t="s">
        <v>30</v>
      </c>
      <c r="F257" s="7" t="s">
        <v>31</v>
      </c>
      <c r="G257" s="7" t="s">
        <v>261</v>
      </c>
      <c r="H257" s="7" t="s">
        <v>33</v>
      </c>
      <c r="I257" s="7" t="s">
        <v>34</v>
      </c>
      <c r="J257" s="7" t="s">
        <v>1933</v>
      </c>
      <c r="K257" s="7" t="s">
        <v>37</v>
      </c>
      <c r="L257" s="7" t="s">
        <v>1935</v>
      </c>
      <c r="M257" s="7" t="s">
        <v>1937</v>
      </c>
      <c r="N257" s="7" t="s">
        <v>40</v>
      </c>
      <c r="O257" s="7" t="s">
        <v>41</v>
      </c>
      <c r="P257" s="7"/>
      <c r="Q257" s="7"/>
      <c r="R257" s="7"/>
      <c r="S257" s="7" t="s">
        <v>260</v>
      </c>
      <c r="T257" s="7" t="s">
        <v>1791</v>
      </c>
      <c r="U257" s="7"/>
    </row>
    <row r="258" ht="15.75" customHeight="1">
      <c r="A258" s="7" t="s">
        <v>1930</v>
      </c>
      <c r="B258" s="7" t="s">
        <v>1938</v>
      </c>
      <c r="C258" s="7" t="s">
        <v>73</v>
      </c>
      <c r="D258" s="7" t="s">
        <v>262</v>
      </c>
      <c r="E258" s="7" t="s">
        <v>47</v>
      </c>
      <c r="F258" s="7" t="s">
        <v>110</v>
      </c>
      <c r="G258" s="7" t="s">
        <v>441</v>
      </c>
      <c r="H258" s="7" t="s">
        <v>159</v>
      </c>
      <c r="I258" s="7" t="s">
        <v>34</v>
      </c>
      <c r="J258" s="7" t="s">
        <v>1933</v>
      </c>
      <c r="K258" s="7" t="s">
        <v>162</v>
      </c>
      <c r="L258" s="7" t="s">
        <v>1941</v>
      </c>
      <c r="M258" s="7" t="s">
        <v>1937</v>
      </c>
      <c r="N258" s="7" t="s">
        <v>40</v>
      </c>
      <c r="O258" s="7" t="s">
        <v>41</v>
      </c>
      <c r="P258" s="7"/>
      <c r="Q258" s="7"/>
      <c r="R258" s="7"/>
      <c r="S258" s="7" t="s">
        <v>453</v>
      </c>
      <c r="T258" s="7" t="s">
        <v>583</v>
      </c>
      <c r="U258" s="7"/>
    </row>
    <row r="259" ht="15.75" customHeight="1">
      <c r="A259" s="7" t="s">
        <v>1930</v>
      </c>
      <c r="B259" s="7" t="s">
        <v>1944</v>
      </c>
      <c r="C259" s="7" t="s">
        <v>73</v>
      </c>
      <c r="D259" s="7" t="s">
        <v>262</v>
      </c>
      <c r="E259" s="7"/>
      <c r="F259" s="7"/>
      <c r="G259" s="7" t="s">
        <v>441</v>
      </c>
      <c r="H259" s="7" t="s">
        <v>159</v>
      </c>
      <c r="I259" s="7" t="s">
        <v>142</v>
      </c>
      <c r="J259" s="7" t="s">
        <v>1010</v>
      </c>
      <c r="K259" s="7" t="s">
        <v>54</v>
      </c>
      <c r="L259" s="7" t="s">
        <v>1946</v>
      </c>
      <c r="M259" s="7" t="s">
        <v>1937</v>
      </c>
      <c r="N259" s="7" t="s">
        <v>40</v>
      </c>
      <c r="O259" s="7" t="s">
        <v>41</v>
      </c>
      <c r="P259" s="7"/>
      <c r="Q259" s="7"/>
      <c r="R259" s="7"/>
      <c r="S259" s="7" t="s">
        <v>453</v>
      </c>
      <c r="T259" s="7" t="s">
        <v>583</v>
      </c>
      <c r="U259" s="7"/>
    </row>
    <row r="260" ht="15.75" customHeight="1">
      <c r="A260" s="7" t="s">
        <v>1951</v>
      </c>
      <c r="B260" s="7" t="s">
        <v>1952</v>
      </c>
      <c r="C260" s="7" t="s">
        <v>47</v>
      </c>
      <c r="D260" s="7" t="s">
        <v>329</v>
      </c>
      <c r="E260" s="7"/>
      <c r="F260" s="7"/>
      <c r="G260" s="7" t="s">
        <v>63</v>
      </c>
      <c r="H260" s="7" t="s">
        <v>33</v>
      </c>
      <c r="I260" s="7" t="s">
        <v>34</v>
      </c>
      <c r="J260" s="7" t="s">
        <v>1123</v>
      </c>
      <c r="K260" s="7" t="s">
        <v>37</v>
      </c>
      <c r="L260" s="7" t="s">
        <v>1954</v>
      </c>
      <c r="M260" s="7" t="s">
        <v>1955</v>
      </c>
      <c r="N260" s="7" t="s">
        <v>40</v>
      </c>
      <c r="O260" s="7" t="s">
        <v>41</v>
      </c>
      <c r="P260" s="7"/>
      <c r="Q260" s="7"/>
      <c r="R260" s="7"/>
      <c r="S260" s="7" t="s">
        <v>72</v>
      </c>
      <c r="T260" s="7" t="s">
        <v>540</v>
      </c>
      <c r="U260" s="7"/>
    </row>
    <row r="261" ht="15.75" customHeight="1">
      <c r="A261" s="7" t="s">
        <v>1951</v>
      </c>
      <c r="B261" s="7" t="s">
        <v>1956</v>
      </c>
      <c r="C261" s="7" t="s">
        <v>71</v>
      </c>
      <c r="D261" s="7" t="s">
        <v>390</v>
      </c>
      <c r="E261" s="7"/>
      <c r="F261" s="7"/>
      <c r="G261" s="7" t="s">
        <v>63</v>
      </c>
      <c r="H261" s="7" t="s">
        <v>33</v>
      </c>
      <c r="I261" s="7" t="s">
        <v>34</v>
      </c>
      <c r="J261" s="7" t="s">
        <v>1053</v>
      </c>
      <c r="K261" s="7" t="s">
        <v>162</v>
      </c>
      <c r="L261" s="7" t="s">
        <v>1958</v>
      </c>
      <c r="M261" s="7" t="s">
        <v>1955</v>
      </c>
      <c r="N261" s="7" t="s">
        <v>40</v>
      </c>
      <c r="O261" s="7" t="s">
        <v>41</v>
      </c>
      <c r="P261" s="7"/>
      <c r="Q261" s="7"/>
      <c r="R261" s="7"/>
      <c r="S261" s="7" t="s">
        <v>72</v>
      </c>
      <c r="T261" s="7" t="s">
        <v>1945</v>
      </c>
      <c r="U261" s="7"/>
    </row>
    <row r="262" ht="15.75" customHeight="1">
      <c r="A262" s="7" t="s">
        <v>1951</v>
      </c>
      <c r="B262" s="7" t="s">
        <v>1961</v>
      </c>
      <c r="C262" s="7" t="s">
        <v>47</v>
      </c>
      <c r="D262" s="7" t="s">
        <v>329</v>
      </c>
      <c r="E262" s="7"/>
      <c r="F262" s="7"/>
      <c r="G262" s="7" t="s">
        <v>63</v>
      </c>
      <c r="H262" s="7" t="s">
        <v>33</v>
      </c>
      <c r="I262" s="7" t="s">
        <v>51</v>
      </c>
      <c r="J262" s="7" t="s">
        <v>1963</v>
      </c>
      <c r="K262" s="7" t="s">
        <v>54</v>
      </c>
      <c r="L262" s="7" t="s">
        <v>1965</v>
      </c>
      <c r="M262" s="7" t="s">
        <v>1966</v>
      </c>
      <c r="N262" s="7" t="s">
        <v>40</v>
      </c>
      <c r="O262" s="7" t="s">
        <v>41</v>
      </c>
      <c r="P262" s="7"/>
      <c r="Q262" s="7"/>
      <c r="R262" s="7"/>
      <c r="S262" s="7" t="s">
        <v>72</v>
      </c>
      <c r="T262" s="7" t="s">
        <v>540</v>
      </c>
      <c r="U262" s="7"/>
    </row>
    <row r="263" ht="15.75" customHeight="1">
      <c r="A263" s="7" t="s">
        <v>1951</v>
      </c>
      <c r="B263" s="7" t="s">
        <v>1969</v>
      </c>
      <c r="C263" s="7" t="s">
        <v>71</v>
      </c>
      <c r="D263" s="7" t="s">
        <v>390</v>
      </c>
      <c r="E263" s="7" t="s">
        <v>47</v>
      </c>
      <c r="F263" s="7" t="s">
        <v>329</v>
      </c>
      <c r="G263" s="7" t="s">
        <v>101</v>
      </c>
      <c r="H263" s="7" t="s">
        <v>33</v>
      </c>
      <c r="I263" s="7" t="s">
        <v>34</v>
      </c>
      <c r="J263" s="7" t="s">
        <v>1972</v>
      </c>
      <c r="K263" s="7" t="s">
        <v>37</v>
      </c>
      <c r="L263" s="7" t="s">
        <v>1973</v>
      </c>
      <c r="M263" s="7" t="s">
        <v>1955</v>
      </c>
      <c r="N263" s="7" t="s">
        <v>40</v>
      </c>
      <c r="O263" s="7" t="s">
        <v>41</v>
      </c>
      <c r="P263" s="7"/>
      <c r="Q263" s="7"/>
      <c r="R263" s="7"/>
      <c r="S263" s="7" t="s">
        <v>105</v>
      </c>
      <c r="T263" s="7" t="s">
        <v>1945</v>
      </c>
      <c r="U263" s="7"/>
    </row>
    <row r="264" ht="15.75" customHeight="1">
      <c r="A264" s="7" t="s">
        <v>1951</v>
      </c>
      <c r="B264" s="7" t="s">
        <v>1978</v>
      </c>
      <c r="C264" s="7" t="s">
        <v>47</v>
      </c>
      <c r="D264" s="7" t="s">
        <v>329</v>
      </c>
      <c r="E264" s="7"/>
      <c r="F264" s="7"/>
      <c r="G264" s="7" t="s">
        <v>63</v>
      </c>
      <c r="H264" s="7" t="s">
        <v>33</v>
      </c>
      <c r="I264" s="7" t="s">
        <v>34</v>
      </c>
      <c r="J264" s="7" t="s">
        <v>1058</v>
      </c>
      <c r="K264" s="7" t="s">
        <v>37</v>
      </c>
      <c r="L264" s="7" t="s">
        <v>1981</v>
      </c>
      <c r="M264" s="7" t="s">
        <v>1955</v>
      </c>
      <c r="N264" s="7" t="s">
        <v>40</v>
      </c>
      <c r="O264" s="7" t="s">
        <v>41</v>
      </c>
      <c r="P264" s="7"/>
      <c r="Q264" s="7"/>
      <c r="R264" s="7"/>
      <c r="S264" s="7" t="s">
        <v>72</v>
      </c>
      <c r="T264" s="7" t="s">
        <v>540</v>
      </c>
      <c r="U264" s="7"/>
    </row>
    <row r="265" ht="15.75" customHeight="1">
      <c r="A265" s="7" t="s">
        <v>1982</v>
      </c>
      <c r="B265" s="7" t="s">
        <v>1983</v>
      </c>
      <c r="C265" s="7" t="s">
        <v>47</v>
      </c>
      <c r="D265" s="7" t="s">
        <v>329</v>
      </c>
      <c r="E265" s="7"/>
      <c r="F265" s="7"/>
      <c r="G265" s="7" t="s">
        <v>550</v>
      </c>
      <c r="H265" s="7" t="s">
        <v>33</v>
      </c>
      <c r="I265" s="7" t="s">
        <v>51</v>
      </c>
      <c r="J265" s="7" t="s">
        <v>1984</v>
      </c>
      <c r="K265" s="7" t="s">
        <v>54</v>
      </c>
      <c r="L265" s="7" t="s">
        <v>1985</v>
      </c>
      <c r="M265" s="7" t="s">
        <v>1987</v>
      </c>
      <c r="N265" s="7" t="s">
        <v>40</v>
      </c>
      <c r="O265" s="7" t="s">
        <v>41</v>
      </c>
      <c r="P265" s="7"/>
      <c r="Q265" s="7"/>
      <c r="R265" s="7"/>
      <c r="S265" s="7" t="s">
        <v>556</v>
      </c>
      <c r="T265" s="7" t="s">
        <v>540</v>
      </c>
      <c r="U265" s="7"/>
    </row>
    <row r="266" ht="15.75" customHeight="1">
      <c r="A266" s="7" t="s">
        <v>1982</v>
      </c>
      <c r="B266" s="7" t="s">
        <v>1989</v>
      </c>
      <c r="C266" s="7" t="s">
        <v>47</v>
      </c>
      <c r="D266" s="7" t="s">
        <v>48</v>
      </c>
      <c r="E266" s="7"/>
      <c r="F266" s="7"/>
      <c r="G266" s="7" t="s">
        <v>844</v>
      </c>
      <c r="H266" s="7" t="s">
        <v>232</v>
      </c>
      <c r="I266" s="7" t="s">
        <v>51</v>
      </c>
      <c r="J266" s="7" t="s">
        <v>1991</v>
      </c>
      <c r="K266" s="7" t="s">
        <v>54</v>
      </c>
      <c r="L266" s="7" t="s">
        <v>1992</v>
      </c>
      <c r="M266" s="7" t="s">
        <v>1993</v>
      </c>
      <c r="N266" s="7" t="s">
        <v>40</v>
      </c>
      <c r="O266" s="7" t="s">
        <v>41</v>
      </c>
      <c r="P266" s="7"/>
      <c r="Q266" s="7"/>
      <c r="R266" s="7"/>
      <c r="S266" s="7" t="s">
        <v>851</v>
      </c>
      <c r="T266" s="7" t="s">
        <v>59</v>
      </c>
      <c r="U266" s="7"/>
    </row>
    <row r="267" ht="15.75" customHeight="1">
      <c r="A267" s="7" t="s">
        <v>1982</v>
      </c>
      <c r="B267" s="7" t="s">
        <v>1995</v>
      </c>
      <c r="C267" s="7" t="s">
        <v>47</v>
      </c>
      <c r="D267" s="7" t="s">
        <v>329</v>
      </c>
      <c r="E267" s="7"/>
      <c r="F267" s="7"/>
      <c r="G267" s="7" t="s">
        <v>63</v>
      </c>
      <c r="H267" s="7" t="s">
        <v>33</v>
      </c>
      <c r="I267" s="7" t="s">
        <v>51</v>
      </c>
      <c r="J267" s="7" t="s">
        <v>1996</v>
      </c>
      <c r="K267" s="7" t="s">
        <v>54</v>
      </c>
      <c r="L267" s="7" t="s">
        <v>1997</v>
      </c>
      <c r="M267" s="7" t="s">
        <v>1998</v>
      </c>
      <c r="N267" s="7" t="s">
        <v>40</v>
      </c>
      <c r="O267" s="7" t="s">
        <v>41</v>
      </c>
      <c r="P267" s="7"/>
      <c r="Q267" s="7"/>
      <c r="R267" s="7"/>
      <c r="S267" s="7" t="s">
        <v>72</v>
      </c>
      <c r="T267" s="7" t="s">
        <v>540</v>
      </c>
      <c r="U267" s="7"/>
    </row>
    <row r="268" ht="15.75" customHeight="1">
      <c r="A268" s="7" t="s">
        <v>1982</v>
      </c>
      <c r="B268" s="7" t="s">
        <v>2001</v>
      </c>
      <c r="C268" s="7" t="s">
        <v>47</v>
      </c>
      <c r="D268" s="7" t="s">
        <v>48</v>
      </c>
      <c r="E268" s="7"/>
      <c r="F268" s="7"/>
      <c r="G268" s="7" t="s">
        <v>63</v>
      </c>
      <c r="H268" s="7" t="s">
        <v>33</v>
      </c>
      <c r="I268" s="7" t="s">
        <v>51</v>
      </c>
      <c r="J268" s="7" t="s">
        <v>2002</v>
      </c>
      <c r="K268" s="7" t="s">
        <v>54</v>
      </c>
      <c r="L268" s="7" t="s">
        <v>2003</v>
      </c>
      <c r="M268" s="7" t="s">
        <v>2005</v>
      </c>
      <c r="N268" s="7" t="s">
        <v>40</v>
      </c>
      <c r="O268" s="7" t="s">
        <v>41</v>
      </c>
      <c r="P268" s="7"/>
      <c r="Q268" s="7"/>
      <c r="R268" s="7"/>
      <c r="S268" s="7" t="s">
        <v>72</v>
      </c>
      <c r="T268" s="7" t="s">
        <v>59</v>
      </c>
      <c r="U268" s="7"/>
    </row>
    <row r="269" ht="15.75" customHeight="1">
      <c r="A269" s="7" t="s">
        <v>1982</v>
      </c>
      <c r="B269" s="7" t="s">
        <v>2008</v>
      </c>
      <c r="C269" s="7" t="s">
        <v>47</v>
      </c>
      <c r="D269" s="7" t="s">
        <v>329</v>
      </c>
      <c r="E269" s="7"/>
      <c r="F269" s="7"/>
      <c r="G269" s="7" t="s">
        <v>243</v>
      </c>
      <c r="H269" s="7" t="s">
        <v>232</v>
      </c>
      <c r="I269" s="7" t="s">
        <v>51</v>
      </c>
      <c r="J269" s="7" t="s">
        <v>2011</v>
      </c>
      <c r="K269" s="7" t="s">
        <v>54</v>
      </c>
      <c r="L269" s="7" t="s">
        <v>2012</v>
      </c>
      <c r="M269" s="7" t="s">
        <v>2014</v>
      </c>
      <c r="N269" s="7" t="s">
        <v>40</v>
      </c>
      <c r="O269" s="7" t="s">
        <v>41</v>
      </c>
      <c r="P269" s="7"/>
      <c r="Q269" s="7"/>
      <c r="R269" s="7"/>
      <c r="S269" s="7" t="s">
        <v>241</v>
      </c>
      <c r="T269" s="7" t="s">
        <v>540</v>
      </c>
      <c r="U269" s="7"/>
    </row>
    <row r="270" ht="15.75" customHeight="1">
      <c r="A270" s="7" t="s">
        <v>1982</v>
      </c>
      <c r="B270" s="7" t="s">
        <v>2016</v>
      </c>
      <c r="C270" s="7" t="s">
        <v>47</v>
      </c>
      <c r="D270" s="7" t="s">
        <v>110</v>
      </c>
      <c r="E270" s="7"/>
      <c r="F270" s="7"/>
      <c r="G270" s="7" t="s">
        <v>844</v>
      </c>
      <c r="H270" s="7" t="s">
        <v>232</v>
      </c>
      <c r="I270" s="7" t="s">
        <v>51</v>
      </c>
      <c r="J270" s="7" t="s">
        <v>2019</v>
      </c>
      <c r="K270" s="7" t="s">
        <v>54</v>
      </c>
      <c r="L270" s="7" t="s">
        <v>2020</v>
      </c>
      <c r="M270" s="7" t="s">
        <v>2021</v>
      </c>
      <c r="N270" s="7" t="s">
        <v>40</v>
      </c>
      <c r="O270" s="7" t="s">
        <v>41</v>
      </c>
      <c r="P270" s="7"/>
      <c r="Q270" s="7"/>
      <c r="R270" s="7"/>
      <c r="S270" s="7" t="s">
        <v>851</v>
      </c>
      <c r="T270" s="7" t="s">
        <v>119</v>
      </c>
      <c r="U270" s="7"/>
    </row>
    <row r="271" ht="15.75" customHeight="1">
      <c r="A271" s="7" t="s">
        <v>1982</v>
      </c>
      <c r="B271" s="7" t="s">
        <v>2022</v>
      </c>
      <c r="C271" s="7" t="s">
        <v>47</v>
      </c>
      <c r="D271" s="7" t="s">
        <v>329</v>
      </c>
      <c r="E271" s="7"/>
      <c r="F271" s="7"/>
      <c r="G271" s="7" t="s">
        <v>243</v>
      </c>
      <c r="H271" s="7" t="s">
        <v>232</v>
      </c>
      <c r="I271" s="7" t="s">
        <v>51</v>
      </c>
      <c r="J271" s="7" t="s">
        <v>2024</v>
      </c>
      <c r="K271" s="7" t="s">
        <v>54</v>
      </c>
      <c r="L271" s="7" t="s">
        <v>2025</v>
      </c>
      <c r="M271" s="7" t="s">
        <v>2026</v>
      </c>
      <c r="N271" s="7" t="s">
        <v>40</v>
      </c>
      <c r="O271" s="7" t="s">
        <v>41</v>
      </c>
      <c r="P271" s="7"/>
      <c r="Q271" s="7"/>
      <c r="R271" s="7"/>
      <c r="S271" s="7" t="s">
        <v>241</v>
      </c>
      <c r="T271" s="7" t="s">
        <v>540</v>
      </c>
      <c r="U271" s="7"/>
    </row>
    <row r="272" ht="15.75" customHeight="1">
      <c r="A272" s="7" t="s">
        <v>1982</v>
      </c>
      <c r="B272" s="7" t="s">
        <v>2029</v>
      </c>
      <c r="C272" s="7" t="s">
        <v>47</v>
      </c>
      <c r="D272" s="7" t="s">
        <v>100</v>
      </c>
      <c r="E272" s="7"/>
      <c r="F272" s="7"/>
      <c r="G272" s="7" t="s">
        <v>209</v>
      </c>
      <c r="H272" s="7" t="s">
        <v>33</v>
      </c>
      <c r="I272" s="7" t="s">
        <v>51</v>
      </c>
      <c r="J272" s="7" t="s">
        <v>2030</v>
      </c>
      <c r="K272" s="7" t="s">
        <v>54</v>
      </c>
      <c r="L272" s="7" t="s">
        <v>2032</v>
      </c>
      <c r="M272" s="7" t="s">
        <v>2033</v>
      </c>
      <c r="N272" s="7" t="s">
        <v>40</v>
      </c>
      <c r="O272" s="7" t="s">
        <v>41</v>
      </c>
      <c r="P272" s="7"/>
      <c r="Q272" s="7"/>
      <c r="R272" s="7"/>
      <c r="S272" s="7" t="s">
        <v>215</v>
      </c>
      <c r="T272" s="7" t="s">
        <v>106</v>
      </c>
      <c r="U272" s="7"/>
    </row>
    <row r="273" ht="15.75" customHeight="1">
      <c r="A273" s="7" t="s">
        <v>2035</v>
      </c>
      <c r="B273" s="7" t="s">
        <v>163</v>
      </c>
      <c r="C273" s="7"/>
      <c r="D273" s="7"/>
      <c r="E273" s="7"/>
      <c r="F273" s="7"/>
      <c r="G273" s="7" t="s">
        <v>121</v>
      </c>
      <c r="H273" s="7" t="s">
        <v>121</v>
      </c>
      <c r="I273" s="7"/>
      <c r="J273" s="7" t="s">
        <v>167</v>
      </c>
      <c r="K273" s="7" t="s">
        <v>167</v>
      </c>
      <c r="L273" s="7" t="s">
        <v>167</v>
      </c>
      <c r="M273" s="7" t="s">
        <v>167</v>
      </c>
      <c r="N273" s="7" t="s">
        <v>40</v>
      </c>
      <c r="O273" s="7" t="s">
        <v>170</v>
      </c>
      <c r="P273" s="7" t="s">
        <v>172</v>
      </c>
      <c r="Q273" s="7"/>
      <c r="R273" s="7"/>
      <c r="S273" s="7"/>
      <c r="T273" s="7"/>
      <c r="U273" s="7"/>
    </row>
    <row r="274" ht="15.75" customHeight="1">
      <c r="A274" s="7" t="s">
        <v>2039</v>
      </c>
      <c r="B274" s="7" t="s">
        <v>2040</v>
      </c>
      <c r="C274" s="7" t="s">
        <v>47</v>
      </c>
      <c r="D274" s="7" t="s">
        <v>48</v>
      </c>
      <c r="E274" s="7"/>
      <c r="F274" s="7"/>
      <c r="G274" s="7" t="s">
        <v>63</v>
      </c>
      <c r="H274" s="7" t="s">
        <v>33</v>
      </c>
      <c r="I274" s="7" t="s">
        <v>51</v>
      </c>
      <c r="J274" s="7" t="s">
        <v>2042</v>
      </c>
      <c r="K274" s="7" t="s">
        <v>167</v>
      </c>
      <c r="L274" s="7" t="s">
        <v>2043</v>
      </c>
      <c r="M274" s="7" t="s">
        <v>2044</v>
      </c>
      <c r="N274" s="7" t="s">
        <v>40</v>
      </c>
      <c r="O274" s="7" t="s">
        <v>41</v>
      </c>
      <c r="P274" s="7"/>
      <c r="Q274" s="7"/>
      <c r="R274" s="7"/>
      <c r="S274" s="7" t="s">
        <v>72</v>
      </c>
      <c r="T274" s="7" t="s">
        <v>59</v>
      </c>
      <c r="U274" s="7"/>
    </row>
    <row r="275" ht="15.75" customHeight="1">
      <c r="A275" s="7" t="s">
        <v>2039</v>
      </c>
      <c r="B275" s="7" t="s">
        <v>2047</v>
      </c>
      <c r="C275" s="7" t="s">
        <v>47</v>
      </c>
      <c r="D275" s="7" t="s">
        <v>110</v>
      </c>
      <c r="E275" s="7"/>
      <c r="F275" s="7"/>
      <c r="G275" s="7" t="s">
        <v>63</v>
      </c>
      <c r="H275" s="7" t="s">
        <v>33</v>
      </c>
      <c r="I275" s="7" t="s">
        <v>34</v>
      </c>
      <c r="J275" s="7" t="s">
        <v>2048</v>
      </c>
      <c r="K275" s="7" t="s">
        <v>37</v>
      </c>
      <c r="L275" s="7" t="s">
        <v>2049</v>
      </c>
      <c r="M275" s="7" t="s">
        <v>2050</v>
      </c>
      <c r="N275" s="7" t="s">
        <v>40</v>
      </c>
      <c r="O275" s="7" t="s">
        <v>41</v>
      </c>
      <c r="P275" s="7"/>
      <c r="Q275" s="7"/>
      <c r="R275" s="7"/>
      <c r="S275" s="7" t="s">
        <v>72</v>
      </c>
      <c r="T275" s="7" t="s">
        <v>119</v>
      </c>
      <c r="U275" s="7"/>
    </row>
    <row r="276" ht="15.75" customHeight="1">
      <c r="A276" s="7" t="s">
        <v>2039</v>
      </c>
      <c r="B276" s="7" t="s">
        <v>2052</v>
      </c>
      <c r="C276" s="7" t="s">
        <v>47</v>
      </c>
      <c r="D276" s="7" t="s">
        <v>329</v>
      </c>
      <c r="E276" s="7"/>
      <c r="F276" s="7"/>
      <c r="G276" s="7" t="s">
        <v>550</v>
      </c>
      <c r="H276" s="7" t="s">
        <v>33</v>
      </c>
      <c r="I276" s="7" t="s">
        <v>51</v>
      </c>
      <c r="J276" s="7" t="s">
        <v>2055</v>
      </c>
      <c r="K276" s="7" t="s">
        <v>167</v>
      </c>
      <c r="L276" s="7" t="s">
        <v>2056</v>
      </c>
      <c r="M276" s="7" t="s">
        <v>2044</v>
      </c>
      <c r="N276" s="7" t="s">
        <v>40</v>
      </c>
      <c r="O276" s="7" t="s">
        <v>41</v>
      </c>
      <c r="P276" s="7"/>
      <c r="Q276" s="7"/>
      <c r="R276" s="7"/>
      <c r="S276" s="7" t="s">
        <v>556</v>
      </c>
      <c r="T276" s="7" t="s">
        <v>540</v>
      </c>
      <c r="U276" s="7"/>
    </row>
    <row r="277" ht="15.75" customHeight="1">
      <c r="A277" s="7" t="s">
        <v>2039</v>
      </c>
      <c r="B277" s="7" t="s">
        <v>2061</v>
      </c>
      <c r="C277" s="7" t="s">
        <v>47</v>
      </c>
      <c r="D277" s="7" t="s">
        <v>110</v>
      </c>
      <c r="E277" s="7"/>
      <c r="F277" s="7"/>
      <c r="G277" s="7" t="s">
        <v>209</v>
      </c>
      <c r="H277" s="7" t="s">
        <v>33</v>
      </c>
      <c r="I277" s="7" t="s">
        <v>51</v>
      </c>
      <c r="J277" s="7" t="s">
        <v>1423</v>
      </c>
      <c r="K277" s="7" t="s">
        <v>167</v>
      </c>
      <c r="L277" s="7" t="s">
        <v>2063</v>
      </c>
      <c r="M277" s="7" t="s">
        <v>2044</v>
      </c>
      <c r="N277" s="7" t="s">
        <v>40</v>
      </c>
      <c r="O277" s="7" t="s">
        <v>41</v>
      </c>
      <c r="P277" s="7"/>
      <c r="Q277" s="7"/>
      <c r="R277" s="7"/>
      <c r="S277" s="7" t="s">
        <v>215</v>
      </c>
      <c r="T277" s="7" t="s">
        <v>119</v>
      </c>
      <c r="U277" s="7"/>
    </row>
    <row r="278" ht="15.75" customHeight="1">
      <c r="A278" s="7" t="s">
        <v>2039</v>
      </c>
      <c r="B278" s="7" t="s">
        <v>2067</v>
      </c>
      <c r="C278" s="7" t="s">
        <v>47</v>
      </c>
      <c r="D278" s="7" t="s">
        <v>110</v>
      </c>
      <c r="E278" s="7"/>
      <c r="F278" s="7"/>
      <c r="G278" s="7" t="s">
        <v>209</v>
      </c>
      <c r="H278" s="7" t="s">
        <v>33</v>
      </c>
      <c r="I278" s="7" t="s">
        <v>34</v>
      </c>
      <c r="J278" s="7" t="s">
        <v>1393</v>
      </c>
      <c r="K278" s="7" t="s">
        <v>37</v>
      </c>
      <c r="L278" s="7" t="s">
        <v>2071</v>
      </c>
      <c r="M278" s="7" t="s">
        <v>2072</v>
      </c>
      <c r="N278" s="7" t="s">
        <v>40</v>
      </c>
      <c r="O278" s="7" t="s">
        <v>41</v>
      </c>
      <c r="P278" s="7"/>
      <c r="Q278" s="7"/>
      <c r="R278" s="7"/>
      <c r="S278" s="7" t="s">
        <v>215</v>
      </c>
      <c r="T278" s="7" t="s">
        <v>119</v>
      </c>
      <c r="U278" s="7"/>
    </row>
    <row r="279" ht="15.75" customHeight="1">
      <c r="A279" s="7" t="s">
        <v>2039</v>
      </c>
      <c r="B279" s="7" t="s">
        <v>2075</v>
      </c>
      <c r="C279" s="7" t="s">
        <v>47</v>
      </c>
      <c r="D279" s="7" t="s">
        <v>329</v>
      </c>
      <c r="E279" s="7"/>
      <c r="F279" s="7"/>
      <c r="G279" s="7" t="s">
        <v>63</v>
      </c>
      <c r="H279" s="7" t="s">
        <v>33</v>
      </c>
      <c r="I279" s="7" t="s">
        <v>34</v>
      </c>
      <c r="J279" s="7" t="s">
        <v>622</v>
      </c>
      <c r="K279" s="7" t="s">
        <v>37</v>
      </c>
      <c r="L279" s="7" t="s">
        <v>2076</v>
      </c>
      <c r="M279" s="7" t="s">
        <v>2077</v>
      </c>
      <c r="N279" s="7" t="s">
        <v>40</v>
      </c>
      <c r="O279" s="7" t="s">
        <v>41</v>
      </c>
      <c r="P279" s="7"/>
      <c r="Q279" s="7"/>
      <c r="R279" s="7"/>
      <c r="S279" s="7" t="s">
        <v>72</v>
      </c>
      <c r="T279" s="7" t="s">
        <v>540</v>
      </c>
      <c r="U279" s="7"/>
    </row>
    <row r="280" ht="15.75" customHeight="1">
      <c r="A280" s="7" t="s">
        <v>2039</v>
      </c>
      <c r="B280" s="7" t="s">
        <v>2079</v>
      </c>
      <c r="C280" s="7" t="s">
        <v>47</v>
      </c>
      <c r="D280" s="7" t="s">
        <v>110</v>
      </c>
      <c r="E280" s="7" t="s">
        <v>64</v>
      </c>
      <c r="F280" s="7" t="s">
        <v>132</v>
      </c>
      <c r="G280" s="7" t="s">
        <v>209</v>
      </c>
      <c r="H280" s="7" t="s">
        <v>33</v>
      </c>
      <c r="I280" s="7" t="s">
        <v>51</v>
      </c>
      <c r="J280" s="7" t="s">
        <v>2081</v>
      </c>
      <c r="K280" s="7" t="s">
        <v>167</v>
      </c>
      <c r="L280" s="7" t="s">
        <v>2082</v>
      </c>
      <c r="M280" s="7" t="s">
        <v>2072</v>
      </c>
      <c r="N280" s="7" t="s">
        <v>40</v>
      </c>
      <c r="O280" s="7" t="s">
        <v>41</v>
      </c>
      <c r="P280" s="7"/>
      <c r="Q280" s="7"/>
      <c r="R280" s="7"/>
      <c r="S280" s="7" t="s">
        <v>215</v>
      </c>
      <c r="T280" s="7" t="s">
        <v>119</v>
      </c>
      <c r="U280" s="7"/>
    </row>
    <row r="281" ht="15.75" customHeight="1">
      <c r="A281" s="7" t="s">
        <v>2039</v>
      </c>
      <c r="B281" s="7" t="s">
        <v>2085</v>
      </c>
      <c r="C281" s="7" t="s">
        <v>47</v>
      </c>
      <c r="D281" s="7" t="s">
        <v>48</v>
      </c>
      <c r="E281" s="7" t="s">
        <v>30</v>
      </c>
      <c r="F281" s="7" t="s">
        <v>31</v>
      </c>
      <c r="G281" s="7" t="s">
        <v>261</v>
      </c>
      <c r="H281" s="7" t="s">
        <v>33</v>
      </c>
      <c r="I281" s="7" t="s">
        <v>51</v>
      </c>
      <c r="J281" s="7" t="s">
        <v>2087</v>
      </c>
      <c r="K281" s="7" t="s">
        <v>167</v>
      </c>
      <c r="L281" s="7" t="s">
        <v>2088</v>
      </c>
      <c r="M281" s="7" t="s">
        <v>2044</v>
      </c>
      <c r="N281" s="7" t="s">
        <v>40</v>
      </c>
      <c r="O281" s="7" t="s">
        <v>41</v>
      </c>
      <c r="P281" s="7"/>
      <c r="Q281" s="7"/>
      <c r="R281" s="7"/>
      <c r="S281" s="7" t="s">
        <v>260</v>
      </c>
      <c r="T281" s="7" t="s">
        <v>59</v>
      </c>
      <c r="U281" s="7"/>
    </row>
    <row r="282" ht="15.75" customHeight="1">
      <c r="A282" s="7" t="s">
        <v>2039</v>
      </c>
      <c r="B282" s="7" t="s">
        <v>2089</v>
      </c>
      <c r="C282" s="7" t="s">
        <v>47</v>
      </c>
      <c r="D282" s="7" t="s">
        <v>121</v>
      </c>
      <c r="E282" s="7"/>
      <c r="F282" s="7"/>
      <c r="G282" s="7" t="s">
        <v>112</v>
      </c>
      <c r="H282" s="7" t="s">
        <v>33</v>
      </c>
      <c r="I282" s="7" t="s">
        <v>51</v>
      </c>
      <c r="J282" s="7" t="s">
        <v>2091</v>
      </c>
      <c r="K282" s="7" t="s">
        <v>167</v>
      </c>
      <c r="L282" s="7" t="s">
        <v>2092</v>
      </c>
      <c r="M282" s="7" t="s">
        <v>2044</v>
      </c>
      <c r="N282" s="7" t="s">
        <v>40</v>
      </c>
      <c r="O282" s="7" t="s">
        <v>41</v>
      </c>
      <c r="P282" s="7"/>
      <c r="Q282" s="7"/>
      <c r="R282" s="7"/>
      <c r="S282" s="7" t="s">
        <v>118</v>
      </c>
      <c r="T282" s="7" t="s">
        <v>127</v>
      </c>
      <c r="U282" s="7"/>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8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34.29"/>
    <col customWidth="1" min="3" max="3" width="18.0"/>
    <col customWidth="1" min="4" max="4" width="46.0"/>
    <col customWidth="1" min="5" max="5" width="18.0"/>
    <col customWidth="1" min="6" max="6" width="56.57"/>
    <col customWidth="1" min="7" max="16" width="18.0"/>
    <col customWidth="1" min="17" max="17" width="54.43"/>
    <col customWidth="1" min="18" max="30" width="18.0"/>
  </cols>
  <sheetData>
    <row r="1">
      <c r="A1" s="1" t="s">
        <v>1</v>
      </c>
      <c r="B1" s="1" t="s">
        <v>84</v>
      </c>
      <c r="C1" s="1" t="s">
        <v>86</v>
      </c>
      <c r="D1" s="1" t="s">
        <v>88</v>
      </c>
      <c r="E1" s="1" t="s">
        <v>90</v>
      </c>
      <c r="F1" s="1" t="s">
        <v>2</v>
      </c>
      <c r="G1" s="1" t="s">
        <v>3</v>
      </c>
      <c r="H1" s="1" t="s">
        <v>4</v>
      </c>
      <c r="I1" s="1" t="s">
        <v>5</v>
      </c>
      <c r="J1" s="1" t="s">
        <v>6</v>
      </c>
      <c r="K1" s="1" t="s">
        <v>99</v>
      </c>
      <c r="L1" s="1" t="s">
        <v>7</v>
      </c>
      <c r="M1" s="1" t="s">
        <v>8</v>
      </c>
      <c r="N1" s="1" t="s">
        <v>9</v>
      </c>
      <c r="O1" s="1" t="s">
        <v>10</v>
      </c>
      <c r="P1" s="1" t="s">
        <v>11</v>
      </c>
      <c r="Q1" s="1" t="s">
        <v>12</v>
      </c>
      <c r="R1" s="1" t="s">
        <v>14</v>
      </c>
      <c r="S1" s="1" t="s">
        <v>109</v>
      </c>
      <c r="T1" s="1" t="s">
        <v>111</v>
      </c>
      <c r="U1" s="1" t="s">
        <v>113</v>
      </c>
      <c r="V1" s="1" t="s">
        <v>114</v>
      </c>
      <c r="W1" s="4" t="s">
        <v>15</v>
      </c>
      <c r="X1" s="4" t="s">
        <v>17</v>
      </c>
      <c r="Y1" s="4" t="s">
        <v>18</v>
      </c>
      <c r="Z1" s="4" t="s">
        <v>19</v>
      </c>
      <c r="AA1" s="4" t="s">
        <v>20</v>
      </c>
      <c r="AB1" s="4" t="s">
        <v>21</v>
      </c>
      <c r="AC1" s="4" t="s">
        <v>22</v>
      </c>
      <c r="AD1" s="4" t="s">
        <v>24</v>
      </c>
    </row>
    <row r="2">
      <c r="A2" s="7" t="s">
        <v>126</v>
      </c>
      <c r="B2" s="7" t="s">
        <v>128</v>
      </c>
      <c r="C2" s="7" t="s">
        <v>129</v>
      </c>
      <c r="D2" s="7" t="s">
        <v>131</v>
      </c>
      <c r="E2" s="7">
        <v>1.0</v>
      </c>
      <c r="F2" s="7" t="s">
        <v>135</v>
      </c>
      <c r="G2" s="7" t="s">
        <v>137</v>
      </c>
      <c r="H2" s="7" t="s">
        <v>100</v>
      </c>
      <c r="I2" s="7"/>
      <c r="J2" s="7"/>
      <c r="K2" s="7" t="s">
        <v>139</v>
      </c>
      <c r="L2" s="7" t="s">
        <v>139</v>
      </c>
      <c r="M2" s="7" t="s">
        <v>121</v>
      </c>
      <c r="N2" s="7" t="s">
        <v>142</v>
      </c>
      <c r="O2" s="7" t="s">
        <v>143</v>
      </c>
      <c r="P2" s="7" t="s">
        <v>145</v>
      </c>
      <c r="Q2" s="7" t="s">
        <v>146</v>
      </c>
      <c r="R2" s="7" t="s">
        <v>147</v>
      </c>
      <c r="S2" s="7" t="s">
        <v>148</v>
      </c>
      <c r="T2" s="7">
        <v>1.0</v>
      </c>
      <c r="U2" s="7" t="s">
        <v>41</v>
      </c>
      <c r="V2" s="7"/>
      <c r="W2" s="7" t="s">
        <v>152</v>
      </c>
      <c r="X2" s="7" t="s">
        <v>41</v>
      </c>
      <c r="Y2" s="7"/>
      <c r="Z2" s="7" t="s">
        <v>139</v>
      </c>
      <c r="AA2" s="7"/>
      <c r="AB2" s="7" t="s">
        <v>138</v>
      </c>
      <c r="AC2" s="7" t="s">
        <v>106</v>
      </c>
      <c r="AD2" s="7"/>
    </row>
    <row r="3">
      <c r="A3" s="7" t="s">
        <v>155</v>
      </c>
      <c r="B3" s="7" t="s">
        <v>157</v>
      </c>
      <c r="C3" s="7" t="s">
        <v>129</v>
      </c>
      <c r="D3" s="7" t="s">
        <v>160</v>
      </c>
      <c r="E3" s="7">
        <v>1.0</v>
      </c>
      <c r="F3" s="7" t="s">
        <v>163</v>
      </c>
      <c r="G3" s="7"/>
      <c r="H3" s="7"/>
      <c r="I3" s="7"/>
      <c r="J3" s="7"/>
      <c r="K3" s="7" t="s">
        <v>121</v>
      </c>
      <c r="L3" s="7" t="s">
        <v>121</v>
      </c>
      <c r="M3" s="7" t="s">
        <v>121</v>
      </c>
      <c r="N3" s="7"/>
      <c r="O3" s="7" t="s">
        <v>167</v>
      </c>
      <c r="P3" s="7" t="s">
        <v>167</v>
      </c>
      <c r="Q3" s="7"/>
      <c r="R3" s="7"/>
      <c r="S3" s="7"/>
      <c r="T3" s="7">
        <v>1.0</v>
      </c>
      <c r="U3" s="7" t="s">
        <v>170</v>
      </c>
      <c r="V3" s="7"/>
      <c r="W3" s="7" t="s">
        <v>152</v>
      </c>
      <c r="X3" s="7" t="s">
        <v>170</v>
      </c>
      <c r="Y3" s="7" t="s">
        <v>172</v>
      </c>
      <c r="Z3" s="7"/>
      <c r="AA3" s="7"/>
      <c r="AB3" s="7"/>
      <c r="AC3" s="7"/>
      <c r="AD3" s="7"/>
    </row>
    <row r="4">
      <c r="A4" s="7" t="s">
        <v>175</v>
      </c>
      <c r="B4" s="7" t="s">
        <v>176</v>
      </c>
      <c r="C4" s="7" t="s">
        <v>129</v>
      </c>
      <c r="D4" s="7" t="s">
        <v>178</v>
      </c>
      <c r="E4" s="7">
        <v>1.0</v>
      </c>
      <c r="F4" s="7" t="s">
        <v>180</v>
      </c>
      <c r="G4" s="7" t="s">
        <v>137</v>
      </c>
      <c r="H4" s="7" t="s">
        <v>110</v>
      </c>
      <c r="I4" s="7"/>
      <c r="J4" s="7"/>
      <c r="K4" s="7" t="s">
        <v>105</v>
      </c>
      <c r="L4" s="7" t="s">
        <v>101</v>
      </c>
      <c r="M4" s="7" t="s">
        <v>182</v>
      </c>
      <c r="N4" s="7" t="s">
        <v>34</v>
      </c>
      <c r="O4" s="7" t="s">
        <v>143</v>
      </c>
      <c r="P4" s="7" t="s">
        <v>185</v>
      </c>
      <c r="Q4" s="7" t="s">
        <v>186</v>
      </c>
      <c r="R4" s="7" t="s">
        <v>187</v>
      </c>
      <c r="S4" s="7" t="s">
        <v>188</v>
      </c>
      <c r="T4" s="7">
        <v>1.0</v>
      </c>
      <c r="U4" s="7" t="s">
        <v>41</v>
      </c>
      <c r="V4" s="7"/>
      <c r="W4" s="7" t="s">
        <v>152</v>
      </c>
      <c r="X4" s="7" t="s">
        <v>41</v>
      </c>
      <c r="Y4" s="7"/>
      <c r="Z4" s="7"/>
      <c r="AA4" s="7"/>
      <c r="AB4" s="7" t="s">
        <v>105</v>
      </c>
      <c r="AC4" s="7" t="s">
        <v>119</v>
      </c>
      <c r="AD4" s="7"/>
    </row>
    <row r="5">
      <c r="A5" s="7" t="s">
        <v>175</v>
      </c>
      <c r="B5" s="7" t="s">
        <v>176</v>
      </c>
      <c r="C5" s="7" t="s">
        <v>129</v>
      </c>
      <c r="D5" s="7" t="s">
        <v>178</v>
      </c>
      <c r="E5" s="7">
        <v>2.0</v>
      </c>
      <c r="F5" s="7" t="s">
        <v>197</v>
      </c>
      <c r="G5" s="7" t="s">
        <v>137</v>
      </c>
      <c r="H5" s="7" t="s">
        <v>110</v>
      </c>
      <c r="I5" s="7"/>
      <c r="J5" s="7"/>
      <c r="K5" s="7" t="s">
        <v>105</v>
      </c>
      <c r="L5" s="7" t="s">
        <v>101</v>
      </c>
      <c r="M5" s="7" t="s">
        <v>182</v>
      </c>
      <c r="N5" s="7" t="s">
        <v>34</v>
      </c>
      <c r="O5" s="7" t="s">
        <v>143</v>
      </c>
      <c r="P5" s="7" t="s">
        <v>185</v>
      </c>
      <c r="Q5" s="7" t="s">
        <v>203</v>
      </c>
      <c r="R5" s="7" t="s">
        <v>205</v>
      </c>
      <c r="S5" s="7" t="s">
        <v>188</v>
      </c>
      <c r="T5" s="7">
        <v>1.0</v>
      </c>
      <c r="U5" s="7" t="s">
        <v>41</v>
      </c>
      <c r="V5" s="7"/>
      <c r="W5" s="7" t="s">
        <v>152</v>
      </c>
      <c r="X5" s="7" t="s">
        <v>41</v>
      </c>
      <c r="Y5" s="7"/>
      <c r="Z5" s="7"/>
      <c r="AA5" s="7"/>
      <c r="AB5" s="7" t="s">
        <v>105</v>
      </c>
      <c r="AC5" s="7" t="s">
        <v>119</v>
      </c>
      <c r="AD5" s="7"/>
    </row>
    <row r="6">
      <c r="A6" s="7" t="s">
        <v>175</v>
      </c>
      <c r="B6" s="7" t="s">
        <v>176</v>
      </c>
      <c r="C6" s="7" t="s">
        <v>129</v>
      </c>
      <c r="D6" s="7" t="s">
        <v>178</v>
      </c>
      <c r="E6" s="7">
        <v>3.0</v>
      </c>
      <c r="F6" s="7" t="s">
        <v>213</v>
      </c>
      <c r="G6" s="7" t="s">
        <v>214</v>
      </c>
      <c r="H6" s="7" t="s">
        <v>216</v>
      </c>
      <c r="I6" s="7"/>
      <c r="J6" s="7"/>
      <c r="K6" s="7" t="s">
        <v>105</v>
      </c>
      <c r="L6" s="7" t="s">
        <v>101</v>
      </c>
      <c r="M6" s="7" t="s">
        <v>182</v>
      </c>
      <c r="N6" s="7" t="s">
        <v>34</v>
      </c>
      <c r="O6" s="7" t="s">
        <v>143</v>
      </c>
      <c r="P6" s="7" t="s">
        <v>185</v>
      </c>
      <c r="Q6" s="7" t="s">
        <v>218</v>
      </c>
      <c r="R6" s="7" t="s">
        <v>205</v>
      </c>
      <c r="S6" s="7" t="s">
        <v>148</v>
      </c>
      <c r="T6" s="7">
        <v>1.0</v>
      </c>
      <c r="U6" s="7" t="s">
        <v>41</v>
      </c>
      <c r="V6" s="7"/>
      <c r="W6" s="7" t="s">
        <v>152</v>
      </c>
      <c r="X6" s="7" t="s">
        <v>41</v>
      </c>
      <c r="Y6" s="7"/>
      <c r="Z6" s="7"/>
      <c r="AA6" s="7"/>
      <c r="AB6" s="7" t="s">
        <v>105</v>
      </c>
      <c r="AC6" s="7" t="s">
        <v>221</v>
      </c>
      <c r="AD6" s="7"/>
    </row>
    <row r="7">
      <c r="A7" s="7" t="s">
        <v>175</v>
      </c>
      <c r="B7" s="7" t="s">
        <v>176</v>
      </c>
      <c r="C7" s="7" t="s">
        <v>129</v>
      </c>
      <c r="D7" s="7" t="s">
        <v>178</v>
      </c>
      <c r="E7" s="7">
        <v>4.0</v>
      </c>
      <c r="F7" s="7" t="s">
        <v>224</v>
      </c>
      <c r="G7" s="7" t="s">
        <v>137</v>
      </c>
      <c r="H7" s="7" t="s">
        <v>110</v>
      </c>
      <c r="I7" s="7"/>
      <c r="J7" s="7"/>
      <c r="K7" s="7" t="s">
        <v>72</v>
      </c>
      <c r="L7" s="7" t="s">
        <v>63</v>
      </c>
      <c r="M7" s="7" t="s">
        <v>182</v>
      </c>
      <c r="N7" s="7" t="s">
        <v>142</v>
      </c>
      <c r="O7" s="7" t="s">
        <v>143</v>
      </c>
      <c r="P7" s="7" t="s">
        <v>54</v>
      </c>
      <c r="Q7" s="7" t="s">
        <v>229</v>
      </c>
      <c r="R7" s="7" t="s">
        <v>231</v>
      </c>
      <c r="S7" s="7" t="s">
        <v>148</v>
      </c>
      <c r="T7" s="7">
        <v>1.0</v>
      </c>
      <c r="U7" s="7" t="s">
        <v>41</v>
      </c>
      <c r="V7" s="7"/>
      <c r="W7" s="7" t="s">
        <v>152</v>
      </c>
      <c r="X7" s="7" t="s">
        <v>41</v>
      </c>
      <c r="Y7" s="7"/>
      <c r="Z7" s="7"/>
      <c r="AA7" s="7"/>
      <c r="AB7" s="7" t="s">
        <v>72</v>
      </c>
      <c r="AC7" s="7" t="s">
        <v>119</v>
      </c>
      <c r="AD7" s="7"/>
    </row>
    <row r="8">
      <c r="A8" s="7" t="s">
        <v>175</v>
      </c>
      <c r="B8" s="7" t="s">
        <v>176</v>
      </c>
      <c r="C8" s="7" t="s">
        <v>129</v>
      </c>
      <c r="D8" s="7" t="s">
        <v>178</v>
      </c>
      <c r="E8" s="7">
        <v>5.0</v>
      </c>
      <c r="F8" s="7" t="s">
        <v>237</v>
      </c>
      <c r="G8" s="7" t="s">
        <v>137</v>
      </c>
      <c r="H8" s="7" t="s">
        <v>110</v>
      </c>
      <c r="I8" s="7"/>
      <c r="J8" s="7"/>
      <c r="K8" s="7" t="s">
        <v>241</v>
      </c>
      <c r="L8" s="7" t="s">
        <v>243</v>
      </c>
      <c r="M8" s="7" t="s">
        <v>244</v>
      </c>
      <c r="N8" s="7" t="s">
        <v>34</v>
      </c>
      <c r="O8" s="7" t="s">
        <v>245</v>
      </c>
      <c r="P8" s="7" t="s">
        <v>247</v>
      </c>
      <c r="Q8" s="7" t="s">
        <v>249</v>
      </c>
      <c r="R8" s="7" t="s">
        <v>251</v>
      </c>
      <c r="S8" s="7" t="s">
        <v>148</v>
      </c>
      <c r="T8" s="7">
        <v>1.0</v>
      </c>
      <c r="U8" s="7" t="s">
        <v>41</v>
      </c>
      <c r="V8" s="7"/>
      <c r="W8" s="7" t="s">
        <v>152</v>
      </c>
      <c r="X8" s="7" t="s">
        <v>41</v>
      </c>
      <c r="Y8" s="7"/>
      <c r="Z8" s="7"/>
      <c r="AA8" s="7"/>
      <c r="AB8" s="7" t="s">
        <v>241</v>
      </c>
      <c r="AC8" s="7" t="s">
        <v>119</v>
      </c>
      <c r="AD8" s="7"/>
    </row>
    <row r="9">
      <c r="A9" s="7" t="s">
        <v>175</v>
      </c>
      <c r="B9" s="7" t="s">
        <v>176</v>
      </c>
      <c r="C9" s="7" t="s">
        <v>129</v>
      </c>
      <c r="D9" s="7" t="s">
        <v>178</v>
      </c>
      <c r="E9" s="7">
        <v>6.0</v>
      </c>
      <c r="F9" s="7" t="s">
        <v>257</v>
      </c>
      <c r="G9" s="7" t="s">
        <v>137</v>
      </c>
      <c r="H9" s="7" t="s">
        <v>110</v>
      </c>
      <c r="I9" s="7"/>
      <c r="J9" s="7"/>
      <c r="K9" s="7" t="s">
        <v>260</v>
      </c>
      <c r="L9" s="7" t="s">
        <v>261</v>
      </c>
      <c r="M9" s="7" t="s">
        <v>182</v>
      </c>
      <c r="N9" s="7" t="s">
        <v>34</v>
      </c>
      <c r="O9" s="7" t="s">
        <v>263</v>
      </c>
      <c r="P9" s="7" t="s">
        <v>145</v>
      </c>
      <c r="Q9" s="7" t="s">
        <v>265</v>
      </c>
      <c r="R9" s="7" t="s">
        <v>251</v>
      </c>
      <c r="S9" s="7" t="s">
        <v>188</v>
      </c>
      <c r="T9" s="7">
        <v>1.0</v>
      </c>
      <c r="U9" s="7" t="s">
        <v>41</v>
      </c>
      <c r="V9" s="7"/>
      <c r="W9" s="7" t="s">
        <v>152</v>
      </c>
      <c r="X9" s="7" t="s">
        <v>41</v>
      </c>
      <c r="Y9" s="7"/>
      <c r="Z9" s="7"/>
      <c r="AA9" s="7"/>
      <c r="AB9" s="7" t="s">
        <v>260</v>
      </c>
      <c r="AC9" s="7" t="s">
        <v>119</v>
      </c>
      <c r="AD9" s="7"/>
    </row>
    <row r="10">
      <c r="A10" s="7" t="s">
        <v>175</v>
      </c>
      <c r="B10" s="7" t="s">
        <v>176</v>
      </c>
      <c r="C10" s="7" t="s">
        <v>129</v>
      </c>
      <c r="D10" s="7" t="s">
        <v>178</v>
      </c>
      <c r="E10" s="7">
        <v>7.0</v>
      </c>
      <c r="F10" s="7" t="s">
        <v>273</v>
      </c>
      <c r="G10" s="7" t="s">
        <v>137</v>
      </c>
      <c r="H10" s="7" t="s">
        <v>110</v>
      </c>
      <c r="I10" s="7"/>
      <c r="J10" s="7"/>
      <c r="K10" s="7" t="s">
        <v>241</v>
      </c>
      <c r="L10" s="7" t="s">
        <v>243</v>
      </c>
      <c r="M10" s="7" t="s">
        <v>244</v>
      </c>
      <c r="N10" s="7" t="s">
        <v>34</v>
      </c>
      <c r="O10" s="7" t="s">
        <v>275</v>
      </c>
      <c r="P10" s="7" t="s">
        <v>162</v>
      </c>
      <c r="Q10" s="7" t="s">
        <v>277</v>
      </c>
      <c r="R10" s="7" t="s">
        <v>251</v>
      </c>
      <c r="S10" s="7" t="s">
        <v>188</v>
      </c>
      <c r="T10" s="7">
        <v>1.0</v>
      </c>
      <c r="U10" s="7" t="s">
        <v>41</v>
      </c>
      <c r="V10" s="7"/>
      <c r="W10" s="7" t="s">
        <v>152</v>
      </c>
      <c r="X10" s="7" t="s">
        <v>41</v>
      </c>
      <c r="Y10" s="7"/>
      <c r="Z10" s="7"/>
      <c r="AA10" s="7"/>
      <c r="AB10" s="7" t="s">
        <v>241</v>
      </c>
      <c r="AC10" s="7" t="s">
        <v>119</v>
      </c>
      <c r="AD10" s="7"/>
    </row>
    <row r="11">
      <c r="A11" s="7" t="s">
        <v>175</v>
      </c>
      <c r="B11" s="7" t="s">
        <v>176</v>
      </c>
      <c r="C11" s="7" t="s">
        <v>129</v>
      </c>
      <c r="D11" s="7" t="s">
        <v>178</v>
      </c>
      <c r="E11" s="7">
        <v>8.0</v>
      </c>
      <c r="F11" s="7" t="s">
        <v>283</v>
      </c>
      <c r="G11" s="7" t="s">
        <v>137</v>
      </c>
      <c r="H11" s="7" t="s">
        <v>110</v>
      </c>
      <c r="I11" s="7"/>
      <c r="J11" s="7"/>
      <c r="K11" s="7" t="s">
        <v>105</v>
      </c>
      <c r="L11" s="7" t="s">
        <v>101</v>
      </c>
      <c r="M11" s="7" t="s">
        <v>182</v>
      </c>
      <c r="N11" s="7" t="s">
        <v>34</v>
      </c>
      <c r="O11" s="7" t="s">
        <v>288</v>
      </c>
      <c r="P11" s="7" t="s">
        <v>185</v>
      </c>
      <c r="Q11" s="7" t="s">
        <v>291</v>
      </c>
      <c r="R11" s="7" t="s">
        <v>251</v>
      </c>
      <c r="S11" s="7" t="s">
        <v>292</v>
      </c>
      <c r="T11" s="7">
        <v>1.0</v>
      </c>
      <c r="U11" s="7" t="s">
        <v>41</v>
      </c>
      <c r="V11" s="7"/>
      <c r="W11" s="7" t="s">
        <v>152</v>
      </c>
      <c r="X11" s="7" t="s">
        <v>41</v>
      </c>
      <c r="Y11" s="7"/>
      <c r="Z11" s="7"/>
      <c r="AA11" s="7"/>
      <c r="AB11" s="7" t="s">
        <v>105</v>
      </c>
      <c r="AC11" s="7" t="s">
        <v>119</v>
      </c>
      <c r="AD11" s="7"/>
    </row>
    <row r="12">
      <c r="A12" s="7" t="s">
        <v>298</v>
      </c>
      <c r="B12" s="7" t="s">
        <v>299</v>
      </c>
      <c r="C12" s="7" t="s">
        <v>129</v>
      </c>
      <c r="D12" s="7" t="s">
        <v>301</v>
      </c>
      <c r="E12" s="7">
        <v>1.0</v>
      </c>
      <c r="F12" s="7" t="s">
        <v>302</v>
      </c>
      <c r="G12" s="7" t="s">
        <v>137</v>
      </c>
      <c r="H12" s="7" t="s">
        <v>48</v>
      </c>
      <c r="I12" s="7"/>
      <c r="J12" s="7"/>
      <c r="K12" s="7" t="s">
        <v>304</v>
      </c>
      <c r="L12" s="7" t="s">
        <v>307</v>
      </c>
      <c r="M12" s="7" t="s">
        <v>244</v>
      </c>
      <c r="N12" s="7" t="s">
        <v>34</v>
      </c>
      <c r="O12" s="7" t="s">
        <v>143</v>
      </c>
      <c r="P12" s="7" t="s">
        <v>310</v>
      </c>
      <c r="Q12" s="7" t="s">
        <v>312</v>
      </c>
      <c r="R12" s="7" t="s">
        <v>314</v>
      </c>
      <c r="S12" s="7" t="s">
        <v>148</v>
      </c>
      <c r="T12" s="7">
        <v>1.0</v>
      </c>
      <c r="U12" s="7" t="s">
        <v>41</v>
      </c>
      <c r="V12" s="7"/>
      <c r="W12" s="7" t="s">
        <v>152</v>
      </c>
      <c r="X12" s="7" t="s">
        <v>41</v>
      </c>
      <c r="Y12" s="7"/>
      <c r="Z12" s="7"/>
      <c r="AA12" s="7"/>
      <c r="AB12" s="7" t="s">
        <v>304</v>
      </c>
      <c r="AC12" s="7" t="s">
        <v>59</v>
      </c>
      <c r="AD12" s="7" t="s">
        <v>319</v>
      </c>
    </row>
    <row r="13">
      <c r="A13" s="7" t="s">
        <v>321</v>
      </c>
      <c r="B13" s="7" t="s">
        <v>322</v>
      </c>
      <c r="C13" s="7" t="s">
        <v>129</v>
      </c>
      <c r="D13" s="7" t="s">
        <v>324</v>
      </c>
      <c r="E13" s="7">
        <v>1.0</v>
      </c>
      <c r="F13" s="7" t="s">
        <v>326</v>
      </c>
      <c r="G13" s="7" t="s">
        <v>137</v>
      </c>
      <c r="H13" s="7" t="s">
        <v>100</v>
      </c>
      <c r="I13" s="7"/>
      <c r="J13" s="7"/>
      <c r="K13" s="7" t="s">
        <v>215</v>
      </c>
      <c r="L13" s="7" t="s">
        <v>209</v>
      </c>
      <c r="M13" s="7" t="s">
        <v>182</v>
      </c>
      <c r="N13" s="7" t="s">
        <v>34</v>
      </c>
      <c r="O13" s="7" t="s">
        <v>143</v>
      </c>
      <c r="P13" s="7" t="s">
        <v>310</v>
      </c>
      <c r="Q13" s="7" t="s">
        <v>332</v>
      </c>
      <c r="R13" s="7" t="s">
        <v>334</v>
      </c>
      <c r="S13" s="7" t="s">
        <v>188</v>
      </c>
      <c r="T13" s="7">
        <v>1.0</v>
      </c>
      <c r="U13" s="7" t="s">
        <v>41</v>
      </c>
      <c r="V13" s="7"/>
      <c r="W13" s="7" t="s">
        <v>152</v>
      </c>
      <c r="X13" s="7" t="s">
        <v>41</v>
      </c>
      <c r="Y13" s="7"/>
      <c r="Z13" s="7"/>
      <c r="AA13" s="7"/>
      <c r="AB13" s="7" t="s">
        <v>215</v>
      </c>
      <c r="AC13" s="7" t="s">
        <v>106</v>
      </c>
      <c r="AD13" s="7"/>
    </row>
    <row r="14">
      <c r="A14" s="7" t="s">
        <v>341</v>
      </c>
      <c r="B14" s="7" t="s">
        <v>343</v>
      </c>
      <c r="C14" s="7" t="s">
        <v>129</v>
      </c>
      <c r="D14" s="7" t="s">
        <v>345</v>
      </c>
      <c r="E14" s="7">
        <v>1.0</v>
      </c>
      <c r="F14" s="7" t="s">
        <v>347</v>
      </c>
      <c r="G14" s="7" t="s">
        <v>137</v>
      </c>
      <c r="H14" s="7" t="s">
        <v>48</v>
      </c>
      <c r="I14" s="7"/>
      <c r="J14" s="7"/>
      <c r="K14" s="7" t="s">
        <v>139</v>
      </c>
      <c r="L14" s="7" t="s">
        <v>139</v>
      </c>
      <c r="M14" s="7" t="s">
        <v>121</v>
      </c>
      <c r="N14" s="7" t="s">
        <v>34</v>
      </c>
      <c r="O14" s="7" t="s">
        <v>143</v>
      </c>
      <c r="P14" s="7" t="s">
        <v>145</v>
      </c>
      <c r="Q14" s="7" t="s">
        <v>358</v>
      </c>
      <c r="R14" s="7" t="s">
        <v>359</v>
      </c>
      <c r="S14" s="7" t="s">
        <v>188</v>
      </c>
      <c r="T14" s="7">
        <v>1.0</v>
      </c>
      <c r="U14" s="7" t="s">
        <v>41</v>
      </c>
      <c r="V14" s="7"/>
      <c r="W14" s="7" t="s">
        <v>152</v>
      </c>
      <c r="X14" s="7" t="s">
        <v>41</v>
      </c>
      <c r="Y14" s="7"/>
      <c r="Z14" s="7" t="s">
        <v>139</v>
      </c>
      <c r="AA14" s="7"/>
      <c r="AB14" s="7" t="s">
        <v>138</v>
      </c>
      <c r="AC14" s="7" t="s">
        <v>59</v>
      </c>
      <c r="AD14" s="7" t="s">
        <v>366</v>
      </c>
    </row>
    <row r="15">
      <c r="A15" s="7" t="s">
        <v>341</v>
      </c>
      <c r="B15" s="7" t="s">
        <v>343</v>
      </c>
      <c r="C15" s="7" t="s">
        <v>129</v>
      </c>
      <c r="D15" s="7" t="s">
        <v>345</v>
      </c>
      <c r="E15" s="7">
        <v>2.0</v>
      </c>
      <c r="F15" s="7" t="s">
        <v>371</v>
      </c>
      <c r="G15" s="7" t="s">
        <v>137</v>
      </c>
      <c r="H15" s="7" t="s">
        <v>48</v>
      </c>
      <c r="I15" s="7"/>
      <c r="J15" s="7"/>
      <c r="K15" s="7" t="s">
        <v>139</v>
      </c>
      <c r="L15" s="7" t="s">
        <v>139</v>
      </c>
      <c r="M15" s="7" t="s">
        <v>121</v>
      </c>
      <c r="N15" s="7" t="s">
        <v>34</v>
      </c>
      <c r="O15" s="7" t="s">
        <v>143</v>
      </c>
      <c r="P15" s="7" t="s">
        <v>145</v>
      </c>
      <c r="Q15" s="7" t="s">
        <v>380</v>
      </c>
      <c r="R15" s="7" t="s">
        <v>382</v>
      </c>
      <c r="S15" s="7" t="s">
        <v>188</v>
      </c>
      <c r="T15" s="7">
        <v>1.0</v>
      </c>
      <c r="U15" s="7" t="s">
        <v>41</v>
      </c>
      <c r="V15" s="7"/>
      <c r="W15" s="7" t="s">
        <v>152</v>
      </c>
      <c r="X15" s="7" t="s">
        <v>41</v>
      </c>
      <c r="Y15" s="7"/>
      <c r="Z15" s="7" t="s">
        <v>139</v>
      </c>
      <c r="AA15" s="7"/>
      <c r="AB15" s="7" t="s">
        <v>138</v>
      </c>
      <c r="AC15" s="7" t="s">
        <v>59</v>
      </c>
      <c r="AD15" s="7" t="s">
        <v>366</v>
      </c>
    </row>
    <row r="16">
      <c r="A16" s="7" t="s">
        <v>341</v>
      </c>
      <c r="B16" s="7" t="s">
        <v>343</v>
      </c>
      <c r="C16" s="7" t="s">
        <v>129</v>
      </c>
      <c r="D16" s="7" t="s">
        <v>345</v>
      </c>
      <c r="E16" s="7">
        <v>3.0</v>
      </c>
      <c r="F16" s="7" t="s">
        <v>398</v>
      </c>
      <c r="G16" s="7" t="s">
        <v>137</v>
      </c>
      <c r="H16" s="7" t="s">
        <v>48</v>
      </c>
      <c r="I16" s="7"/>
      <c r="J16" s="7"/>
      <c r="K16" s="7" t="s">
        <v>139</v>
      </c>
      <c r="L16" s="7" t="s">
        <v>139</v>
      </c>
      <c r="M16" s="7" t="s">
        <v>121</v>
      </c>
      <c r="N16" s="7" t="s">
        <v>34</v>
      </c>
      <c r="O16" s="7" t="s">
        <v>143</v>
      </c>
      <c r="P16" s="7" t="s">
        <v>145</v>
      </c>
      <c r="Q16" s="7" t="s">
        <v>403</v>
      </c>
      <c r="R16" s="7" t="s">
        <v>405</v>
      </c>
      <c r="S16" s="7" t="s">
        <v>148</v>
      </c>
      <c r="T16" s="7">
        <v>1.0</v>
      </c>
      <c r="U16" s="7" t="s">
        <v>41</v>
      </c>
      <c r="V16" s="7"/>
      <c r="W16" s="7" t="s">
        <v>152</v>
      </c>
      <c r="X16" s="7" t="s">
        <v>41</v>
      </c>
      <c r="Y16" s="7"/>
      <c r="Z16" s="7" t="s">
        <v>139</v>
      </c>
      <c r="AA16" s="7"/>
      <c r="AB16" s="7" t="s">
        <v>138</v>
      </c>
      <c r="AC16" s="7" t="s">
        <v>59</v>
      </c>
      <c r="AD16" s="7" t="s">
        <v>366</v>
      </c>
    </row>
    <row r="17">
      <c r="A17" s="7" t="s">
        <v>341</v>
      </c>
      <c r="B17" s="7" t="s">
        <v>343</v>
      </c>
      <c r="C17" s="7" t="s">
        <v>129</v>
      </c>
      <c r="D17" s="7" t="s">
        <v>345</v>
      </c>
      <c r="E17" s="7">
        <v>4.0</v>
      </c>
      <c r="F17" s="7" t="s">
        <v>413</v>
      </c>
      <c r="G17" s="7" t="s">
        <v>137</v>
      </c>
      <c r="H17" s="7" t="s">
        <v>48</v>
      </c>
      <c r="I17" s="7"/>
      <c r="J17" s="7"/>
      <c r="K17" s="7" t="s">
        <v>139</v>
      </c>
      <c r="L17" s="7" t="s">
        <v>139</v>
      </c>
      <c r="M17" s="7" t="s">
        <v>121</v>
      </c>
      <c r="N17" s="7" t="s">
        <v>34</v>
      </c>
      <c r="O17" s="7" t="s">
        <v>143</v>
      </c>
      <c r="P17" s="7" t="s">
        <v>145</v>
      </c>
      <c r="Q17" s="7" t="s">
        <v>418</v>
      </c>
      <c r="R17" s="7" t="s">
        <v>419</v>
      </c>
      <c r="S17" s="7" t="s">
        <v>148</v>
      </c>
      <c r="T17" s="7">
        <v>1.0</v>
      </c>
      <c r="U17" s="7" t="s">
        <v>41</v>
      </c>
      <c r="V17" s="7"/>
      <c r="W17" s="7" t="s">
        <v>152</v>
      </c>
      <c r="X17" s="7" t="s">
        <v>41</v>
      </c>
      <c r="Y17" s="7"/>
      <c r="Z17" s="7" t="s">
        <v>139</v>
      </c>
      <c r="AA17" s="7"/>
      <c r="AB17" s="7" t="s">
        <v>138</v>
      </c>
      <c r="AC17" s="7" t="s">
        <v>59</v>
      </c>
      <c r="AD17" s="7" t="s">
        <v>366</v>
      </c>
    </row>
    <row r="18">
      <c r="A18" s="7" t="s">
        <v>341</v>
      </c>
      <c r="B18" s="7" t="s">
        <v>343</v>
      </c>
      <c r="C18" s="7" t="s">
        <v>129</v>
      </c>
      <c r="D18" s="7" t="s">
        <v>345</v>
      </c>
      <c r="E18" s="7">
        <v>5.0</v>
      </c>
      <c r="F18" s="7" t="s">
        <v>429</v>
      </c>
      <c r="G18" s="7" t="s">
        <v>137</v>
      </c>
      <c r="H18" s="7" t="s">
        <v>48</v>
      </c>
      <c r="I18" s="7"/>
      <c r="J18" s="7"/>
      <c r="K18" s="7" t="s">
        <v>139</v>
      </c>
      <c r="L18" s="7" t="s">
        <v>139</v>
      </c>
      <c r="M18" s="7" t="s">
        <v>121</v>
      </c>
      <c r="N18" s="7" t="s">
        <v>34</v>
      </c>
      <c r="O18" s="7" t="s">
        <v>143</v>
      </c>
      <c r="P18" s="7" t="s">
        <v>145</v>
      </c>
      <c r="Q18" s="7" t="s">
        <v>435</v>
      </c>
      <c r="R18" s="7" t="s">
        <v>436</v>
      </c>
      <c r="S18" s="7" t="s">
        <v>148</v>
      </c>
      <c r="T18" s="7">
        <v>1.0</v>
      </c>
      <c r="U18" s="7" t="s">
        <v>41</v>
      </c>
      <c r="V18" s="7"/>
      <c r="W18" s="7" t="s">
        <v>152</v>
      </c>
      <c r="X18" s="7" t="s">
        <v>41</v>
      </c>
      <c r="Y18" s="7"/>
      <c r="Z18" s="7" t="s">
        <v>139</v>
      </c>
      <c r="AA18" s="7"/>
      <c r="AB18" s="7" t="s">
        <v>138</v>
      </c>
      <c r="AC18" s="7" t="s">
        <v>59</v>
      </c>
      <c r="AD18" s="7" t="s">
        <v>366</v>
      </c>
    </row>
    <row r="19">
      <c r="A19" s="7" t="s">
        <v>444</v>
      </c>
      <c r="B19" s="7" t="s">
        <v>445</v>
      </c>
      <c r="C19" s="7" t="s">
        <v>129</v>
      </c>
      <c r="D19" s="7" t="s">
        <v>448</v>
      </c>
      <c r="E19" s="7">
        <v>1.0</v>
      </c>
      <c r="F19" s="7" t="s">
        <v>451</v>
      </c>
      <c r="G19" s="7" t="s">
        <v>137</v>
      </c>
      <c r="H19" s="7" t="s">
        <v>48</v>
      </c>
      <c r="I19" s="7"/>
      <c r="J19" s="7"/>
      <c r="K19" s="7" t="s">
        <v>121</v>
      </c>
      <c r="L19" s="7" t="s">
        <v>121</v>
      </c>
      <c r="M19" s="7" t="s">
        <v>121</v>
      </c>
      <c r="N19" s="7" t="s">
        <v>142</v>
      </c>
      <c r="O19" s="7" t="s">
        <v>143</v>
      </c>
      <c r="P19" s="7" t="s">
        <v>54</v>
      </c>
      <c r="Q19" s="7" t="s">
        <v>456</v>
      </c>
      <c r="R19" s="7" t="s">
        <v>457</v>
      </c>
      <c r="S19" s="7" t="s">
        <v>148</v>
      </c>
      <c r="T19" s="7">
        <v>2.0</v>
      </c>
      <c r="U19" s="7" t="s">
        <v>41</v>
      </c>
      <c r="V19" s="7"/>
      <c r="W19" s="7" t="s">
        <v>152</v>
      </c>
      <c r="X19" s="7" t="s">
        <v>41</v>
      </c>
      <c r="Y19" s="7"/>
      <c r="Z19" s="7" t="s">
        <v>121</v>
      </c>
      <c r="AA19" s="7"/>
      <c r="AB19" s="7" t="s">
        <v>138</v>
      </c>
      <c r="AC19" s="7" t="s">
        <v>59</v>
      </c>
      <c r="AD19" s="7"/>
    </row>
    <row r="20">
      <c r="A20" s="7" t="s">
        <v>461</v>
      </c>
      <c r="B20" s="7" t="s">
        <v>463</v>
      </c>
      <c r="C20" s="7" t="s">
        <v>129</v>
      </c>
      <c r="D20" s="7" t="s">
        <v>465</v>
      </c>
      <c r="E20" s="7">
        <v>1.0</v>
      </c>
      <c r="F20" s="7" t="s">
        <v>467</v>
      </c>
      <c r="G20" s="7" t="s">
        <v>137</v>
      </c>
      <c r="H20" s="7" t="s">
        <v>110</v>
      </c>
      <c r="I20" s="7"/>
      <c r="J20" s="7"/>
      <c r="K20" s="7" t="s">
        <v>139</v>
      </c>
      <c r="L20" s="7" t="s">
        <v>139</v>
      </c>
      <c r="M20" s="7" t="s">
        <v>121</v>
      </c>
      <c r="N20" s="7" t="s">
        <v>34</v>
      </c>
      <c r="O20" s="7" t="s">
        <v>143</v>
      </c>
      <c r="P20" s="7" t="s">
        <v>162</v>
      </c>
      <c r="Q20" s="7" t="s">
        <v>472</v>
      </c>
      <c r="R20" s="7" t="s">
        <v>474</v>
      </c>
      <c r="S20" s="7" t="s">
        <v>148</v>
      </c>
      <c r="T20" s="7">
        <v>1.0</v>
      </c>
      <c r="U20" s="7" t="s">
        <v>41</v>
      </c>
      <c r="V20" s="7"/>
      <c r="W20" s="7" t="s">
        <v>152</v>
      </c>
      <c r="X20" s="7" t="s">
        <v>41</v>
      </c>
      <c r="Y20" s="7"/>
      <c r="Z20" s="7" t="s">
        <v>139</v>
      </c>
      <c r="AA20" s="7"/>
      <c r="AB20" s="7" t="s">
        <v>138</v>
      </c>
      <c r="AC20" s="7" t="s">
        <v>119</v>
      </c>
      <c r="AD20" s="7"/>
    </row>
    <row r="21" ht="15.75" customHeight="1">
      <c r="A21" s="7" t="s">
        <v>461</v>
      </c>
      <c r="B21" s="7" t="s">
        <v>463</v>
      </c>
      <c r="C21" s="7" t="s">
        <v>129</v>
      </c>
      <c r="D21" s="7" t="s">
        <v>465</v>
      </c>
      <c r="E21" s="7">
        <v>2.0</v>
      </c>
      <c r="F21" s="7" t="s">
        <v>479</v>
      </c>
      <c r="G21" s="7" t="s">
        <v>137</v>
      </c>
      <c r="H21" s="7" t="s">
        <v>110</v>
      </c>
      <c r="I21" s="7"/>
      <c r="J21" s="7"/>
      <c r="K21" s="7" t="s">
        <v>139</v>
      </c>
      <c r="L21" s="7" t="s">
        <v>139</v>
      </c>
      <c r="M21" s="7" t="s">
        <v>121</v>
      </c>
      <c r="N21" s="7" t="s">
        <v>142</v>
      </c>
      <c r="O21" s="7" t="s">
        <v>143</v>
      </c>
      <c r="P21" s="7" t="s">
        <v>54</v>
      </c>
      <c r="Q21" s="7" t="s">
        <v>483</v>
      </c>
      <c r="R21" s="7" t="s">
        <v>484</v>
      </c>
      <c r="S21" s="7" t="s">
        <v>148</v>
      </c>
      <c r="T21" s="7">
        <v>1.0</v>
      </c>
      <c r="U21" s="7" t="s">
        <v>41</v>
      </c>
      <c r="V21" s="7"/>
      <c r="W21" s="7" t="s">
        <v>152</v>
      </c>
      <c r="X21" s="7" t="s">
        <v>41</v>
      </c>
      <c r="Y21" s="7"/>
      <c r="Z21" s="7" t="s">
        <v>139</v>
      </c>
      <c r="AA21" s="7"/>
      <c r="AB21" s="7" t="s">
        <v>138</v>
      </c>
      <c r="AC21" s="7" t="s">
        <v>119</v>
      </c>
      <c r="AD21" s="7"/>
    </row>
    <row r="22" ht="15.75" customHeight="1">
      <c r="A22" s="7" t="s">
        <v>461</v>
      </c>
      <c r="B22" s="7" t="s">
        <v>463</v>
      </c>
      <c r="C22" s="7" t="s">
        <v>129</v>
      </c>
      <c r="D22" s="7" t="s">
        <v>465</v>
      </c>
      <c r="E22" s="7">
        <v>3.0</v>
      </c>
      <c r="F22" s="7" t="s">
        <v>488</v>
      </c>
      <c r="G22" s="7" t="s">
        <v>137</v>
      </c>
      <c r="H22" s="7" t="s">
        <v>110</v>
      </c>
      <c r="I22" s="7"/>
      <c r="J22" s="7"/>
      <c r="K22" s="7" t="s">
        <v>139</v>
      </c>
      <c r="L22" s="7" t="s">
        <v>139</v>
      </c>
      <c r="M22" s="7" t="s">
        <v>121</v>
      </c>
      <c r="N22" s="7" t="s">
        <v>142</v>
      </c>
      <c r="O22" s="7" t="s">
        <v>143</v>
      </c>
      <c r="P22" s="7" t="s">
        <v>54</v>
      </c>
      <c r="Q22" s="7" t="s">
        <v>492</v>
      </c>
      <c r="R22" s="7" t="s">
        <v>493</v>
      </c>
      <c r="S22" s="7" t="s">
        <v>188</v>
      </c>
      <c r="T22" s="7">
        <v>1.0</v>
      </c>
      <c r="U22" s="7" t="s">
        <v>41</v>
      </c>
      <c r="V22" s="7"/>
      <c r="W22" s="7" t="s">
        <v>152</v>
      </c>
      <c r="X22" s="7" t="s">
        <v>41</v>
      </c>
      <c r="Y22" s="7"/>
      <c r="Z22" s="7" t="s">
        <v>139</v>
      </c>
      <c r="AA22" s="7"/>
      <c r="AB22" s="7" t="s">
        <v>138</v>
      </c>
      <c r="AC22" s="7" t="s">
        <v>119</v>
      </c>
      <c r="AD22" s="7"/>
    </row>
    <row r="23" ht="15.75" customHeight="1">
      <c r="A23" s="7" t="s">
        <v>461</v>
      </c>
      <c r="B23" s="7" t="s">
        <v>463</v>
      </c>
      <c r="C23" s="7" t="s">
        <v>129</v>
      </c>
      <c r="D23" s="7" t="s">
        <v>465</v>
      </c>
      <c r="E23" s="7">
        <v>4.0</v>
      </c>
      <c r="F23" s="7" t="s">
        <v>498</v>
      </c>
      <c r="G23" s="7" t="s">
        <v>137</v>
      </c>
      <c r="H23" s="7" t="s">
        <v>110</v>
      </c>
      <c r="I23" s="7"/>
      <c r="J23" s="7"/>
      <c r="K23" s="7" t="s">
        <v>139</v>
      </c>
      <c r="L23" s="7" t="s">
        <v>139</v>
      </c>
      <c r="M23" s="7" t="s">
        <v>121</v>
      </c>
      <c r="N23" s="7" t="s">
        <v>142</v>
      </c>
      <c r="O23" s="7" t="s">
        <v>143</v>
      </c>
      <c r="P23" s="7" t="s">
        <v>54</v>
      </c>
      <c r="Q23" s="7" t="s">
        <v>501</v>
      </c>
      <c r="R23" s="7" t="s">
        <v>503</v>
      </c>
      <c r="S23" s="7" t="s">
        <v>148</v>
      </c>
      <c r="T23" s="7">
        <v>1.0</v>
      </c>
      <c r="U23" s="7" t="s">
        <v>41</v>
      </c>
      <c r="V23" s="7"/>
      <c r="W23" s="7" t="s">
        <v>152</v>
      </c>
      <c r="X23" s="7" t="s">
        <v>41</v>
      </c>
      <c r="Y23" s="7"/>
      <c r="Z23" s="7" t="s">
        <v>139</v>
      </c>
      <c r="AA23" s="7"/>
      <c r="AB23" s="7" t="s">
        <v>138</v>
      </c>
      <c r="AC23" s="7" t="s">
        <v>119</v>
      </c>
      <c r="AD23" s="7"/>
    </row>
    <row r="24" ht="15.75" customHeight="1">
      <c r="A24" s="7" t="s">
        <v>506</v>
      </c>
      <c r="B24" s="7" t="s">
        <v>507</v>
      </c>
      <c r="C24" s="7" t="s">
        <v>129</v>
      </c>
      <c r="D24" s="7" t="s">
        <v>509</v>
      </c>
      <c r="E24" s="7">
        <v>1.0</v>
      </c>
      <c r="F24" s="7" t="s">
        <v>512</v>
      </c>
      <c r="G24" s="7" t="s">
        <v>137</v>
      </c>
      <c r="H24" s="7" t="s">
        <v>48</v>
      </c>
      <c r="I24" s="7"/>
      <c r="J24" s="7"/>
      <c r="K24" s="7" t="s">
        <v>121</v>
      </c>
      <c r="L24" s="7" t="s">
        <v>121</v>
      </c>
      <c r="M24" s="7" t="s">
        <v>121</v>
      </c>
      <c r="N24" s="7" t="s">
        <v>34</v>
      </c>
      <c r="O24" s="7" t="s">
        <v>143</v>
      </c>
      <c r="P24" s="7" t="s">
        <v>185</v>
      </c>
      <c r="Q24" s="7" t="s">
        <v>514</v>
      </c>
      <c r="R24" s="7" t="s">
        <v>515</v>
      </c>
      <c r="S24" s="7" t="s">
        <v>148</v>
      </c>
      <c r="T24" s="7">
        <v>1.0</v>
      </c>
      <c r="U24" s="7" t="s">
        <v>41</v>
      </c>
      <c r="V24" s="7"/>
      <c r="W24" s="7" t="s">
        <v>152</v>
      </c>
      <c r="X24" s="7" t="s">
        <v>41</v>
      </c>
      <c r="Y24" s="7"/>
      <c r="Z24" s="7" t="s">
        <v>121</v>
      </c>
      <c r="AA24" s="7"/>
      <c r="AB24" s="7" t="s">
        <v>138</v>
      </c>
      <c r="AC24" s="7" t="s">
        <v>59</v>
      </c>
      <c r="AD24" s="7"/>
    </row>
    <row r="25" ht="15.75" customHeight="1">
      <c r="A25" s="7" t="s">
        <v>506</v>
      </c>
      <c r="B25" s="7" t="s">
        <v>507</v>
      </c>
      <c r="C25" s="7" t="s">
        <v>129</v>
      </c>
      <c r="D25" s="7" t="s">
        <v>509</v>
      </c>
      <c r="E25" s="7">
        <v>2.0</v>
      </c>
      <c r="F25" s="7" t="s">
        <v>519</v>
      </c>
      <c r="G25" s="7" t="s">
        <v>137</v>
      </c>
      <c r="H25" s="7" t="s">
        <v>48</v>
      </c>
      <c r="I25" s="7"/>
      <c r="J25" s="7"/>
      <c r="K25" s="7" t="s">
        <v>121</v>
      </c>
      <c r="L25" s="7" t="s">
        <v>121</v>
      </c>
      <c r="M25" s="7" t="s">
        <v>121</v>
      </c>
      <c r="N25" s="7" t="s">
        <v>34</v>
      </c>
      <c r="O25" s="7" t="s">
        <v>521</v>
      </c>
      <c r="P25" s="7" t="s">
        <v>162</v>
      </c>
      <c r="Q25" s="7" t="s">
        <v>523</v>
      </c>
      <c r="R25" s="7" t="s">
        <v>524</v>
      </c>
      <c r="S25" s="7" t="s">
        <v>148</v>
      </c>
      <c r="T25" s="7">
        <v>1.0</v>
      </c>
      <c r="U25" s="7" t="s">
        <v>41</v>
      </c>
      <c r="V25" s="7"/>
      <c r="W25" s="7" t="s">
        <v>152</v>
      </c>
      <c r="X25" s="7" t="s">
        <v>41</v>
      </c>
      <c r="Y25" s="7"/>
      <c r="Z25" s="7" t="s">
        <v>121</v>
      </c>
      <c r="AA25" s="7"/>
      <c r="AB25" s="7" t="s">
        <v>138</v>
      </c>
      <c r="AC25" s="7" t="s">
        <v>59</v>
      </c>
      <c r="AD25" s="7"/>
    </row>
    <row r="26" ht="15.75" customHeight="1">
      <c r="A26" s="7" t="s">
        <v>527</v>
      </c>
      <c r="B26" s="7" t="s">
        <v>528</v>
      </c>
      <c r="C26" s="7" t="s">
        <v>129</v>
      </c>
      <c r="D26" s="7" t="s">
        <v>530</v>
      </c>
      <c r="E26" s="7">
        <v>1.0</v>
      </c>
      <c r="F26" s="7" t="s">
        <v>531</v>
      </c>
      <c r="G26" s="7" t="s">
        <v>137</v>
      </c>
      <c r="H26" s="7" t="s">
        <v>329</v>
      </c>
      <c r="I26" s="7"/>
      <c r="J26" s="7"/>
      <c r="K26" s="7" t="s">
        <v>121</v>
      </c>
      <c r="L26" s="7" t="s">
        <v>121</v>
      </c>
      <c r="M26" s="7" t="s">
        <v>121</v>
      </c>
      <c r="N26" s="7" t="s">
        <v>79</v>
      </c>
      <c r="O26" s="7" t="s">
        <v>535</v>
      </c>
      <c r="P26" s="7" t="s">
        <v>54</v>
      </c>
      <c r="Q26" s="7" t="s">
        <v>536</v>
      </c>
      <c r="R26" s="7" t="s">
        <v>537</v>
      </c>
      <c r="S26" s="7" t="s">
        <v>188</v>
      </c>
      <c r="T26" s="7">
        <v>1.0</v>
      </c>
      <c r="U26" s="7" t="s">
        <v>41</v>
      </c>
      <c r="V26" s="7"/>
      <c r="W26" s="7" t="s">
        <v>152</v>
      </c>
      <c r="X26" s="7" t="s">
        <v>41</v>
      </c>
      <c r="Y26" s="7"/>
      <c r="Z26" s="7" t="s">
        <v>121</v>
      </c>
      <c r="AA26" s="7"/>
      <c r="AB26" s="7" t="s">
        <v>138</v>
      </c>
      <c r="AC26" s="7" t="s">
        <v>540</v>
      </c>
      <c r="AD26" s="7" t="s">
        <v>541</v>
      </c>
    </row>
    <row r="27" ht="15.75" customHeight="1">
      <c r="A27" s="7" t="s">
        <v>527</v>
      </c>
      <c r="B27" s="7" t="s">
        <v>528</v>
      </c>
      <c r="C27" s="7" t="s">
        <v>129</v>
      </c>
      <c r="D27" s="7" t="s">
        <v>530</v>
      </c>
      <c r="E27" s="7">
        <v>2.0</v>
      </c>
      <c r="F27" s="7" t="s">
        <v>546</v>
      </c>
      <c r="G27" s="7" t="s">
        <v>137</v>
      </c>
      <c r="H27" s="7" t="s">
        <v>100</v>
      </c>
      <c r="I27" s="7"/>
      <c r="J27" s="7"/>
      <c r="K27" s="7" t="s">
        <v>121</v>
      </c>
      <c r="L27" s="7" t="s">
        <v>121</v>
      </c>
      <c r="M27" s="7" t="s">
        <v>121</v>
      </c>
      <c r="N27" s="7" t="s">
        <v>34</v>
      </c>
      <c r="O27" s="7" t="s">
        <v>549</v>
      </c>
      <c r="P27" s="7" t="s">
        <v>162</v>
      </c>
      <c r="Q27" s="7" t="s">
        <v>551</v>
      </c>
      <c r="R27" s="7" t="s">
        <v>552</v>
      </c>
      <c r="S27" s="7" t="s">
        <v>148</v>
      </c>
      <c r="T27" s="7">
        <v>1.0</v>
      </c>
      <c r="U27" s="7" t="s">
        <v>41</v>
      </c>
      <c r="V27" s="7"/>
      <c r="W27" s="7" t="s">
        <v>152</v>
      </c>
      <c r="X27" s="7" t="s">
        <v>41</v>
      </c>
      <c r="Y27" s="7"/>
      <c r="Z27" s="7" t="s">
        <v>121</v>
      </c>
      <c r="AA27" s="7"/>
      <c r="AB27" s="7" t="s">
        <v>138</v>
      </c>
      <c r="AC27" s="7" t="s">
        <v>106</v>
      </c>
      <c r="AD27" s="7" t="s">
        <v>541</v>
      </c>
    </row>
    <row r="28" ht="15.75" customHeight="1">
      <c r="A28" s="7" t="s">
        <v>527</v>
      </c>
      <c r="B28" s="7" t="s">
        <v>528</v>
      </c>
      <c r="C28" s="7" t="s">
        <v>129</v>
      </c>
      <c r="D28" s="7" t="s">
        <v>530</v>
      </c>
      <c r="E28" s="7">
        <v>3.0</v>
      </c>
      <c r="F28" s="7" t="s">
        <v>559</v>
      </c>
      <c r="G28" s="7" t="s">
        <v>137</v>
      </c>
      <c r="H28" s="7" t="s">
        <v>110</v>
      </c>
      <c r="I28" s="7"/>
      <c r="J28" s="7"/>
      <c r="K28" s="7" t="s">
        <v>121</v>
      </c>
      <c r="L28" s="7" t="s">
        <v>121</v>
      </c>
      <c r="M28" s="7" t="s">
        <v>121</v>
      </c>
      <c r="N28" s="7" t="s">
        <v>51</v>
      </c>
      <c r="O28" s="7" t="s">
        <v>143</v>
      </c>
      <c r="P28" s="7" t="s">
        <v>54</v>
      </c>
      <c r="Q28" s="7" t="s">
        <v>563</v>
      </c>
      <c r="R28" s="7" t="s">
        <v>564</v>
      </c>
      <c r="S28" s="7" t="s">
        <v>188</v>
      </c>
      <c r="T28" s="7">
        <v>1.0</v>
      </c>
      <c r="U28" s="7" t="s">
        <v>41</v>
      </c>
      <c r="V28" s="7"/>
      <c r="W28" s="7" t="s">
        <v>152</v>
      </c>
      <c r="X28" s="7" t="s">
        <v>41</v>
      </c>
      <c r="Y28" s="7"/>
      <c r="Z28" s="7" t="s">
        <v>121</v>
      </c>
      <c r="AA28" s="7"/>
      <c r="AB28" s="7" t="s">
        <v>138</v>
      </c>
      <c r="AC28" s="7" t="s">
        <v>119</v>
      </c>
      <c r="AD28" s="7" t="s">
        <v>541</v>
      </c>
    </row>
    <row r="29" ht="15.75" customHeight="1">
      <c r="A29" s="7" t="s">
        <v>527</v>
      </c>
      <c r="B29" s="7" t="s">
        <v>528</v>
      </c>
      <c r="C29" s="7" t="s">
        <v>129</v>
      </c>
      <c r="D29" s="7" t="s">
        <v>530</v>
      </c>
      <c r="E29" s="7">
        <v>4.0</v>
      </c>
      <c r="F29" s="7" t="s">
        <v>569</v>
      </c>
      <c r="G29" s="7" t="s">
        <v>137</v>
      </c>
      <c r="H29" s="7" t="s">
        <v>100</v>
      </c>
      <c r="I29" s="7"/>
      <c r="J29" s="7"/>
      <c r="K29" s="7" t="s">
        <v>121</v>
      </c>
      <c r="L29" s="7" t="s">
        <v>121</v>
      </c>
      <c r="M29" s="7" t="s">
        <v>121</v>
      </c>
      <c r="N29" s="7" t="s">
        <v>34</v>
      </c>
      <c r="O29" s="7" t="s">
        <v>573</v>
      </c>
      <c r="P29" s="7" t="s">
        <v>162</v>
      </c>
      <c r="Q29" s="7" t="s">
        <v>575</v>
      </c>
      <c r="R29" s="7" t="s">
        <v>577</v>
      </c>
      <c r="S29" s="7" t="s">
        <v>292</v>
      </c>
      <c r="T29" s="7">
        <v>1.0</v>
      </c>
      <c r="U29" s="7" t="s">
        <v>41</v>
      </c>
      <c r="V29" s="7"/>
      <c r="W29" s="7" t="s">
        <v>152</v>
      </c>
      <c r="X29" s="7" t="s">
        <v>41</v>
      </c>
      <c r="Y29" s="7"/>
      <c r="Z29" s="7" t="s">
        <v>121</v>
      </c>
      <c r="AA29" s="7"/>
      <c r="AB29" s="7" t="s">
        <v>138</v>
      </c>
      <c r="AC29" s="7" t="s">
        <v>106</v>
      </c>
      <c r="AD29" s="7" t="s">
        <v>541</v>
      </c>
    </row>
    <row r="30" ht="15.75" customHeight="1">
      <c r="A30" s="7" t="s">
        <v>527</v>
      </c>
      <c r="B30" s="7" t="s">
        <v>528</v>
      </c>
      <c r="C30" s="7" t="s">
        <v>129</v>
      </c>
      <c r="D30" s="7" t="s">
        <v>530</v>
      </c>
      <c r="E30" s="7">
        <v>5.0</v>
      </c>
      <c r="F30" s="7" t="s">
        <v>581</v>
      </c>
      <c r="G30" s="7" t="s">
        <v>137</v>
      </c>
      <c r="H30" s="7" t="s">
        <v>100</v>
      </c>
      <c r="I30" s="7"/>
      <c r="J30" s="7"/>
      <c r="K30" s="7" t="s">
        <v>121</v>
      </c>
      <c r="L30" s="7" t="s">
        <v>121</v>
      </c>
      <c r="M30" s="7" t="s">
        <v>121</v>
      </c>
      <c r="N30" s="7" t="s">
        <v>34</v>
      </c>
      <c r="O30" s="7" t="s">
        <v>584</v>
      </c>
      <c r="P30" s="7" t="s">
        <v>247</v>
      </c>
      <c r="Q30" s="7" t="s">
        <v>586</v>
      </c>
      <c r="R30" s="7" t="s">
        <v>588</v>
      </c>
      <c r="S30" s="7" t="s">
        <v>188</v>
      </c>
      <c r="T30" s="7">
        <v>1.0</v>
      </c>
      <c r="U30" s="7" t="s">
        <v>41</v>
      </c>
      <c r="V30" s="7"/>
      <c r="W30" s="7" t="s">
        <v>152</v>
      </c>
      <c r="X30" s="7" t="s">
        <v>41</v>
      </c>
      <c r="Y30" s="7"/>
      <c r="Z30" s="7" t="s">
        <v>121</v>
      </c>
      <c r="AA30" s="7"/>
      <c r="AB30" s="7" t="s">
        <v>138</v>
      </c>
      <c r="AC30" s="7" t="s">
        <v>106</v>
      </c>
      <c r="AD30" s="7" t="s">
        <v>541</v>
      </c>
    </row>
    <row r="31" ht="15.75" customHeight="1">
      <c r="A31" s="7" t="s">
        <v>527</v>
      </c>
      <c r="B31" s="7" t="s">
        <v>528</v>
      </c>
      <c r="C31" s="7" t="s">
        <v>129</v>
      </c>
      <c r="D31" s="7" t="s">
        <v>530</v>
      </c>
      <c r="E31" s="7">
        <v>6.0</v>
      </c>
      <c r="F31" s="7" t="s">
        <v>592</v>
      </c>
      <c r="G31" s="7" t="s">
        <v>137</v>
      </c>
      <c r="H31" s="7" t="s">
        <v>48</v>
      </c>
      <c r="I31" s="7"/>
      <c r="J31" s="7"/>
      <c r="K31" s="7" t="s">
        <v>121</v>
      </c>
      <c r="L31" s="7" t="s">
        <v>121</v>
      </c>
      <c r="M31" s="7" t="s">
        <v>121</v>
      </c>
      <c r="N31" s="7" t="s">
        <v>34</v>
      </c>
      <c r="O31" s="7" t="s">
        <v>596</v>
      </c>
      <c r="P31" s="7" t="s">
        <v>162</v>
      </c>
      <c r="Q31" s="7" t="s">
        <v>598</v>
      </c>
      <c r="R31" s="7" t="s">
        <v>552</v>
      </c>
      <c r="S31" s="7" t="s">
        <v>188</v>
      </c>
      <c r="T31" s="7">
        <v>1.0</v>
      </c>
      <c r="U31" s="7" t="s">
        <v>41</v>
      </c>
      <c r="V31" s="7"/>
      <c r="W31" s="7" t="s">
        <v>152</v>
      </c>
      <c r="X31" s="7" t="s">
        <v>41</v>
      </c>
      <c r="Y31" s="7"/>
      <c r="Z31" s="7" t="s">
        <v>121</v>
      </c>
      <c r="AA31" s="7"/>
      <c r="AB31" s="7" t="s">
        <v>138</v>
      </c>
      <c r="AC31" s="7" t="s">
        <v>59</v>
      </c>
      <c r="AD31" s="7" t="s">
        <v>541</v>
      </c>
    </row>
    <row r="32" ht="15.75" customHeight="1">
      <c r="A32" s="7" t="s">
        <v>527</v>
      </c>
      <c r="B32" s="7" t="s">
        <v>528</v>
      </c>
      <c r="C32" s="7" t="s">
        <v>129</v>
      </c>
      <c r="D32" s="7" t="s">
        <v>530</v>
      </c>
      <c r="E32" s="7">
        <v>7.0</v>
      </c>
      <c r="F32" s="7" t="s">
        <v>603</v>
      </c>
      <c r="G32" s="7" t="s">
        <v>137</v>
      </c>
      <c r="H32" s="7" t="s">
        <v>100</v>
      </c>
      <c r="I32" s="7"/>
      <c r="J32" s="7"/>
      <c r="K32" s="7" t="s">
        <v>121</v>
      </c>
      <c r="L32" s="7" t="s">
        <v>121</v>
      </c>
      <c r="M32" s="7" t="s">
        <v>121</v>
      </c>
      <c r="N32" s="7" t="s">
        <v>34</v>
      </c>
      <c r="O32" s="7" t="s">
        <v>606</v>
      </c>
      <c r="P32" s="7" t="s">
        <v>247</v>
      </c>
      <c r="Q32" s="7" t="s">
        <v>607</v>
      </c>
      <c r="R32" s="7" t="s">
        <v>577</v>
      </c>
      <c r="S32" s="7" t="s">
        <v>188</v>
      </c>
      <c r="T32" s="7">
        <v>1.0</v>
      </c>
      <c r="U32" s="7" t="s">
        <v>41</v>
      </c>
      <c r="V32" s="7"/>
      <c r="W32" s="7" t="s">
        <v>152</v>
      </c>
      <c r="X32" s="7" t="s">
        <v>41</v>
      </c>
      <c r="Y32" s="7"/>
      <c r="Z32" s="7" t="s">
        <v>121</v>
      </c>
      <c r="AA32" s="7"/>
      <c r="AB32" s="7" t="s">
        <v>138</v>
      </c>
      <c r="AC32" s="7" t="s">
        <v>106</v>
      </c>
      <c r="AD32" s="7" t="s">
        <v>541</v>
      </c>
    </row>
    <row r="33" ht="15.75" customHeight="1">
      <c r="A33" s="7" t="s">
        <v>527</v>
      </c>
      <c r="B33" s="7" t="s">
        <v>528</v>
      </c>
      <c r="C33" s="7" t="s">
        <v>129</v>
      </c>
      <c r="D33" s="7" t="s">
        <v>530</v>
      </c>
      <c r="E33" s="7">
        <v>8.0</v>
      </c>
      <c r="F33" s="7" t="s">
        <v>612</v>
      </c>
      <c r="G33" s="7" t="s">
        <v>137</v>
      </c>
      <c r="H33" s="7" t="s">
        <v>110</v>
      </c>
      <c r="I33" s="7"/>
      <c r="J33" s="7"/>
      <c r="K33" s="7" t="s">
        <v>421</v>
      </c>
      <c r="L33" s="7" t="s">
        <v>415</v>
      </c>
      <c r="M33" s="7" t="s">
        <v>614</v>
      </c>
      <c r="N33" s="7" t="s">
        <v>34</v>
      </c>
      <c r="O33" s="7" t="s">
        <v>143</v>
      </c>
      <c r="P33" s="7" t="s">
        <v>162</v>
      </c>
      <c r="Q33" s="7" t="s">
        <v>616</v>
      </c>
      <c r="R33" s="7" t="s">
        <v>564</v>
      </c>
      <c r="S33" s="7" t="s">
        <v>148</v>
      </c>
      <c r="T33" s="7">
        <v>1.0</v>
      </c>
      <c r="U33" s="7" t="s">
        <v>41</v>
      </c>
      <c r="V33" s="7"/>
      <c r="W33" s="7" t="s">
        <v>152</v>
      </c>
      <c r="X33" s="7" t="s">
        <v>41</v>
      </c>
      <c r="Y33" s="7"/>
      <c r="Z33" s="7"/>
      <c r="AA33" s="7"/>
      <c r="AB33" s="7" t="s">
        <v>421</v>
      </c>
      <c r="AC33" s="7" t="s">
        <v>119</v>
      </c>
      <c r="AD33" s="7" t="s">
        <v>541</v>
      </c>
    </row>
    <row r="34" ht="15.75" customHeight="1">
      <c r="A34" s="7" t="s">
        <v>527</v>
      </c>
      <c r="B34" s="7" t="s">
        <v>528</v>
      </c>
      <c r="C34" s="7" t="s">
        <v>129</v>
      </c>
      <c r="D34" s="7" t="s">
        <v>530</v>
      </c>
      <c r="E34" s="7">
        <v>9.0</v>
      </c>
      <c r="F34" s="7" t="s">
        <v>621</v>
      </c>
      <c r="G34" s="7" t="s">
        <v>137</v>
      </c>
      <c r="H34" s="7" t="s">
        <v>329</v>
      </c>
      <c r="I34" s="7"/>
      <c r="J34" s="7"/>
      <c r="K34" s="7" t="s">
        <v>121</v>
      </c>
      <c r="L34" s="7" t="s">
        <v>121</v>
      </c>
      <c r="M34" s="7" t="s">
        <v>121</v>
      </c>
      <c r="N34" s="7" t="s">
        <v>34</v>
      </c>
      <c r="O34" s="7" t="s">
        <v>623</v>
      </c>
      <c r="P34" s="7" t="s">
        <v>185</v>
      </c>
      <c r="Q34" s="7" t="s">
        <v>626</v>
      </c>
      <c r="R34" s="7" t="s">
        <v>552</v>
      </c>
      <c r="S34" s="7" t="s">
        <v>148</v>
      </c>
      <c r="T34" s="7">
        <v>1.0</v>
      </c>
      <c r="U34" s="7" t="s">
        <v>41</v>
      </c>
      <c r="V34" s="7"/>
      <c r="W34" s="7" t="s">
        <v>152</v>
      </c>
      <c r="X34" s="7" t="s">
        <v>41</v>
      </c>
      <c r="Y34" s="7"/>
      <c r="Z34" s="7" t="s">
        <v>121</v>
      </c>
      <c r="AA34" s="7"/>
      <c r="AB34" s="7" t="s">
        <v>138</v>
      </c>
      <c r="AC34" s="7" t="s">
        <v>540</v>
      </c>
      <c r="AD34" s="7" t="s">
        <v>541</v>
      </c>
    </row>
    <row r="35" ht="15.75" customHeight="1">
      <c r="A35" s="7" t="s">
        <v>527</v>
      </c>
      <c r="B35" s="7" t="s">
        <v>528</v>
      </c>
      <c r="C35" s="7" t="s">
        <v>129</v>
      </c>
      <c r="D35" s="7" t="s">
        <v>530</v>
      </c>
      <c r="E35" s="7">
        <v>10.0</v>
      </c>
      <c r="F35" s="7" t="s">
        <v>630</v>
      </c>
      <c r="G35" s="7" t="s">
        <v>631</v>
      </c>
      <c r="H35" s="7"/>
      <c r="I35" s="7"/>
      <c r="J35" s="7"/>
      <c r="K35" s="7" t="s">
        <v>121</v>
      </c>
      <c r="L35" s="7" t="s">
        <v>121</v>
      </c>
      <c r="M35" s="7" t="s">
        <v>121</v>
      </c>
      <c r="N35" s="7" t="s">
        <v>51</v>
      </c>
      <c r="O35" s="7" t="s">
        <v>143</v>
      </c>
      <c r="P35" s="7" t="s">
        <v>54</v>
      </c>
      <c r="Q35" s="7" t="s">
        <v>634</v>
      </c>
      <c r="R35" s="7" t="s">
        <v>635</v>
      </c>
      <c r="S35" s="7" t="s">
        <v>188</v>
      </c>
      <c r="T35" s="7">
        <v>1.0</v>
      </c>
      <c r="U35" s="7" t="s">
        <v>41</v>
      </c>
      <c r="V35" s="7"/>
      <c r="W35" s="7" t="s">
        <v>152</v>
      </c>
      <c r="X35" s="7" t="s">
        <v>41</v>
      </c>
      <c r="Y35" s="7"/>
      <c r="Z35" s="7" t="s">
        <v>121</v>
      </c>
      <c r="AA35" s="7" t="s">
        <v>631</v>
      </c>
      <c r="AB35" s="7" t="s">
        <v>138</v>
      </c>
      <c r="AC35" s="7" t="s">
        <v>78</v>
      </c>
      <c r="AD35" s="7" t="s">
        <v>541</v>
      </c>
    </row>
    <row r="36" ht="15.75" customHeight="1">
      <c r="A36" s="7" t="s">
        <v>527</v>
      </c>
      <c r="B36" s="7" t="s">
        <v>528</v>
      </c>
      <c r="C36" s="7" t="s">
        <v>129</v>
      </c>
      <c r="D36" s="7" t="s">
        <v>530</v>
      </c>
      <c r="E36" s="7">
        <v>11.0</v>
      </c>
      <c r="F36" s="7" t="s">
        <v>640</v>
      </c>
      <c r="G36" s="7" t="s">
        <v>137</v>
      </c>
      <c r="H36" s="7" t="s">
        <v>48</v>
      </c>
      <c r="I36" s="7"/>
      <c r="J36" s="7"/>
      <c r="K36" s="7" t="s">
        <v>121</v>
      </c>
      <c r="L36" s="7" t="s">
        <v>121</v>
      </c>
      <c r="M36" s="7" t="s">
        <v>121</v>
      </c>
      <c r="N36" s="7" t="s">
        <v>51</v>
      </c>
      <c r="O36" s="7" t="s">
        <v>143</v>
      </c>
      <c r="P36" s="7" t="s">
        <v>54</v>
      </c>
      <c r="Q36" s="7" t="s">
        <v>642</v>
      </c>
      <c r="R36" s="7" t="s">
        <v>635</v>
      </c>
      <c r="S36" s="7" t="s">
        <v>188</v>
      </c>
      <c r="T36" s="7">
        <v>1.0</v>
      </c>
      <c r="U36" s="7" t="s">
        <v>41</v>
      </c>
      <c r="V36" s="7"/>
      <c r="W36" s="7" t="s">
        <v>152</v>
      </c>
      <c r="X36" s="7" t="s">
        <v>41</v>
      </c>
      <c r="Y36" s="7"/>
      <c r="Z36" s="7" t="s">
        <v>121</v>
      </c>
      <c r="AA36" s="7"/>
      <c r="AB36" s="7" t="s">
        <v>138</v>
      </c>
      <c r="AC36" s="7" t="s">
        <v>59</v>
      </c>
      <c r="AD36" s="7" t="s">
        <v>541</v>
      </c>
    </row>
    <row r="37" ht="15.75" customHeight="1">
      <c r="A37" s="7" t="s">
        <v>527</v>
      </c>
      <c r="B37" s="7" t="s">
        <v>528</v>
      </c>
      <c r="C37" s="7" t="s">
        <v>129</v>
      </c>
      <c r="D37" s="7" t="s">
        <v>530</v>
      </c>
      <c r="E37" s="7">
        <v>12.0</v>
      </c>
      <c r="F37" s="7" t="s">
        <v>646</v>
      </c>
      <c r="G37" s="7" t="s">
        <v>137</v>
      </c>
      <c r="H37" s="7" t="s">
        <v>329</v>
      </c>
      <c r="I37" s="7"/>
      <c r="J37" s="7"/>
      <c r="K37" s="7" t="s">
        <v>121</v>
      </c>
      <c r="L37" s="7" t="s">
        <v>121</v>
      </c>
      <c r="M37" s="7" t="s">
        <v>121</v>
      </c>
      <c r="N37" s="7" t="s">
        <v>51</v>
      </c>
      <c r="O37" s="7" t="s">
        <v>143</v>
      </c>
      <c r="P37" s="7" t="s">
        <v>54</v>
      </c>
      <c r="Q37" s="7" t="s">
        <v>649</v>
      </c>
      <c r="R37" s="7" t="s">
        <v>650</v>
      </c>
      <c r="S37" s="7" t="s">
        <v>292</v>
      </c>
      <c r="T37" s="7">
        <v>1.0</v>
      </c>
      <c r="U37" s="7" t="s">
        <v>41</v>
      </c>
      <c r="V37" s="7"/>
      <c r="W37" s="7" t="s">
        <v>152</v>
      </c>
      <c r="X37" s="7" t="s">
        <v>41</v>
      </c>
      <c r="Y37" s="7"/>
      <c r="Z37" s="7" t="s">
        <v>121</v>
      </c>
      <c r="AA37" s="7"/>
      <c r="AB37" s="7" t="s">
        <v>138</v>
      </c>
      <c r="AC37" s="7" t="s">
        <v>540</v>
      </c>
      <c r="AD37" s="7" t="s">
        <v>541</v>
      </c>
    </row>
    <row r="38" ht="15.75" customHeight="1">
      <c r="A38" s="7" t="s">
        <v>655</v>
      </c>
      <c r="B38" s="7" t="s">
        <v>656</v>
      </c>
      <c r="C38" s="7" t="s">
        <v>129</v>
      </c>
      <c r="D38" s="7" t="s">
        <v>657</v>
      </c>
      <c r="E38" s="7">
        <v>1.0</v>
      </c>
      <c r="F38" s="7" t="s">
        <v>659</v>
      </c>
      <c r="G38" s="7" t="s">
        <v>137</v>
      </c>
      <c r="H38" s="7" t="s">
        <v>110</v>
      </c>
      <c r="I38" s="7"/>
      <c r="J38" s="7"/>
      <c r="K38" s="7" t="s">
        <v>241</v>
      </c>
      <c r="L38" s="7" t="s">
        <v>243</v>
      </c>
      <c r="M38" s="7" t="s">
        <v>244</v>
      </c>
      <c r="N38" s="7" t="s">
        <v>51</v>
      </c>
      <c r="O38" s="7" t="s">
        <v>143</v>
      </c>
      <c r="P38" s="7" t="s">
        <v>54</v>
      </c>
      <c r="Q38" s="7" t="s">
        <v>663</v>
      </c>
      <c r="R38" s="7" t="s">
        <v>665</v>
      </c>
      <c r="S38" s="7" t="s">
        <v>148</v>
      </c>
      <c r="T38" s="7">
        <v>1.0</v>
      </c>
      <c r="U38" s="7" t="s">
        <v>41</v>
      </c>
      <c r="V38" s="7"/>
      <c r="W38" s="7" t="s">
        <v>152</v>
      </c>
      <c r="X38" s="7" t="s">
        <v>41</v>
      </c>
      <c r="Y38" s="7"/>
      <c r="Z38" s="7"/>
      <c r="AA38" s="7"/>
      <c r="AB38" s="7" t="s">
        <v>241</v>
      </c>
      <c r="AC38" s="7" t="s">
        <v>119</v>
      </c>
      <c r="AD38" s="7"/>
    </row>
    <row r="39" ht="15.75" customHeight="1">
      <c r="A39" s="7" t="s">
        <v>655</v>
      </c>
      <c r="B39" s="7" t="s">
        <v>656</v>
      </c>
      <c r="C39" s="7" t="s">
        <v>129</v>
      </c>
      <c r="D39" s="7" t="s">
        <v>657</v>
      </c>
      <c r="E39" s="7">
        <v>2.0</v>
      </c>
      <c r="F39" s="7" t="s">
        <v>669</v>
      </c>
      <c r="G39" s="7" t="s">
        <v>137</v>
      </c>
      <c r="H39" s="7" t="s">
        <v>110</v>
      </c>
      <c r="I39" s="7"/>
      <c r="J39" s="7"/>
      <c r="K39" s="7" t="s">
        <v>105</v>
      </c>
      <c r="L39" s="7" t="s">
        <v>101</v>
      </c>
      <c r="M39" s="7" t="s">
        <v>182</v>
      </c>
      <c r="N39" s="7" t="s">
        <v>34</v>
      </c>
      <c r="O39" s="7" t="s">
        <v>143</v>
      </c>
      <c r="P39" s="7" t="s">
        <v>185</v>
      </c>
      <c r="Q39" s="7" t="s">
        <v>671</v>
      </c>
      <c r="R39" s="7" t="s">
        <v>673</v>
      </c>
      <c r="S39" s="7" t="s">
        <v>188</v>
      </c>
      <c r="T39" s="7">
        <v>1.0</v>
      </c>
      <c r="U39" s="7" t="s">
        <v>41</v>
      </c>
      <c r="V39" s="7"/>
      <c r="W39" s="7" t="s">
        <v>152</v>
      </c>
      <c r="X39" s="7" t="s">
        <v>41</v>
      </c>
      <c r="Y39" s="7"/>
      <c r="Z39" s="7"/>
      <c r="AA39" s="7"/>
      <c r="AB39" s="7" t="s">
        <v>105</v>
      </c>
      <c r="AC39" s="7" t="s">
        <v>119</v>
      </c>
      <c r="AD39" s="7"/>
    </row>
    <row r="40" ht="15.75" customHeight="1">
      <c r="A40" s="7" t="s">
        <v>655</v>
      </c>
      <c r="B40" s="7" t="s">
        <v>656</v>
      </c>
      <c r="C40" s="7" t="s">
        <v>129</v>
      </c>
      <c r="D40" s="7" t="s">
        <v>657</v>
      </c>
      <c r="E40" s="7">
        <v>3.0</v>
      </c>
      <c r="F40" s="7" t="s">
        <v>677</v>
      </c>
      <c r="G40" s="7" t="s">
        <v>137</v>
      </c>
      <c r="H40" s="7" t="s">
        <v>110</v>
      </c>
      <c r="I40" s="7"/>
      <c r="J40" s="7"/>
      <c r="K40" s="7" t="s">
        <v>304</v>
      </c>
      <c r="L40" s="7" t="s">
        <v>307</v>
      </c>
      <c r="M40" s="7" t="s">
        <v>244</v>
      </c>
      <c r="N40" s="7" t="s">
        <v>142</v>
      </c>
      <c r="O40" s="7" t="s">
        <v>686</v>
      </c>
      <c r="P40" s="7" t="s">
        <v>167</v>
      </c>
      <c r="Q40" s="7" t="s">
        <v>688</v>
      </c>
      <c r="R40" s="7" t="s">
        <v>690</v>
      </c>
      <c r="S40" s="7" t="s">
        <v>188</v>
      </c>
      <c r="T40" s="7">
        <v>1.0</v>
      </c>
      <c r="U40" s="7" t="s">
        <v>41</v>
      </c>
      <c r="V40" s="7"/>
      <c r="W40" s="7" t="s">
        <v>152</v>
      </c>
      <c r="X40" s="7" t="s">
        <v>41</v>
      </c>
      <c r="Y40" s="7"/>
      <c r="Z40" s="7"/>
      <c r="AA40" s="7"/>
      <c r="AB40" s="7" t="s">
        <v>304</v>
      </c>
      <c r="AC40" s="7" t="s">
        <v>119</v>
      </c>
      <c r="AD40" s="7"/>
    </row>
    <row r="41" ht="15.75" customHeight="1">
      <c r="A41" s="7" t="s">
        <v>692</v>
      </c>
      <c r="B41" s="7" t="s">
        <v>694</v>
      </c>
      <c r="C41" s="7" t="s">
        <v>129</v>
      </c>
      <c r="D41" s="7" t="s">
        <v>695</v>
      </c>
      <c r="E41" s="7">
        <v>1.0</v>
      </c>
      <c r="F41" s="7" t="s">
        <v>697</v>
      </c>
      <c r="G41" s="7" t="s">
        <v>137</v>
      </c>
      <c r="H41" s="7" t="s">
        <v>48</v>
      </c>
      <c r="I41" s="7"/>
      <c r="J41" s="7"/>
      <c r="K41" s="7" t="s">
        <v>700</v>
      </c>
      <c r="L41" s="7" t="s">
        <v>702</v>
      </c>
      <c r="M41" s="7" t="s">
        <v>182</v>
      </c>
      <c r="N41" s="7" t="s">
        <v>34</v>
      </c>
      <c r="O41" s="7" t="s">
        <v>143</v>
      </c>
      <c r="P41" s="7" t="s">
        <v>145</v>
      </c>
      <c r="Q41" s="7" t="s">
        <v>704</v>
      </c>
      <c r="R41" s="7" t="s">
        <v>705</v>
      </c>
      <c r="S41" s="7" t="s">
        <v>148</v>
      </c>
      <c r="T41" s="7">
        <v>1.0</v>
      </c>
      <c r="U41" s="7" t="s">
        <v>41</v>
      </c>
      <c r="V41" s="7"/>
      <c r="W41" s="7" t="s">
        <v>152</v>
      </c>
      <c r="X41" s="7" t="s">
        <v>41</v>
      </c>
      <c r="Y41" s="7"/>
      <c r="Z41" s="7"/>
      <c r="AA41" s="7"/>
      <c r="AB41" s="7" t="s">
        <v>700</v>
      </c>
      <c r="AC41" s="7" t="s">
        <v>59</v>
      </c>
      <c r="AD41" s="7"/>
    </row>
    <row r="42" ht="15.75" customHeight="1">
      <c r="A42" s="7" t="s">
        <v>707</v>
      </c>
      <c r="B42" s="7" t="s">
        <v>709</v>
      </c>
      <c r="C42" s="7" t="s">
        <v>129</v>
      </c>
      <c r="D42" s="7" t="s">
        <v>711</v>
      </c>
      <c r="E42" s="7">
        <v>1.0</v>
      </c>
      <c r="F42" s="7" t="s">
        <v>713</v>
      </c>
      <c r="G42" s="7" t="s">
        <v>137</v>
      </c>
      <c r="H42" s="7" t="s">
        <v>48</v>
      </c>
      <c r="I42" s="7"/>
      <c r="J42" s="7"/>
      <c r="K42" s="7" t="s">
        <v>105</v>
      </c>
      <c r="L42" s="7" t="s">
        <v>101</v>
      </c>
      <c r="M42" s="7" t="s">
        <v>182</v>
      </c>
      <c r="N42" s="7" t="s">
        <v>34</v>
      </c>
      <c r="O42" s="7" t="s">
        <v>143</v>
      </c>
      <c r="P42" s="7" t="s">
        <v>247</v>
      </c>
      <c r="Q42" s="7" t="s">
        <v>716</v>
      </c>
      <c r="R42" s="7" t="s">
        <v>717</v>
      </c>
      <c r="S42" s="7" t="s">
        <v>148</v>
      </c>
      <c r="T42" s="7">
        <v>1.0</v>
      </c>
      <c r="U42" s="7" t="s">
        <v>41</v>
      </c>
      <c r="V42" s="7"/>
      <c r="W42" s="7" t="s">
        <v>152</v>
      </c>
      <c r="X42" s="7" t="s">
        <v>41</v>
      </c>
      <c r="Y42" s="7"/>
      <c r="Z42" s="7"/>
      <c r="AA42" s="7"/>
      <c r="AB42" s="7" t="s">
        <v>105</v>
      </c>
      <c r="AC42" s="7" t="s">
        <v>59</v>
      </c>
      <c r="AD42" s="7"/>
    </row>
    <row r="43" ht="15.75" customHeight="1">
      <c r="A43" s="7" t="s">
        <v>720</v>
      </c>
      <c r="B43" s="7" t="s">
        <v>722</v>
      </c>
      <c r="C43" s="7" t="s">
        <v>129</v>
      </c>
      <c r="D43" s="7" t="s">
        <v>723</v>
      </c>
      <c r="E43" s="7">
        <v>1.0</v>
      </c>
      <c r="F43" s="7" t="s">
        <v>724</v>
      </c>
      <c r="G43" s="7" t="s">
        <v>137</v>
      </c>
      <c r="H43" s="7" t="s">
        <v>100</v>
      </c>
      <c r="I43" s="7"/>
      <c r="J43" s="7"/>
      <c r="K43" s="7" t="s">
        <v>121</v>
      </c>
      <c r="L43" s="7" t="s">
        <v>121</v>
      </c>
      <c r="M43" s="7" t="s">
        <v>121</v>
      </c>
      <c r="N43" s="7" t="s">
        <v>79</v>
      </c>
      <c r="O43" s="7" t="s">
        <v>143</v>
      </c>
      <c r="P43" s="7" t="s">
        <v>162</v>
      </c>
      <c r="Q43" s="7" t="s">
        <v>727</v>
      </c>
      <c r="R43" s="7" t="s">
        <v>728</v>
      </c>
      <c r="S43" s="7" t="s">
        <v>188</v>
      </c>
      <c r="T43" s="7">
        <v>1.0</v>
      </c>
      <c r="U43" s="7" t="s">
        <v>41</v>
      </c>
      <c r="V43" s="7"/>
      <c r="W43" s="7" t="s">
        <v>152</v>
      </c>
      <c r="X43" s="7" t="s">
        <v>41</v>
      </c>
      <c r="Y43" s="7"/>
      <c r="Z43" s="7" t="s">
        <v>121</v>
      </c>
      <c r="AA43" s="7"/>
      <c r="AB43" s="7" t="s">
        <v>138</v>
      </c>
      <c r="AC43" s="7" t="s">
        <v>106</v>
      </c>
      <c r="AD43" s="7"/>
    </row>
    <row r="44" ht="15.75" customHeight="1">
      <c r="A44" s="7" t="s">
        <v>720</v>
      </c>
      <c r="B44" s="7" t="s">
        <v>722</v>
      </c>
      <c r="C44" s="7" t="s">
        <v>129</v>
      </c>
      <c r="D44" s="7" t="s">
        <v>723</v>
      </c>
      <c r="E44" s="7">
        <v>2.0</v>
      </c>
      <c r="F44" s="7" t="s">
        <v>735</v>
      </c>
      <c r="G44" s="7" t="s">
        <v>137</v>
      </c>
      <c r="H44" s="7" t="s">
        <v>100</v>
      </c>
      <c r="I44" s="7"/>
      <c r="J44" s="7"/>
      <c r="K44" s="7" t="s">
        <v>121</v>
      </c>
      <c r="L44" s="7" t="s">
        <v>121</v>
      </c>
      <c r="M44" s="7" t="s">
        <v>121</v>
      </c>
      <c r="N44" s="7" t="s">
        <v>142</v>
      </c>
      <c r="O44" s="7" t="s">
        <v>143</v>
      </c>
      <c r="P44" s="7" t="s">
        <v>54</v>
      </c>
      <c r="Q44" s="7" t="s">
        <v>737</v>
      </c>
      <c r="R44" s="7" t="s">
        <v>738</v>
      </c>
      <c r="S44" s="7" t="s">
        <v>188</v>
      </c>
      <c r="T44" s="7">
        <v>1.0</v>
      </c>
      <c r="U44" s="7" t="s">
        <v>41</v>
      </c>
      <c r="V44" s="7"/>
      <c r="W44" s="7" t="s">
        <v>152</v>
      </c>
      <c r="X44" s="7" t="s">
        <v>41</v>
      </c>
      <c r="Y44" s="7"/>
      <c r="Z44" s="7" t="s">
        <v>121</v>
      </c>
      <c r="AA44" s="7"/>
      <c r="AB44" s="7" t="s">
        <v>138</v>
      </c>
      <c r="AC44" s="7" t="s">
        <v>106</v>
      </c>
      <c r="AD44" s="7"/>
    </row>
    <row r="45" ht="15.75" customHeight="1">
      <c r="A45" s="7" t="s">
        <v>720</v>
      </c>
      <c r="B45" s="7" t="s">
        <v>722</v>
      </c>
      <c r="C45" s="7" t="s">
        <v>129</v>
      </c>
      <c r="D45" s="7" t="s">
        <v>723</v>
      </c>
      <c r="E45" s="7">
        <v>3.0</v>
      </c>
      <c r="F45" s="7" t="s">
        <v>744</v>
      </c>
      <c r="G45" s="7" t="s">
        <v>137</v>
      </c>
      <c r="H45" s="7" t="s">
        <v>100</v>
      </c>
      <c r="I45" s="7"/>
      <c r="J45" s="7"/>
      <c r="K45" s="7" t="s">
        <v>121</v>
      </c>
      <c r="L45" s="7" t="s">
        <v>121</v>
      </c>
      <c r="M45" s="7" t="s">
        <v>121</v>
      </c>
      <c r="N45" s="7" t="s">
        <v>142</v>
      </c>
      <c r="O45" s="7" t="s">
        <v>143</v>
      </c>
      <c r="P45" s="7" t="s">
        <v>54</v>
      </c>
      <c r="Q45" s="7" t="s">
        <v>747</v>
      </c>
      <c r="R45" s="7" t="s">
        <v>749</v>
      </c>
      <c r="S45" s="7" t="s">
        <v>188</v>
      </c>
      <c r="T45" s="7">
        <v>1.0</v>
      </c>
      <c r="U45" s="7" t="s">
        <v>41</v>
      </c>
      <c r="V45" s="7"/>
      <c r="W45" s="7" t="s">
        <v>152</v>
      </c>
      <c r="X45" s="7" t="s">
        <v>41</v>
      </c>
      <c r="Y45" s="7"/>
      <c r="Z45" s="7" t="s">
        <v>121</v>
      </c>
      <c r="AA45" s="7"/>
      <c r="AB45" s="7" t="s">
        <v>138</v>
      </c>
      <c r="AC45" s="7" t="s">
        <v>106</v>
      </c>
      <c r="AD45" s="7"/>
    </row>
    <row r="46" ht="15.75" customHeight="1">
      <c r="A46" s="7" t="s">
        <v>754</v>
      </c>
      <c r="B46" s="7" t="s">
        <v>755</v>
      </c>
      <c r="C46" s="7" t="s">
        <v>129</v>
      </c>
      <c r="D46" s="7" t="s">
        <v>758</v>
      </c>
      <c r="E46" s="7">
        <v>1.0</v>
      </c>
      <c r="F46" s="7" t="s">
        <v>760</v>
      </c>
      <c r="G46" s="7" t="s">
        <v>137</v>
      </c>
      <c r="H46" s="7" t="s">
        <v>48</v>
      </c>
      <c r="I46" s="7"/>
      <c r="J46" s="7"/>
      <c r="K46" s="7" t="s">
        <v>241</v>
      </c>
      <c r="L46" s="7" t="s">
        <v>243</v>
      </c>
      <c r="M46" s="7" t="s">
        <v>244</v>
      </c>
      <c r="N46" s="7" t="s">
        <v>34</v>
      </c>
      <c r="O46" s="7" t="s">
        <v>143</v>
      </c>
      <c r="P46" s="7" t="s">
        <v>145</v>
      </c>
      <c r="Q46" s="7" t="s">
        <v>763</v>
      </c>
      <c r="R46" s="7" t="s">
        <v>764</v>
      </c>
      <c r="S46" s="7" t="s">
        <v>188</v>
      </c>
      <c r="T46" s="7">
        <v>1.0</v>
      </c>
      <c r="U46" s="7" t="s">
        <v>41</v>
      </c>
      <c r="V46" s="7"/>
      <c r="W46" s="7" t="s">
        <v>152</v>
      </c>
      <c r="X46" s="7" t="s">
        <v>41</v>
      </c>
      <c r="Y46" s="7"/>
      <c r="Z46" s="7"/>
      <c r="AA46" s="7"/>
      <c r="AB46" s="7" t="s">
        <v>241</v>
      </c>
      <c r="AC46" s="7" t="s">
        <v>59</v>
      </c>
      <c r="AD46" s="7"/>
    </row>
    <row r="47" ht="15.75" customHeight="1">
      <c r="A47" s="7" t="s">
        <v>754</v>
      </c>
      <c r="B47" s="7" t="s">
        <v>755</v>
      </c>
      <c r="C47" s="7" t="s">
        <v>129</v>
      </c>
      <c r="D47" s="7" t="s">
        <v>758</v>
      </c>
      <c r="E47" s="7">
        <v>2.0</v>
      </c>
      <c r="F47" s="7" t="s">
        <v>771</v>
      </c>
      <c r="G47" s="7" t="s">
        <v>137</v>
      </c>
      <c r="H47" s="7" t="s">
        <v>48</v>
      </c>
      <c r="I47" s="7"/>
      <c r="J47" s="7"/>
      <c r="K47" s="7" t="s">
        <v>241</v>
      </c>
      <c r="L47" s="7" t="s">
        <v>243</v>
      </c>
      <c r="M47" s="7" t="s">
        <v>244</v>
      </c>
      <c r="N47" s="7" t="s">
        <v>34</v>
      </c>
      <c r="O47" s="7" t="s">
        <v>775</v>
      </c>
      <c r="P47" s="7" t="s">
        <v>162</v>
      </c>
      <c r="Q47" s="7" t="s">
        <v>777</v>
      </c>
      <c r="R47" s="7" t="s">
        <v>778</v>
      </c>
      <c r="S47" s="7" t="s">
        <v>188</v>
      </c>
      <c r="T47" s="7">
        <v>1.0</v>
      </c>
      <c r="U47" s="7" t="s">
        <v>41</v>
      </c>
      <c r="V47" s="7"/>
      <c r="W47" s="7" t="s">
        <v>152</v>
      </c>
      <c r="X47" s="7" t="s">
        <v>41</v>
      </c>
      <c r="Y47" s="7"/>
      <c r="Z47" s="7"/>
      <c r="AA47" s="7"/>
      <c r="AB47" s="7" t="s">
        <v>241</v>
      </c>
      <c r="AC47" s="7" t="s">
        <v>59</v>
      </c>
      <c r="AD47" s="7"/>
    </row>
    <row r="48" ht="15.75" customHeight="1">
      <c r="A48" s="7" t="s">
        <v>754</v>
      </c>
      <c r="B48" s="7" t="s">
        <v>755</v>
      </c>
      <c r="C48" s="7" t="s">
        <v>129</v>
      </c>
      <c r="D48" s="7" t="s">
        <v>758</v>
      </c>
      <c r="E48" s="7">
        <v>3.0</v>
      </c>
      <c r="F48" s="7" t="s">
        <v>782</v>
      </c>
      <c r="G48" s="7" t="s">
        <v>137</v>
      </c>
      <c r="H48" s="7" t="s">
        <v>48</v>
      </c>
      <c r="I48" s="7"/>
      <c r="J48" s="7"/>
      <c r="K48" s="7" t="s">
        <v>241</v>
      </c>
      <c r="L48" s="7" t="s">
        <v>243</v>
      </c>
      <c r="M48" s="7" t="s">
        <v>244</v>
      </c>
      <c r="N48" s="7" t="s">
        <v>51</v>
      </c>
      <c r="O48" s="7" t="s">
        <v>245</v>
      </c>
      <c r="P48" s="7" t="s">
        <v>247</v>
      </c>
      <c r="Q48" s="7" t="s">
        <v>785</v>
      </c>
      <c r="R48" s="7" t="s">
        <v>778</v>
      </c>
      <c r="S48" s="7" t="s">
        <v>148</v>
      </c>
      <c r="T48" s="7">
        <v>1.0</v>
      </c>
      <c r="U48" s="7" t="s">
        <v>41</v>
      </c>
      <c r="V48" s="7"/>
      <c r="W48" s="7" t="s">
        <v>152</v>
      </c>
      <c r="X48" s="7" t="s">
        <v>41</v>
      </c>
      <c r="Y48" s="7"/>
      <c r="Z48" s="7"/>
      <c r="AA48" s="7"/>
      <c r="AB48" s="7" t="s">
        <v>241</v>
      </c>
      <c r="AC48" s="7" t="s">
        <v>59</v>
      </c>
      <c r="AD48" s="7"/>
    </row>
    <row r="49" ht="15.75" customHeight="1">
      <c r="A49" s="7" t="s">
        <v>754</v>
      </c>
      <c r="B49" s="7" t="s">
        <v>755</v>
      </c>
      <c r="C49" s="7" t="s">
        <v>129</v>
      </c>
      <c r="D49" s="7" t="s">
        <v>758</v>
      </c>
      <c r="E49" s="7">
        <v>4.0</v>
      </c>
      <c r="F49" s="7" t="s">
        <v>789</v>
      </c>
      <c r="G49" s="7" t="s">
        <v>137</v>
      </c>
      <c r="H49" s="7" t="s">
        <v>48</v>
      </c>
      <c r="I49" s="7"/>
      <c r="J49" s="7"/>
      <c r="K49" s="7" t="s">
        <v>139</v>
      </c>
      <c r="L49" s="7" t="s">
        <v>139</v>
      </c>
      <c r="M49" s="7" t="s">
        <v>121</v>
      </c>
      <c r="N49" s="7" t="s">
        <v>142</v>
      </c>
      <c r="O49" s="7" t="s">
        <v>143</v>
      </c>
      <c r="P49" s="7" t="s">
        <v>54</v>
      </c>
      <c r="Q49" s="7" t="s">
        <v>793</v>
      </c>
      <c r="R49" s="7" t="s">
        <v>794</v>
      </c>
      <c r="S49" s="7" t="s">
        <v>148</v>
      </c>
      <c r="T49" s="7">
        <v>1.0</v>
      </c>
      <c r="U49" s="7" t="s">
        <v>41</v>
      </c>
      <c r="V49" s="7"/>
      <c r="W49" s="7" t="s">
        <v>152</v>
      </c>
      <c r="X49" s="7" t="s">
        <v>41</v>
      </c>
      <c r="Y49" s="7"/>
      <c r="Z49" s="7" t="s">
        <v>139</v>
      </c>
      <c r="AA49" s="7"/>
      <c r="AB49" s="7" t="s">
        <v>138</v>
      </c>
      <c r="AC49" s="7" t="s">
        <v>59</v>
      </c>
      <c r="AD49" s="7"/>
    </row>
    <row r="50" ht="15.75" customHeight="1">
      <c r="A50" s="7" t="s">
        <v>796</v>
      </c>
      <c r="B50" s="7" t="s">
        <v>798</v>
      </c>
      <c r="C50" s="7" t="s">
        <v>129</v>
      </c>
      <c r="D50" s="7" t="s">
        <v>800</v>
      </c>
      <c r="E50" s="7">
        <v>1.0</v>
      </c>
      <c r="F50" s="7" t="s">
        <v>802</v>
      </c>
      <c r="G50" s="7" t="s">
        <v>137</v>
      </c>
      <c r="H50" s="7" t="s">
        <v>110</v>
      </c>
      <c r="I50" s="7"/>
      <c r="J50" s="7"/>
      <c r="K50" s="7" t="s">
        <v>121</v>
      </c>
      <c r="L50" s="7" t="s">
        <v>121</v>
      </c>
      <c r="M50" s="7" t="s">
        <v>121</v>
      </c>
      <c r="N50" s="7" t="s">
        <v>142</v>
      </c>
      <c r="O50" s="7" t="s">
        <v>143</v>
      </c>
      <c r="P50" s="7" t="s">
        <v>54</v>
      </c>
      <c r="Q50" s="7" t="s">
        <v>804</v>
      </c>
      <c r="R50" s="7" t="s">
        <v>805</v>
      </c>
      <c r="S50" s="7" t="s">
        <v>148</v>
      </c>
      <c r="T50" s="7">
        <v>2.0</v>
      </c>
      <c r="U50" s="7" t="s">
        <v>41</v>
      </c>
      <c r="V50" s="7"/>
      <c r="W50" s="7" t="s">
        <v>152</v>
      </c>
      <c r="X50" s="7" t="s">
        <v>41</v>
      </c>
      <c r="Y50" s="7"/>
      <c r="Z50" s="7" t="s">
        <v>121</v>
      </c>
      <c r="AA50" s="7"/>
      <c r="AB50" s="7" t="s">
        <v>138</v>
      </c>
      <c r="AC50" s="7" t="s">
        <v>119</v>
      </c>
      <c r="AD50" s="7"/>
    </row>
    <row r="51" ht="15.75" customHeight="1">
      <c r="A51" s="7" t="s">
        <v>796</v>
      </c>
      <c r="B51" s="7" t="s">
        <v>798</v>
      </c>
      <c r="C51" s="7" t="s">
        <v>129</v>
      </c>
      <c r="D51" s="7" t="s">
        <v>800</v>
      </c>
      <c r="E51" s="7">
        <v>2.0</v>
      </c>
      <c r="F51" s="7" t="s">
        <v>810</v>
      </c>
      <c r="G51" s="7" t="s">
        <v>137</v>
      </c>
      <c r="H51" s="7" t="s">
        <v>110</v>
      </c>
      <c r="I51" s="7"/>
      <c r="J51" s="7"/>
      <c r="K51" s="7" t="s">
        <v>121</v>
      </c>
      <c r="L51" s="7" t="s">
        <v>121</v>
      </c>
      <c r="M51" s="7" t="s">
        <v>121</v>
      </c>
      <c r="N51" s="7" t="s">
        <v>142</v>
      </c>
      <c r="O51" s="7" t="s">
        <v>143</v>
      </c>
      <c r="P51" s="7" t="s">
        <v>54</v>
      </c>
      <c r="Q51" s="7" t="s">
        <v>813</v>
      </c>
      <c r="R51" s="7" t="s">
        <v>814</v>
      </c>
      <c r="S51" s="7" t="s">
        <v>148</v>
      </c>
      <c r="T51" s="7">
        <v>2.0</v>
      </c>
      <c r="U51" s="7" t="s">
        <v>41</v>
      </c>
      <c r="V51" s="7"/>
      <c r="W51" s="7" t="s">
        <v>152</v>
      </c>
      <c r="X51" s="7" t="s">
        <v>41</v>
      </c>
      <c r="Y51" s="7"/>
      <c r="Z51" s="7" t="s">
        <v>121</v>
      </c>
      <c r="AA51" s="7"/>
      <c r="AB51" s="7" t="s">
        <v>138</v>
      </c>
      <c r="AC51" s="7" t="s">
        <v>119</v>
      </c>
      <c r="AD51" s="7"/>
    </row>
    <row r="52" ht="15.75" customHeight="1">
      <c r="A52" s="7" t="s">
        <v>817</v>
      </c>
      <c r="B52" s="7" t="s">
        <v>818</v>
      </c>
      <c r="C52" s="7" t="s">
        <v>129</v>
      </c>
      <c r="D52" s="7" t="s">
        <v>819</v>
      </c>
      <c r="E52" s="7">
        <v>1.0</v>
      </c>
      <c r="F52" s="7" t="s">
        <v>821</v>
      </c>
      <c r="G52" s="7" t="s">
        <v>137</v>
      </c>
      <c r="H52" s="7" t="s">
        <v>100</v>
      </c>
      <c r="I52" s="7"/>
      <c r="J52" s="7"/>
      <c r="K52" s="7" t="s">
        <v>121</v>
      </c>
      <c r="L52" s="7" t="s">
        <v>121</v>
      </c>
      <c r="M52" s="7" t="s">
        <v>121</v>
      </c>
      <c r="N52" s="7" t="s">
        <v>79</v>
      </c>
      <c r="O52" s="7" t="s">
        <v>143</v>
      </c>
      <c r="P52" s="7" t="s">
        <v>247</v>
      </c>
      <c r="Q52" s="7" t="s">
        <v>825</v>
      </c>
      <c r="R52" s="7" t="s">
        <v>826</v>
      </c>
      <c r="S52" s="7" t="s">
        <v>148</v>
      </c>
      <c r="T52" s="7">
        <v>2.0</v>
      </c>
      <c r="U52" s="7" t="s">
        <v>41</v>
      </c>
      <c r="V52" s="7"/>
      <c r="W52" s="7" t="s">
        <v>152</v>
      </c>
      <c r="X52" s="7" t="s">
        <v>41</v>
      </c>
      <c r="Y52" s="7"/>
      <c r="Z52" s="7" t="s">
        <v>121</v>
      </c>
      <c r="AA52" s="7"/>
      <c r="AB52" s="7" t="s">
        <v>138</v>
      </c>
      <c r="AC52" s="7" t="s">
        <v>106</v>
      </c>
      <c r="AD52" s="7"/>
    </row>
    <row r="53" ht="15.75" customHeight="1">
      <c r="A53" s="7" t="s">
        <v>828</v>
      </c>
      <c r="B53" s="7" t="s">
        <v>829</v>
      </c>
      <c r="C53" s="7" t="s">
        <v>129</v>
      </c>
      <c r="D53" s="7" t="s">
        <v>830</v>
      </c>
      <c r="E53" s="7">
        <v>1.0</v>
      </c>
      <c r="F53" s="7" t="s">
        <v>163</v>
      </c>
      <c r="G53" s="7"/>
      <c r="H53" s="7"/>
      <c r="I53" s="7"/>
      <c r="J53" s="7"/>
      <c r="K53" s="7" t="s">
        <v>121</v>
      </c>
      <c r="L53" s="7" t="s">
        <v>121</v>
      </c>
      <c r="M53" s="7" t="s">
        <v>121</v>
      </c>
      <c r="N53" s="7" t="s">
        <v>167</v>
      </c>
      <c r="O53" s="7" t="s">
        <v>167</v>
      </c>
      <c r="P53" s="7" t="s">
        <v>167</v>
      </c>
      <c r="Q53" s="7" t="s">
        <v>167</v>
      </c>
      <c r="R53" s="7" t="s">
        <v>167</v>
      </c>
      <c r="S53" s="7"/>
      <c r="T53" s="7">
        <v>1.0</v>
      </c>
      <c r="U53" s="7" t="s">
        <v>170</v>
      </c>
      <c r="V53" s="7"/>
      <c r="W53" s="7" t="s">
        <v>152</v>
      </c>
      <c r="X53" s="7" t="s">
        <v>170</v>
      </c>
      <c r="Y53" s="7" t="s">
        <v>172</v>
      </c>
      <c r="Z53" s="7"/>
      <c r="AA53" s="7"/>
      <c r="AB53" s="7"/>
      <c r="AC53" s="7"/>
      <c r="AD53" s="7"/>
    </row>
    <row r="54" ht="15.75" customHeight="1">
      <c r="A54" s="7" t="s">
        <v>835</v>
      </c>
      <c r="B54" s="7" t="s">
        <v>836</v>
      </c>
      <c r="C54" s="7" t="s">
        <v>838</v>
      </c>
      <c r="D54" s="7" t="s">
        <v>840</v>
      </c>
      <c r="E54" s="7">
        <v>1.0</v>
      </c>
      <c r="F54" s="7" t="s">
        <v>841</v>
      </c>
      <c r="G54" s="7" t="s">
        <v>137</v>
      </c>
      <c r="H54" s="7" t="s">
        <v>48</v>
      </c>
      <c r="I54" s="7"/>
      <c r="J54" s="7"/>
      <c r="K54" s="7" t="s">
        <v>118</v>
      </c>
      <c r="L54" s="7" t="s">
        <v>112</v>
      </c>
      <c r="M54" s="7" t="s">
        <v>182</v>
      </c>
      <c r="N54" s="7" t="s">
        <v>34</v>
      </c>
      <c r="O54" s="7" t="s">
        <v>143</v>
      </c>
      <c r="P54" s="7" t="s">
        <v>185</v>
      </c>
      <c r="Q54" s="7" t="s">
        <v>845</v>
      </c>
      <c r="R54" s="7" t="s">
        <v>846</v>
      </c>
      <c r="S54" s="7" t="s">
        <v>848</v>
      </c>
      <c r="T54" s="7">
        <v>1.0</v>
      </c>
      <c r="U54" s="7" t="s">
        <v>41</v>
      </c>
      <c r="V54" s="7"/>
      <c r="W54" s="7" t="s">
        <v>152</v>
      </c>
      <c r="X54" s="7" t="s">
        <v>41</v>
      </c>
      <c r="Y54" s="7"/>
      <c r="Z54" s="7"/>
      <c r="AA54" s="7"/>
      <c r="AB54" s="7" t="s">
        <v>118</v>
      </c>
      <c r="AC54" s="7" t="s">
        <v>59</v>
      </c>
      <c r="AD54" s="7"/>
    </row>
    <row r="55" ht="15.75" customHeight="1">
      <c r="A55" s="7" t="s">
        <v>835</v>
      </c>
      <c r="B55" s="7" t="s">
        <v>836</v>
      </c>
      <c r="C55" s="7" t="s">
        <v>838</v>
      </c>
      <c r="D55" s="7" t="s">
        <v>840</v>
      </c>
      <c r="E55" s="7">
        <v>2.0</v>
      </c>
      <c r="F55" s="7" t="s">
        <v>853</v>
      </c>
      <c r="G55" s="7" t="s">
        <v>137</v>
      </c>
      <c r="H55" s="7" t="s">
        <v>48</v>
      </c>
      <c r="I55" s="7"/>
      <c r="J55" s="7"/>
      <c r="K55" s="7" t="s">
        <v>72</v>
      </c>
      <c r="L55" s="7" t="s">
        <v>63</v>
      </c>
      <c r="M55" s="7" t="s">
        <v>182</v>
      </c>
      <c r="N55" s="7" t="s">
        <v>34</v>
      </c>
      <c r="O55" s="7" t="s">
        <v>143</v>
      </c>
      <c r="P55" s="7" t="s">
        <v>185</v>
      </c>
      <c r="Q55" s="7" t="s">
        <v>857</v>
      </c>
      <c r="R55" s="7" t="s">
        <v>846</v>
      </c>
      <c r="S55" s="7" t="s">
        <v>848</v>
      </c>
      <c r="T55" s="7">
        <v>1.0</v>
      </c>
      <c r="U55" s="7" t="s">
        <v>41</v>
      </c>
      <c r="V55" s="7"/>
      <c r="W55" s="7" t="s">
        <v>152</v>
      </c>
      <c r="X55" s="7" t="s">
        <v>41</v>
      </c>
      <c r="Y55" s="7"/>
      <c r="Z55" s="7"/>
      <c r="AA55" s="7"/>
      <c r="AB55" s="7" t="s">
        <v>72</v>
      </c>
      <c r="AC55" s="7" t="s">
        <v>59</v>
      </c>
      <c r="AD55" s="7"/>
    </row>
    <row r="56" ht="15.75" customHeight="1">
      <c r="A56" s="7" t="s">
        <v>859</v>
      </c>
      <c r="B56" s="7" t="s">
        <v>860</v>
      </c>
      <c r="C56" s="7" t="s">
        <v>838</v>
      </c>
      <c r="D56" s="7" t="s">
        <v>862</v>
      </c>
      <c r="E56" s="7">
        <v>1.0</v>
      </c>
      <c r="F56" s="7" t="s">
        <v>865</v>
      </c>
      <c r="G56" s="7" t="s">
        <v>137</v>
      </c>
      <c r="H56" s="7" t="s">
        <v>48</v>
      </c>
      <c r="I56" s="7"/>
      <c r="J56" s="7"/>
      <c r="K56" s="7" t="s">
        <v>96</v>
      </c>
      <c r="L56" s="7" t="s">
        <v>89</v>
      </c>
      <c r="M56" s="7" t="s">
        <v>866</v>
      </c>
      <c r="N56" s="7" t="s">
        <v>34</v>
      </c>
      <c r="O56" s="7" t="s">
        <v>143</v>
      </c>
      <c r="P56" s="7" t="s">
        <v>185</v>
      </c>
      <c r="Q56" s="7" t="s">
        <v>868</v>
      </c>
      <c r="R56" s="7" t="s">
        <v>869</v>
      </c>
      <c r="S56" s="7" t="s">
        <v>188</v>
      </c>
      <c r="T56" s="7">
        <v>1.0</v>
      </c>
      <c r="U56" s="7" t="s">
        <v>41</v>
      </c>
      <c r="V56" s="7"/>
      <c r="W56" s="7" t="s">
        <v>152</v>
      </c>
      <c r="X56" s="7" t="s">
        <v>41</v>
      </c>
      <c r="Y56" s="7"/>
      <c r="Z56" s="7"/>
      <c r="AA56" s="7"/>
      <c r="AB56" s="7" t="s">
        <v>96</v>
      </c>
      <c r="AC56" s="7" t="s">
        <v>59</v>
      </c>
      <c r="AD56" s="7"/>
    </row>
    <row r="57" ht="15.75" customHeight="1">
      <c r="A57" s="7" t="s">
        <v>873</v>
      </c>
      <c r="B57" s="7" t="s">
        <v>875</v>
      </c>
      <c r="C57" s="7" t="s">
        <v>838</v>
      </c>
      <c r="D57" s="7" t="s">
        <v>876</v>
      </c>
      <c r="E57" s="7">
        <v>1.0</v>
      </c>
      <c r="F57" s="7" t="s">
        <v>878</v>
      </c>
      <c r="G57" s="7" t="s">
        <v>137</v>
      </c>
      <c r="H57" s="7" t="s">
        <v>100</v>
      </c>
      <c r="I57" s="7"/>
      <c r="J57" s="7"/>
      <c r="K57" s="7" t="s">
        <v>139</v>
      </c>
      <c r="L57" s="7" t="s">
        <v>139</v>
      </c>
      <c r="M57" s="7" t="s">
        <v>121</v>
      </c>
      <c r="N57" s="7" t="s">
        <v>34</v>
      </c>
      <c r="O57" s="7" t="s">
        <v>880</v>
      </c>
      <c r="P57" s="7" t="s">
        <v>162</v>
      </c>
      <c r="Q57" s="7" t="s">
        <v>882</v>
      </c>
      <c r="R57" s="7" t="s">
        <v>883</v>
      </c>
      <c r="S57" s="7" t="s">
        <v>148</v>
      </c>
      <c r="T57" s="7">
        <v>1.0</v>
      </c>
      <c r="U57" s="7" t="s">
        <v>41</v>
      </c>
      <c r="V57" s="7"/>
      <c r="W57" s="7" t="s">
        <v>152</v>
      </c>
      <c r="X57" s="7" t="s">
        <v>41</v>
      </c>
      <c r="Y57" s="7"/>
      <c r="Z57" s="7" t="s">
        <v>139</v>
      </c>
      <c r="AA57" s="7"/>
      <c r="AB57" s="7" t="s">
        <v>138</v>
      </c>
      <c r="AC57" s="7" t="s">
        <v>106</v>
      </c>
      <c r="AD57" s="7"/>
    </row>
    <row r="58" ht="15.75" customHeight="1">
      <c r="A58" s="7" t="s">
        <v>873</v>
      </c>
      <c r="B58" s="7" t="s">
        <v>875</v>
      </c>
      <c r="C58" s="7" t="s">
        <v>838</v>
      </c>
      <c r="D58" s="7" t="s">
        <v>876</v>
      </c>
      <c r="E58" s="7">
        <v>2.0</v>
      </c>
      <c r="F58" s="7" t="s">
        <v>890</v>
      </c>
      <c r="G58" s="7" t="s">
        <v>891</v>
      </c>
      <c r="H58" s="7" t="s">
        <v>132</v>
      </c>
      <c r="I58" s="7"/>
      <c r="J58" s="7"/>
      <c r="K58" s="7" t="s">
        <v>139</v>
      </c>
      <c r="L58" s="7" t="s">
        <v>139</v>
      </c>
      <c r="M58" s="7" t="s">
        <v>121</v>
      </c>
      <c r="N58" s="7" t="s">
        <v>34</v>
      </c>
      <c r="O58" s="7" t="s">
        <v>895</v>
      </c>
      <c r="P58" s="7" t="s">
        <v>896</v>
      </c>
      <c r="Q58" s="7" t="s">
        <v>897</v>
      </c>
      <c r="R58" s="7" t="s">
        <v>898</v>
      </c>
      <c r="S58" s="7" t="s">
        <v>188</v>
      </c>
      <c r="T58" s="7">
        <v>1.0</v>
      </c>
      <c r="U58" s="7" t="s">
        <v>41</v>
      </c>
      <c r="V58" s="7"/>
      <c r="W58" s="7" t="s">
        <v>152</v>
      </c>
      <c r="X58" s="7" t="s">
        <v>41</v>
      </c>
      <c r="Y58" s="7"/>
      <c r="Z58" s="7" t="s">
        <v>139</v>
      </c>
      <c r="AA58" s="7"/>
      <c r="AB58" s="7" t="s">
        <v>138</v>
      </c>
      <c r="AC58" s="7" t="s">
        <v>140</v>
      </c>
      <c r="AD58" s="7"/>
    </row>
    <row r="59" ht="15.75" customHeight="1">
      <c r="A59" s="7" t="s">
        <v>873</v>
      </c>
      <c r="B59" s="7" t="s">
        <v>875</v>
      </c>
      <c r="C59" s="7" t="s">
        <v>838</v>
      </c>
      <c r="D59" s="7" t="s">
        <v>876</v>
      </c>
      <c r="E59" s="7">
        <v>3.0</v>
      </c>
      <c r="F59" s="7" t="s">
        <v>903</v>
      </c>
      <c r="G59" s="7" t="s">
        <v>137</v>
      </c>
      <c r="H59" s="7" t="s">
        <v>110</v>
      </c>
      <c r="I59" s="7"/>
      <c r="J59" s="7"/>
      <c r="K59" s="7" t="s">
        <v>42</v>
      </c>
      <c r="L59" s="7" t="s">
        <v>32</v>
      </c>
      <c r="M59" s="7" t="s">
        <v>182</v>
      </c>
      <c r="N59" s="7" t="s">
        <v>142</v>
      </c>
      <c r="O59" s="7" t="s">
        <v>905</v>
      </c>
      <c r="P59" s="7" t="s">
        <v>167</v>
      </c>
      <c r="Q59" s="7" t="s">
        <v>906</v>
      </c>
      <c r="R59" s="7" t="s">
        <v>898</v>
      </c>
      <c r="S59" s="7" t="s">
        <v>188</v>
      </c>
      <c r="T59" s="7">
        <v>1.0</v>
      </c>
      <c r="U59" s="7" t="s">
        <v>41</v>
      </c>
      <c r="V59" s="7"/>
      <c r="W59" s="7" t="s">
        <v>152</v>
      </c>
      <c r="X59" s="7" t="s">
        <v>41</v>
      </c>
      <c r="Y59" s="7"/>
      <c r="Z59" s="7"/>
      <c r="AA59" s="7"/>
      <c r="AB59" s="7" t="s">
        <v>42</v>
      </c>
      <c r="AC59" s="7" t="s">
        <v>119</v>
      </c>
      <c r="AD59" s="7"/>
    </row>
    <row r="60" ht="15.75" customHeight="1">
      <c r="A60" s="7" t="s">
        <v>873</v>
      </c>
      <c r="B60" s="7" t="s">
        <v>875</v>
      </c>
      <c r="C60" s="7" t="s">
        <v>838</v>
      </c>
      <c r="D60" s="7" t="s">
        <v>876</v>
      </c>
      <c r="E60" s="7">
        <v>4.0</v>
      </c>
      <c r="F60" s="7" t="s">
        <v>910</v>
      </c>
      <c r="G60" s="7" t="s">
        <v>137</v>
      </c>
      <c r="H60" s="7" t="s">
        <v>48</v>
      </c>
      <c r="I60" s="7"/>
      <c r="J60" s="7"/>
      <c r="K60" s="7" t="s">
        <v>139</v>
      </c>
      <c r="L60" s="7" t="s">
        <v>139</v>
      </c>
      <c r="M60" s="7" t="s">
        <v>121</v>
      </c>
      <c r="N60" s="7" t="s">
        <v>34</v>
      </c>
      <c r="O60" s="7" t="s">
        <v>914</v>
      </c>
      <c r="P60" s="7" t="s">
        <v>185</v>
      </c>
      <c r="Q60" s="7" t="s">
        <v>915</v>
      </c>
      <c r="R60" s="7" t="s">
        <v>916</v>
      </c>
      <c r="S60" s="7" t="s">
        <v>188</v>
      </c>
      <c r="T60" s="7">
        <v>1.0</v>
      </c>
      <c r="U60" s="7" t="s">
        <v>41</v>
      </c>
      <c r="V60" s="7"/>
      <c r="W60" s="7" t="s">
        <v>152</v>
      </c>
      <c r="X60" s="7" t="s">
        <v>41</v>
      </c>
      <c r="Y60" s="7"/>
      <c r="Z60" s="7" t="s">
        <v>139</v>
      </c>
      <c r="AA60" s="7"/>
      <c r="AB60" s="7" t="s">
        <v>138</v>
      </c>
      <c r="AC60" s="7" t="s">
        <v>59</v>
      </c>
      <c r="AD60" s="7"/>
    </row>
    <row r="61" ht="15.75" customHeight="1">
      <c r="A61" s="7" t="s">
        <v>873</v>
      </c>
      <c r="B61" s="7" t="s">
        <v>875</v>
      </c>
      <c r="C61" s="7" t="s">
        <v>838</v>
      </c>
      <c r="D61" s="7" t="s">
        <v>876</v>
      </c>
      <c r="E61" s="7">
        <v>5.0</v>
      </c>
      <c r="F61" s="7" t="s">
        <v>922</v>
      </c>
      <c r="G61" s="7" t="s">
        <v>137</v>
      </c>
      <c r="H61" s="7" t="s">
        <v>48</v>
      </c>
      <c r="I61" s="7"/>
      <c r="J61" s="7"/>
      <c r="K61" s="7" t="s">
        <v>700</v>
      </c>
      <c r="L61" s="7" t="s">
        <v>702</v>
      </c>
      <c r="M61" s="7" t="s">
        <v>182</v>
      </c>
      <c r="N61" s="7" t="s">
        <v>34</v>
      </c>
      <c r="O61" s="7" t="s">
        <v>925</v>
      </c>
      <c r="P61" s="7" t="s">
        <v>926</v>
      </c>
      <c r="Q61" s="7" t="s">
        <v>927</v>
      </c>
      <c r="R61" s="7" t="s">
        <v>928</v>
      </c>
      <c r="S61" s="7" t="s">
        <v>188</v>
      </c>
      <c r="T61" s="7">
        <v>1.0</v>
      </c>
      <c r="U61" s="7" t="s">
        <v>41</v>
      </c>
      <c r="V61" s="7"/>
      <c r="W61" s="7" t="s">
        <v>152</v>
      </c>
      <c r="X61" s="7" t="s">
        <v>41</v>
      </c>
      <c r="Y61" s="7"/>
      <c r="Z61" s="7"/>
      <c r="AA61" s="7"/>
      <c r="AB61" s="7" t="s">
        <v>700</v>
      </c>
      <c r="AC61" s="7" t="s">
        <v>59</v>
      </c>
      <c r="AD61" s="7"/>
    </row>
    <row r="62" ht="15.75" customHeight="1">
      <c r="A62" s="7" t="s">
        <v>873</v>
      </c>
      <c r="B62" s="7" t="s">
        <v>875</v>
      </c>
      <c r="C62" s="7" t="s">
        <v>838</v>
      </c>
      <c r="D62" s="7" t="s">
        <v>876</v>
      </c>
      <c r="E62" s="7">
        <v>6.0</v>
      </c>
      <c r="F62" s="7" t="s">
        <v>934</v>
      </c>
      <c r="G62" s="7" t="s">
        <v>137</v>
      </c>
      <c r="H62" s="7" t="s">
        <v>100</v>
      </c>
      <c r="I62" s="7"/>
      <c r="J62" s="7"/>
      <c r="K62" s="7" t="s">
        <v>471</v>
      </c>
      <c r="L62" s="7" t="s">
        <v>466</v>
      </c>
      <c r="M62" s="7" t="s">
        <v>866</v>
      </c>
      <c r="N62" s="7" t="s">
        <v>34</v>
      </c>
      <c r="O62" s="7" t="s">
        <v>936</v>
      </c>
      <c r="P62" s="7" t="s">
        <v>162</v>
      </c>
      <c r="Q62" s="7" t="s">
        <v>938</v>
      </c>
      <c r="R62" s="7" t="s">
        <v>940</v>
      </c>
      <c r="S62" s="7" t="s">
        <v>148</v>
      </c>
      <c r="T62" s="7">
        <v>1.0</v>
      </c>
      <c r="U62" s="7" t="s">
        <v>41</v>
      </c>
      <c r="V62" s="7"/>
      <c r="W62" s="7" t="s">
        <v>152</v>
      </c>
      <c r="X62" s="7" t="s">
        <v>41</v>
      </c>
      <c r="Y62" s="7"/>
      <c r="Z62" s="7"/>
      <c r="AA62" s="7"/>
      <c r="AB62" s="7" t="s">
        <v>471</v>
      </c>
      <c r="AC62" s="7" t="s">
        <v>106</v>
      </c>
      <c r="AD62" s="7"/>
    </row>
    <row r="63" ht="15.75" customHeight="1">
      <c r="A63" s="7" t="s">
        <v>873</v>
      </c>
      <c r="B63" s="7" t="s">
        <v>875</v>
      </c>
      <c r="C63" s="7" t="s">
        <v>838</v>
      </c>
      <c r="D63" s="7" t="s">
        <v>876</v>
      </c>
      <c r="E63" s="7">
        <v>7.0</v>
      </c>
      <c r="F63" s="7" t="s">
        <v>944</v>
      </c>
      <c r="G63" s="7" t="s">
        <v>137</v>
      </c>
      <c r="H63" s="7" t="s">
        <v>100</v>
      </c>
      <c r="I63" s="7"/>
      <c r="J63" s="7"/>
      <c r="K63" s="7" t="s">
        <v>72</v>
      </c>
      <c r="L63" s="7" t="s">
        <v>63</v>
      </c>
      <c r="M63" s="7" t="s">
        <v>182</v>
      </c>
      <c r="N63" s="7" t="s">
        <v>34</v>
      </c>
      <c r="O63" s="7" t="s">
        <v>880</v>
      </c>
      <c r="P63" s="7" t="s">
        <v>162</v>
      </c>
      <c r="Q63" s="7" t="s">
        <v>947</v>
      </c>
      <c r="R63" s="7" t="s">
        <v>948</v>
      </c>
      <c r="S63" s="7" t="s">
        <v>148</v>
      </c>
      <c r="T63" s="7">
        <v>1.0</v>
      </c>
      <c r="U63" s="7" t="s">
        <v>41</v>
      </c>
      <c r="V63" s="7"/>
      <c r="W63" s="7" t="s">
        <v>152</v>
      </c>
      <c r="X63" s="7" t="s">
        <v>41</v>
      </c>
      <c r="Y63" s="7"/>
      <c r="Z63" s="7"/>
      <c r="AA63" s="7"/>
      <c r="AB63" s="7" t="s">
        <v>72</v>
      </c>
      <c r="AC63" s="7" t="s">
        <v>106</v>
      </c>
      <c r="AD63" s="7"/>
    </row>
    <row r="64" ht="15.75" customHeight="1">
      <c r="A64" s="7" t="s">
        <v>873</v>
      </c>
      <c r="B64" s="7" t="s">
        <v>875</v>
      </c>
      <c r="C64" s="7" t="s">
        <v>838</v>
      </c>
      <c r="D64" s="7" t="s">
        <v>876</v>
      </c>
      <c r="E64" s="7">
        <v>8.0</v>
      </c>
      <c r="F64" s="7" t="s">
        <v>951</v>
      </c>
      <c r="G64" s="7" t="s">
        <v>952</v>
      </c>
      <c r="H64" s="7" t="s">
        <v>262</v>
      </c>
      <c r="I64" s="7" t="s">
        <v>137</v>
      </c>
      <c r="J64" s="7" t="s">
        <v>110</v>
      </c>
      <c r="K64" s="7" t="s">
        <v>139</v>
      </c>
      <c r="L64" s="7" t="s">
        <v>139</v>
      </c>
      <c r="M64" s="7" t="s">
        <v>121</v>
      </c>
      <c r="N64" s="7" t="s">
        <v>142</v>
      </c>
      <c r="O64" s="7" t="s">
        <v>143</v>
      </c>
      <c r="P64" s="7" t="s">
        <v>54</v>
      </c>
      <c r="Q64" s="7" t="s">
        <v>955</v>
      </c>
      <c r="R64" s="7" t="s">
        <v>956</v>
      </c>
      <c r="S64" s="7" t="s">
        <v>188</v>
      </c>
      <c r="T64" s="7">
        <v>1.0</v>
      </c>
      <c r="U64" s="7" t="s">
        <v>41</v>
      </c>
      <c r="V64" s="7"/>
      <c r="W64" s="7" t="s">
        <v>152</v>
      </c>
      <c r="X64" s="7" t="s">
        <v>41</v>
      </c>
      <c r="Y64" s="7"/>
      <c r="Z64" s="7" t="s">
        <v>139</v>
      </c>
      <c r="AA64" s="7"/>
      <c r="AB64" s="7" t="s">
        <v>138</v>
      </c>
      <c r="AC64" s="7" t="s">
        <v>583</v>
      </c>
      <c r="AD64" s="7"/>
    </row>
    <row r="65" ht="15.75" customHeight="1">
      <c r="A65" s="7" t="s">
        <v>873</v>
      </c>
      <c r="B65" s="7" t="s">
        <v>875</v>
      </c>
      <c r="C65" s="7" t="s">
        <v>838</v>
      </c>
      <c r="D65" s="7" t="s">
        <v>876</v>
      </c>
      <c r="E65" s="7">
        <v>9.0</v>
      </c>
      <c r="F65" s="7" t="s">
        <v>960</v>
      </c>
      <c r="G65" s="7" t="s">
        <v>137</v>
      </c>
      <c r="H65" s="7" t="s">
        <v>48</v>
      </c>
      <c r="I65" s="7"/>
      <c r="J65" s="7"/>
      <c r="K65" s="7" t="s">
        <v>139</v>
      </c>
      <c r="L65" s="7" t="s">
        <v>139</v>
      </c>
      <c r="M65" s="7" t="s">
        <v>121</v>
      </c>
      <c r="N65" s="7" t="s">
        <v>79</v>
      </c>
      <c r="O65" s="7" t="s">
        <v>143</v>
      </c>
      <c r="P65" s="7" t="s">
        <v>54</v>
      </c>
      <c r="Q65" s="7" t="s">
        <v>962</v>
      </c>
      <c r="R65" s="7" t="s">
        <v>956</v>
      </c>
      <c r="S65" s="7" t="s">
        <v>148</v>
      </c>
      <c r="T65" s="7">
        <v>1.0</v>
      </c>
      <c r="U65" s="7" t="s">
        <v>41</v>
      </c>
      <c r="V65" s="7"/>
      <c r="W65" s="7" t="s">
        <v>152</v>
      </c>
      <c r="X65" s="7" t="s">
        <v>41</v>
      </c>
      <c r="Y65" s="7"/>
      <c r="Z65" s="7" t="s">
        <v>139</v>
      </c>
      <c r="AA65" s="7"/>
      <c r="AB65" s="7" t="s">
        <v>138</v>
      </c>
      <c r="AC65" s="7" t="s">
        <v>59</v>
      </c>
      <c r="AD65" s="7"/>
    </row>
    <row r="66" ht="15.75" customHeight="1">
      <c r="A66" s="7" t="s">
        <v>873</v>
      </c>
      <c r="B66" s="7" t="s">
        <v>875</v>
      </c>
      <c r="C66" s="7" t="s">
        <v>838</v>
      </c>
      <c r="D66" s="7" t="s">
        <v>876</v>
      </c>
      <c r="E66" s="7">
        <v>10.0</v>
      </c>
      <c r="F66" s="7" t="s">
        <v>968</v>
      </c>
      <c r="G66" s="7" t="s">
        <v>952</v>
      </c>
      <c r="H66" s="7" t="s">
        <v>262</v>
      </c>
      <c r="I66" s="7" t="s">
        <v>891</v>
      </c>
      <c r="J66" s="7" t="s">
        <v>132</v>
      </c>
      <c r="K66" s="7" t="s">
        <v>139</v>
      </c>
      <c r="L66" s="7" t="s">
        <v>139</v>
      </c>
      <c r="M66" s="7" t="s">
        <v>121</v>
      </c>
      <c r="N66" s="7" t="s">
        <v>142</v>
      </c>
      <c r="O66" s="7" t="s">
        <v>143</v>
      </c>
      <c r="P66" s="7" t="s">
        <v>54</v>
      </c>
      <c r="Q66" s="7" t="s">
        <v>972</v>
      </c>
      <c r="R66" s="7" t="s">
        <v>973</v>
      </c>
      <c r="S66" s="7" t="s">
        <v>148</v>
      </c>
      <c r="T66" s="7">
        <v>1.0</v>
      </c>
      <c r="U66" s="7" t="s">
        <v>41</v>
      </c>
      <c r="V66" s="7"/>
      <c r="W66" s="7" t="s">
        <v>152</v>
      </c>
      <c r="X66" s="7" t="s">
        <v>41</v>
      </c>
      <c r="Y66" s="7"/>
      <c r="Z66" s="7" t="s">
        <v>139</v>
      </c>
      <c r="AA66" s="7"/>
      <c r="AB66" s="7" t="s">
        <v>138</v>
      </c>
      <c r="AC66" s="7" t="s">
        <v>583</v>
      </c>
      <c r="AD66" s="7"/>
    </row>
    <row r="67" ht="15.75" customHeight="1">
      <c r="A67" s="7" t="s">
        <v>873</v>
      </c>
      <c r="B67" s="7" t="s">
        <v>875</v>
      </c>
      <c r="C67" s="7" t="s">
        <v>838</v>
      </c>
      <c r="D67" s="7" t="s">
        <v>876</v>
      </c>
      <c r="E67" s="7">
        <v>11.0</v>
      </c>
      <c r="F67" s="7" t="s">
        <v>977</v>
      </c>
      <c r="G67" s="7" t="s">
        <v>137</v>
      </c>
      <c r="H67" s="7" t="s">
        <v>100</v>
      </c>
      <c r="I67" s="7"/>
      <c r="J67" s="7"/>
      <c r="K67" s="7" t="s">
        <v>139</v>
      </c>
      <c r="L67" s="7" t="s">
        <v>139</v>
      </c>
      <c r="M67" s="7" t="s">
        <v>121</v>
      </c>
      <c r="N67" s="7" t="s">
        <v>142</v>
      </c>
      <c r="O67" s="7" t="s">
        <v>143</v>
      </c>
      <c r="P67" s="7" t="s">
        <v>54</v>
      </c>
      <c r="Q67" s="7" t="s">
        <v>980</v>
      </c>
      <c r="R67" s="7" t="s">
        <v>982</v>
      </c>
      <c r="S67" s="7" t="s">
        <v>188</v>
      </c>
      <c r="T67" s="7">
        <v>1.0</v>
      </c>
      <c r="U67" s="7" t="s">
        <v>41</v>
      </c>
      <c r="V67" s="7"/>
      <c r="W67" s="7" t="s">
        <v>152</v>
      </c>
      <c r="X67" s="7" t="s">
        <v>41</v>
      </c>
      <c r="Y67" s="7"/>
      <c r="Z67" s="7" t="s">
        <v>139</v>
      </c>
      <c r="AA67" s="7"/>
      <c r="AB67" s="7" t="s">
        <v>138</v>
      </c>
      <c r="AC67" s="7" t="s">
        <v>106</v>
      </c>
      <c r="AD67" s="7"/>
    </row>
    <row r="68" ht="15.75" customHeight="1">
      <c r="A68" s="7" t="s">
        <v>984</v>
      </c>
      <c r="B68" s="7" t="s">
        <v>985</v>
      </c>
      <c r="C68" s="7" t="s">
        <v>838</v>
      </c>
      <c r="D68" s="7" t="s">
        <v>987</v>
      </c>
      <c r="E68" s="7">
        <v>1.0</v>
      </c>
      <c r="F68" s="7" t="s">
        <v>988</v>
      </c>
      <c r="G68" s="7" t="s">
        <v>137</v>
      </c>
      <c r="H68" s="7" t="s">
        <v>110</v>
      </c>
      <c r="I68" s="7"/>
      <c r="J68" s="7"/>
      <c r="K68" s="7" t="s">
        <v>105</v>
      </c>
      <c r="L68" s="7" t="s">
        <v>101</v>
      </c>
      <c r="M68" s="7" t="s">
        <v>182</v>
      </c>
      <c r="N68" s="7" t="s">
        <v>34</v>
      </c>
      <c r="O68" s="7" t="s">
        <v>143</v>
      </c>
      <c r="P68" s="7" t="s">
        <v>37</v>
      </c>
      <c r="Q68" s="7" t="s">
        <v>990</v>
      </c>
      <c r="R68" s="7" t="s">
        <v>991</v>
      </c>
      <c r="S68" s="7" t="s">
        <v>148</v>
      </c>
      <c r="T68" s="7">
        <v>1.0</v>
      </c>
      <c r="U68" s="7" t="s">
        <v>41</v>
      </c>
      <c r="V68" s="7"/>
      <c r="W68" s="7" t="s">
        <v>152</v>
      </c>
      <c r="X68" s="7" t="s">
        <v>41</v>
      </c>
      <c r="Y68" s="7"/>
      <c r="Z68" s="7"/>
      <c r="AA68" s="7"/>
      <c r="AB68" s="7" t="s">
        <v>105</v>
      </c>
      <c r="AC68" s="7" t="s">
        <v>119</v>
      </c>
      <c r="AD68" s="7"/>
    </row>
    <row r="69" ht="15.75" customHeight="1">
      <c r="A69" s="7" t="s">
        <v>994</v>
      </c>
      <c r="B69" s="7" t="s">
        <v>995</v>
      </c>
      <c r="C69" s="7" t="s">
        <v>838</v>
      </c>
      <c r="D69" s="7" t="s">
        <v>996</v>
      </c>
      <c r="E69" s="7">
        <v>1.0</v>
      </c>
      <c r="F69" s="7" t="s">
        <v>163</v>
      </c>
      <c r="G69" s="7"/>
      <c r="H69" s="7"/>
      <c r="I69" s="7"/>
      <c r="J69" s="7"/>
      <c r="K69" s="7" t="s">
        <v>121</v>
      </c>
      <c r="L69" s="7" t="s">
        <v>121</v>
      </c>
      <c r="M69" s="7" t="s">
        <v>121</v>
      </c>
      <c r="N69" s="7" t="s">
        <v>167</v>
      </c>
      <c r="O69" s="7" t="s">
        <v>167</v>
      </c>
      <c r="P69" s="7" t="s">
        <v>167</v>
      </c>
      <c r="Q69" s="7" t="s">
        <v>167</v>
      </c>
      <c r="R69" s="7" t="s">
        <v>167</v>
      </c>
      <c r="S69" s="7"/>
      <c r="T69" s="7">
        <v>1.0</v>
      </c>
      <c r="U69" s="7" t="s">
        <v>170</v>
      </c>
      <c r="V69" s="7" t="s">
        <v>1000</v>
      </c>
      <c r="W69" s="7" t="s">
        <v>152</v>
      </c>
      <c r="X69" s="7" t="s">
        <v>170</v>
      </c>
      <c r="Y69" s="7" t="s">
        <v>172</v>
      </c>
      <c r="Z69" s="7"/>
      <c r="AA69" s="7"/>
      <c r="AB69" s="7"/>
      <c r="AC69" s="7"/>
      <c r="AD69" s="7"/>
    </row>
    <row r="70" ht="15.75" customHeight="1">
      <c r="A70" s="7" t="s">
        <v>1003</v>
      </c>
      <c r="B70" s="7" t="s">
        <v>1005</v>
      </c>
      <c r="C70" s="7" t="s">
        <v>838</v>
      </c>
      <c r="D70" s="7" t="s">
        <v>1006</v>
      </c>
      <c r="E70" s="7">
        <v>1.0</v>
      </c>
      <c r="F70" s="7" t="s">
        <v>1008</v>
      </c>
      <c r="G70" s="7" t="s">
        <v>137</v>
      </c>
      <c r="H70" s="7" t="s">
        <v>48</v>
      </c>
      <c r="I70" s="7"/>
      <c r="J70" s="7"/>
      <c r="K70" s="7" t="s">
        <v>139</v>
      </c>
      <c r="L70" s="7" t="s">
        <v>139</v>
      </c>
      <c r="M70" s="7" t="s">
        <v>121</v>
      </c>
      <c r="N70" s="7" t="s">
        <v>34</v>
      </c>
      <c r="O70" s="7" t="s">
        <v>143</v>
      </c>
      <c r="P70" s="7" t="s">
        <v>185</v>
      </c>
      <c r="Q70" s="7" t="s">
        <v>1012</v>
      </c>
      <c r="R70" s="7" t="s">
        <v>1014</v>
      </c>
      <c r="S70" s="7" t="s">
        <v>148</v>
      </c>
      <c r="T70" s="7">
        <v>1.0</v>
      </c>
      <c r="U70" s="7" t="s">
        <v>41</v>
      </c>
      <c r="V70" s="7"/>
      <c r="W70" s="7" t="s">
        <v>152</v>
      </c>
      <c r="X70" s="7" t="s">
        <v>41</v>
      </c>
      <c r="Y70" s="7"/>
      <c r="Z70" s="7" t="s">
        <v>139</v>
      </c>
      <c r="AA70" s="7"/>
      <c r="AB70" s="7" t="s">
        <v>138</v>
      </c>
      <c r="AC70" s="7" t="s">
        <v>59</v>
      </c>
      <c r="AD70" s="7"/>
    </row>
    <row r="71" ht="15.75" customHeight="1">
      <c r="A71" s="7" t="s">
        <v>1003</v>
      </c>
      <c r="B71" s="7" t="s">
        <v>1005</v>
      </c>
      <c r="C71" s="7" t="s">
        <v>838</v>
      </c>
      <c r="D71" s="7" t="s">
        <v>1006</v>
      </c>
      <c r="E71" s="7">
        <v>2.0</v>
      </c>
      <c r="F71" s="7" t="s">
        <v>1017</v>
      </c>
      <c r="G71" s="7" t="s">
        <v>137</v>
      </c>
      <c r="H71" s="7" t="s">
        <v>48</v>
      </c>
      <c r="I71" s="7"/>
      <c r="J71" s="7"/>
      <c r="K71" s="7" t="s">
        <v>139</v>
      </c>
      <c r="L71" s="7" t="s">
        <v>139</v>
      </c>
      <c r="M71" s="7" t="s">
        <v>121</v>
      </c>
      <c r="N71" s="7" t="s">
        <v>34</v>
      </c>
      <c r="O71" s="7" t="s">
        <v>143</v>
      </c>
      <c r="P71" s="7" t="s">
        <v>185</v>
      </c>
      <c r="Q71" s="7" t="s">
        <v>1021</v>
      </c>
      <c r="R71" s="7" t="s">
        <v>1014</v>
      </c>
      <c r="S71" s="7" t="s">
        <v>148</v>
      </c>
      <c r="T71" s="7">
        <v>1.0</v>
      </c>
      <c r="U71" s="7" t="s">
        <v>41</v>
      </c>
      <c r="V71" s="7"/>
      <c r="W71" s="7" t="s">
        <v>152</v>
      </c>
      <c r="X71" s="7" t="s">
        <v>41</v>
      </c>
      <c r="Y71" s="7"/>
      <c r="Z71" s="7" t="s">
        <v>139</v>
      </c>
      <c r="AA71" s="7"/>
      <c r="AB71" s="7" t="s">
        <v>138</v>
      </c>
      <c r="AC71" s="7" t="s">
        <v>59</v>
      </c>
      <c r="AD71" s="7"/>
    </row>
    <row r="72" ht="15.75" customHeight="1">
      <c r="A72" s="7" t="s">
        <v>1003</v>
      </c>
      <c r="B72" s="7" t="s">
        <v>1005</v>
      </c>
      <c r="C72" s="7" t="s">
        <v>838</v>
      </c>
      <c r="D72" s="7" t="s">
        <v>1006</v>
      </c>
      <c r="E72" s="7">
        <v>3.0</v>
      </c>
      <c r="F72" s="7" t="s">
        <v>1025</v>
      </c>
      <c r="G72" s="7" t="s">
        <v>137</v>
      </c>
      <c r="H72" s="7" t="s">
        <v>48</v>
      </c>
      <c r="I72" s="7"/>
      <c r="J72" s="7"/>
      <c r="K72" s="7" t="s">
        <v>139</v>
      </c>
      <c r="L72" s="7" t="s">
        <v>139</v>
      </c>
      <c r="M72" s="7" t="s">
        <v>121</v>
      </c>
      <c r="N72" s="7" t="s">
        <v>34</v>
      </c>
      <c r="O72" s="7" t="s">
        <v>143</v>
      </c>
      <c r="P72" s="7" t="s">
        <v>185</v>
      </c>
      <c r="Q72" s="7" t="s">
        <v>1027</v>
      </c>
      <c r="R72" s="7" t="s">
        <v>1014</v>
      </c>
      <c r="S72" s="7" t="s">
        <v>188</v>
      </c>
      <c r="T72" s="7">
        <v>1.0</v>
      </c>
      <c r="U72" s="7" t="s">
        <v>41</v>
      </c>
      <c r="V72" s="7"/>
      <c r="W72" s="7" t="s">
        <v>152</v>
      </c>
      <c r="X72" s="7" t="s">
        <v>41</v>
      </c>
      <c r="Y72" s="7"/>
      <c r="Z72" s="7" t="s">
        <v>139</v>
      </c>
      <c r="AA72" s="7"/>
      <c r="AB72" s="7" t="s">
        <v>138</v>
      </c>
      <c r="AC72" s="7" t="s">
        <v>59</v>
      </c>
      <c r="AD72" s="7"/>
    </row>
    <row r="73" ht="15.75" customHeight="1">
      <c r="A73" s="7" t="s">
        <v>1030</v>
      </c>
      <c r="B73" s="7" t="s">
        <v>1031</v>
      </c>
      <c r="C73" s="7" t="s">
        <v>838</v>
      </c>
      <c r="D73" s="7" t="s">
        <v>1033</v>
      </c>
      <c r="E73" s="7">
        <v>1.0</v>
      </c>
      <c r="F73" s="7" t="s">
        <v>1034</v>
      </c>
      <c r="G73" s="7" t="s">
        <v>1035</v>
      </c>
      <c r="H73" s="7" t="s">
        <v>238</v>
      </c>
      <c r="I73" s="7"/>
      <c r="J73" s="7"/>
      <c r="K73" s="7" t="s">
        <v>139</v>
      </c>
      <c r="L73" s="7" t="s">
        <v>139</v>
      </c>
      <c r="M73" s="7" t="s">
        <v>121</v>
      </c>
      <c r="N73" s="7" t="s">
        <v>34</v>
      </c>
      <c r="O73" s="7" t="s">
        <v>143</v>
      </c>
      <c r="P73" s="7" t="s">
        <v>185</v>
      </c>
      <c r="Q73" s="7" t="s">
        <v>1038</v>
      </c>
      <c r="R73" s="7" t="s">
        <v>1039</v>
      </c>
      <c r="S73" s="7" t="s">
        <v>148</v>
      </c>
      <c r="T73" s="7">
        <v>1.0</v>
      </c>
      <c r="U73" s="7" t="s">
        <v>41</v>
      </c>
      <c r="V73" s="7"/>
      <c r="W73" s="7" t="s">
        <v>152</v>
      </c>
      <c r="X73" s="7" t="s">
        <v>41</v>
      </c>
      <c r="Y73" s="7"/>
      <c r="Z73" s="7" t="s">
        <v>139</v>
      </c>
      <c r="AA73" s="7"/>
      <c r="AB73" s="7" t="s">
        <v>138</v>
      </c>
      <c r="AC73" s="7" t="s">
        <v>538</v>
      </c>
      <c r="AD73" s="7"/>
    </row>
    <row r="74" ht="15.75" customHeight="1">
      <c r="A74" s="7" t="s">
        <v>1030</v>
      </c>
      <c r="B74" s="7" t="s">
        <v>1031</v>
      </c>
      <c r="C74" s="7" t="s">
        <v>838</v>
      </c>
      <c r="D74" s="7" t="s">
        <v>1033</v>
      </c>
      <c r="E74" s="7">
        <v>2.0</v>
      </c>
      <c r="F74" s="7" t="s">
        <v>1042</v>
      </c>
      <c r="G74" s="7" t="s">
        <v>137</v>
      </c>
      <c r="H74" s="7" t="s">
        <v>329</v>
      </c>
      <c r="I74" s="7"/>
      <c r="J74" s="7"/>
      <c r="K74" s="7" t="s">
        <v>139</v>
      </c>
      <c r="L74" s="7" t="s">
        <v>139</v>
      </c>
      <c r="M74" s="7" t="s">
        <v>121</v>
      </c>
      <c r="N74" s="7" t="s">
        <v>34</v>
      </c>
      <c r="O74" s="7" t="s">
        <v>143</v>
      </c>
      <c r="P74" s="7" t="s">
        <v>185</v>
      </c>
      <c r="Q74" s="7" t="s">
        <v>1046</v>
      </c>
      <c r="R74" s="7" t="s">
        <v>1047</v>
      </c>
      <c r="S74" s="7" t="s">
        <v>148</v>
      </c>
      <c r="T74" s="7">
        <v>1.0</v>
      </c>
      <c r="U74" s="7" t="s">
        <v>41</v>
      </c>
      <c r="V74" s="7"/>
      <c r="W74" s="7" t="s">
        <v>152</v>
      </c>
      <c r="X74" s="7" t="s">
        <v>41</v>
      </c>
      <c r="Y74" s="7"/>
      <c r="Z74" s="7" t="s">
        <v>139</v>
      </c>
      <c r="AA74" s="7"/>
      <c r="AB74" s="7" t="s">
        <v>138</v>
      </c>
      <c r="AC74" s="7" t="s">
        <v>540</v>
      </c>
      <c r="AD74" s="7"/>
    </row>
    <row r="75" ht="15.75" customHeight="1">
      <c r="A75" s="7" t="s">
        <v>1030</v>
      </c>
      <c r="B75" s="7" t="s">
        <v>1031</v>
      </c>
      <c r="C75" s="7" t="s">
        <v>838</v>
      </c>
      <c r="D75" s="7" t="s">
        <v>1033</v>
      </c>
      <c r="E75" s="7">
        <v>3.0</v>
      </c>
      <c r="F75" s="7" t="s">
        <v>1052</v>
      </c>
      <c r="G75" s="7" t="s">
        <v>137</v>
      </c>
      <c r="H75" s="7" t="s">
        <v>329</v>
      </c>
      <c r="I75" s="7"/>
      <c r="J75" s="7"/>
      <c r="K75" s="7" t="s">
        <v>139</v>
      </c>
      <c r="L75" s="7" t="s">
        <v>139</v>
      </c>
      <c r="M75" s="7" t="s">
        <v>121</v>
      </c>
      <c r="N75" s="7" t="s">
        <v>142</v>
      </c>
      <c r="O75" s="7" t="s">
        <v>143</v>
      </c>
      <c r="P75" s="7" t="s">
        <v>162</v>
      </c>
      <c r="Q75" s="7" t="s">
        <v>1055</v>
      </c>
      <c r="R75" s="7" t="s">
        <v>1056</v>
      </c>
      <c r="S75" s="7" t="s">
        <v>148</v>
      </c>
      <c r="T75" s="7">
        <v>1.0</v>
      </c>
      <c r="U75" s="7" t="s">
        <v>41</v>
      </c>
      <c r="V75" s="7"/>
      <c r="W75" s="7" t="s">
        <v>152</v>
      </c>
      <c r="X75" s="7" t="s">
        <v>41</v>
      </c>
      <c r="Y75" s="7"/>
      <c r="Z75" s="7" t="s">
        <v>139</v>
      </c>
      <c r="AA75" s="7"/>
      <c r="AB75" s="7" t="s">
        <v>138</v>
      </c>
      <c r="AC75" s="7" t="s">
        <v>540</v>
      </c>
      <c r="AD75" s="7"/>
    </row>
    <row r="76" ht="15.75" customHeight="1">
      <c r="A76" s="7" t="s">
        <v>1030</v>
      </c>
      <c r="B76" s="7" t="s">
        <v>1031</v>
      </c>
      <c r="C76" s="7" t="s">
        <v>838</v>
      </c>
      <c r="D76" s="7" t="s">
        <v>1033</v>
      </c>
      <c r="E76" s="7">
        <v>4.0</v>
      </c>
      <c r="F76" s="7" t="s">
        <v>1060</v>
      </c>
      <c r="G76" s="7" t="s">
        <v>137</v>
      </c>
      <c r="H76" s="7" t="s">
        <v>100</v>
      </c>
      <c r="I76" s="7"/>
      <c r="J76" s="7"/>
      <c r="K76" s="7" t="s">
        <v>139</v>
      </c>
      <c r="L76" s="7" t="s">
        <v>139</v>
      </c>
      <c r="M76" s="7" t="s">
        <v>121</v>
      </c>
      <c r="N76" s="7" t="s">
        <v>34</v>
      </c>
      <c r="O76" s="7" t="s">
        <v>623</v>
      </c>
      <c r="P76" s="7" t="s">
        <v>37</v>
      </c>
      <c r="Q76" s="7" t="s">
        <v>1062</v>
      </c>
      <c r="R76" s="7" t="s">
        <v>1063</v>
      </c>
      <c r="S76" s="7" t="s">
        <v>148</v>
      </c>
      <c r="T76" s="7">
        <v>1.0</v>
      </c>
      <c r="U76" s="7" t="s">
        <v>41</v>
      </c>
      <c r="V76" s="7"/>
      <c r="W76" s="7" t="s">
        <v>152</v>
      </c>
      <c r="X76" s="7" t="s">
        <v>41</v>
      </c>
      <c r="Y76" s="7"/>
      <c r="Z76" s="7" t="s">
        <v>139</v>
      </c>
      <c r="AA76" s="7"/>
      <c r="AB76" s="7" t="s">
        <v>138</v>
      </c>
      <c r="AC76" s="7" t="s">
        <v>106</v>
      </c>
      <c r="AD76" s="7"/>
    </row>
    <row r="77" ht="15.75" customHeight="1">
      <c r="A77" s="7" t="s">
        <v>1030</v>
      </c>
      <c r="B77" s="7" t="s">
        <v>1031</v>
      </c>
      <c r="C77" s="7" t="s">
        <v>838</v>
      </c>
      <c r="D77" s="7" t="s">
        <v>1033</v>
      </c>
      <c r="E77" s="7">
        <v>5.0</v>
      </c>
      <c r="F77" s="7" t="s">
        <v>1067</v>
      </c>
      <c r="G77" s="7" t="s">
        <v>137</v>
      </c>
      <c r="H77" s="7" t="s">
        <v>329</v>
      </c>
      <c r="I77" s="7"/>
      <c r="J77" s="7"/>
      <c r="K77" s="7" t="s">
        <v>139</v>
      </c>
      <c r="L77" s="7" t="s">
        <v>139</v>
      </c>
      <c r="M77" s="7" t="s">
        <v>121</v>
      </c>
      <c r="N77" s="7" t="s">
        <v>34</v>
      </c>
      <c r="O77" s="7" t="s">
        <v>1069</v>
      </c>
      <c r="P77" s="7" t="s">
        <v>1070</v>
      </c>
      <c r="Q77" s="7" t="s">
        <v>1072</v>
      </c>
      <c r="R77" s="7" t="s">
        <v>1063</v>
      </c>
      <c r="S77" s="7" t="s">
        <v>148</v>
      </c>
      <c r="T77" s="7">
        <v>1.0</v>
      </c>
      <c r="U77" s="7" t="s">
        <v>41</v>
      </c>
      <c r="V77" s="7"/>
      <c r="W77" s="7" t="s">
        <v>152</v>
      </c>
      <c r="X77" s="7" t="s">
        <v>41</v>
      </c>
      <c r="Y77" s="7"/>
      <c r="Z77" s="7" t="s">
        <v>139</v>
      </c>
      <c r="AA77" s="7"/>
      <c r="AB77" s="7" t="s">
        <v>138</v>
      </c>
      <c r="AC77" s="7" t="s">
        <v>540</v>
      </c>
      <c r="AD77" s="7"/>
    </row>
    <row r="78" ht="15.75" customHeight="1">
      <c r="A78" s="7" t="s">
        <v>1030</v>
      </c>
      <c r="B78" s="7" t="s">
        <v>1031</v>
      </c>
      <c r="C78" s="7" t="s">
        <v>838</v>
      </c>
      <c r="D78" s="7" t="s">
        <v>1033</v>
      </c>
      <c r="E78" s="7">
        <v>6.0</v>
      </c>
      <c r="F78" s="7" t="s">
        <v>1076</v>
      </c>
      <c r="G78" s="7" t="s">
        <v>137</v>
      </c>
      <c r="H78" s="7" t="s">
        <v>329</v>
      </c>
      <c r="I78" s="7" t="s">
        <v>952</v>
      </c>
      <c r="J78" s="7" t="s">
        <v>396</v>
      </c>
      <c r="K78" s="7" t="s">
        <v>260</v>
      </c>
      <c r="L78" s="7" t="s">
        <v>261</v>
      </c>
      <c r="M78" s="7" t="s">
        <v>182</v>
      </c>
      <c r="N78" s="7" t="s">
        <v>142</v>
      </c>
      <c r="O78" s="7" t="s">
        <v>1078</v>
      </c>
      <c r="P78" s="7" t="s">
        <v>167</v>
      </c>
      <c r="Q78" s="7" t="s">
        <v>1079</v>
      </c>
      <c r="R78" s="7" t="s">
        <v>1080</v>
      </c>
      <c r="S78" s="7" t="s">
        <v>148</v>
      </c>
      <c r="T78" s="7">
        <v>1.0</v>
      </c>
      <c r="U78" s="7" t="s">
        <v>41</v>
      </c>
      <c r="V78" s="7"/>
      <c r="W78" s="7" t="s">
        <v>152</v>
      </c>
      <c r="X78" s="7" t="s">
        <v>41</v>
      </c>
      <c r="Y78" s="7"/>
      <c r="Z78" s="7"/>
      <c r="AA78" s="7"/>
      <c r="AB78" s="7" t="s">
        <v>260</v>
      </c>
      <c r="AC78" s="7" t="s">
        <v>540</v>
      </c>
      <c r="AD78" s="7"/>
    </row>
    <row r="79" ht="15.75" customHeight="1">
      <c r="A79" s="7" t="s">
        <v>1030</v>
      </c>
      <c r="B79" s="7" t="s">
        <v>1031</v>
      </c>
      <c r="C79" s="7" t="s">
        <v>838</v>
      </c>
      <c r="D79" s="7" t="s">
        <v>1033</v>
      </c>
      <c r="E79" s="7">
        <v>7.0</v>
      </c>
      <c r="F79" s="7" t="s">
        <v>1083</v>
      </c>
      <c r="G79" s="7" t="s">
        <v>137</v>
      </c>
      <c r="H79" s="7" t="s">
        <v>329</v>
      </c>
      <c r="I79" s="7"/>
      <c r="J79" s="7"/>
      <c r="K79" s="7" t="s">
        <v>241</v>
      </c>
      <c r="L79" s="7" t="s">
        <v>243</v>
      </c>
      <c r="M79" s="7" t="s">
        <v>244</v>
      </c>
      <c r="N79" s="7" t="s">
        <v>34</v>
      </c>
      <c r="O79" s="7" t="s">
        <v>521</v>
      </c>
      <c r="P79" s="7" t="s">
        <v>247</v>
      </c>
      <c r="Q79" s="7" t="s">
        <v>1087</v>
      </c>
      <c r="R79" s="7" t="s">
        <v>1080</v>
      </c>
      <c r="S79" s="7" t="s">
        <v>188</v>
      </c>
      <c r="T79" s="7">
        <v>1.0</v>
      </c>
      <c r="U79" s="7" t="s">
        <v>41</v>
      </c>
      <c r="V79" s="7"/>
      <c r="W79" s="7" t="s">
        <v>152</v>
      </c>
      <c r="X79" s="7" t="s">
        <v>41</v>
      </c>
      <c r="Y79" s="7"/>
      <c r="Z79" s="7"/>
      <c r="AA79" s="7"/>
      <c r="AB79" s="7" t="s">
        <v>241</v>
      </c>
      <c r="AC79" s="7" t="s">
        <v>540</v>
      </c>
      <c r="AD79" s="7"/>
    </row>
    <row r="80" ht="15.75" customHeight="1">
      <c r="A80" s="7" t="s">
        <v>1090</v>
      </c>
      <c r="B80" s="7" t="s">
        <v>1091</v>
      </c>
      <c r="C80" s="7" t="s">
        <v>838</v>
      </c>
      <c r="D80" s="7" t="s">
        <v>1092</v>
      </c>
      <c r="E80" s="7">
        <v>1.0</v>
      </c>
      <c r="F80" s="7" t="s">
        <v>1093</v>
      </c>
      <c r="G80" s="7" t="s">
        <v>631</v>
      </c>
      <c r="H80" s="7"/>
      <c r="I80" s="7"/>
      <c r="J80" s="7"/>
      <c r="K80" s="7" t="s">
        <v>215</v>
      </c>
      <c r="L80" s="7" t="s">
        <v>209</v>
      </c>
      <c r="M80" s="7" t="s">
        <v>182</v>
      </c>
      <c r="N80" s="7" t="s">
        <v>34</v>
      </c>
      <c r="O80" s="7" t="s">
        <v>143</v>
      </c>
      <c r="P80" s="7" t="s">
        <v>162</v>
      </c>
      <c r="Q80" s="7" t="s">
        <v>1095</v>
      </c>
      <c r="R80" s="7" t="s">
        <v>1096</v>
      </c>
      <c r="S80" s="7" t="s">
        <v>148</v>
      </c>
      <c r="T80" s="7">
        <v>1.0</v>
      </c>
      <c r="U80" s="7" t="s">
        <v>41</v>
      </c>
      <c r="V80" s="7"/>
      <c r="W80" s="7" t="s">
        <v>152</v>
      </c>
      <c r="X80" s="7" t="s">
        <v>41</v>
      </c>
      <c r="Y80" s="7"/>
      <c r="Z80" s="7"/>
      <c r="AA80" s="7" t="s">
        <v>631</v>
      </c>
      <c r="AB80" s="7" t="s">
        <v>215</v>
      </c>
      <c r="AC80" s="7" t="s">
        <v>78</v>
      </c>
      <c r="AD80" s="7"/>
    </row>
    <row r="81" ht="15.75" customHeight="1">
      <c r="A81" s="7" t="s">
        <v>1090</v>
      </c>
      <c r="B81" s="7" t="s">
        <v>1091</v>
      </c>
      <c r="C81" s="7" t="s">
        <v>838</v>
      </c>
      <c r="D81" s="7" t="s">
        <v>1092</v>
      </c>
      <c r="E81" s="7">
        <v>2.0</v>
      </c>
      <c r="F81" s="7" t="s">
        <v>1099</v>
      </c>
      <c r="G81" s="7" t="s">
        <v>137</v>
      </c>
      <c r="H81" s="7" t="s">
        <v>48</v>
      </c>
      <c r="I81" s="7"/>
      <c r="J81" s="7"/>
      <c r="K81" s="7" t="s">
        <v>304</v>
      </c>
      <c r="L81" s="7" t="s">
        <v>307</v>
      </c>
      <c r="M81" s="7" t="s">
        <v>244</v>
      </c>
      <c r="N81" s="7" t="s">
        <v>34</v>
      </c>
      <c r="O81" s="7" t="s">
        <v>143</v>
      </c>
      <c r="P81" s="7" t="s">
        <v>162</v>
      </c>
      <c r="Q81" s="7" t="s">
        <v>1102</v>
      </c>
      <c r="R81" s="7" t="s">
        <v>1096</v>
      </c>
      <c r="S81" s="7" t="s">
        <v>188</v>
      </c>
      <c r="T81" s="7">
        <v>1.0</v>
      </c>
      <c r="U81" s="7" t="s">
        <v>41</v>
      </c>
      <c r="V81" s="7"/>
      <c r="W81" s="7" t="s">
        <v>152</v>
      </c>
      <c r="X81" s="7" t="s">
        <v>41</v>
      </c>
      <c r="Y81" s="7"/>
      <c r="Z81" s="7"/>
      <c r="AA81" s="7"/>
      <c r="AB81" s="7" t="s">
        <v>304</v>
      </c>
      <c r="AC81" s="7" t="s">
        <v>59</v>
      </c>
      <c r="AD81" s="7"/>
    </row>
    <row r="82" ht="15.75" customHeight="1">
      <c r="A82" s="7" t="s">
        <v>1090</v>
      </c>
      <c r="B82" s="7" t="s">
        <v>1091</v>
      </c>
      <c r="C82" s="7" t="s">
        <v>838</v>
      </c>
      <c r="D82" s="7" t="s">
        <v>1092</v>
      </c>
      <c r="E82" s="7">
        <v>3.0</v>
      </c>
      <c r="F82" s="7" t="s">
        <v>1106</v>
      </c>
      <c r="G82" s="7" t="s">
        <v>137</v>
      </c>
      <c r="H82" s="7" t="s">
        <v>48</v>
      </c>
      <c r="I82" s="7"/>
      <c r="J82" s="7"/>
      <c r="K82" s="7" t="s">
        <v>215</v>
      </c>
      <c r="L82" s="7" t="s">
        <v>209</v>
      </c>
      <c r="M82" s="7" t="s">
        <v>182</v>
      </c>
      <c r="N82" s="7" t="s">
        <v>34</v>
      </c>
      <c r="O82" s="7" t="s">
        <v>143</v>
      </c>
      <c r="P82" s="7" t="s">
        <v>162</v>
      </c>
      <c r="Q82" s="7" t="s">
        <v>1108</v>
      </c>
      <c r="R82" s="7" t="s">
        <v>1096</v>
      </c>
      <c r="S82" s="7" t="s">
        <v>188</v>
      </c>
      <c r="T82" s="7">
        <v>1.0</v>
      </c>
      <c r="U82" s="7" t="s">
        <v>41</v>
      </c>
      <c r="V82" s="7"/>
      <c r="W82" s="7" t="s">
        <v>152</v>
      </c>
      <c r="X82" s="7" t="s">
        <v>41</v>
      </c>
      <c r="Y82" s="7"/>
      <c r="Z82" s="7"/>
      <c r="AA82" s="7"/>
      <c r="AB82" s="7" t="s">
        <v>215</v>
      </c>
      <c r="AC82" s="7" t="s">
        <v>59</v>
      </c>
      <c r="AD82" s="7"/>
    </row>
    <row r="83" ht="15.75" customHeight="1">
      <c r="A83" s="7" t="s">
        <v>1090</v>
      </c>
      <c r="B83" s="7" t="s">
        <v>1091</v>
      </c>
      <c r="C83" s="7" t="s">
        <v>838</v>
      </c>
      <c r="D83" s="7" t="s">
        <v>1092</v>
      </c>
      <c r="E83" s="7">
        <v>4.0</v>
      </c>
      <c r="F83" s="7" t="s">
        <v>1112</v>
      </c>
      <c r="G83" s="7" t="s">
        <v>137</v>
      </c>
      <c r="H83" s="7" t="s">
        <v>48</v>
      </c>
      <c r="I83" s="7"/>
      <c r="J83" s="7"/>
      <c r="K83" s="7" t="s">
        <v>729</v>
      </c>
      <c r="L83" s="7" t="s">
        <v>725</v>
      </c>
      <c r="M83" s="7" t="s">
        <v>866</v>
      </c>
      <c r="N83" s="7" t="s">
        <v>34</v>
      </c>
      <c r="O83" s="7" t="s">
        <v>143</v>
      </c>
      <c r="P83" s="7" t="s">
        <v>162</v>
      </c>
      <c r="Q83" s="7" t="s">
        <v>1114</v>
      </c>
      <c r="R83" s="7" t="s">
        <v>1116</v>
      </c>
      <c r="S83" s="7" t="s">
        <v>188</v>
      </c>
      <c r="T83" s="7">
        <v>1.0</v>
      </c>
      <c r="U83" s="7" t="s">
        <v>41</v>
      </c>
      <c r="V83" s="7"/>
      <c r="W83" s="7" t="s">
        <v>152</v>
      </c>
      <c r="X83" s="7" t="s">
        <v>41</v>
      </c>
      <c r="Y83" s="7"/>
      <c r="Z83" s="7"/>
      <c r="AA83" s="7"/>
      <c r="AB83" s="7" t="s">
        <v>729</v>
      </c>
      <c r="AC83" s="7" t="s">
        <v>59</v>
      </c>
      <c r="AD83" s="7"/>
    </row>
    <row r="84" ht="15.75" customHeight="1">
      <c r="A84" s="7" t="s">
        <v>1118</v>
      </c>
      <c r="B84" s="7" t="s">
        <v>1119</v>
      </c>
      <c r="C84" s="7" t="s">
        <v>838</v>
      </c>
      <c r="D84" s="7" t="s">
        <v>1121</v>
      </c>
      <c r="E84" s="7">
        <v>1.0</v>
      </c>
      <c r="F84" s="7" t="s">
        <v>1122</v>
      </c>
      <c r="G84" s="7" t="s">
        <v>137</v>
      </c>
      <c r="H84" s="7" t="s">
        <v>48</v>
      </c>
      <c r="I84" s="7"/>
      <c r="J84" s="7"/>
      <c r="K84" s="7" t="s">
        <v>139</v>
      </c>
      <c r="L84" s="7" t="s">
        <v>139</v>
      </c>
      <c r="M84" s="7" t="s">
        <v>121</v>
      </c>
      <c r="N84" s="7" t="s">
        <v>34</v>
      </c>
      <c r="O84" s="7" t="s">
        <v>143</v>
      </c>
      <c r="P84" s="7" t="s">
        <v>185</v>
      </c>
      <c r="Q84" s="7" t="s">
        <v>1126</v>
      </c>
      <c r="R84" s="7" t="s">
        <v>515</v>
      </c>
      <c r="S84" s="7" t="s">
        <v>188</v>
      </c>
      <c r="T84" s="7">
        <v>1.0</v>
      </c>
      <c r="U84" s="7" t="s">
        <v>41</v>
      </c>
      <c r="V84" s="7"/>
      <c r="W84" s="7" t="s">
        <v>152</v>
      </c>
      <c r="X84" s="7" t="s">
        <v>41</v>
      </c>
      <c r="Y84" s="7"/>
      <c r="Z84" s="7" t="s">
        <v>139</v>
      </c>
      <c r="AA84" s="7"/>
      <c r="AB84" s="7" t="s">
        <v>138</v>
      </c>
      <c r="AC84" s="7" t="s">
        <v>59</v>
      </c>
      <c r="AD84" s="7"/>
    </row>
    <row r="85" ht="15.75" customHeight="1">
      <c r="A85" s="7" t="s">
        <v>1128</v>
      </c>
      <c r="B85" s="7" t="s">
        <v>1129</v>
      </c>
      <c r="C85" s="7" t="s">
        <v>838</v>
      </c>
      <c r="D85" s="7" t="s">
        <v>1131</v>
      </c>
      <c r="E85" s="7">
        <v>1.0</v>
      </c>
      <c r="F85" s="7" t="s">
        <v>1132</v>
      </c>
      <c r="G85" s="7" t="s">
        <v>137</v>
      </c>
      <c r="H85" s="7" t="s">
        <v>48</v>
      </c>
      <c r="I85" s="7"/>
      <c r="J85" s="7"/>
      <c r="K85" s="7" t="s">
        <v>121</v>
      </c>
      <c r="L85" s="7" t="s">
        <v>121</v>
      </c>
      <c r="M85" s="7" t="s">
        <v>121</v>
      </c>
      <c r="N85" s="7" t="s">
        <v>142</v>
      </c>
      <c r="O85" s="7" t="s">
        <v>143</v>
      </c>
      <c r="P85" s="7" t="s">
        <v>54</v>
      </c>
      <c r="Q85" s="7" t="s">
        <v>1138</v>
      </c>
      <c r="R85" s="7" t="s">
        <v>1139</v>
      </c>
      <c r="S85" s="7" t="s">
        <v>148</v>
      </c>
      <c r="T85" s="7">
        <v>1.0</v>
      </c>
      <c r="U85" s="7" t="s">
        <v>41</v>
      </c>
      <c r="V85" s="7"/>
      <c r="W85" s="7" t="s">
        <v>152</v>
      </c>
      <c r="X85" s="7" t="s">
        <v>41</v>
      </c>
      <c r="Y85" s="7"/>
      <c r="Z85" s="7" t="s">
        <v>121</v>
      </c>
      <c r="AA85" s="7"/>
      <c r="AB85" s="7" t="s">
        <v>138</v>
      </c>
      <c r="AC85" s="7" t="s">
        <v>59</v>
      </c>
      <c r="AD85" s="7"/>
    </row>
    <row r="86" ht="15.75" customHeight="1">
      <c r="A86" s="7" t="s">
        <v>1128</v>
      </c>
      <c r="B86" s="7" t="s">
        <v>1129</v>
      </c>
      <c r="C86" s="7" t="s">
        <v>838</v>
      </c>
      <c r="D86" s="7" t="s">
        <v>1131</v>
      </c>
      <c r="E86" s="7">
        <v>2.0</v>
      </c>
      <c r="F86" s="7" t="s">
        <v>1144</v>
      </c>
      <c r="G86" s="7" t="s">
        <v>137</v>
      </c>
      <c r="H86" s="7" t="s">
        <v>48</v>
      </c>
      <c r="I86" s="7"/>
      <c r="J86" s="7"/>
      <c r="K86" s="7" t="s">
        <v>121</v>
      </c>
      <c r="L86" s="7" t="s">
        <v>121</v>
      </c>
      <c r="M86" s="7" t="s">
        <v>121</v>
      </c>
      <c r="N86" s="7" t="s">
        <v>142</v>
      </c>
      <c r="O86" s="7" t="s">
        <v>143</v>
      </c>
      <c r="P86" s="7" t="s">
        <v>54</v>
      </c>
      <c r="Q86" s="7" t="s">
        <v>1148</v>
      </c>
      <c r="R86" s="7" t="s">
        <v>1149</v>
      </c>
      <c r="S86" s="7" t="s">
        <v>188</v>
      </c>
      <c r="T86" s="7">
        <v>1.0</v>
      </c>
      <c r="U86" s="7" t="s">
        <v>41</v>
      </c>
      <c r="V86" s="7"/>
      <c r="W86" s="7" t="s">
        <v>152</v>
      </c>
      <c r="X86" s="7" t="s">
        <v>41</v>
      </c>
      <c r="Y86" s="7"/>
      <c r="Z86" s="7" t="s">
        <v>121</v>
      </c>
      <c r="AA86" s="7"/>
      <c r="AB86" s="7" t="s">
        <v>138</v>
      </c>
      <c r="AC86" s="7" t="s">
        <v>59</v>
      </c>
      <c r="AD86" s="7"/>
    </row>
    <row r="87" ht="15.75" customHeight="1">
      <c r="A87" s="7" t="s">
        <v>1128</v>
      </c>
      <c r="B87" s="7" t="s">
        <v>1129</v>
      </c>
      <c r="C87" s="7" t="s">
        <v>838</v>
      </c>
      <c r="D87" s="7" t="s">
        <v>1131</v>
      </c>
      <c r="E87" s="7">
        <v>3.0</v>
      </c>
      <c r="F87" s="7" t="s">
        <v>1153</v>
      </c>
      <c r="G87" s="7" t="s">
        <v>137</v>
      </c>
      <c r="H87" s="7" t="s">
        <v>48</v>
      </c>
      <c r="I87" s="7"/>
      <c r="J87" s="7"/>
      <c r="K87" s="7" t="s">
        <v>105</v>
      </c>
      <c r="L87" s="7" t="s">
        <v>101</v>
      </c>
      <c r="M87" s="7" t="s">
        <v>182</v>
      </c>
      <c r="N87" s="7" t="s">
        <v>142</v>
      </c>
      <c r="O87" s="7" t="s">
        <v>143</v>
      </c>
      <c r="P87" s="7" t="s">
        <v>54</v>
      </c>
      <c r="Q87" s="7" t="s">
        <v>1155</v>
      </c>
      <c r="R87" s="7" t="s">
        <v>1156</v>
      </c>
      <c r="S87" s="7" t="s">
        <v>148</v>
      </c>
      <c r="T87" s="7">
        <v>1.0</v>
      </c>
      <c r="U87" s="7" t="s">
        <v>41</v>
      </c>
      <c r="V87" s="7"/>
      <c r="W87" s="7" t="s">
        <v>152</v>
      </c>
      <c r="X87" s="7" t="s">
        <v>41</v>
      </c>
      <c r="Y87" s="7"/>
      <c r="Z87" s="7"/>
      <c r="AA87" s="7"/>
      <c r="AB87" s="7" t="s">
        <v>105</v>
      </c>
      <c r="AC87" s="7" t="s">
        <v>59</v>
      </c>
      <c r="AD87" s="7"/>
    </row>
    <row r="88" ht="15.75" customHeight="1">
      <c r="A88" s="7" t="s">
        <v>1128</v>
      </c>
      <c r="B88" s="7" t="s">
        <v>1129</v>
      </c>
      <c r="C88" s="7" t="s">
        <v>838</v>
      </c>
      <c r="D88" s="7" t="s">
        <v>1131</v>
      </c>
      <c r="E88" s="7">
        <v>4.0</v>
      </c>
      <c r="F88" s="7" t="s">
        <v>1161</v>
      </c>
      <c r="G88" s="7" t="s">
        <v>1162</v>
      </c>
      <c r="H88" s="7" t="s">
        <v>156</v>
      </c>
      <c r="I88" s="7"/>
      <c r="J88" s="7"/>
      <c r="K88" s="7" t="s">
        <v>121</v>
      </c>
      <c r="L88" s="7" t="s">
        <v>121</v>
      </c>
      <c r="M88" s="7" t="s">
        <v>121</v>
      </c>
      <c r="N88" s="7" t="s">
        <v>142</v>
      </c>
      <c r="O88" s="7" t="s">
        <v>143</v>
      </c>
      <c r="P88" s="7" t="s">
        <v>54</v>
      </c>
      <c r="Q88" s="7" t="s">
        <v>1166</v>
      </c>
      <c r="R88" s="7" t="s">
        <v>1167</v>
      </c>
      <c r="S88" s="7" t="s">
        <v>188</v>
      </c>
      <c r="T88" s="7">
        <v>1.0</v>
      </c>
      <c r="U88" s="7" t="s">
        <v>41</v>
      </c>
      <c r="V88" s="7"/>
      <c r="W88" s="7" t="s">
        <v>152</v>
      </c>
      <c r="X88" s="7" t="s">
        <v>41</v>
      </c>
      <c r="Y88" s="7"/>
      <c r="Z88" s="7" t="s">
        <v>121</v>
      </c>
      <c r="AA88" s="7"/>
      <c r="AB88" s="7" t="s">
        <v>138</v>
      </c>
      <c r="AC88" s="7" t="s">
        <v>168</v>
      </c>
      <c r="AD88" s="7"/>
    </row>
    <row r="89" ht="15.75" customHeight="1">
      <c r="A89" s="7" t="s">
        <v>1128</v>
      </c>
      <c r="B89" s="7" t="s">
        <v>1129</v>
      </c>
      <c r="C89" s="7" t="s">
        <v>838</v>
      </c>
      <c r="D89" s="7" t="s">
        <v>1131</v>
      </c>
      <c r="E89" s="7">
        <v>5.0</v>
      </c>
      <c r="F89" s="7" t="s">
        <v>1171</v>
      </c>
      <c r="G89" s="7" t="s">
        <v>137</v>
      </c>
      <c r="H89" s="7" t="s">
        <v>100</v>
      </c>
      <c r="I89" s="7"/>
      <c r="J89" s="7"/>
      <c r="K89" s="7" t="s">
        <v>121</v>
      </c>
      <c r="L89" s="7" t="s">
        <v>121</v>
      </c>
      <c r="M89" s="7" t="s">
        <v>121</v>
      </c>
      <c r="N89" s="7" t="s">
        <v>142</v>
      </c>
      <c r="O89" s="7" t="s">
        <v>143</v>
      </c>
      <c r="P89" s="7" t="s">
        <v>54</v>
      </c>
      <c r="Q89" s="7" t="s">
        <v>1174</v>
      </c>
      <c r="R89" s="7" t="s">
        <v>1156</v>
      </c>
      <c r="S89" s="7" t="s">
        <v>148</v>
      </c>
      <c r="T89" s="7">
        <v>1.0</v>
      </c>
      <c r="U89" s="7" t="s">
        <v>41</v>
      </c>
      <c r="V89" s="7"/>
      <c r="W89" s="7" t="s">
        <v>152</v>
      </c>
      <c r="X89" s="7" t="s">
        <v>41</v>
      </c>
      <c r="Y89" s="7"/>
      <c r="Z89" s="7" t="s">
        <v>121</v>
      </c>
      <c r="AA89" s="7"/>
      <c r="AB89" s="7" t="s">
        <v>138</v>
      </c>
      <c r="AC89" s="7" t="s">
        <v>106</v>
      </c>
      <c r="AD89" s="7"/>
    </row>
    <row r="90" ht="15.75" customHeight="1">
      <c r="A90" s="7" t="s">
        <v>1177</v>
      </c>
      <c r="B90" s="7" t="s">
        <v>1178</v>
      </c>
      <c r="C90" s="7" t="s">
        <v>838</v>
      </c>
      <c r="D90" s="7" t="s">
        <v>1179</v>
      </c>
      <c r="E90" s="7">
        <v>1.0</v>
      </c>
      <c r="F90" s="7" t="s">
        <v>1180</v>
      </c>
      <c r="G90" s="7" t="s">
        <v>137</v>
      </c>
      <c r="H90" s="7" t="s">
        <v>100</v>
      </c>
      <c r="I90" s="7"/>
      <c r="J90" s="7"/>
      <c r="K90" s="7" t="s">
        <v>215</v>
      </c>
      <c r="L90" s="7" t="s">
        <v>209</v>
      </c>
      <c r="M90" s="7" t="s">
        <v>182</v>
      </c>
      <c r="N90" s="7" t="s">
        <v>34</v>
      </c>
      <c r="O90" s="7" t="s">
        <v>143</v>
      </c>
      <c r="P90" s="7" t="s">
        <v>162</v>
      </c>
      <c r="Q90" s="7" t="s">
        <v>1182</v>
      </c>
      <c r="R90" s="7" t="s">
        <v>1183</v>
      </c>
      <c r="S90" s="7" t="s">
        <v>188</v>
      </c>
      <c r="T90" s="7">
        <v>1.0</v>
      </c>
      <c r="U90" s="7" t="s">
        <v>41</v>
      </c>
      <c r="V90" s="7"/>
      <c r="W90" s="7" t="s">
        <v>152</v>
      </c>
      <c r="X90" s="7" t="s">
        <v>41</v>
      </c>
      <c r="Y90" s="7"/>
      <c r="Z90" s="7"/>
      <c r="AA90" s="7"/>
      <c r="AB90" s="7" t="s">
        <v>215</v>
      </c>
      <c r="AC90" s="7" t="s">
        <v>106</v>
      </c>
      <c r="AD90" s="7"/>
    </row>
    <row r="91" ht="15.75" customHeight="1">
      <c r="A91" s="7" t="s">
        <v>1177</v>
      </c>
      <c r="B91" s="7" t="s">
        <v>1178</v>
      </c>
      <c r="C91" s="7" t="s">
        <v>838</v>
      </c>
      <c r="D91" s="7" t="s">
        <v>1179</v>
      </c>
      <c r="E91" s="7">
        <v>2.0</v>
      </c>
      <c r="F91" s="7" t="s">
        <v>1187</v>
      </c>
      <c r="G91" s="7" t="s">
        <v>137</v>
      </c>
      <c r="H91" s="7" t="s">
        <v>48</v>
      </c>
      <c r="I91" s="7"/>
      <c r="J91" s="7"/>
      <c r="K91" s="7" t="s">
        <v>121</v>
      </c>
      <c r="L91" s="7" t="s">
        <v>121</v>
      </c>
      <c r="M91" s="7" t="s">
        <v>121</v>
      </c>
      <c r="N91" s="7" t="s">
        <v>34</v>
      </c>
      <c r="O91" s="7" t="s">
        <v>143</v>
      </c>
      <c r="P91" s="7" t="s">
        <v>162</v>
      </c>
      <c r="Q91" s="7" t="s">
        <v>1189</v>
      </c>
      <c r="R91" s="7" t="s">
        <v>1191</v>
      </c>
      <c r="S91" s="7" t="s">
        <v>188</v>
      </c>
      <c r="T91" s="7">
        <v>1.0</v>
      </c>
      <c r="U91" s="7" t="s">
        <v>41</v>
      </c>
      <c r="V91" s="7"/>
      <c r="W91" s="7" t="s">
        <v>152</v>
      </c>
      <c r="X91" s="7" t="s">
        <v>41</v>
      </c>
      <c r="Y91" s="7"/>
      <c r="Z91" s="7" t="s">
        <v>121</v>
      </c>
      <c r="AA91" s="7"/>
      <c r="AB91" s="7" t="s">
        <v>138</v>
      </c>
      <c r="AC91" s="7" t="s">
        <v>59</v>
      </c>
      <c r="AD91" s="7"/>
    </row>
    <row r="92" ht="15.75" customHeight="1">
      <c r="A92" s="7" t="s">
        <v>1177</v>
      </c>
      <c r="B92" s="7" t="s">
        <v>1178</v>
      </c>
      <c r="C92" s="7" t="s">
        <v>838</v>
      </c>
      <c r="D92" s="7" t="s">
        <v>1179</v>
      </c>
      <c r="E92" s="7">
        <v>3.0</v>
      </c>
      <c r="F92" s="7" t="s">
        <v>1195</v>
      </c>
      <c r="G92" s="7" t="s">
        <v>137</v>
      </c>
      <c r="H92" s="7" t="s">
        <v>110</v>
      </c>
      <c r="I92" s="7"/>
      <c r="J92" s="7"/>
      <c r="K92" s="7" t="s">
        <v>121</v>
      </c>
      <c r="L92" s="7" t="s">
        <v>121</v>
      </c>
      <c r="M92" s="7" t="s">
        <v>121</v>
      </c>
      <c r="N92" s="7" t="s">
        <v>34</v>
      </c>
      <c r="O92" s="7" t="s">
        <v>143</v>
      </c>
      <c r="P92" s="7" t="s">
        <v>162</v>
      </c>
      <c r="Q92" s="7" t="s">
        <v>1198</v>
      </c>
      <c r="R92" s="7" t="s">
        <v>1199</v>
      </c>
      <c r="S92" s="7" t="s">
        <v>188</v>
      </c>
      <c r="T92" s="7">
        <v>1.0</v>
      </c>
      <c r="U92" s="7" t="s">
        <v>41</v>
      </c>
      <c r="V92" s="7"/>
      <c r="W92" s="7" t="s">
        <v>152</v>
      </c>
      <c r="X92" s="7" t="s">
        <v>41</v>
      </c>
      <c r="Y92" s="7"/>
      <c r="Z92" s="7" t="s">
        <v>121</v>
      </c>
      <c r="AA92" s="7"/>
      <c r="AB92" s="7" t="s">
        <v>138</v>
      </c>
      <c r="AC92" s="7" t="s">
        <v>119</v>
      </c>
      <c r="AD92" s="7"/>
    </row>
    <row r="93" ht="15.75" customHeight="1">
      <c r="A93" s="7" t="s">
        <v>1177</v>
      </c>
      <c r="B93" s="7" t="s">
        <v>1178</v>
      </c>
      <c r="C93" s="7" t="s">
        <v>838</v>
      </c>
      <c r="D93" s="7" t="s">
        <v>1179</v>
      </c>
      <c r="E93" s="7">
        <v>4.0</v>
      </c>
      <c r="F93" s="7" t="s">
        <v>1203</v>
      </c>
      <c r="G93" s="7" t="s">
        <v>137</v>
      </c>
      <c r="H93" s="7" t="s">
        <v>100</v>
      </c>
      <c r="I93" s="7"/>
      <c r="J93" s="7"/>
      <c r="K93" s="7" t="s">
        <v>121</v>
      </c>
      <c r="L93" s="7" t="s">
        <v>121</v>
      </c>
      <c r="M93" s="7" t="s">
        <v>121</v>
      </c>
      <c r="N93" s="7" t="s">
        <v>34</v>
      </c>
      <c r="O93" s="7" t="s">
        <v>143</v>
      </c>
      <c r="P93" s="7" t="s">
        <v>162</v>
      </c>
      <c r="Q93" s="7" t="s">
        <v>1207</v>
      </c>
      <c r="R93" s="7" t="s">
        <v>1199</v>
      </c>
      <c r="S93" s="7" t="s">
        <v>188</v>
      </c>
      <c r="T93" s="7">
        <v>1.0</v>
      </c>
      <c r="U93" s="7" t="s">
        <v>41</v>
      </c>
      <c r="V93" s="7"/>
      <c r="W93" s="7" t="s">
        <v>152</v>
      </c>
      <c r="X93" s="7" t="s">
        <v>41</v>
      </c>
      <c r="Y93" s="7"/>
      <c r="Z93" s="7" t="s">
        <v>121</v>
      </c>
      <c r="AA93" s="7"/>
      <c r="AB93" s="7" t="s">
        <v>138</v>
      </c>
      <c r="AC93" s="7" t="s">
        <v>106</v>
      </c>
      <c r="AD93" s="7"/>
    </row>
    <row r="94" ht="15.75" customHeight="1">
      <c r="A94" s="7" t="s">
        <v>1177</v>
      </c>
      <c r="B94" s="7" t="s">
        <v>1178</v>
      </c>
      <c r="C94" s="7" t="s">
        <v>838</v>
      </c>
      <c r="D94" s="7" t="s">
        <v>1179</v>
      </c>
      <c r="E94" s="7">
        <v>5.0</v>
      </c>
      <c r="F94" s="7" t="s">
        <v>1212</v>
      </c>
      <c r="G94" s="7" t="s">
        <v>137</v>
      </c>
      <c r="H94" s="7" t="s">
        <v>329</v>
      </c>
      <c r="I94" s="7"/>
      <c r="J94" s="7"/>
      <c r="K94" s="7" t="s">
        <v>729</v>
      </c>
      <c r="L94" s="7" t="s">
        <v>725</v>
      </c>
      <c r="M94" s="7" t="s">
        <v>866</v>
      </c>
      <c r="N94" s="7" t="s">
        <v>34</v>
      </c>
      <c r="O94" s="7" t="s">
        <v>143</v>
      </c>
      <c r="P94" s="7" t="s">
        <v>162</v>
      </c>
      <c r="Q94" s="7" t="s">
        <v>1214</v>
      </c>
      <c r="R94" s="7" t="s">
        <v>1183</v>
      </c>
      <c r="S94" s="7" t="s">
        <v>188</v>
      </c>
      <c r="T94" s="7">
        <v>1.0</v>
      </c>
      <c r="U94" s="7" t="s">
        <v>41</v>
      </c>
      <c r="V94" s="7"/>
      <c r="W94" s="7" t="s">
        <v>152</v>
      </c>
      <c r="X94" s="7" t="s">
        <v>41</v>
      </c>
      <c r="Y94" s="7"/>
      <c r="Z94" s="7"/>
      <c r="AA94" s="7"/>
      <c r="AB94" s="7" t="s">
        <v>729</v>
      </c>
      <c r="AC94" s="7" t="s">
        <v>540</v>
      </c>
      <c r="AD94" s="7"/>
    </row>
    <row r="95" ht="15.75" customHeight="1">
      <c r="A95" s="7" t="s">
        <v>1217</v>
      </c>
      <c r="B95" s="7" t="s">
        <v>1218</v>
      </c>
      <c r="C95" s="7" t="s">
        <v>838</v>
      </c>
      <c r="D95" s="7" t="s">
        <v>1220</v>
      </c>
      <c r="E95" s="7">
        <v>1.0</v>
      </c>
      <c r="F95" s="7" t="s">
        <v>1221</v>
      </c>
      <c r="G95" s="7" t="s">
        <v>631</v>
      </c>
      <c r="H95" s="7"/>
      <c r="I95" s="7"/>
      <c r="J95" s="7"/>
      <c r="K95" s="7" t="s">
        <v>767</v>
      </c>
      <c r="L95" s="7" t="s">
        <v>762</v>
      </c>
      <c r="M95" s="7" t="s">
        <v>244</v>
      </c>
      <c r="N95" s="7" t="s">
        <v>34</v>
      </c>
      <c r="O95" s="7" t="s">
        <v>143</v>
      </c>
      <c r="P95" s="7" t="s">
        <v>185</v>
      </c>
      <c r="Q95" s="7" t="s">
        <v>1225</v>
      </c>
      <c r="R95" s="7" t="s">
        <v>1226</v>
      </c>
      <c r="S95" s="7" t="s">
        <v>148</v>
      </c>
      <c r="T95" s="7">
        <v>1.0</v>
      </c>
      <c r="U95" s="7" t="s">
        <v>41</v>
      </c>
      <c r="V95" s="7"/>
      <c r="W95" s="7" t="s">
        <v>152</v>
      </c>
      <c r="X95" s="7" t="s">
        <v>41</v>
      </c>
      <c r="Y95" s="7"/>
      <c r="Z95" s="7"/>
      <c r="AA95" s="7" t="s">
        <v>631</v>
      </c>
      <c r="AB95" s="7" t="s">
        <v>767</v>
      </c>
      <c r="AC95" s="7" t="s">
        <v>78</v>
      </c>
      <c r="AD95" s="7"/>
    </row>
    <row r="96" ht="15.75" customHeight="1">
      <c r="A96" s="7" t="s">
        <v>1228</v>
      </c>
      <c r="B96" s="7" t="s">
        <v>1230</v>
      </c>
      <c r="C96" s="7" t="s">
        <v>1231</v>
      </c>
      <c r="D96" s="7" t="s">
        <v>1233</v>
      </c>
      <c r="E96" s="7">
        <v>1.0</v>
      </c>
      <c r="F96" s="7" t="s">
        <v>1235</v>
      </c>
      <c r="G96" s="7" t="s">
        <v>137</v>
      </c>
      <c r="H96" s="7" t="s">
        <v>48</v>
      </c>
      <c r="I96" s="7"/>
      <c r="J96" s="7"/>
      <c r="K96" s="7" t="s">
        <v>241</v>
      </c>
      <c r="L96" s="7" t="s">
        <v>243</v>
      </c>
      <c r="M96" s="7" t="s">
        <v>244</v>
      </c>
      <c r="N96" s="7" t="s">
        <v>142</v>
      </c>
      <c r="O96" s="7" t="s">
        <v>143</v>
      </c>
      <c r="P96" s="7" t="s">
        <v>54</v>
      </c>
      <c r="Q96" s="7" t="s">
        <v>1237</v>
      </c>
      <c r="R96" s="7" t="s">
        <v>1238</v>
      </c>
      <c r="S96" s="7" t="s">
        <v>188</v>
      </c>
      <c r="T96" s="7">
        <v>1.0</v>
      </c>
      <c r="U96" s="7" t="s">
        <v>41</v>
      </c>
      <c r="V96" s="7"/>
      <c r="W96" s="7" t="s">
        <v>152</v>
      </c>
      <c r="X96" s="7" t="s">
        <v>41</v>
      </c>
      <c r="Y96" s="7"/>
      <c r="Z96" s="7"/>
      <c r="AA96" s="7"/>
      <c r="AB96" s="7" t="s">
        <v>241</v>
      </c>
      <c r="AC96" s="7" t="s">
        <v>59</v>
      </c>
      <c r="AD96" s="7"/>
    </row>
    <row r="97" ht="15.75" customHeight="1">
      <c r="A97" s="7" t="s">
        <v>1228</v>
      </c>
      <c r="B97" s="7" t="s">
        <v>1230</v>
      </c>
      <c r="C97" s="7" t="s">
        <v>1231</v>
      </c>
      <c r="D97" s="7" t="s">
        <v>1233</v>
      </c>
      <c r="E97" s="7">
        <v>2.0</v>
      </c>
      <c r="F97" s="7" t="s">
        <v>1243</v>
      </c>
      <c r="G97" s="7" t="s">
        <v>137</v>
      </c>
      <c r="H97" s="7" t="s">
        <v>48</v>
      </c>
      <c r="I97" s="7"/>
      <c r="J97" s="7"/>
      <c r="K97" s="7" t="s">
        <v>121</v>
      </c>
      <c r="L97" s="7" t="s">
        <v>121</v>
      </c>
      <c r="M97" s="7" t="s">
        <v>121</v>
      </c>
      <c r="N97" s="7" t="s">
        <v>142</v>
      </c>
      <c r="O97" s="7" t="s">
        <v>143</v>
      </c>
      <c r="P97" s="7" t="s">
        <v>54</v>
      </c>
      <c r="Q97" s="7" t="s">
        <v>1247</v>
      </c>
      <c r="R97" s="7" t="s">
        <v>1248</v>
      </c>
      <c r="S97" s="7" t="s">
        <v>188</v>
      </c>
      <c r="T97" s="7">
        <v>1.0</v>
      </c>
      <c r="U97" s="7" t="s">
        <v>41</v>
      </c>
      <c r="V97" s="7"/>
      <c r="W97" s="7" t="s">
        <v>152</v>
      </c>
      <c r="X97" s="7" t="s">
        <v>41</v>
      </c>
      <c r="Y97" s="7"/>
      <c r="Z97" s="7" t="s">
        <v>121</v>
      </c>
      <c r="AA97" s="7"/>
      <c r="AB97" s="7" t="s">
        <v>138</v>
      </c>
      <c r="AC97" s="7" t="s">
        <v>59</v>
      </c>
      <c r="AD97" s="7"/>
    </row>
    <row r="98" ht="15.75" customHeight="1">
      <c r="A98" s="7" t="s">
        <v>1228</v>
      </c>
      <c r="B98" s="7" t="s">
        <v>1230</v>
      </c>
      <c r="C98" s="7" t="s">
        <v>1231</v>
      </c>
      <c r="D98" s="7" t="s">
        <v>1233</v>
      </c>
      <c r="E98" s="7">
        <v>3.0</v>
      </c>
      <c r="F98" s="7" t="s">
        <v>1252</v>
      </c>
      <c r="G98" s="7" t="s">
        <v>137</v>
      </c>
      <c r="H98" s="7" t="s">
        <v>110</v>
      </c>
      <c r="I98" s="7"/>
      <c r="J98" s="7"/>
      <c r="K98" s="7" t="s">
        <v>139</v>
      </c>
      <c r="L98" s="7" t="s">
        <v>139</v>
      </c>
      <c r="M98" s="7" t="s">
        <v>121</v>
      </c>
      <c r="N98" s="7" t="s">
        <v>142</v>
      </c>
      <c r="O98" s="7" t="s">
        <v>143</v>
      </c>
      <c r="P98" s="7" t="s">
        <v>54</v>
      </c>
      <c r="Q98" s="7" t="s">
        <v>1255</v>
      </c>
      <c r="R98" s="7" t="s">
        <v>1256</v>
      </c>
      <c r="S98" s="7" t="s">
        <v>188</v>
      </c>
      <c r="T98" s="7">
        <v>1.0</v>
      </c>
      <c r="U98" s="7" t="s">
        <v>41</v>
      </c>
      <c r="V98" s="7"/>
      <c r="W98" s="7" t="s">
        <v>152</v>
      </c>
      <c r="X98" s="7" t="s">
        <v>41</v>
      </c>
      <c r="Y98" s="7"/>
      <c r="Z98" s="7" t="s">
        <v>139</v>
      </c>
      <c r="AA98" s="7"/>
      <c r="AB98" s="7" t="s">
        <v>138</v>
      </c>
      <c r="AC98" s="7" t="s">
        <v>119</v>
      </c>
      <c r="AD98" s="7"/>
    </row>
    <row r="99" ht="15.75" customHeight="1">
      <c r="A99" s="7" t="s">
        <v>1258</v>
      </c>
      <c r="B99" s="7" t="s">
        <v>1259</v>
      </c>
      <c r="C99" s="7" t="s">
        <v>1231</v>
      </c>
      <c r="D99" s="7" t="s">
        <v>1261</v>
      </c>
      <c r="E99" s="7">
        <v>1.0</v>
      </c>
      <c r="F99" s="7" t="s">
        <v>1263</v>
      </c>
      <c r="G99" s="7" t="s">
        <v>631</v>
      </c>
      <c r="H99" s="7"/>
      <c r="I99" s="7"/>
      <c r="J99" s="7"/>
      <c r="K99" s="7" t="s">
        <v>121</v>
      </c>
      <c r="L99" s="7" t="s">
        <v>121</v>
      </c>
      <c r="M99" s="7" t="s">
        <v>121</v>
      </c>
      <c r="N99" s="7" t="s">
        <v>79</v>
      </c>
      <c r="O99" s="7" t="s">
        <v>143</v>
      </c>
      <c r="P99" s="7" t="s">
        <v>162</v>
      </c>
      <c r="Q99" s="7" t="s">
        <v>1264</v>
      </c>
      <c r="R99" s="7" t="s">
        <v>665</v>
      </c>
      <c r="S99" s="7" t="s">
        <v>188</v>
      </c>
      <c r="T99" s="7">
        <v>1.0</v>
      </c>
      <c r="U99" s="7" t="s">
        <v>41</v>
      </c>
      <c r="V99" s="7"/>
      <c r="W99" s="7" t="s">
        <v>152</v>
      </c>
      <c r="X99" s="7" t="s">
        <v>41</v>
      </c>
      <c r="Y99" s="7"/>
      <c r="Z99" s="7" t="s">
        <v>121</v>
      </c>
      <c r="AA99" s="7" t="s">
        <v>631</v>
      </c>
      <c r="AB99" s="7" t="s">
        <v>138</v>
      </c>
      <c r="AC99" s="7" t="s">
        <v>78</v>
      </c>
      <c r="AD99" s="7"/>
    </row>
    <row r="100" ht="15.75" customHeight="1">
      <c r="A100" s="7" t="s">
        <v>1258</v>
      </c>
      <c r="B100" s="7" t="s">
        <v>1259</v>
      </c>
      <c r="C100" s="7" t="s">
        <v>1231</v>
      </c>
      <c r="D100" s="7" t="s">
        <v>1261</v>
      </c>
      <c r="E100" s="7">
        <v>2.0</v>
      </c>
      <c r="F100" s="7" t="s">
        <v>1269</v>
      </c>
      <c r="G100" s="7" t="s">
        <v>631</v>
      </c>
      <c r="H100" s="7"/>
      <c r="I100" s="7"/>
      <c r="J100" s="7"/>
      <c r="K100" s="7" t="s">
        <v>121</v>
      </c>
      <c r="L100" s="7" t="s">
        <v>121</v>
      </c>
      <c r="M100" s="7" t="s">
        <v>121</v>
      </c>
      <c r="N100" s="7" t="s">
        <v>79</v>
      </c>
      <c r="O100" s="7" t="s">
        <v>143</v>
      </c>
      <c r="P100" s="7" t="s">
        <v>162</v>
      </c>
      <c r="Q100" s="7" t="s">
        <v>1271</v>
      </c>
      <c r="R100" s="7" t="s">
        <v>665</v>
      </c>
      <c r="S100" s="7" t="s">
        <v>188</v>
      </c>
      <c r="T100" s="7">
        <v>1.0</v>
      </c>
      <c r="U100" s="7" t="s">
        <v>41</v>
      </c>
      <c r="V100" s="7"/>
      <c r="W100" s="7" t="s">
        <v>152</v>
      </c>
      <c r="X100" s="7" t="s">
        <v>41</v>
      </c>
      <c r="Y100" s="7"/>
      <c r="Z100" s="7" t="s">
        <v>121</v>
      </c>
      <c r="AA100" s="7" t="s">
        <v>631</v>
      </c>
      <c r="AB100" s="7" t="s">
        <v>138</v>
      </c>
      <c r="AC100" s="7" t="s">
        <v>78</v>
      </c>
      <c r="AD100" s="7"/>
    </row>
    <row r="101" ht="15.75" customHeight="1">
      <c r="A101" s="7" t="s">
        <v>1275</v>
      </c>
      <c r="B101" s="7" t="s">
        <v>1276</v>
      </c>
      <c r="C101" s="7" t="s">
        <v>1231</v>
      </c>
      <c r="D101" s="7" t="s">
        <v>1278</v>
      </c>
      <c r="E101" s="7">
        <v>1.0</v>
      </c>
      <c r="F101" s="7" t="s">
        <v>1279</v>
      </c>
      <c r="G101" s="7" t="s">
        <v>137</v>
      </c>
      <c r="H101" s="7" t="s">
        <v>48</v>
      </c>
      <c r="I101" s="7"/>
      <c r="J101" s="7"/>
      <c r="K101" s="7" t="s">
        <v>121</v>
      </c>
      <c r="L101" s="7" t="s">
        <v>121</v>
      </c>
      <c r="M101" s="7" t="s">
        <v>121</v>
      </c>
      <c r="N101" s="7" t="s">
        <v>79</v>
      </c>
      <c r="O101" s="7" t="s">
        <v>143</v>
      </c>
      <c r="P101" s="7" t="s">
        <v>54</v>
      </c>
      <c r="Q101" s="7" t="s">
        <v>1283</v>
      </c>
      <c r="R101" s="7" t="s">
        <v>1284</v>
      </c>
      <c r="S101" s="7" t="s">
        <v>148</v>
      </c>
      <c r="T101" s="7">
        <v>2.0</v>
      </c>
      <c r="U101" s="7" t="s">
        <v>41</v>
      </c>
      <c r="V101" s="7"/>
      <c r="W101" s="7" t="s">
        <v>152</v>
      </c>
      <c r="X101" s="7" t="s">
        <v>41</v>
      </c>
      <c r="Y101" s="7"/>
      <c r="Z101" s="7" t="s">
        <v>121</v>
      </c>
      <c r="AA101" s="7"/>
      <c r="AB101" s="7" t="s">
        <v>138</v>
      </c>
      <c r="AC101" s="7" t="s">
        <v>59</v>
      </c>
      <c r="AD101" s="7"/>
    </row>
    <row r="102" ht="15.75" customHeight="1">
      <c r="A102" s="7" t="s">
        <v>1287</v>
      </c>
      <c r="B102" s="7" t="s">
        <v>1289</v>
      </c>
      <c r="C102" s="7" t="s">
        <v>1231</v>
      </c>
      <c r="D102" s="7" t="s">
        <v>1291</v>
      </c>
      <c r="E102" s="7">
        <v>1.0</v>
      </c>
      <c r="F102" s="7" t="s">
        <v>163</v>
      </c>
      <c r="G102" s="7"/>
      <c r="H102" s="7"/>
      <c r="I102" s="7"/>
      <c r="J102" s="7"/>
      <c r="K102" s="7" t="s">
        <v>121</v>
      </c>
      <c r="L102" s="7" t="s">
        <v>121</v>
      </c>
      <c r="M102" s="7" t="s">
        <v>121</v>
      </c>
      <c r="N102" s="7" t="s">
        <v>167</v>
      </c>
      <c r="O102" s="7" t="s">
        <v>167</v>
      </c>
      <c r="P102" s="7" t="s">
        <v>167</v>
      </c>
      <c r="Q102" s="7" t="s">
        <v>167</v>
      </c>
      <c r="R102" s="7" t="s">
        <v>167</v>
      </c>
      <c r="S102" s="7"/>
      <c r="T102" s="7">
        <v>1.0</v>
      </c>
      <c r="U102" s="7" t="s">
        <v>170</v>
      </c>
      <c r="V102" s="7"/>
      <c r="W102" s="7" t="s">
        <v>152</v>
      </c>
      <c r="X102" s="7" t="s">
        <v>170</v>
      </c>
      <c r="Y102" s="7" t="s">
        <v>172</v>
      </c>
      <c r="Z102" s="7"/>
      <c r="AA102" s="7"/>
      <c r="AB102" s="7"/>
      <c r="AC102" s="7"/>
      <c r="AD102" s="7"/>
    </row>
    <row r="103" ht="15.75" customHeight="1">
      <c r="A103" s="7" t="s">
        <v>1296</v>
      </c>
      <c r="B103" s="7" t="s">
        <v>1298</v>
      </c>
      <c r="C103" s="7" t="s">
        <v>1231</v>
      </c>
      <c r="D103" s="7" t="s">
        <v>1300</v>
      </c>
      <c r="E103" s="7">
        <v>1.0</v>
      </c>
      <c r="F103" s="7" t="s">
        <v>163</v>
      </c>
      <c r="G103" s="7"/>
      <c r="H103" s="7"/>
      <c r="I103" s="7"/>
      <c r="J103" s="7"/>
      <c r="K103" s="7" t="s">
        <v>121</v>
      </c>
      <c r="L103" s="7" t="s">
        <v>121</v>
      </c>
      <c r="M103" s="7" t="s">
        <v>121</v>
      </c>
      <c r="N103" s="7"/>
      <c r="O103" s="7" t="s">
        <v>167</v>
      </c>
      <c r="P103" s="7" t="s">
        <v>167</v>
      </c>
      <c r="Q103" s="7" t="s">
        <v>167</v>
      </c>
      <c r="R103" s="7" t="s">
        <v>167</v>
      </c>
      <c r="S103" s="7"/>
      <c r="T103" s="7">
        <v>1.0</v>
      </c>
      <c r="U103" s="7" t="s">
        <v>170</v>
      </c>
      <c r="V103" s="7"/>
      <c r="W103" s="7" t="s">
        <v>152</v>
      </c>
      <c r="X103" s="7" t="s">
        <v>170</v>
      </c>
      <c r="Y103" s="7" t="s">
        <v>172</v>
      </c>
      <c r="Z103" s="7"/>
      <c r="AA103" s="7"/>
      <c r="AB103" s="7"/>
      <c r="AC103" s="7"/>
      <c r="AD103" s="7"/>
    </row>
    <row r="104" ht="15.75" customHeight="1">
      <c r="A104" s="7" t="s">
        <v>1305</v>
      </c>
      <c r="B104" s="7" t="s">
        <v>1306</v>
      </c>
      <c r="C104" s="7" t="s">
        <v>1307</v>
      </c>
      <c r="D104" s="7" t="s">
        <v>1309</v>
      </c>
      <c r="E104" s="7">
        <v>1.0</v>
      </c>
      <c r="F104" s="7" t="s">
        <v>1310</v>
      </c>
      <c r="G104" s="7" t="s">
        <v>137</v>
      </c>
      <c r="H104" s="7" t="s">
        <v>100</v>
      </c>
      <c r="I104" s="7"/>
      <c r="J104" s="7"/>
      <c r="K104" s="7" t="s">
        <v>139</v>
      </c>
      <c r="L104" s="7" t="s">
        <v>139</v>
      </c>
      <c r="M104" s="7" t="s">
        <v>121</v>
      </c>
      <c r="N104" s="7" t="s">
        <v>51</v>
      </c>
      <c r="O104" s="7" t="s">
        <v>143</v>
      </c>
      <c r="P104" s="7" t="s">
        <v>247</v>
      </c>
      <c r="Q104" s="7" t="s">
        <v>1314</v>
      </c>
      <c r="R104" s="7" t="s">
        <v>1315</v>
      </c>
      <c r="S104" s="7" t="s">
        <v>188</v>
      </c>
      <c r="T104" s="7">
        <v>1.0</v>
      </c>
      <c r="U104" s="7" t="s">
        <v>41</v>
      </c>
      <c r="V104" s="7"/>
      <c r="W104" s="7" t="s">
        <v>152</v>
      </c>
      <c r="X104" s="7" t="s">
        <v>41</v>
      </c>
      <c r="Y104" s="7"/>
      <c r="Z104" s="7" t="s">
        <v>139</v>
      </c>
      <c r="AA104" s="7"/>
      <c r="AB104" s="7" t="s">
        <v>138</v>
      </c>
      <c r="AC104" s="7" t="s">
        <v>106</v>
      </c>
      <c r="AD104" s="7"/>
    </row>
    <row r="105" ht="15.75" customHeight="1">
      <c r="A105" s="7" t="s">
        <v>1318</v>
      </c>
      <c r="B105" s="7" t="s">
        <v>1319</v>
      </c>
      <c r="C105" s="7" t="s">
        <v>1307</v>
      </c>
      <c r="D105" s="7" t="s">
        <v>1320</v>
      </c>
      <c r="E105" s="7">
        <v>1.0</v>
      </c>
      <c r="F105" s="7" t="s">
        <v>163</v>
      </c>
      <c r="G105" s="7"/>
      <c r="H105" s="7"/>
      <c r="I105" s="7"/>
      <c r="J105" s="7"/>
      <c r="K105" s="7" t="s">
        <v>121</v>
      </c>
      <c r="L105" s="7" t="s">
        <v>121</v>
      </c>
      <c r="M105" s="7" t="s">
        <v>121</v>
      </c>
      <c r="N105" s="7" t="s">
        <v>167</v>
      </c>
      <c r="O105" s="7" t="s">
        <v>167</v>
      </c>
      <c r="P105" s="7" t="s">
        <v>167</v>
      </c>
      <c r="Q105" s="7" t="s">
        <v>167</v>
      </c>
      <c r="R105" s="7" t="s">
        <v>167</v>
      </c>
      <c r="S105" s="7"/>
      <c r="T105" s="7">
        <v>1.0</v>
      </c>
      <c r="U105" s="7" t="s">
        <v>170</v>
      </c>
      <c r="V105" s="7"/>
      <c r="W105" s="7" t="s">
        <v>152</v>
      </c>
      <c r="X105" s="7" t="s">
        <v>170</v>
      </c>
      <c r="Y105" s="7" t="s">
        <v>172</v>
      </c>
      <c r="Z105" s="7"/>
      <c r="AA105" s="7"/>
      <c r="AB105" s="7"/>
      <c r="AC105" s="7"/>
      <c r="AD105" s="7"/>
    </row>
    <row r="106" ht="15.75" customHeight="1">
      <c r="A106" s="7" t="s">
        <v>1327</v>
      </c>
      <c r="B106" s="7" t="s">
        <v>1328</v>
      </c>
      <c r="C106" s="7" t="s">
        <v>1307</v>
      </c>
      <c r="D106" s="7" t="s">
        <v>1330</v>
      </c>
      <c r="E106" s="7">
        <v>1.0</v>
      </c>
      <c r="F106" s="7" t="s">
        <v>1332</v>
      </c>
      <c r="G106" s="7" t="s">
        <v>137</v>
      </c>
      <c r="H106" s="7" t="s">
        <v>110</v>
      </c>
      <c r="I106" s="7" t="s">
        <v>1035</v>
      </c>
      <c r="J106" s="7" t="s">
        <v>317</v>
      </c>
      <c r="K106" s="7" t="s">
        <v>121</v>
      </c>
      <c r="L106" s="7" t="s">
        <v>121</v>
      </c>
      <c r="M106" s="7" t="s">
        <v>121</v>
      </c>
      <c r="N106" s="7" t="s">
        <v>142</v>
      </c>
      <c r="O106" s="7" t="s">
        <v>143</v>
      </c>
      <c r="P106" s="7" t="s">
        <v>54</v>
      </c>
      <c r="Q106" s="7" t="s">
        <v>1336</v>
      </c>
      <c r="R106" s="7" t="s">
        <v>1337</v>
      </c>
      <c r="S106" s="7" t="s">
        <v>188</v>
      </c>
      <c r="T106" s="7">
        <v>1.0</v>
      </c>
      <c r="U106" s="7" t="s">
        <v>41</v>
      </c>
      <c r="V106" s="7"/>
      <c r="W106" s="7" t="s">
        <v>152</v>
      </c>
      <c r="X106" s="7" t="s">
        <v>41</v>
      </c>
      <c r="Y106" s="7"/>
      <c r="Z106" s="7" t="s">
        <v>121</v>
      </c>
      <c r="AA106" s="7"/>
      <c r="AB106" s="7" t="s">
        <v>138</v>
      </c>
      <c r="AC106" s="7" t="s">
        <v>119</v>
      </c>
      <c r="AD106" s="7"/>
    </row>
    <row r="107" ht="15.75" customHeight="1">
      <c r="A107" s="7" t="s">
        <v>1327</v>
      </c>
      <c r="B107" s="7" t="s">
        <v>1328</v>
      </c>
      <c r="C107" s="7" t="s">
        <v>1307</v>
      </c>
      <c r="D107" s="7" t="s">
        <v>1330</v>
      </c>
      <c r="E107" s="7">
        <v>2.0</v>
      </c>
      <c r="F107" s="7" t="s">
        <v>1343</v>
      </c>
      <c r="G107" s="7" t="s">
        <v>631</v>
      </c>
      <c r="H107" s="7"/>
      <c r="I107" s="7"/>
      <c r="J107" s="7"/>
      <c r="K107" s="7" t="s">
        <v>139</v>
      </c>
      <c r="L107" s="7" t="s">
        <v>139</v>
      </c>
      <c r="M107" s="7" t="s">
        <v>121</v>
      </c>
      <c r="N107" s="7" t="s">
        <v>142</v>
      </c>
      <c r="O107" s="7" t="s">
        <v>143</v>
      </c>
      <c r="P107" s="7" t="s">
        <v>54</v>
      </c>
      <c r="Q107" s="7" t="s">
        <v>1345</v>
      </c>
      <c r="R107" s="7" t="s">
        <v>1347</v>
      </c>
      <c r="S107" s="7" t="s">
        <v>148</v>
      </c>
      <c r="T107" s="7">
        <v>1.0</v>
      </c>
      <c r="U107" s="7" t="s">
        <v>41</v>
      </c>
      <c r="V107" s="7"/>
      <c r="W107" s="7" t="s">
        <v>152</v>
      </c>
      <c r="X107" s="7" t="s">
        <v>41</v>
      </c>
      <c r="Y107" s="7"/>
      <c r="Z107" s="7" t="s">
        <v>139</v>
      </c>
      <c r="AA107" s="7" t="s">
        <v>631</v>
      </c>
      <c r="AB107" s="7" t="s">
        <v>138</v>
      </c>
      <c r="AC107" s="7" t="s">
        <v>78</v>
      </c>
      <c r="AD107" s="7"/>
    </row>
    <row r="108" ht="15.75" customHeight="1">
      <c r="A108" s="7" t="s">
        <v>1327</v>
      </c>
      <c r="B108" s="7" t="s">
        <v>1328</v>
      </c>
      <c r="C108" s="7" t="s">
        <v>1307</v>
      </c>
      <c r="D108" s="7" t="s">
        <v>1330</v>
      </c>
      <c r="E108" s="7">
        <v>3.0</v>
      </c>
      <c r="F108" s="7" t="s">
        <v>1350</v>
      </c>
      <c r="G108" s="7" t="s">
        <v>631</v>
      </c>
      <c r="H108" s="7"/>
      <c r="I108" s="7"/>
      <c r="J108" s="7"/>
      <c r="K108" s="7" t="s">
        <v>139</v>
      </c>
      <c r="L108" s="7" t="s">
        <v>139</v>
      </c>
      <c r="M108" s="7" t="s">
        <v>121</v>
      </c>
      <c r="N108" s="7" t="s">
        <v>51</v>
      </c>
      <c r="O108" s="7" t="s">
        <v>143</v>
      </c>
      <c r="P108" s="7" t="s">
        <v>247</v>
      </c>
      <c r="Q108" s="7" t="s">
        <v>1354</v>
      </c>
      <c r="R108" s="7" t="s">
        <v>1347</v>
      </c>
      <c r="S108" s="7" t="s">
        <v>188</v>
      </c>
      <c r="T108" s="7">
        <v>1.0</v>
      </c>
      <c r="U108" s="7" t="s">
        <v>41</v>
      </c>
      <c r="V108" s="7"/>
      <c r="W108" s="7" t="s">
        <v>152</v>
      </c>
      <c r="X108" s="7" t="s">
        <v>41</v>
      </c>
      <c r="Y108" s="7"/>
      <c r="Z108" s="7" t="s">
        <v>139</v>
      </c>
      <c r="AA108" s="7" t="s">
        <v>631</v>
      </c>
      <c r="AB108" s="7" t="s">
        <v>138</v>
      </c>
      <c r="AC108" s="7" t="s">
        <v>78</v>
      </c>
      <c r="AD108" s="7"/>
    </row>
    <row r="109" ht="15.75" customHeight="1">
      <c r="A109" s="7" t="s">
        <v>1357</v>
      </c>
      <c r="B109" s="7" t="s">
        <v>1358</v>
      </c>
      <c r="C109" s="7" t="s">
        <v>1307</v>
      </c>
      <c r="D109" s="7" t="s">
        <v>1359</v>
      </c>
      <c r="E109" s="7">
        <v>1.0</v>
      </c>
      <c r="F109" s="7" t="s">
        <v>163</v>
      </c>
      <c r="G109" s="7"/>
      <c r="H109" s="7"/>
      <c r="I109" s="7"/>
      <c r="J109" s="7"/>
      <c r="K109" s="7" t="s">
        <v>121</v>
      </c>
      <c r="L109" s="7" t="s">
        <v>121</v>
      </c>
      <c r="M109" s="7" t="s">
        <v>121</v>
      </c>
      <c r="N109" s="7"/>
      <c r="O109" s="7" t="s">
        <v>167</v>
      </c>
      <c r="P109" s="7" t="s">
        <v>167</v>
      </c>
      <c r="Q109" s="7" t="s">
        <v>167</v>
      </c>
      <c r="R109" s="7" t="s">
        <v>167</v>
      </c>
      <c r="S109" s="7"/>
      <c r="T109" s="7">
        <v>1.0</v>
      </c>
      <c r="U109" s="7" t="s">
        <v>170</v>
      </c>
      <c r="V109" s="7"/>
      <c r="W109" s="7" t="s">
        <v>152</v>
      </c>
      <c r="X109" s="7" t="s">
        <v>170</v>
      </c>
      <c r="Y109" s="7" t="s">
        <v>172</v>
      </c>
      <c r="Z109" s="7"/>
      <c r="AA109" s="7"/>
      <c r="AB109" s="7"/>
      <c r="AC109" s="7"/>
      <c r="AD109" s="7"/>
    </row>
    <row r="110" ht="15.75" customHeight="1">
      <c r="A110" s="7" t="s">
        <v>1363</v>
      </c>
      <c r="B110" s="7" t="s">
        <v>1364</v>
      </c>
      <c r="C110" s="7" t="s">
        <v>1307</v>
      </c>
      <c r="D110" s="7" t="s">
        <v>1366</v>
      </c>
      <c r="E110" s="7">
        <v>1.0</v>
      </c>
      <c r="F110" s="7" t="s">
        <v>1367</v>
      </c>
      <c r="G110" s="7" t="s">
        <v>137</v>
      </c>
      <c r="H110" s="7" t="s">
        <v>110</v>
      </c>
      <c r="I110" s="7"/>
      <c r="J110" s="7"/>
      <c r="K110" s="7" t="s">
        <v>215</v>
      </c>
      <c r="L110" s="7" t="s">
        <v>209</v>
      </c>
      <c r="M110" s="7" t="s">
        <v>182</v>
      </c>
      <c r="N110" s="7" t="s">
        <v>34</v>
      </c>
      <c r="O110" s="7" t="s">
        <v>143</v>
      </c>
      <c r="P110" s="7" t="s">
        <v>185</v>
      </c>
      <c r="Q110" s="7" t="s">
        <v>1370</v>
      </c>
      <c r="R110" s="7" t="s">
        <v>1371</v>
      </c>
      <c r="S110" s="7" t="s">
        <v>148</v>
      </c>
      <c r="T110" s="7">
        <v>1.0</v>
      </c>
      <c r="U110" s="7" t="s">
        <v>41</v>
      </c>
      <c r="V110" s="7"/>
      <c r="W110" s="7" t="s">
        <v>152</v>
      </c>
      <c r="X110" s="7" t="s">
        <v>41</v>
      </c>
      <c r="Y110" s="7"/>
      <c r="Z110" s="7"/>
      <c r="AA110" s="7"/>
      <c r="AB110" s="7" t="s">
        <v>215</v>
      </c>
      <c r="AC110" s="7" t="s">
        <v>119</v>
      </c>
      <c r="AD110" s="7"/>
    </row>
    <row r="111" ht="15.75" customHeight="1">
      <c r="A111" s="7" t="s">
        <v>1363</v>
      </c>
      <c r="B111" s="7" t="s">
        <v>1364</v>
      </c>
      <c r="C111" s="7" t="s">
        <v>1307</v>
      </c>
      <c r="D111" s="7" t="s">
        <v>1366</v>
      </c>
      <c r="E111" s="7">
        <v>2.0</v>
      </c>
      <c r="F111" s="7" t="s">
        <v>1375</v>
      </c>
      <c r="G111" s="7" t="s">
        <v>137</v>
      </c>
      <c r="H111" s="7" t="s">
        <v>48</v>
      </c>
      <c r="I111" s="7"/>
      <c r="J111" s="7"/>
      <c r="K111" s="7" t="s">
        <v>215</v>
      </c>
      <c r="L111" s="7" t="s">
        <v>209</v>
      </c>
      <c r="M111" s="7" t="s">
        <v>182</v>
      </c>
      <c r="N111" s="7" t="s">
        <v>34</v>
      </c>
      <c r="O111" s="7" t="s">
        <v>143</v>
      </c>
      <c r="P111" s="7" t="s">
        <v>37</v>
      </c>
      <c r="Q111" s="7" t="s">
        <v>1377</v>
      </c>
      <c r="R111" s="7" t="s">
        <v>1378</v>
      </c>
      <c r="S111" s="7" t="s">
        <v>188</v>
      </c>
      <c r="T111" s="7">
        <v>1.0</v>
      </c>
      <c r="U111" s="7" t="s">
        <v>41</v>
      </c>
      <c r="V111" s="7"/>
      <c r="W111" s="7" t="s">
        <v>152</v>
      </c>
      <c r="X111" s="7" t="s">
        <v>41</v>
      </c>
      <c r="Y111" s="7"/>
      <c r="Z111" s="7"/>
      <c r="AA111" s="7"/>
      <c r="AB111" s="7" t="s">
        <v>215</v>
      </c>
      <c r="AC111" s="7" t="s">
        <v>59</v>
      </c>
      <c r="AD111" s="7"/>
    </row>
    <row r="112" ht="15.75" customHeight="1">
      <c r="A112" s="7" t="s">
        <v>1363</v>
      </c>
      <c r="B112" s="7" t="s">
        <v>1364</v>
      </c>
      <c r="C112" s="7" t="s">
        <v>1307</v>
      </c>
      <c r="D112" s="7" t="s">
        <v>1366</v>
      </c>
      <c r="E112" s="7">
        <v>3.0</v>
      </c>
      <c r="F112" s="7" t="s">
        <v>1382</v>
      </c>
      <c r="G112" s="7" t="s">
        <v>137</v>
      </c>
      <c r="H112" s="7" t="s">
        <v>110</v>
      </c>
      <c r="I112" s="7"/>
      <c r="J112" s="7"/>
      <c r="K112" s="7" t="s">
        <v>215</v>
      </c>
      <c r="L112" s="7" t="s">
        <v>209</v>
      </c>
      <c r="M112" s="7" t="s">
        <v>182</v>
      </c>
      <c r="N112" s="7" t="s">
        <v>34</v>
      </c>
      <c r="O112" s="7" t="s">
        <v>143</v>
      </c>
      <c r="P112" s="7" t="s">
        <v>37</v>
      </c>
      <c r="Q112" s="7" t="s">
        <v>1385</v>
      </c>
      <c r="R112" s="7" t="s">
        <v>1386</v>
      </c>
      <c r="S112" s="7" t="s">
        <v>148</v>
      </c>
      <c r="T112" s="7">
        <v>1.0</v>
      </c>
      <c r="U112" s="7" t="s">
        <v>41</v>
      </c>
      <c r="V112" s="7"/>
      <c r="W112" s="7" t="s">
        <v>152</v>
      </c>
      <c r="X112" s="7" t="s">
        <v>41</v>
      </c>
      <c r="Y112" s="7"/>
      <c r="Z112" s="7"/>
      <c r="AA112" s="7"/>
      <c r="AB112" s="7" t="s">
        <v>215</v>
      </c>
      <c r="AC112" s="7" t="s">
        <v>119</v>
      </c>
      <c r="AD112" s="7"/>
    </row>
    <row r="113" ht="15.75" customHeight="1">
      <c r="A113" s="7" t="s">
        <v>1363</v>
      </c>
      <c r="B113" s="7" t="s">
        <v>1364</v>
      </c>
      <c r="C113" s="7" t="s">
        <v>1307</v>
      </c>
      <c r="D113" s="7" t="s">
        <v>1366</v>
      </c>
      <c r="E113" s="7">
        <v>4.0</v>
      </c>
      <c r="F113" s="7" t="s">
        <v>1389</v>
      </c>
      <c r="G113" s="7" t="s">
        <v>137</v>
      </c>
      <c r="H113" s="7" t="s">
        <v>48</v>
      </c>
      <c r="I113" s="7"/>
      <c r="J113" s="7"/>
      <c r="K113" s="7" t="s">
        <v>215</v>
      </c>
      <c r="L113" s="7" t="s">
        <v>209</v>
      </c>
      <c r="M113" s="7" t="s">
        <v>182</v>
      </c>
      <c r="N113" s="7" t="s">
        <v>51</v>
      </c>
      <c r="O113" s="7" t="s">
        <v>143</v>
      </c>
      <c r="P113" s="7" t="s">
        <v>54</v>
      </c>
      <c r="Q113" s="7" t="s">
        <v>1391</v>
      </c>
      <c r="R113" s="7" t="s">
        <v>1392</v>
      </c>
      <c r="S113" s="7" t="s">
        <v>188</v>
      </c>
      <c r="T113" s="7">
        <v>1.0</v>
      </c>
      <c r="U113" s="7" t="s">
        <v>41</v>
      </c>
      <c r="V113" s="7"/>
      <c r="W113" s="7" t="s">
        <v>152</v>
      </c>
      <c r="X113" s="7" t="s">
        <v>41</v>
      </c>
      <c r="Y113" s="7"/>
      <c r="Z113" s="7"/>
      <c r="AA113" s="7"/>
      <c r="AB113" s="7" t="s">
        <v>215</v>
      </c>
      <c r="AC113" s="7" t="s">
        <v>59</v>
      </c>
      <c r="AD113" s="7"/>
    </row>
    <row r="114" ht="15.75" customHeight="1">
      <c r="A114" s="7" t="s">
        <v>1396</v>
      </c>
      <c r="B114" s="7" t="s">
        <v>1397</v>
      </c>
      <c r="C114" s="7" t="s">
        <v>1307</v>
      </c>
      <c r="D114" s="7" t="s">
        <v>1399</v>
      </c>
      <c r="E114" s="7">
        <v>1.0</v>
      </c>
      <c r="F114" s="7" t="s">
        <v>1400</v>
      </c>
      <c r="G114" s="7" t="s">
        <v>137</v>
      </c>
      <c r="H114" s="7" t="s">
        <v>110</v>
      </c>
      <c r="I114" s="7"/>
      <c r="J114" s="7"/>
      <c r="K114" s="7" t="s">
        <v>421</v>
      </c>
      <c r="L114" s="7" t="s">
        <v>415</v>
      </c>
      <c r="M114" s="7" t="s">
        <v>614</v>
      </c>
      <c r="N114" s="7" t="s">
        <v>51</v>
      </c>
      <c r="O114" s="7" t="s">
        <v>143</v>
      </c>
      <c r="P114" s="7" t="s">
        <v>54</v>
      </c>
      <c r="Q114" s="7" t="s">
        <v>1404</v>
      </c>
      <c r="R114" s="7" t="s">
        <v>1405</v>
      </c>
      <c r="S114" s="7" t="s">
        <v>148</v>
      </c>
      <c r="T114" s="7">
        <v>1.0</v>
      </c>
      <c r="U114" s="7" t="s">
        <v>41</v>
      </c>
      <c r="V114" s="7"/>
      <c r="W114" s="7" t="s">
        <v>152</v>
      </c>
      <c r="X114" s="7" t="s">
        <v>41</v>
      </c>
      <c r="Y114" s="7"/>
      <c r="Z114" s="7"/>
      <c r="AA114" s="7"/>
      <c r="AB114" s="7" t="s">
        <v>421</v>
      </c>
      <c r="AC114" s="7" t="s">
        <v>119</v>
      </c>
      <c r="AD114" s="7" t="s">
        <v>1407</v>
      </c>
    </row>
    <row r="115" ht="15.75" customHeight="1">
      <c r="A115" s="7" t="s">
        <v>1396</v>
      </c>
      <c r="B115" s="7" t="s">
        <v>1397</v>
      </c>
      <c r="C115" s="7" t="s">
        <v>1307</v>
      </c>
      <c r="D115" s="7" t="s">
        <v>1399</v>
      </c>
      <c r="E115" s="7">
        <v>2.0</v>
      </c>
      <c r="F115" s="7" t="s">
        <v>1411</v>
      </c>
      <c r="G115" s="7" t="s">
        <v>137</v>
      </c>
      <c r="H115" s="7" t="s">
        <v>110</v>
      </c>
      <c r="I115" s="7"/>
      <c r="J115" s="7"/>
      <c r="K115" s="7" t="s">
        <v>241</v>
      </c>
      <c r="L115" s="7" t="s">
        <v>243</v>
      </c>
      <c r="M115" s="7" t="s">
        <v>244</v>
      </c>
      <c r="N115" s="7" t="s">
        <v>51</v>
      </c>
      <c r="O115" s="7" t="s">
        <v>143</v>
      </c>
      <c r="P115" s="7" t="s">
        <v>54</v>
      </c>
      <c r="Q115" s="7" t="s">
        <v>1413</v>
      </c>
      <c r="R115" s="7" t="s">
        <v>1405</v>
      </c>
      <c r="S115" s="7" t="s">
        <v>188</v>
      </c>
      <c r="T115" s="7">
        <v>1.0</v>
      </c>
      <c r="U115" s="7" t="s">
        <v>41</v>
      </c>
      <c r="V115" s="7"/>
      <c r="W115" s="7" t="s">
        <v>152</v>
      </c>
      <c r="X115" s="7" t="s">
        <v>41</v>
      </c>
      <c r="Y115" s="7"/>
      <c r="Z115" s="7"/>
      <c r="AA115" s="7"/>
      <c r="AB115" s="7" t="s">
        <v>241</v>
      </c>
      <c r="AC115" s="7" t="s">
        <v>119</v>
      </c>
      <c r="AD115" s="7" t="s">
        <v>1407</v>
      </c>
    </row>
    <row r="116" ht="15.75" customHeight="1">
      <c r="A116" s="7" t="s">
        <v>1396</v>
      </c>
      <c r="B116" s="7" t="s">
        <v>1397</v>
      </c>
      <c r="C116" s="7" t="s">
        <v>1307</v>
      </c>
      <c r="D116" s="7" t="s">
        <v>1399</v>
      </c>
      <c r="E116" s="7">
        <v>3.0</v>
      </c>
      <c r="F116" s="7" t="s">
        <v>1416</v>
      </c>
      <c r="G116" s="7" t="s">
        <v>137</v>
      </c>
      <c r="H116" s="7" t="s">
        <v>110</v>
      </c>
      <c r="I116" s="7"/>
      <c r="J116" s="7"/>
      <c r="K116" s="7" t="s">
        <v>105</v>
      </c>
      <c r="L116" s="7" t="s">
        <v>101</v>
      </c>
      <c r="M116" s="7" t="s">
        <v>182</v>
      </c>
      <c r="N116" s="7" t="s">
        <v>51</v>
      </c>
      <c r="O116" s="7" t="s">
        <v>143</v>
      </c>
      <c r="P116" s="7" t="s">
        <v>54</v>
      </c>
      <c r="Q116" s="7" t="s">
        <v>1418</v>
      </c>
      <c r="R116" s="7" t="s">
        <v>1405</v>
      </c>
      <c r="S116" s="7" t="s">
        <v>188</v>
      </c>
      <c r="T116" s="7">
        <v>1.0</v>
      </c>
      <c r="U116" s="7" t="s">
        <v>41</v>
      </c>
      <c r="V116" s="7"/>
      <c r="W116" s="7" t="s">
        <v>152</v>
      </c>
      <c r="X116" s="7" t="s">
        <v>41</v>
      </c>
      <c r="Y116" s="7"/>
      <c r="Z116" s="7"/>
      <c r="AA116" s="7"/>
      <c r="AB116" s="7" t="s">
        <v>105</v>
      </c>
      <c r="AC116" s="7" t="s">
        <v>119</v>
      </c>
      <c r="AD116" s="7" t="s">
        <v>1407</v>
      </c>
    </row>
    <row r="117" ht="15.75" customHeight="1">
      <c r="A117" s="7" t="s">
        <v>1396</v>
      </c>
      <c r="B117" s="7" t="s">
        <v>1397</v>
      </c>
      <c r="C117" s="7" t="s">
        <v>1307</v>
      </c>
      <c r="D117" s="7" t="s">
        <v>1399</v>
      </c>
      <c r="E117" s="7">
        <v>4.0</v>
      </c>
      <c r="F117" s="7" t="s">
        <v>1421</v>
      </c>
      <c r="G117" s="7" t="s">
        <v>137</v>
      </c>
      <c r="H117" s="7" t="s">
        <v>48</v>
      </c>
      <c r="I117" s="7"/>
      <c r="J117" s="7"/>
      <c r="K117" s="7" t="s">
        <v>72</v>
      </c>
      <c r="L117" s="7" t="s">
        <v>63</v>
      </c>
      <c r="M117" s="7" t="s">
        <v>182</v>
      </c>
      <c r="N117" s="7" t="s">
        <v>79</v>
      </c>
      <c r="O117" s="7" t="s">
        <v>143</v>
      </c>
      <c r="P117" s="7" t="s">
        <v>54</v>
      </c>
      <c r="Q117" s="7" t="s">
        <v>1424</v>
      </c>
      <c r="R117" s="7" t="s">
        <v>1425</v>
      </c>
      <c r="S117" s="7" t="s">
        <v>148</v>
      </c>
      <c r="T117" s="7">
        <v>1.0</v>
      </c>
      <c r="U117" s="7" t="s">
        <v>41</v>
      </c>
      <c r="V117" s="7"/>
      <c r="W117" s="7" t="s">
        <v>152</v>
      </c>
      <c r="X117" s="7" t="s">
        <v>41</v>
      </c>
      <c r="Y117" s="7"/>
      <c r="Z117" s="7"/>
      <c r="AA117" s="7"/>
      <c r="AB117" s="7" t="s">
        <v>72</v>
      </c>
      <c r="AC117" s="7" t="s">
        <v>59</v>
      </c>
      <c r="AD117" s="7" t="s">
        <v>1407</v>
      </c>
    </row>
    <row r="118" ht="15.75" customHeight="1">
      <c r="A118" s="7" t="s">
        <v>1396</v>
      </c>
      <c r="B118" s="7" t="s">
        <v>1397</v>
      </c>
      <c r="C118" s="7" t="s">
        <v>1307</v>
      </c>
      <c r="D118" s="7" t="s">
        <v>1399</v>
      </c>
      <c r="E118" s="7">
        <v>5.0</v>
      </c>
      <c r="F118" s="7" t="s">
        <v>1429</v>
      </c>
      <c r="G118" s="7" t="s">
        <v>137</v>
      </c>
      <c r="H118" s="7" t="s">
        <v>110</v>
      </c>
      <c r="I118" s="7"/>
      <c r="J118" s="7"/>
      <c r="K118" s="7" t="s">
        <v>139</v>
      </c>
      <c r="L118" s="7" t="s">
        <v>139</v>
      </c>
      <c r="M118" s="7" t="s">
        <v>121</v>
      </c>
      <c r="N118" s="7" t="s">
        <v>51</v>
      </c>
      <c r="O118" s="7" t="s">
        <v>143</v>
      </c>
      <c r="P118" s="7" t="s">
        <v>54</v>
      </c>
      <c r="Q118" s="7" t="s">
        <v>1432</v>
      </c>
      <c r="R118" s="7" t="s">
        <v>1425</v>
      </c>
      <c r="S118" s="7" t="s">
        <v>188</v>
      </c>
      <c r="T118" s="7">
        <v>1.0</v>
      </c>
      <c r="U118" s="7" t="s">
        <v>41</v>
      </c>
      <c r="V118" s="7"/>
      <c r="W118" s="7" t="s">
        <v>152</v>
      </c>
      <c r="X118" s="7" t="s">
        <v>41</v>
      </c>
      <c r="Y118" s="7"/>
      <c r="Z118" s="7" t="s">
        <v>139</v>
      </c>
      <c r="AA118" s="7"/>
      <c r="AB118" s="7" t="s">
        <v>138</v>
      </c>
      <c r="AC118" s="7" t="s">
        <v>119</v>
      </c>
      <c r="AD118" s="7" t="s">
        <v>1407</v>
      </c>
    </row>
    <row r="119" ht="15.75" customHeight="1">
      <c r="A119" s="7" t="s">
        <v>1396</v>
      </c>
      <c r="B119" s="7" t="s">
        <v>1397</v>
      </c>
      <c r="C119" s="7" t="s">
        <v>1307</v>
      </c>
      <c r="D119" s="7" t="s">
        <v>1399</v>
      </c>
      <c r="E119" s="7">
        <v>6.0</v>
      </c>
      <c r="F119" s="7" t="s">
        <v>1438</v>
      </c>
      <c r="G119" s="7" t="s">
        <v>137</v>
      </c>
      <c r="H119" s="7" t="s">
        <v>110</v>
      </c>
      <c r="I119" s="7"/>
      <c r="J119" s="7"/>
      <c r="K119" s="7" t="s">
        <v>166</v>
      </c>
      <c r="L119" s="7" t="s">
        <v>158</v>
      </c>
      <c r="M119" s="7" t="s">
        <v>1440</v>
      </c>
      <c r="N119" s="7" t="s">
        <v>79</v>
      </c>
      <c r="O119" s="7" t="s">
        <v>143</v>
      </c>
      <c r="P119" s="7" t="s">
        <v>54</v>
      </c>
      <c r="Q119" s="7" t="s">
        <v>1441</v>
      </c>
      <c r="R119" s="7" t="s">
        <v>1442</v>
      </c>
      <c r="S119" s="7" t="s">
        <v>188</v>
      </c>
      <c r="T119" s="7">
        <v>1.0</v>
      </c>
      <c r="U119" s="7" t="s">
        <v>41</v>
      </c>
      <c r="V119" s="7"/>
      <c r="W119" s="7" t="s">
        <v>152</v>
      </c>
      <c r="X119" s="7" t="s">
        <v>41</v>
      </c>
      <c r="Y119" s="7"/>
      <c r="Z119" s="7"/>
      <c r="AA119" s="7"/>
      <c r="AB119" s="7" t="s">
        <v>166</v>
      </c>
      <c r="AC119" s="7" t="s">
        <v>119</v>
      </c>
      <c r="AD119" s="7" t="s">
        <v>1407</v>
      </c>
    </row>
    <row r="120" ht="15.75" customHeight="1">
      <c r="A120" s="7" t="s">
        <v>1396</v>
      </c>
      <c r="B120" s="7" t="s">
        <v>1397</v>
      </c>
      <c r="C120" s="7" t="s">
        <v>1307</v>
      </c>
      <c r="D120" s="7" t="s">
        <v>1399</v>
      </c>
      <c r="E120" s="7">
        <v>7.0</v>
      </c>
      <c r="F120" s="7" t="s">
        <v>1446</v>
      </c>
      <c r="G120" s="7" t="s">
        <v>137</v>
      </c>
      <c r="H120" s="7" t="s">
        <v>110</v>
      </c>
      <c r="I120" s="7"/>
      <c r="J120" s="7"/>
      <c r="K120" s="7" t="s">
        <v>729</v>
      </c>
      <c r="L120" s="7" t="s">
        <v>725</v>
      </c>
      <c r="M120" s="7" t="s">
        <v>866</v>
      </c>
      <c r="N120" s="7" t="s">
        <v>79</v>
      </c>
      <c r="O120" s="7" t="s">
        <v>143</v>
      </c>
      <c r="P120" s="7" t="s">
        <v>54</v>
      </c>
      <c r="Q120" s="7" t="s">
        <v>1448</v>
      </c>
      <c r="R120" s="7" t="s">
        <v>1450</v>
      </c>
      <c r="S120" s="7" t="s">
        <v>148</v>
      </c>
      <c r="T120" s="7">
        <v>1.0</v>
      </c>
      <c r="U120" s="7" t="s">
        <v>41</v>
      </c>
      <c r="V120" s="7"/>
      <c r="W120" s="7" t="s">
        <v>152</v>
      </c>
      <c r="X120" s="7" t="s">
        <v>41</v>
      </c>
      <c r="Y120" s="7"/>
      <c r="Z120" s="7"/>
      <c r="AA120" s="7"/>
      <c r="AB120" s="7" t="s">
        <v>729</v>
      </c>
      <c r="AC120" s="7" t="s">
        <v>119</v>
      </c>
      <c r="AD120" s="7" t="s">
        <v>1407</v>
      </c>
    </row>
    <row r="121" ht="15.75" customHeight="1">
      <c r="A121" s="7" t="s">
        <v>1396</v>
      </c>
      <c r="B121" s="7" t="s">
        <v>1397</v>
      </c>
      <c r="C121" s="7" t="s">
        <v>1307</v>
      </c>
      <c r="D121" s="7" t="s">
        <v>1399</v>
      </c>
      <c r="E121" s="7">
        <v>8.0</v>
      </c>
      <c r="F121" s="7" t="s">
        <v>1452</v>
      </c>
      <c r="G121" s="7" t="s">
        <v>137</v>
      </c>
      <c r="H121" s="7" t="s">
        <v>110</v>
      </c>
      <c r="I121" s="7" t="s">
        <v>1453</v>
      </c>
      <c r="J121" s="7" t="s">
        <v>190</v>
      </c>
      <c r="K121" s="7" t="s">
        <v>42</v>
      </c>
      <c r="L121" s="7" t="s">
        <v>32</v>
      </c>
      <c r="M121" s="7" t="s">
        <v>182</v>
      </c>
      <c r="N121" s="7" t="s">
        <v>79</v>
      </c>
      <c r="O121" s="7" t="s">
        <v>143</v>
      </c>
      <c r="P121" s="7" t="s">
        <v>54</v>
      </c>
      <c r="Q121" s="7" t="s">
        <v>1455</v>
      </c>
      <c r="R121" s="7" t="s">
        <v>1450</v>
      </c>
      <c r="S121" s="7" t="s">
        <v>148</v>
      </c>
      <c r="T121" s="7">
        <v>1.0</v>
      </c>
      <c r="U121" s="7" t="s">
        <v>41</v>
      </c>
      <c r="V121" s="7"/>
      <c r="W121" s="7" t="s">
        <v>152</v>
      </c>
      <c r="X121" s="7" t="s">
        <v>41</v>
      </c>
      <c r="Y121" s="7"/>
      <c r="Z121" s="7"/>
      <c r="AA121" s="7"/>
      <c r="AB121" s="7" t="s">
        <v>42</v>
      </c>
      <c r="AC121" s="7" t="s">
        <v>119</v>
      </c>
      <c r="AD121" s="7" t="s">
        <v>1407</v>
      </c>
    </row>
    <row r="122" ht="15.75" customHeight="1">
      <c r="A122" s="7" t="s">
        <v>1396</v>
      </c>
      <c r="B122" s="7" t="s">
        <v>1397</v>
      </c>
      <c r="C122" s="7" t="s">
        <v>1307</v>
      </c>
      <c r="D122" s="7" t="s">
        <v>1399</v>
      </c>
      <c r="E122" s="7">
        <v>9.0</v>
      </c>
      <c r="F122" s="7" t="s">
        <v>1458</v>
      </c>
      <c r="G122" s="7" t="s">
        <v>137</v>
      </c>
      <c r="H122" s="7" t="s">
        <v>110</v>
      </c>
      <c r="I122" s="7"/>
      <c r="J122" s="7"/>
      <c r="K122" s="7" t="s">
        <v>260</v>
      </c>
      <c r="L122" s="7" t="s">
        <v>261</v>
      </c>
      <c r="M122" s="7" t="s">
        <v>182</v>
      </c>
      <c r="N122" s="7" t="s">
        <v>79</v>
      </c>
      <c r="O122" s="7" t="s">
        <v>143</v>
      </c>
      <c r="P122" s="7" t="s">
        <v>54</v>
      </c>
      <c r="Q122" s="7" t="s">
        <v>1462</v>
      </c>
      <c r="R122" s="7" t="s">
        <v>1450</v>
      </c>
      <c r="S122" s="7" t="s">
        <v>148</v>
      </c>
      <c r="T122" s="7">
        <v>1.0</v>
      </c>
      <c r="U122" s="7" t="s">
        <v>41</v>
      </c>
      <c r="V122" s="7"/>
      <c r="W122" s="7" t="s">
        <v>152</v>
      </c>
      <c r="X122" s="7" t="s">
        <v>41</v>
      </c>
      <c r="Y122" s="7"/>
      <c r="Z122" s="7"/>
      <c r="AA122" s="7"/>
      <c r="AB122" s="7" t="s">
        <v>260</v>
      </c>
      <c r="AC122" s="7" t="s">
        <v>119</v>
      </c>
      <c r="AD122" s="7" t="s">
        <v>1407</v>
      </c>
    </row>
    <row r="123" ht="15.75" customHeight="1">
      <c r="A123" s="7" t="s">
        <v>1396</v>
      </c>
      <c r="B123" s="7" t="s">
        <v>1397</v>
      </c>
      <c r="C123" s="7" t="s">
        <v>1307</v>
      </c>
      <c r="D123" s="7" t="s">
        <v>1399</v>
      </c>
      <c r="E123" s="7">
        <v>10.0</v>
      </c>
      <c r="F123" s="7" t="s">
        <v>1467</v>
      </c>
      <c r="G123" s="7" t="s">
        <v>137</v>
      </c>
      <c r="H123" s="7" t="s">
        <v>110</v>
      </c>
      <c r="I123" s="7"/>
      <c r="J123" s="7"/>
      <c r="K123" s="7" t="s">
        <v>105</v>
      </c>
      <c r="L123" s="7" t="s">
        <v>101</v>
      </c>
      <c r="M123" s="7" t="s">
        <v>182</v>
      </c>
      <c r="N123" s="7" t="s">
        <v>79</v>
      </c>
      <c r="O123" s="7" t="s">
        <v>143</v>
      </c>
      <c r="P123" s="7" t="s">
        <v>54</v>
      </c>
      <c r="Q123" s="7" t="s">
        <v>1470</v>
      </c>
      <c r="R123" s="7" t="s">
        <v>1450</v>
      </c>
      <c r="S123" s="7" t="s">
        <v>148</v>
      </c>
      <c r="T123" s="7">
        <v>1.0</v>
      </c>
      <c r="U123" s="7" t="s">
        <v>41</v>
      </c>
      <c r="V123" s="7"/>
      <c r="W123" s="7" t="s">
        <v>152</v>
      </c>
      <c r="X123" s="7" t="s">
        <v>41</v>
      </c>
      <c r="Y123" s="7"/>
      <c r="Z123" s="7"/>
      <c r="AA123" s="7"/>
      <c r="AB123" s="7" t="s">
        <v>105</v>
      </c>
      <c r="AC123" s="7" t="s">
        <v>119</v>
      </c>
      <c r="AD123" s="7" t="s">
        <v>1407</v>
      </c>
    </row>
    <row r="124" ht="15.75" customHeight="1">
      <c r="A124" s="7" t="s">
        <v>1473</v>
      </c>
      <c r="B124" s="7" t="s">
        <v>1474</v>
      </c>
      <c r="C124" s="7" t="s">
        <v>1307</v>
      </c>
      <c r="D124" s="7" t="s">
        <v>1476</v>
      </c>
      <c r="E124" s="7">
        <v>1.0</v>
      </c>
      <c r="F124" s="7" t="s">
        <v>1477</v>
      </c>
      <c r="G124" s="7" t="s">
        <v>137</v>
      </c>
      <c r="H124" s="7" t="s">
        <v>48</v>
      </c>
      <c r="I124" s="7"/>
      <c r="J124" s="7"/>
      <c r="K124" s="7" t="s">
        <v>121</v>
      </c>
      <c r="L124" s="7" t="s">
        <v>121</v>
      </c>
      <c r="M124" s="7" t="s">
        <v>121</v>
      </c>
      <c r="N124" s="7" t="s">
        <v>142</v>
      </c>
      <c r="O124" s="7" t="s">
        <v>143</v>
      </c>
      <c r="P124" s="7" t="s">
        <v>247</v>
      </c>
      <c r="Q124" s="7" t="s">
        <v>1480</v>
      </c>
      <c r="R124" s="7" t="s">
        <v>1481</v>
      </c>
      <c r="S124" s="7" t="s">
        <v>188</v>
      </c>
      <c r="T124" s="7">
        <v>1.0</v>
      </c>
      <c r="U124" s="7" t="s">
        <v>41</v>
      </c>
      <c r="V124" s="7"/>
      <c r="W124" s="7" t="s">
        <v>152</v>
      </c>
      <c r="X124" s="7" t="s">
        <v>41</v>
      </c>
      <c r="Y124" s="7"/>
      <c r="Z124" s="7" t="s">
        <v>121</v>
      </c>
      <c r="AA124" s="7"/>
      <c r="AB124" s="7" t="s">
        <v>138</v>
      </c>
      <c r="AC124" s="7" t="s">
        <v>59</v>
      </c>
      <c r="AD124" s="7" t="s">
        <v>1484</v>
      </c>
    </row>
    <row r="125" ht="15.75" customHeight="1">
      <c r="A125" s="7" t="s">
        <v>1473</v>
      </c>
      <c r="B125" s="7" t="s">
        <v>1474</v>
      </c>
      <c r="C125" s="7" t="s">
        <v>1307</v>
      </c>
      <c r="D125" s="7" t="s">
        <v>1476</v>
      </c>
      <c r="E125" s="7">
        <v>2.0</v>
      </c>
      <c r="F125" s="7" t="s">
        <v>1487</v>
      </c>
      <c r="G125" s="7" t="s">
        <v>137</v>
      </c>
      <c r="H125" s="7" t="s">
        <v>100</v>
      </c>
      <c r="I125" s="7"/>
      <c r="J125" s="7"/>
      <c r="K125" s="7" t="s">
        <v>121</v>
      </c>
      <c r="L125" s="7" t="s">
        <v>121</v>
      </c>
      <c r="M125" s="7" t="s">
        <v>121</v>
      </c>
      <c r="N125" s="7" t="s">
        <v>79</v>
      </c>
      <c r="O125" s="7" t="s">
        <v>143</v>
      </c>
      <c r="P125" s="7" t="s">
        <v>54</v>
      </c>
      <c r="Q125" s="7" t="s">
        <v>1490</v>
      </c>
      <c r="R125" s="7" t="s">
        <v>1491</v>
      </c>
      <c r="S125" s="7" t="s">
        <v>148</v>
      </c>
      <c r="T125" s="7">
        <v>1.0</v>
      </c>
      <c r="U125" s="7" t="s">
        <v>41</v>
      </c>
      <c r="V125" s="7"/>
      <c r="W125" s="7" t="s">
        <v>152</v>
      </c>
      <c r="X125" s="7" t="s">
        <v>41</v>
      </c>
      <c r="Y125" s="7"/>
      <c r="Z125" s="7" t="s">
        <v>121</v>
      </c>
      <c r="AA125" s="7"/>
      <c r="AB125" s="7" t="s">
        <v>138</v>
      </c>
      <c r="AC125" s="7" t="s">
        <v>106</v>
      </c>
      <c r="AD125" s="7" t="s">
        <v>1484</v>
      </c>
    </row>
    <row r="126" ht="15.75" customHeight="1">
      <c r="A126" s="7" t="s">
        <v>1473</v>
      </c>
      <c r="B126" s="7" t="s">
        <v>1474</v>
      </c>
      <c r="C126" s="7" t="s">
        <v>1307</v>
      </c>
      <c r="D126" s="7" t="s">
        <v>1476</v>
      </c>
      <c r="E126" s="7">
        <v>3.0</v>
      </c>
      <c r="F126" s="7" t="s">
        <v>1495</v>
      </c>
      <c r="G126" s="7" t="s">
        <v>137</v>
      </c>
      <c r="H126" s="7" t="s">
        <v>110</v>
      </c>
      <c r="I126" s="7"/>
      <c r="J126" s="7"/>
      <c r="K126" s="7" t="s">
        <v>1497</v>
      </c>
      <c r="L126" s="7" t="s">
        <v>1498</v>
      </c>
      <c r="M126" s="7" t="s">
        <v>614</v>
      </c>
      <c r="N126" s="7" t="s">
        <v>79</v>
      </c>
      <c r="O126" s="7" t="s">
        <v>143</v>
      </c>
      <c r="P126" s="7" t="s">
        <v>54</v>
      </c>
      <c r="Q126" s="7" t="s">
        <v>1500</v>
      </c>
      <c r="R126" s="7" t="s">
        <v>1491</v>
      </c>
      <c r="S126" s="7" t="s">
        <v>188</v>
      </c>
      <c r="T126" s="7">
        <v>1.0</v>
      </c>
      <c r="U126" s="7" t="s">
        <v>41</v>
      </c>
      <c r="V126" s="7"/>
      <c r="W126" s="7" t="s">
        <v>152</v>
      </c>
      <c r="X126" s="7" t="s">
        <v>41</v>
      </c>
      <c r="Y126" s="7"/>
      <c r="Z126" s="7"/>
      <c r="AA126" s="7"/>
      <c r="AB126" s="7" t="s">
        <v>1497</v>
      </c>
      <c r="AC126" s="7" t="s">
        <v>119</v>
      </c>
      <c r="AD126" s="7" t="s">
        <v>1484</v>
      </c>
    </row>
    <row r="127" ht="15.75" customHeight="1">
      <c r="A127" s="7" t="s">
        <v>1503</v>
      </c>
      <c r="B127" s="7" t="s">
        <v>1504</v>
      </c>
      <c r="C127" s="7" t="s">
        <v>1307</v>
      </c>
      <c r="D127" s="7" t="s">
        <v>1505</v>
      </c>
      <c r="E127" s="7">
        <v>1.0</v>
      </c>
      <c r="F127" s="7" t="s">
        <v>1507</v>
      </c>
      <c r="G127" s="7" t="s">
        <v>137</v>
      </c>
      <c r="H127" s="7" t="s">
        <v>48</v>
      </c>
      <c r="I127" s="7"/>
      <c r="J127" s="7"/>
      <c r="K127" s="7" t="s">
        <v>121</v>
      </c>
      <c r="L127" s="7" t="s">
        <v>121</v>
      </c>
      <c r="M127" s="7" t="s">
        <v>121</v>
      </c>
      <c r="N127" s="7" t="s">
        <v>79</v>
      </c>
      <c r="O127" s="7" t="s">
        <v>143</v>
      </c>
      <c r="P127" s="7" t="s">
        <v>247</v>
      </c>
      <c r="Q127" s="7" t="s">
        <v>1510</v>
      </c>
      <c r="R127" s="7" t="s">
        <v>1512</v>
      </c>
      <c r="S127" s="7" t="s">
        <v>148</v>
      </c>
      <c r="T127" s="7">
        <v>1.0</v>
      </c>
      <c r="U127" s="7" t="s">
        <v>41</v>
      </c>
      <c r="V127" s="7"/>
      <c r="W127" s="7" t="s">
        <v>152</v>
      </c>
      <c r="X127" s="7" t="s">
        <v>41</v>
      </c>
      <c r="Y127" s="7"/>
      <c r="Z127" s="7" t="s">
        <v>121</v>
      </c>
      <c r="AA127" s="7"/>
      <c r="AB127" s="7" t="s">
        <v>138</v>
      </c>
      <c r="AC127" s="7" t="s">
        <v>59</v>
      </c>
      <c r="AD127" s="7" t="s">
        <v>1514</v>
      </c>
    </row>
    <row r="128" ht="15.75" customHeight="1">
      <c r="A128" s="7" t="s">
        <v>1503</v>
      </c>
      <c r="B128" s="7" t="s">
        <v>1504</v>
      </c>
      <c r="C128" s="7" t="s">
        <v>1307</v>
      </c>
      <c r="D128" s="7" t="s">
        <v>1505</v>
      </c>
      <c r="E128" s="7">
        <v>2.0</v>
      </c>
      <c r="F128" s="7" t="s">
        <v>1516</v>
      </c>
      <c r="G128" s="7" t="s">
        <v>137</v>
      </c>
      <c r="H128" s="7" t="s">
        <v>48</v>
      </c>
      <c r="I128" s="7"/>
      <c r="J128" s="7"/>
      <c r="K128" s="7" t="s">
        <v>121</v>
      </c>
      <c r="L128" s="7" t="s">
        <v>121</v>
      </c>
      <c r="M128" s="7" t="s">
        <v>121</v>
      </c>
      <c r="N128" s="7" t="s">
        <v>79</v>
      </c>
      <c r="O128" s="7" t="s">
        <v>143</v>
      </c>
      <c r="P128" s="7" t="s">
        <v>247</v>
      </c>
      <c r="Q128" s="7" t="s">
        <v>1518</v>
      </c>
      <c r="R128" s="7" t="s">
        <v>1519</v>
      </c>
      <c r="S128" s="7" t="s">
        <v>188</v>
      </c>
      <c r="T128" s="7">
        <v>1.0</v>
      </c>
      <c r="U128" s="7" t="s">
        <v>41</v>
      </c>
      <c r="V128" s="7"/>
      <c r="W128" s="7" t="s">
        <v>152</v>
      </c>
      <c r="X128" s="7" t="s">
        <v>41</v>
      </c>
      <c r="Y128" s="7"/>
      <c r="Z128" s="7" t="s">
        <v>121</v>
      </c>
      <c r="AA128" s="7"/>
      <c r="AB128" s="7" t="s">
        <v>138</v>
      </c>
      <c r="AC128" s="7" t="s">
        <v>59</v>
      </c>
      <c r="AD128" s="7" t="s">
        <v>1514</v>
      </c>
    </row>
    <row r="129" ht="15.75" customHeight="1">
      <c r="A129" s="7" t="s">
        <v>1522</v>
      </c>
      <c r="B129" s="7" t="s">
        <v>1524</v>
      </c>
      <c r="C129" s="7" t="s">
        <v>1307</v>
      </c>
      <c r="D129" s="7" t="s">
        <v>1525</v>
      </c>
      <c r="E129" s="7">
        <v>1.0</v>
      </c>
      <c r="F129" s="7" t="s">
        <v>163</v>
      </c>
      <c r="G129" s="7"/>
      <c r="H129" s="7"/>
      <c r="I129" s="7"/>
      <c r="J129" s="7"/>
      <c r="K129" s="7" t="s">
        <v>121</v>
      </c>
      <c r="L129" s="7" t="s">
        <v>121</v>
      </c>
      <c r="M129" s="7" t="s">
        <v>121</v>
      </c>
      <c r="N129" s="7" t="s">
        <v>167</v>
      </c>
      <c r="O129" s="7" t="s">
        <v>167</v>
      </c>
      <c r="P129" s="7" t="s">
        <v>167</v>
      </c>
      <c r="Q129" s="7" t="s">
        <v>167</v>
      </c>
      <c r="R129" s="7" t="s">
        <v>167</v>
      </c>
      <c r="S129" s="7"/>
      <c r="T129" s="7">
        <v>1.0</v>
      </c>
      <c r="U129" s="7" t="s">
        <v>170</v>
      </c>
      <c r="V129" s="7"/>
      <c r="W129" s="7" t="s">
        <v>152</v>
      </c>
      <c r="X129" s="7" t="s">
        <v>170</v>
      </c>
      <c r="Y129" s="7" t="s">
        <v>172</v>
      </c>
      <c r="Z129" s="7"/>
      <c r="AA129" s="7"/>
      <c r="AB129" s="7"/>
      <c r="AC129" s="7"/>
      <c r="AD129" s="7"/>
    </row>
    <row r="130" ht="15.75" customHeight="1">
      <c r="A130" s="7" t="s">
        <v>1527</v>
      </c>
      <c r="B130" s="7" t="s">
        <v>1528</v>
      </c>
      <c r="C130" s="7" t="s">
        <v>1307</v>
      </c>
      <c r="D130" s="7" t="s">
        <v>1529</v>
      </c>
      <c r="E130" s="7">
        <v>1.0</v>
      </c>
      <c r="F130" s="7" t="s">
        <v>163</v>
      </c>
      <c r="G130" s="7"/>
      <c r="H130" s="7"/>
      <c r="I130" s="7"/>
      <c r="J130" s="7"/>
      <c r="K130" s="7" t="s">
        <v>121</v>
      </c>
      <c r="L130" s="7" t="s">
        <v>121</v>
      </c>
      <c r="M130" s="7" t="s">
        <v>121</v>
      </c>
      <c r="N130" s="7"/>
      <c r="O130" s="7" t="s">
        <v>167</v>
      </c>
      <c r="P130" s="7" t="s">
        <v>167</v>
      </c>
      <c r="Q130" s="7" t="s">
        <v>167</v>
      </c>
      <c r="R130" s="7" t="s">
        <v>167</v>
      </c>
      <c r="S130" s="7"/>
      <c r="T130" s="7">
        <v>1.0</v>
      </c>
      <c r="U130" s="7" t="s">
        <v>170</v>
      </c>
      <c r="V130" s="7"/>
      <c r="W130" s="7" t="s">
        <v>152</v>
      </c>
      <c r="X130" s="7" t="s">
        <v>170</v>
      </c>
      <c r="Y130" s="7" t="s">
        <v>172</v>
      </c>
      <c r="Z130" s="7"/>
      <c r="AA130" s="7"/>
      <c r="AB130" s="7"/>
      <c r="AC130" s="7"/>
      <c r="AD130" s="7"/>
    </row>
    <row r="131" ht="15.75" customHeight="1">
      <c r="A131" s="7" t="s">
        <v>1533</v>
      </c>
      <c r="B131" s="7" t="s">
        <v>1534</v>
      </c>
      <c r="C131" s="7" t="s">
        <v>1307</v>
      </c>
      <c r="D131" s="7" t="s">
        <v>1536</v>
      </c>
      <c r="E131" s="7">
        <v>1.0</v>
      </c>
      <c r="F131" s="7" t="s">
        <v>1537</v>
      </c>
      <c r="G131" s="7" t="s">
        <v>137</v>
      </c>
      <c r="H131" s="7" t="s">
        <v>48</v>
      </c>
      <c r="I131" s="7"/>
      <c r="J131" s="7"/>
      <c r="K131" s="7" t="s">
        <v>139</v>
      </c>
      <c r="L131" s="7" t="s">
        <v>139</v>
      </c>
      <c r="M131" s="7" t="s">
        <v>121</v>
      </c>
      <c r="N131" s="7" t="s">
        <v>34</v>
      </c>
      <c r="O131" s="7" t="s">
        <v>143</v>
      </c>
      <c r="P131" s="7" t="s">
        <v>247</v>
      </c>
      <c r="Q131" s="7" t="s">
        <v>1538</v>
      </c>
      <c r="R131" s="7" t="s">
        <v>1539</v>
      </c>
      <c r="S131" s="7" t="s">
        <v>188</v>
      </c>
      <c r="T131" s="7">
        <v>1.0</v>
      </c>
      <c r="U131" s="7" t="s">
        <v>41</v>
      </c>
      <c r="V131" s="7"/>
      <c r="W131" s="7" t="s">
        <v>152</v>
      </c>
      <c r="X131" s="7" t="s">
        <v>41</v>
      </c>
      <c r="Y131" s="7"/>
      <c r="Z131" s="7" t="s">
        <v>139</v>
      </c>
      <c r="AA131" s="7"/>
      <c r="AB131" s="7" t="s">
        <v>138</v>
      </c>
      <c r="AC131" s="7" t="s">
        <v>59</v>
      </c>
      <c r="AD131" s="7"/>
    </row>
    <row r="132" ht="15.75" customHeight="1">
      <c r="A132" s="7" t="s">
        <v>1533</v>
      </c>
      <c r="B132" s="7" t="s">
        <v>1534</v>
      </c>
      <c r="C132" s="7" t="s">
        <v>1307</v>
      </c>
      <c r="D132" s="7" t="s">
        <v>1536</v>
      </c>
      <c r="E132" s="7">
        <v>2.0</v>
      </c>
      <c r="F132" s="7" t="s">
        <v>1543</v>
      </c>
      <c r="G132" s="7" t="s">
        <v>631</v>
      </c>
      <c r="H132" s="7"/>
      <c r="I132" s="7"/>
      <c r="J132" s="7"/>
      <c r="K132" s="7" t="s">
        <v>139</v>
      </c>
      <c r="L132" s="7" t="s">
        <v>139</v>
      </c>
      <c r="M132" s="7" t="s">
        <v>121</v>
      </c>
      <c r="N132" s="7" t="s">
        <v>34</v>
      </c>
      <c r="O132" s="7" t="s">
        <v>143</v>
      </c>
      <c r="P132" s="7" t="s">
        <v>1546</v>
      </c>
      <c r="Q132" s="7" t="s">
        <v>1548</v>
      </c>
      <c r="R132" s="7" t="s">
        <v>1549</v>
      </c>
      <c r="S132" s="7" t="s">
        <v>188</v>
      </c>
      <c r="T132" s="7">
        <v>1.0</v>
      </c>
      <c r="U132" s="7" t="s">
        <v>41</v>
      </c>
      <c r="V132" s="7"/>
      <c r="W132" s="7" t="s">
        <v>152</v>
      </c>
      <c r="X132" s="7" t="s">
        <v>41</v>
      </c>
      <c r="Y132" s="7"/>
      <c r="Z132" s="7" t="s">
        <v>139</v>
      </c>
      <c r="AA132" s="7" t="s">
        <v>631</v>
      </c>
      <c r="AB132" s="7" t="s">
        <v>138</v>
      </c>
      <c r="AC132" s="7" t="s">
        <v>78</v>
      </c>
      <c r="AD132" s="7"/>
    </row>
    <row r="133" ht="15.75" customHeight="1">
      <c r="A133" s="7" t="s">
        <v>1533</v>
      </c>
      <c r="B133" s="7" t="s">
        <v>1534</v>
      </c>
      <c r="C133" s="7" t="s">
        <v>1307</v>
      </c>
      <c r="D133" s="7" t="s">
        <v>1536</v>
      </c>
      <c r="E133" s="7">
        <v>3.0</v>
      </c>
      <c r="F133" s="7" t="s">
        <v>1552</v>
      </c>
      <c r="G133" s="7" t="s">
        <v>137</v>
      </c>
      <c r="H133" s="7" t="s">
        <v>48</v>
      </c>
      <c r="I133" s="7"/>
      <c r="J133" s="7"/>
      <c r="K133" s="7" t="s">
        <v>72</v>
      </c>
      <c r="L133" s="7" t="s">
        <v>63</v>
      </c>
      <c r="M133" s="7" t="s">
        <v>182</v>
      </c>
      <c r="N133" s="7" t="s">
        <v>34</v>
      </c>
      <c r="O133" s="7" t="s">
        <v>143</v>
      </c>
      <c r="P133" s="7" t="s">
        <v>247</v>
      </c>
      <c r="Q133" s="7" t="s">
        <v>1556</v>
      </c>
      <c r="R133" s="7" t="s">
        <v>1549</v>
      </c>
      <c r="S133" s="7" t="s">
        <v>148</v>
      </c>
      <c r="T133" s="7">
        <v>1.0</v>
      </c>
      <c r="U133" s="7" t="s">
        <v>41</v>
      </c>
      <c r="V133" s="7"/>
      <c r="W133" s="7" t="s">
        <v>152</v>
      </c>
      <c r="X133" s="7" t="s">
        <v>41</v>
      </c>
      <c r="Y133" s="7"/>
      <c r="Z133" s="7"/>
      <c r="AA133" s="7"/>
      <c r="AB133" s="7" t="s">
        <v>72</v>
      </c>
      <c r="AC133" s="7" t="s">
        <v>59</v>
      </c>
      <c r="AD133" s="7"/>
    </row>
    <row r="134" ht="15.75" customHeight="1">
      <c r="A134" s="7" t="s">
        <v>1533</v>
      </c>
      <c r="B134" s="7" t="s">
        <v>1534</v>
      </c>
      <c r="C134" s="7" t="s">
        <v>1307</v>
      </c>
      <c r="D134" s="7" t="s">
        <v>1536</v>
      </c>
      <c r="E134" s="7">
        <v>4.0</v>
      </c>
      <c r="F134" s="7" t="s">
        <v>1561</v>
      </c>
      <c r="G134" s="7" t="s">
        <v>137</v>
      </c>
      <c r="H134" s="7" t="s">
        <v>48</v>
      </c>
      <c r="I134" s="7"/>
      <c r="J134" s="7"/>
      <c r="K134" s="7" t="s">
        <v>72</v>
      </c>
      <c r="L134" s="7" t="s">
        <v>63</v>
      </c>
      <c r="M134" s="7" t="s">
        <v>182</v>
      </c>
      <c r="N134" s="7" t="s">
        <v>142</v>
      </c>
      <c r="O134" s="7" t="s">
        <v>143</v>
      </c>
      <c r="P134" s="7" t="s">
        <v>54</v>
      </c>
      <c r="Q134" s="7" t="s">
        <v>1563</v>
      </c>
      <c r="R134" s="7" t="s">
        <v>1564</v>
      </c>
      <c r="S134" s="7" t="s">
        <v>148</v>
      </c>
      <c r="T134" s="7">
        <v>1.0</v>
      </c>
      <c r="U134" s="7" t="s">
        <v>41</v>
      </c>
      <c r="V134" s="7"/>
      <c r="W134" s="7" t="s">
        <v>152</v>
      </c>
      <c r="X134" s="7" t="s">
        <v>41</v>
      </c>
      <c r="Y134" s="7"/>
      <c r="Z134" s="7"/>
      <c r="AA134" s="7"/>
      <c r="AB134" s="7" t="s">
        <v>72</v>
      </c>
      <c r="AC134" s="7" t="s">
        <v>59</v>
      </c>
      <c r="AD134" s="7"/>
    </row>
    <row r="135" ht="15.75" customHeight="1">
      <c r="A135" s="7" t="s">
        <v>1533</v>
      </c>
      <c r="B135" s="7" t="s">
        <v>1534</v>
      </c>
      <c r="C135" s="7" t="s">
        <v>1307</v>
      </c>
      <c r="D135" s="7" t="s">
        <v>1536</v>
      </c>
      <c r="E135" s="7">
        <v>5.0</v>
      </c>
      <c r="F135" s="7" t="s">
        <v>1568</v>
      </c>
      <c r="G135" s="7" t="s">
        <v>137</v>
      </c>
      <c r="H135" s="7" t="s">
        <v>100</v>
      </c>
      <c r="I135" s="7"/>
      <c r="J135" s="7"/>
      <c r="K135" s="7" t="s">
        <v>139</v>
      </c>
      <c r="L135" s="7" t="s">
        <v>139</v>
      </c>
      <c r="M135" s="7" t="s">
        <v>121</v>
      </c>
      <c r="N135" s="7" t="s">
        <v>79</v>
      </c>
      <c r="O135" s="7" t="s">
        <v>1570</v>
      </c>
      <c r="P135" s="7" t="s">
        <v>167</v>
      </c>
      <c r="Q135" s="7" t="s">
        <v>1573</v>
      </c>
      <c r="R135" s="7" t="s">
        <v>1574</v>
      </c>
      <c r="S135" s="7" t="s">
        <v>188</v>
      </c>
      <c r="T135" s="7">
        <v>1.0</v>
      </c>
      <c r="U135" s="7" t="s">
        <v>41</v>
      </c>
      <c r="V135" s="7"/>
      <c r="W135" s="7" t="s">
        <v>152</v>
      </c>
      <c r="X135" s="7" t="s">
        <v>41</v>
      </c>
      <c r="Y135" s="7"/>
      <c r="Z135" s="7" t="s">
        <v>139</v>
      </c>
      <c r="AA135" s="7"/>
      <c r="AB135" s="7" t="s">
        <v>138</v>
      </c>
      <c r="AC135" s="7" t="s">
        <v>106</v>
      </c>
      <c r="AD135" s="7"/>
    </row>
    <row r="136" ht="15.75" customHeight="1">
      <c r="A136" s="7" t="s">
        <v>1533</v>
      </c>
      <c r="B136" s="7" t="s">
        <v>1534</v>
      </c>
      <c r="C136" s="7" t="s">
        <v>1307</v>
      </c>
      <c r="D136" s="7" t="s">
        <v>1536</v>
      </c>
      <c r="E136" s="7">
        <v>6.0</v>
      </c>
      <c r="F136" s="7" t="s">
        <v>1576</v>
      </c>
      <c r="G136" s="7" t="s">
        <v>137</v>
      </c>
      <c r="H136" s="7" t="s">
        <v>48</v>
      </c>
      <c r="I136" s="7"/>
      <c r="J136" s="7"/>
      <c r="K136" s="7" t="s">
        <v>139</v>
      </c>
      <c r="L136" s="7" t="s">
        <v>139</v>
      </c>
      <c r="M136" s="7" t="s">
        <v>121</v>
      </c>
      <c r="N136" s="7" t="s">
        <v>79</v>
      </c>
      <c r="O136" s="7" t="s">
        <v>1580</v>
      </c>
      <c r="P136" s="7" t="s">
        <v>167</v>
      </c>
      <c r="Q136" s="7" t="s">
        <v>1581</v>
      </c>
      <c r="R136" s="7" t="s">
        <v>1574</v>
      </c>
      <c r="S136" s="7" t="s">
        <v>188</v>
      </c>
      <c r="T136" s="7">
        <v>1.0</v>
      </c>
      <c r="U136" s="7" t="s">
        <v>41</v>
      </c>
      <c r="V136" s="7"/>
      <c r="W136" s="7" t="s">
        <v>152</v>
      </c>
      <c r="X136" s="7" t="s">
        <v>41</v>
      </c>
      <c r="Y136" s="7"/>
      <c r="Z136" s="7" t="s">
        <v>139</v>
      </c>
      <c r="AA136" s="7"/>
      <c r="AB136" s="7" t="s">
        <v>138</v>
      </c>
      <c r="AC136" s="7" t="s">
        <v>59</v>
      </c>
      <c r="AD136" s="7"/>
    </row>
    <row r="137" ht="15.75" customHeight="1">
      <c r="A137" s="7" t="s">
        <v>1583</v>
      </c>
      <c r="B137" s="7" t="s">
        <v>1584</v>
      </c>
      <c r="C137" s="7" t="s">
        <v>1307</v>
      </c>
      <c r="D137" s="7" t="s">
        <v>1586</v>
      </c>
      <c r="E137" s="7">
        <v>1.0</v>
      </c>
      <c r="F137" s="7" t="s">
        <v>1587</v>
      </c>
      <c r="G137" s="7" t="s">
        <v>631</v>
      </c>
      <c r="H137" s="7"/>
      <c r="I137" s="7"/>
      <c r="J137" s="7"/>
      <c r="K137" s="7" t="s">
        <v>1589</v>
      </c>
      <c r="L137" s="7" t="s">
        <v>1591</v>
      </c>
      <c r="M137" s="7" t="s">
        <v>1592</v>
      </c>
      <c r="N137" s="7" t="s">
        <v>79</v>
      </c>
      <c r="O137" s="7" t="s">
        <v>143</v>
      </c>
      <c r="P137" s="7" t="s">
        <v>247</v>
      </c>
      <c r="Q137" s="7" t="s">
        <v>1593</v>
      </c>
      <c r="R137" s="7" t="s">
        <v>1594</v>
      </c>
      <c r="S137" s="7" t="s">
        <v>188</v>
      </c>
      <c r="T137" s="7">
        <v>1.0</v>
      </c>
      <c r="U137" s="7" t="s">
        <v>41</v>
      </c>
      <c r="V137" s="7"/>
      <c r="W137" s="7" t="s">
        <v>152</v>
      </c>
      <c r="X137" s="7" t="s">
        <v>41</v>
      </c>
      <c r="Y137" s="7"/>
      <c r="Z137" s="7"/>
      <c r="AA137" s="7" t="s">
        <v>631</v>
      </c>
      <c r="AB137" s="7" t="s">
        <v>1589</v>
      </c>
      <c r="AC137" s="7" t="s">
        <v>78</v>
      </c>
      <c r="AD137" s="7"/>
    </row>
    <row r="138" ht="15.75" customHeight="1">
      <c r="A138" s="7" t="s">
        <v>1583</v>
      </c>
      <c r="B138" s="7" t="s">
        <v>1584</v>
      </c>
      <c r="C138" s="7" t="s">
        <v>1307</v>
      </c>
      <c r="D138" s="7" t="s">
        <v>1586</v>
      </c>
      <c r="E138" s="7">
        <v>2.0</v>
      </c>
      <c r="F138" s="7" t="s">
        <v>1598</v>
      </c>
      <c r="G138" s="7" t="s">
        <v>137</v>
      </c>
      <c r="H138" s="7" t="s">
        <v>329</v>
      </c>
      <c r="I138" s="7"/>
      <c r="J138" s="7"/>
      <c r="K138" s="7" t="s">
        <v>260</v>
      </c>
      <c r="L138" s="7" t="s">
        <v>261</v>
      </c>
      <c r="M138" s="7" t="s">
        <v>182</v>
      </c>
      <c r="N138" s="7" t="s">
        <v>79</v>
      </c>
      <c r="O138" s="7" t="s">
        <v>143</v>
      </c>
      <c r="P138" s="7" t="s">
        <v>247</v>
      </c>
      <c r="Q138" s="7" t="s">
        <v>1600</v>
      </c>
      <c r="R138" s="7" t="s">
        <v>1601</v>
      </c>
      <c r="S138" s="7" t="s">
        <v>188</v>
      </c>
      <c r="T138" s="7">
        <v>1.0</v>
      </c>
      <c r="U138" s="7" t="s">
        <v>41</v>
      </c>
      <c r="V138" s="7"/>
      <c r="W138" s="7" t="s">
        <v>152</v>
      </c>
      <c r="X138" s="7" t="s">
        <v>41</v>
      </c>
      <c r="Y138" s="7"/>
      <c r="Z138" s="7"/>
      <c r="AA138" s="7"/>
      <c r="AB138" s="7" t="s">
        <v>260</v>
      </c>
      <c r="AC138" s="7" t="s">
        <v>540</v>
      </c>
      <c r="AD138" s="7"/>
    </row>
    <row r="139" ht="15.75" customHeight="1">
      <c r="A139" s="7" t="s">
        <v>1583</v>
      </c>
      <c r="B139" s="7" t="s">
        <v>1584</v>
      </c>
      <c r="C139" s="7" t="s">
        <v>1307</v>
      </c>
      <c r="D139" s="7" t="s">
        <v>1586</v>
      </c>
      <c r="E139" s="7">
        <v>3.0</v>
      </c>
      <c r="F139" s="7" t="s">
        <v>1605</v>
      </c>
      <c r="G139" s="7" t="s">
        <v>137</v>
      </c>
      <c r="H139" s="7" t="s">
        <v>329</v>
      </c>
      <c r="I139" s="7"/>
      <c r="J139" s="7"/>
      <c r="K139" s="7" t="s">
        <v>121</v>
      </c>
      <c r="L139" s="7" t="s">
        <v>121</v>
      </c>
      <c r="M139" s="7" t="s">
        <v>121</v>
      </c>
      <c r="N139" s="7" t="s">
        <v>79</v>
      </c>
      <c r="O139" s="7" t="s">
        <v>143</v>
      </c>
      <c r="P139" s="7" t="s">
        <v>247</v>
      </c>
      <c r="Q139" s="7" t="s">
        <v>1608</v>
      </c>
      <c r="R139" s="7" t="s">
        <v>1609</v>
      </c>
      <c r="S139" s="7" t="s">
        <v>188</v>
      </c>
      <c r="T139" s="7">
        <v>1.0</v>
      </c>
      <c r="U139" s="7" t="s">
        <v>41</v>
      </c>
      <c r="V139" s="7"/>
      <c r="W139" s="7" t="s">
        <v>152</v>
      </c>
      <c r="X139" s="7" t="s">
        <v>41</v>
      </c>
      <c r="Y139" s="7"/>
      <c r="Z139" s="7" t="s">
        <v>121</v>
      </c>
      <c r="AA139" s="7"/>
      <c r="AB139" s="7" t="s">
        <v>138</v>
      </c>
      <c r="AC139" s="7" t="s">
        <v>540</v>
      </c>
      <c r="AD139" s="7"/>
    </row>
    <row r="140" ht="15.75" customHeight="1">
      <c r="A140" s="7" t="s">
        <v>1583</v>
      </c>
      <c r="B140" s="7" t="s">
        <v>1584</v>
      </c>
      <c r="C140" s="7" t="s">
        <v>1307</v>
      </c>
      <c r="D140" s="7" t="s">
        <v>1586</v>
      </c>
      <c r="E140" s="7">
        <v>4.0</v>
      </c>
      <c r="F140" s="7" t="s">
        <v>1612</v>
      </c>
      <c r="G140" s="7" t="s">
        <v>137</v>
      </c>
      <c r="H140" s="7" t="s">
        <v>329</v>
      </c>
      <c r="I140" s="7"/>
      <c r="J140" s="7"/>
      <c r="K140" s="7" t="s">
        <v>72</v>
      </c>
      <c r="L140" s="7" t="s">
        <v>63</v>
      </c>
      <c r="M140" s="7" t="s">
        <v>182</v>
      </c>
      <c r="N140" s="7" t="s">
        <v>79</v>
      </c>
      <c r="O140" s="7" t="s">
        <v>143</v>
      </c>
      <c r="P140" s="7" t="s">
        <v>247</v>
      </c>
      <c r="Q140" s="7" t="s">
        <v>1614</v>
      </c>
      <c r="R140" s="7" t="s">
        <v>1615</v>
      </c>
      <c r="S140" s="7" t="s">
        <v>188</v>
      </c>
      <c r="T140" s="7">
        <v>1.0</v>
      </c>
      <c r="U140" s="7" t="s">
        <v>41</v>
      </c>
      <c r="V140" s="7"/>
      <c r="W140" s="7" t="s">
        <v>152</v>
      </c>
      <c r="X140" s="7" t="s">
        <v>41</v>
      </c>
      <c r="Y140" s="7"/>
      <c r="Z140" s="7"/>
      <c r="AA140" s="7"/>
      <c r="AB140" s="7" t="s">
        <v>72</v>
      </c>
      <c r="AC140" s="7" t="s">
        <v>540</v>
      </c>
      <c r="AD140" s="7"/>
    </row>
    <row r="141" ht="15.75" customHeight="1">
      <c r="A141" s="7" t="s">
        <v>1583</v>
      </c>
      <c r="B141" s="7" t="s">
        <v>1584</v>
      </c>
      <c r="C141" s="7" t="s">
        <v>1307</v>
      </c>
      <c r="D141" s="7" t="s">
        <v>1586</v>
      </c>
      <c r="E141" s="7">
        <v>5.0</v>
      </c>
      <c r="F141" s="7" t="s">
        <v>1620</v>
      </c>
      <c r="G141" s="7" t="s">
        <v>631</v>
      </c>
      <c r="H141" s="7"/>
      <c r="I141" s="7"/>
      <c r="J141" s="7"/>
      <c r="K141" s="7" t="s">
        <v>118</v>
      </c>
      <c r="L141" s="7" t="s">
        <v>112</v>
      </c>
      <c r="M141" s="7" t="s">
        <v>182</v>
      </c>
      <c r="N141" s="7" t="s">
        <v>79</v>
      </c>
      <c r="O141" s="7" t="s">
        <v>143</v>
      </c>
      <c r="P141" s="7" t="s">
        <v>247</v>
      </c>
      <c r="Q141" s="7" t="s">
        <v>1622</v>
      </c>
      <c r="R141" s="7" t="s">
        <v>1624</v>
      </c>
      <c r="S141" s="7" t="s">
        <v>188</v>
      </c>
      <c r="T141" s="7">
        <v>1.0</v>
      </c>
      <c r="U141" s="7" t="s">
        <v>41</v>
      </c>
      <c r="V141" s="7"/>
      <c r="W141" s="7" t="s">
        <v>152</v>
      </c>
      <c r="X141" s="7" t="s">
        <v>41</v>
      </c>
      <c r="Y141" s="7"/>
      <c r="Z141" s="7"/>
      <c r="AA141" s="7" t="s">
        <v>631</v>
      </c>
      <c r="AB141" s="7" t="s">
        <v>118</v>
      </c>
      <c r="AC141" s="7" t="s">
        <v>78</v>
      </c>
      <c r="AD141" s="7"/>
    </row>
    <row r="142" ht="15.75" customHeight="1">
      <c r="A142" s="7" t="s">
        <v>1626</v>
      </c>
      <c r="B142" s="7" t="s">
        <v>1628</v>
      </c>
      <c r="C142" s="7" t="s">
        <v>1307</v>
      </c>
      <c r="D142" s="7" t="s">
        <v>1629</v>
      </c>
      <c r="E142" s="7">
        <v>1.0</v>
      </c>
      <c r="F142" s="7" t="s">
        <v>163</v>
      </c>
      <c r="G142" s="7"/>
      <c r="H142" s="7"/>
      <c r="I142" s="7"/>
      <c r="J142" s="7"/>
      <c r="K142" s="7" t="s">
        <v>121</v>
      </c>
      <c r="L142" s="7" t="s">
        <v>121</v>
      </c>
      <c r="M142" s="7" t="s">
        <v>121</v>
      </c>
      <c r="N142" s="7"/>
      <c r="O142" s="7" t="s">
        <v>167</v>
      </c>
      <c r="P142" s="7" t="s">
        <v>167</v>
      </c>
      <c r="Q142" s="7" t="s">
        <v>167</v>
      </c>
      <c r="R142" s="7" t="s">
        <v>167</v>
      </c>
      <c r="S142" s="7"/>
      <c r="T142" s="7">
        <v>1.0</v>
      </c>
      <c r="U142" s="7" t="s">
        <v>170</v>
      </c>
      <c r="V142" s="7"/>
      <c r="W142" s="7" t="s">
        <v>152</v>
      </c>
      <c r="X142" s="7" t="s">
        <v>170</v>
      </c>
      <c r="Y142" s="7" t="s">
        <v>172</v>
      </c>
      <c r="Z142" s="7"/>
      <c r="AA142" s="7"/>
      <c r="AB142" s="7"/>
      <c r="AC142" s="7"/>
      <c r="AD142" s="7"/>
    </row>
    <row r="143" ht="15.75" customHeight="1">
      <c r="A143" s="7" t="s">
        <v>1633</v>
      </c>
      <c r="B143" s="7" t="s">
        <v>1634</v>
      </c>
      <c r="C143" s="7" t="s">
        <v>1307</v>
      </c>
      <c r="D143" s="7" t="s">
        <v>1636</v>
      </c>
      <c r="E143" s="7">
        <v>1.0</v>
      </c>
      <c r="F143" s="7" t="s">
        <v>1637</v>
      </c>
      <c r="G143" s="7" t="s">
        <v>137</v>
      </c>
      <c r="H143" s="7" t="s">
        <v>329</v>
      </c>
      <c r="I143" s="7"/>
      <c r="J143" s="7"/>
      <c r="K143" s="7" t="s">
        <v>121</v>
      </c>
      <c r="L143" s="7" t="s">
        <v>121</v>
      </c>
      <c r="M143" s="7" t="s">
        <v>121</v>
      </c>
      <c r="N143" s="7" t="s">
        <v>51</v>
      </c>
      <c r="O143" s="7" t="s">
        <v>143</v>
      </c>
      <c r="P143" s="7" t="s">
        <v>162</v>
      </c>
      <c r="Q143" s="7" t="s">
        <v>1639</v>
      </c>
      <c r="R143" s="7" t="s">
        <v>1640</v>
      </c>
      <c r="S143" s="7" t="s">
        <v>148</v>
      </c>
      <c r="T143" s="7">
        <v>1.0</v>
      </c>
      <c r="U143" s="7" t="s">
        <v>41</v>
      </c>
      <c r="V143" s="7"/>
      <c r="W143" s="7" t="s">
        <v>152</v>
      </c>
      <c r="X143" s="7" t="s">
        <v>41</v>
      </c>
      <c r="Y143" s="7"/>
      <c r="Z143" s="7" t="s">
        <v>121</v>
      </c>
      <c r="AA143" s="7"/>
      <c r="AB143" s="7" t="s">
        <v>138</v>
      </c>
      <c r="AC143" s="7" t="s">
        <v>540</v>
      </c>
      <c r="AD143" s="7"/>
    </row>
    <row r="144" ht="15.75" customHeight="1">
      <c r="A144" s="7" t="s">
        <v>1633</v>
      </c>
      <c r="B144" s="7" t="s">
        <v>1634</v>
      </c>
      <c r="C144" s="7" t="s">
        <v>1307</v>
      </c>
      <c r="D144" s="7" t="s">
        <v>1636</v>
      </c>
      <c r="E144" s="7">
        <v>2.0</v>
      </c>
      <c r="F144" s="7" t="s">
        <v>1642</v>
      </c>
      <c r="G144" s="7" t="s">
        <v>137</v>
      </c>
      <c r="H144" s="7" t="s">
        <v>48</v>
      </c>
      <c r="I144" s="7"/>
      <c r="J144" s="7"/>
      <c r="K144" s="7" t="s">
        <v>121</v>
      </c>
      <c r="L144" s="7" t="s">
        <v>121</v>
      </c>
      <c r="M144" s="7" t="s">
        <v>121</v>
      </c>
      <c r="N144" s="7" t="s">
        <v>51</v>
      </c>
      <c r="O144" s="7" t="s">
        <v>143</v>
      </c>
      <c r="P144" s="7" t="s">
        <v>162</v>
      </c>
      <c r="Q144" s="7" t="s">
        <v>1645</v>
      </c>
      <c r="R144" s="7" t="s">
        <v>1646</v>
      </c>
      <c r="S144" s="7" t="s">
        <v>148</v>
      </c>
      <c r="T144" s="7">
        <v>1.0</v>
      </c>
      <c r="U144" s="7" t="s">
        <v>41</v>
      </c>
      <c r="V144" s="7"/>
      <c r="W144" s="7" t="s">
        <v>152</v>
      </c>
      <c r="X144" s="7" t="s">
        <v>41</v>
      </c>
      <c r="Y144" s="7"/>
      <c r="Z144" s="7" t="s">
        <v>121</v>
      </c>
      <c r="AA144" s="7"/>
      <c r="AB144" s="7" t="s">
        <v>138</v>
      </c>
      <c r="AC144" s="7" t="s">
        <v>59</v>
      </c>
      <c r="AD144" s="7"/>
    </row>
    <row r="145" ht="15.75" customHeight="1">
      <c r="A145" s="7" t="s">
        <v>1633</v>
      </c>
      <c r="B145" s="7" t="s">
        <v>1634</v>
      </c>
      <c r="C145" s="7" t="s">
        <v>1307</v>
      </c>
      <c r="D145" s="7" t="s">
        <v>1636</v>
      </c>
      <c r="E145" s="7">
        <v>3.0</v>
      </c>
      <c r="F145" s="7" t="s">
        <v>1652</v>
      </c>
      <c r="G145" s="7" t="s">
        <v>137</v>
      </c>
      <c r="H145" s="7" t="s">
        <v>48</v>
      </c>
      <c r="I145" s="7"/>
      <c r="J145" s="7"/>
      <c r="K145" s="7" t="s">
        <v>121</v>
      </c>
      <c r="L145" s="7" t="s">
        <v>121</v>
      </c>
      <c r="M145" s="7" t="s">
        <v>121</v>
      </c>
      <c r="N145" s="7" t="s">
        <v>51</v>
      </c>
      <c r="O145" s="7" t="s">
        <v>143</v>
      </c>
      <c r="P145" s="7" t="s">
        <v>162</v>
      </c>
      <c r="Q145" s="7" t="s">
        <v>1654</v>
      </c>
      <c r="R145" s="7" t="s">
        <v>1646</v>
      </c>
      <c r="S145" s="7" t="s">
        <v>292</v>
      </c>
      <c r="T145" s="7">
        <v>1.0</v>
      </c>
      <c r="U145" s="7" t="s">
        <v>41</v>
      </c>
      <c r="V145" s="7"/>
      <c r="W145" s="7" t="s">
        <v>152</v>
      </c>
      <c r="X145" s="7" t="s">
        <v>41</v>
      </c>
      <c r="Y145" s="7"/>
      <c r="Z145" s="7" t="s">
        <v>121</v>
      </c>
      <c r="AA145" s="7"/>
      <c r="AB145" s="7" t="s">
        <v>138</v>
      </c>
      <c r="AC145" s="7" t="s">
        <v>59</v>
      </c>
      <c r="AD145" s="7"/>
    </row>
    <row r="146" ht="15.75" customHeight="1">
      <c r="A146" s="7" t="s">
        <v>1633</v>
      </c>
      <c r="B146" s="7" t="s">
        <v>1634</v>
      </c>
      <c r="C146" s="7" t="s">
        <v>1307</v>
      </c>
      <c r="D146" s="7" t="s">
        <v>1636</v>
      </c>
      <c r="E146" s="7">
        <v>4.0</v>
      </c>
      <c r="F146" s="7" t="s">
        <v>1658</v>
      </c>
      <c r="G146" s="7" t="s">
        <v>137</v>
      </c>
      <c r="H146" s="7" t="s">
        <v>48</v>
      </c>
      <c r="I146" s="7"/>
      <c r="J146" s="7"/>
      <c r="K146" s="7" t="s">
        <v>121</v>
      </c>
      <c r="L146" s="7" t="s">
        <v>121</v>
      </c>
      <c r="M146" s="7" t="s">
        <v>121</v>
      </c>
      <c r="N146" s="7" t="s">
        <v>51</v>
      </c>
      <c r="O146" s="7" t="s">
        <v>143</v>
      </c>
      <c r="P146" s="7" t="s">
        <v>162</v>
      </c>
      <c r="Q146" s="7" t="s">
        <v>1663</v>
      </c>
      <c r="R146" s="7" t="s">
        <v>1664</v>
      </c>
      <c r="S146" s="7" t="s">
        <v>188</v>
      </c>
      <c r="T146" s="7">
        <v>1.0</v>
      </c>
      <c r="U146" s="7" t="s">
        <v>41</v>
      </c>
      <c r="V146" s="7"/>
      <c r="W146" s="7" t="s">
        <v>152</v>
      </c>
      <c r="X146" s="7" t="s">
        <v>41</v>
      </c>
      <c r="Y146" s="7"/>
      <c r="Z146" s="7" t="s">
        <v>121</v>
      </c>
      <c r="AA146" s="7"/>
      <c r="AB146" s="7" t="s">
        <v>138</v>
      </c>
      <c r="AC146" s="7" t="s">
        <v>59</v>
      </c>
      <c r="AD146" s="7"/>
    </row>
    <row r="147" ht="15.75" customHeight="1">
      <c r="A147" s="7" t="s">
        <v>1633</v>
      </c>
      <c r="B147" s="7" t="s">
        <v>1634</v>
      </c>
      <c r="C147" s="7" t="s">
        <v>1307</v>
      </c>
      <c r="D147" s="7" t="s">
        <v>1636</v>
      </c>
      <c r="E147" s="7">
        <v>5.0</v>
      </c>
      <c r="F147" s="7" t="s">
        <v>1669</v>
      </c>
      <c r="G147" s="7" t="s">
        <v>137</v>
      </c>
      <c r="H147" s="7" t="s">
        <v>48</v>
      </c>
      <c r="I147" s="7"/>
      <c r="J147" s="7"/>
      <c r="K147" s="7" t="s">
        <v>241</v>
      </c>
      <c r="L147" s="7" t="s">
        <v>243</v>
      </c>
      <c r="M147" s="7" t="s">
        <v>244</v>
      </c>
      <c r="N147" s="7" t="s">
        <v>51</v>
      </c>
      <c r="O147" s="7" t="s">
        <v>143</v>
      </c>
      <c r="P147" s="7" t="s">
        <v>162</v>
      </c>
      <c r="Q147" s="7" t="s">
        <v>1672</v>
      </c>
      <c r="R147" s="7" t="s">
        <v>1674</v>
      </c>
      <c r="S147" s="7" t="s">
        <v>148</v>
      </c>
      <c r="T147" s="7">
        <v>1.0</v>
      </c>
      <c r="U147" s="7" t="s">
        <v>41</v>
      </c>
      <c r="V147" s="7"/>
      <c r="W147" s="7" t="s">
        <v>152</v>
      </c>
      <c r="X147" s="7" t="s">
        <v>41</v>
      </c>
      <c r="Y147" s="7"/>
      <c r="Z147" s="7"/>
      <c r="AA147" s="7"/>
      <c r="AB147" s="7" t="s">
        <v>241</v>
      </c>
      <c r="AC147" s="7" t="s">
        <v>59</v>
      </c>
      <c r="AD147" s="7"/>
    </row>
    <row r="148" ht="15.75" customHeight="1">
      <c r="A148" s="7" t="s">
        <v>1633</v>
      </c>
      <c r="B148" s="7" t="s">
        <v>1634</v>
      </c>
      <c r="C148" s="7" t="s">
        <v>1307</v>
      </c>
      <c r="D148" s="7" t="s">
        <v>1636</v>
      </c>
      <c r="E148" s="7">
        <v>6.0</v>
      </c>
      <c r="F148" s="7" t="s">
        <v>1678</v>
      </c>
      <c r="G148" s="7" t="s">
        <v>631</v>
      </c>
      <c r="H148" s="7"/>
      <c r="I148" s="7"/>
      <c r="J148" s="7"/>
      <c r="K148" s="7" t="s">
        <v>121</v>
      </c>
      <c r="L148" s="7" t="s">
        <v>121</v>
      </c>
      <c r="M148" s="7" t="s">
        <v>121</v>
      </c>
      <c r="N148" s="7" t="s">
        <v>51</v>
      </c>
      <c r="O148" s="7" t="s">
        <v>143</v>
      </c>
      <c r="P148" s="7" t="s">
        <v>162</v>
      </c>
      <c r="Q148" s="7" t="s">
        <v>1681</v>
      </c>
      <c r="R148" s="7" t="s">
        <v>1664</v>
      </c>
      <c r="S148" s="7" t="s">
        <v>148</v>
      </c>
      <c r="T148" s="7">
        <v>1.0</v>
      </c>
      <c r="U148" s="7" t="s">
        <v>41</v>
      </c>
      <c r="V148" s="7"/>
      <c r="W148" s="7" t="s">
        <v>152</v>
      </c>
      <c r="X148" s="7" t="s">
        <v>41</v>
      </c>
      <c r="Y148" s="7"/>
      <c r="Z148" s="7" t="s">
        <v>121</v>
      </c>
      <c r="AA148" s="7" t="s">
        <v>631</v>
      </c>
      <c r="AB148" s="7" t="s">
        <v>138</v>
      </c>
      <c r="AC148" s="7" t="s">
        <v>78</v>
      </c>
      <c r="AD148" s="7"/>
    </row>
    <row r="149" ht="15.75" customHeight="1">
      <c r="A149" s="7" t="s">
        <v>1685</v>
      </c>
      <c r="B149" s="7" t="s">
        <v>1686</v>
      </c>
      <c r="C149" s="7" t="s">
        <v>1307</v>
      </c>
      <c r="D149" s="7" t="s">
        <v>1688</v>
      </c>
      <c r="E149" s="7">
        <v>1.0</v>
      </c>
      <c r="F149" s="7" t="s">
        <v>1689</v>
      </c>
      <c r="G149" s="7" t="s">
        <v>137</v>
      </c>
      <c r="H149" s="7" t="s">
        <v>48</v>
      </c>
      <c r="I149" s="7"/>
      <c r="J149" s="7"/>
      <c r="K149" s="7" t="s">
        <v>72</v>
      </c>
      <c r="L149" s="7" t="s">
        <v>63</v>
      </c>
      <c r="M149" s="7" t="s">
        <v>182</v>
      </c>
      <c r="N149" s="7" t="s">
        <v>34</v>
      </c>
      <c r="O149" s="7" t="s">
        <v>143</v>
      </c>
      <c r="P149" s="7" t="s">
        <v>145</v>
      </c>
      <c r="Q149" s="7" t="s">
        <v>1692</v>
      </c>
      <c r="R149" s="7" t="s">
        <v>1693</v>
      </c>
      <c r="S149" s="7" t="s">
        <v>188</v>
      </c>
      <c r="T149" s="7">
        <v>1.0</v>
      </c>
      <c r="U149" s="7" t="s">
        <v>41</v>
      </c>
      <c r="V149" s="7"/>
      <c r="W149" s="7" t="s">
        <v>152</v>
      </c>
      <c r="X149" s="7" t="s">
        <v>41</v>
      </c>
      <c r="Y149" s="7"/>
      <c r="Z149" s="7"/>
      <c r="AA149" s="7"/>
      <c r="AB149" s="7" t="s">
        <v>72</v>
      </c>
      <c r="AC149" s="7" t="s">
        <v>59</v>
      </c>
      <c r="AD149" s="7"/>
    </row>
    <row r="150" ht="15.75" customHeight="1">
      <c r="A150" s="7" t="s">
        <v>1685</v>
      </c>
      <c r="B150" s="7" t="s">
        <v>1686</v>
      </c>
      <c r="C150" s="7" t="s">
        <v>1307</v>
      </c>
      <c r="D150" s="7" t="s">
        <v>1688</v>
      </c>
      <c r="E150" s="7">
        <v>2.0</v>
      </c>
      <c r="F150" s="7" t="s">
        <v>1696</v>
      </c>
      <c r="G150" s="7" t="s">
        <v>137</v>
      </c>
      <c r="H150" s="7" t="s">
        <v>48</v>
      </c>
      <c r="I150" s="7"/>
      <c r="J150" s="7"/>
      <c r="K150" s="7" t="s">
        <v>105</v>
      </c>
      <c r="L150" s="7" t="s">
        <v>101</v>
      </c>
      <c r="M150" s="7" t="s">
        <v>182</v>
      </c>
      <c r="N150" s="7" t="s">
        <v>34</v>
      </c>
      <c r="O150" s="7" t="s">
        <v>143</v>
      </c>
      <c r="P150" s="7" t="s">
        <v>145</v>
      </c>
      <c r="Q150" s="7" t="s">
        <v>1700</v>
      </c>
      <c r="R150" s="7" t="s">
        <v>1701</v>
      </c>
      <c r="S150" s="7" t="s">
        <v>148</v>
      </c>
      <c r="T150" s="7">
        <v>1.0</v>
      </c>
      <c r="U150" s="7" t="s">
        <v>41</v>
      </c>
      <c r="V150" s="7"/>
      <c r="W150" s="7" t="s">
        <v>152</v>
      </c>
      <c r="X150" s="7" t="s">
        <v>41</v>
      </c>
      <c r="Y150" s="7"/>
      <c r="Z150" s="7"/>
      <c r="AA150" s="7"/>
      <c r="AB150" s="7" t="s">
        <v>105</v>
      </c>
      <c r="AC150" s="7" t="s">
        <v>59</v>
      </c>
      <c r="AD150" s="7"/>
    </row>
    <row r="151" ht="15.75" customHeight="1">
      <c r="A151" s="7" t="s">
        <v>1685</v>
      </c>
      <c r="B151" s="7" t="s">
        <v>1686</v>
      </c>
      <c r="C151" s="7" t="s">
        <v>1307</v>
      </c>
      <c r="D151" s="7" t="s">
        <v>1688</v>
      </c>
      <c r="E151" s="7">
        <v>3.0</v>
      </c>
      <c r="F151" s="7" t="s">
        <v>1706</v>
      </c>
      <c r="G151" s="7" t="s">
        <v>137</v>
      </c>
      <c r="H151" s="7" t="s">
        <v>48</v>
      </c>
      <c r="I151" s="7"/>
      <c r="J151" s="7"/>
      <c r="K151" s="7" t="s">
        <v>105</v>
      </c>
      <c r="L151" s="7" t="s">
        <v>101</v>
      </c>
      <c r="M151" s="7" t="s">
        <v>182</v>
      </c>
      <c r="N151" s="7" t="s">
        <v>34</v>
      </c>
      <c r="O151" s="7" t="s">
        <v>143</v>
      </c>
      <c r="P151" s="7" t="s">
        <v>145</v>
      </c>
      <c r="Q151" s="7" t="s">
        <v>1708</v>
      </c>
      <c r="R151" s="7" t="s">
        <v>1709</v>
      </c>
      <c r="S151" s="7" t="s">
        <v>148</v>
      </c>
      <c r="T151" s="7">
        <v>1.0</v>
      </c>
      <c r="U151" s="7" t="s">
        <v>41</v>
      </c>
      <c r="V151" s="7"/>
      <c r="W151" s="7" t="s">
        <v>152</v>
      </c>
      <c r="X151" s="7" t="s">
        <v>41</v>
      </c>
      <c r="Y151" s="7"/>
      <c r="Z151" s="7"/>
      <c r="AA151" s="7"/>
      <c r="AB151" s="7" t="s">
        <v>105</v>
      </c>
      <c r="AC151" s="7" t="s">
        <v>59</v>
      </c>
      <c r="AD151" s="7"/>
    </row>
    <row r="152" ht="15.75" customHeight="1">
      <c r="A152" s="7" t="s">
        <v>1711</v>
      </c>
      <c r="B152" s="7" t="s">
        <v>1713</v>
      </c>
      <c r="C152" s="7" t="s">
        <v>1307</v>
      </c>
      <c r="D152" s="7" t="s">
        <v>1715</v>
      </c>
      <c r="E152" s="7">
        <v>1.0</v>
      </c>
      <c r="F152" s="7" t="s">
        <v>1716</v>
      </c>
      <c r="G152" s="7" t="s">
        <v>137</v>
      </c>
      <c r="H152" s="7" t="s">
        <v>48</v>
      </c>
      <c r="I152" s="7"/>
      <c r="J152" s="7"/>
      <c r="K152" s="7" t="s">
        <v>118</v>
      </c>
      <c r="L152" s="7" t="s">
        <v>112</v>
      </c>
      <c r="M152" s="7" t="s">
        <v>182</v>
      </c>
      <c r="N152" s="7" t="s">
        <v>142</v>
      </c>
      <c r="O152" s="7" t="s">
        <v>1717</v>
      </c>
      <c r="P152" s="7" t="s">
        <v>37</v>
      </c>
      <c r="Q152" s="7" t="s">
        <v>1719</v>
      </c>
      <c r="R152" s="7" t="s">
        <v>1720</v>
      </c>
      <c r="S152" s="7" t="s">
        <v>188</v>
      </c>
      <c r="T152" s="7">
        <v>2.0</v>
      </c>
      <c r="U152" s="7" t="s">
        <v>41</v>
      </c>
      <c r="V152" s="7"/>
      <c r="W152" s="7" t="s">
        <v>152</v>
      </c>
      <c r="X152" s="7" t="s">
        <v>41</v>
      </c>
      <c r="Y152" s="7"/>
      <c r="Z152" s="7"/>
      <c r="AA152" s="7"/>
      <c r="AB152" s="7" t="s">
        <v>118</v>
      </c>
      <c r="AC152" s="7" t="s">
        <v>59</v>
      </c>
      <c r="AD152" s="7"/>
    </row>
    <row r="153" ht="15.75" customHeight="1">
      <c r="A153" s="7" t="s">
        <v>1711</v>
      </c>
      <c r="B153" s="7" t="s">
        <v>1713</v>
      </c>
      <c r="C153" s="7" t="s">
        <v>1307</v>
      </c>
      <c r="D153" s="7" t="s">
        <v>1715</v>
      </c>
      <c r="E153" s="7">
        <v>2.0</v>
      </c>
      <c r="F153" s="7" t="s">
        <v>1724</v>
      </c>
      <c r="G153" s="7" t="s">
        <v>137</v>
      </c>
      <c r="H153" s="7" t="s">
        <v>48</v>
      </c>
      <c r="I153" s="7"/>
      <c r="J153" s="7"/>
      <c r="K153" s="7" t="s">
        <v>72</v>
      </c>
      <c r="L153" s="7" t="s">
        <v>63</v>
      </c>
      <c r="M153" s="7" t="s">
        <v>182</v>
      </c>
      <c r="N153" s="7" t="s">
        <v>142</v>
      </c>
      <c r="O153" s="7" t="s">
        <v>143</v>
      </c>
      <c r="P153" s="7" t="s">
        <v>54</v>
      </c>
      <c r="Q153" s="7" t="s">
        <v>1727</v>
      </c>
      <c r="R153" s="7" t="s">
        <v>1720</v>
      </c>
      <c r="S153" s="7" t="s">
        <v>148</v>
      </c>
      <c r="T153" s="7">
        <v>2.0</v>
      </c>
      <c r="U153" s="7" t="s">
        <v>41</v>
      </c>
      <c r="V153" s="7"/>
      <c r="W153" s="7" t="s">
        <v>152</v>
      </c>
      <c r="X153" s="7" t="s">
        <v>41</v>
      </c>
      <c r="Y153" s="7"/>
      <c r="Z153" s="7"/>
      <c r="AA153" s="7"/>
      <c r="AB153" s="7" t="s">
        <v>72</v>
      </c>
      <c r="AC153" s="7" t="s">
        <v>59</v>
      </c>
      <c r="AD153" s="7"/>
    </row>
    <row r="154" ht="15.75" customHeight="1">
      <c r="A154" s="7" t="s">
        <v>1711</v>
      </c>
      <c r="B154" s="7" t="s">
        <v>1713</v>
      </c>
      <c r="C154" s="7" t="s">
        <v>1307</v>
      </c>
      <c r="D154" s="7" t="s">
        <v>1715</v>
      </c>
      <c r="E154" s="7">
        <v>3.0</v>
      </c>
      <c r="F154" s="7" t="s">
        <v>1731</v>
      </c>
      <c r="G154" s="7" t="s">
        <v>631</v>
      </c>
      <c r="H154" s="7"/>
      <c r="I154" s="7"/>
      <c r="J154" s="7"/>
      <c r="K154" s="7" t="s">
        <v>121</v>
      </c>
      <c r="L154" s="7" t="s">
        <v>121</v>
      </c>
      <c r="M154" s="7" t="s">
        <v>121</v>
      </c>
      <c r="N154" s="7" t="s">
        <v>142</v>
      </c>
      <c r="O154" s="7" t="s">
        <v>143</v>
      </c>
      <c r="P154" s="7" t="s">
        <v>54</v>
      </c>
      <c r="Q154" s="7" t="s">
        <v>1734</v>
      </c>
      <c r="R154" s="7" t="s">
        <v>1720</v>
      </c>
      <c r="S154" s="7" t="s">
        <v>188</v>
      </c>
      <c r="T154" s="7">
        <v>2.0</v>
      </c>
      <c r="U154" s="7" t="s">
        <v>41</v>
      </c>
      <c r="V154" s="7"/>
      <c r="W154" s="7" t="s">
        <v>152</v>
      </c>
      <c r="X154" s="7" t="s">
        <v>41</v>
      </c>
      <c r="Y154" s="7"/>
      <c r="Z154" s="7" t="s">
        <v>121</v>
      </c>
      <c r="AA154" s="7" t="s">
        <v>631</v>
      </c>
      <c r="AB154" s="7" t="s">
        <v>138</v>
      </c>
      <c r="AC154" s="7" t="s">
        <v>78</v>
      </c>
      <c r="AD154" s="7"/>
    </row>
    <row r="155" ht="15.75" customHeight="1">
      <c r="A155" s="7" t="s">
        <v>1737</v>
      </c>
      <c r="B155" s="7" t="s">
        <v>1738</v>
      </c>
      <c r="C155" s="7" t="s">
        <v>1307</v>
      </c>
      <c r="D155" s="7" t="s">
        <v>1739</v>
      </c>
      <c r="E155" s="7">
        <v>1.0</v>
      </c>
      <c r="F155" s="7" t="s">
        <v>1741</v>
      </c>
      <c r="G155" s="7" t="s">
        <v>137</v>
      </c>
      <c r="H155" s="7" t="s">
        <v>48</v>
      </c>
      <c r="I155" s="7"/>
      <c r="J155" s="7"/>
      <c r="K155" s="7" t="s">
        <v>139</v>
      </c>
      <c r="L155" s="7" t="s">
        <v>139</v>
      </c>
      <c r="M155" s="7" t="s">
        <v>121</v>
      </c>
      <c r="N155" s="7" t="s">
        <v>34</v>
      </c>
      <c r="O155" s="7" t="s">
        <v>143</v>
      </c>
      <c r="P155" s="7" t="s">
        <v>162</v>
      </c>
      <c r="Q155" s="7" t="s">
        <v>1744</v>
      </c>
      <c r="R155" s="7" t="s">
        <v>1745</v>
      </c>
      <c r="S155" s="7" t="s">
        <v>188</v>
      </c>
      <c r="T155" s="7">
        <v>1.0</v>
      </c>
      <c r="U155" s="7" t="s">
        <v>41</v>
      </c>
      <c r="V155" s="7"/>
      <c r="W155" s="7" t="s">
        <v>152</v>
      </c>
      <c r="X155" s="7" t="s">
        <v>41</v>
      </c>
      <c r="Y155" s="7"/>
      <c r="Z155" s="7" t="s">
        <v>139</v>
      </c>
      <c r="AA155" s="7"/>
      <c r="AB155" s="7" t="s">
        <v>138</v>
      </c>
      <c r="AC155" s="7" t="s">
        <v>59</v>
      </c>
      <c r="AD155" s="7"/>
    </row>
    <row r="156" ht="15.75" customHeight="1">
      <c r="A156" s="7" t="s">
        <v>1737</v>
      </c>
      <c r="B156" s="7" t="s">
        <v>1738</v>
      </c>
      <c r="C156" s="7" t="s">
        <v>1307</v>
      </c>
      <c r="D156" s="7" t="s">
        <v>1739</v>
      </c>
      <c r="E156" s="7">
        <v>2.0</v>
      </c>
      <c r="F156" s="7" t="s">
        <v>1749</v>
      </c>
      <c r="G156" s="7" t="s">
        <v>137</v>
      </c>
      <c r="H156" s="7" t="s">
        <v>48</v>
      </c>
      <c r="I156" s="7"/>
      <c r="J156" s="7"/>
      <c r="K156" s="7" t="s">
        <v>139</v>
      </c>
      <c r="L156" s="7" t="s">
        <v>139</v>
      </c>
      <c r="M156" s="7" t="s">
        <v>121</v>
      </c>
      <c r="N156" s="7" t="s">
        <v>79</v>
      </c>
      <c r="O156" s="7" t="s">
        <v>143</v>
      </c>
      <c r="P156" s="7" t="s">
        <v>247</v>
      </c>
      <c r="Q156" s="7" t="s">
        <v>1753</v>
      </c>
      <c r="R156" s="7" t="s">
        <v>1754</v>
      </c>
      <c r="S156" s="7" t="s">
        <v>148</v>
      </c>
      <c r="T156" s="7">
        <v>1.0</v>
      </c>
      <c r="U156" s="7" t="s">
        <v>41</v>
      </c>
      <c r="V156" s="7"/>
      <c r="W156" s="7" t="s">
        <v>152</v>
      </c>
      <c r="X156" s="7" t="s">
        <v>41</v>
      </c>
      <c r="Y156" s="7"/>
      <c r="Z156" s="7" t="s">
        <v>139</v>
      </c>
      <c r="AA156" s="7"/>
      <c r="AB156" s="7" t="s">
        <v>138</v>
      </c>
      <c r="AC156" s="7" t="s">
        <v>59</v>
      </c>
      <c r="AD156" s="7"/>
    </row>
    <row r="157" ht="15.75" customHeight="1">
      <c r="A157" s="7" t="s">
        <v>1737</v>
      </c>
      <c r="B157" s="7" t="s">
        <v>1738</v>
      </c>
      <c r="C157" s="7" t="s">
        <v>1307</v>
      </c>
      <c r="D157" s="7" t="s">
        <v>1739</v>
      </c>
      <c r="E157" s="7">
        <v>3.0</v>
      </c>
      <c r="F157" s="7" t="s">
        <v>1759</v>
      </c>
      <c r="G157" s="7" t="s">
        <v>137</v>
      </c>
      <c r="H157" s="7" t="s">
        <v>48</v>
      </c>
      <c r="I157" s="7" t="s">
        <v>891</v>
      </c>
      <c r="J157" s="7" t="s">
        <v>333</v>
      </c>
      <c r="K157" s="7" t="s">
        <v>139</v>
      </c>
      <c r="L157" s="7" t="s">
        <v>139</v>
      </c>
      <c r="M157" s="7" t="s">
        <v>121</v>
      </c>
      <c r="N157" s="7" t="s">
        <v>79</v>
      </c>
      <c r="O157" s="7" t="s">
        <v>143</v>
      </c>
      <c r="P157" s="7" t="s">
        <v>54</v>
      </c>
      <c r="Q157" s="7" t="s">
        <v>1763</v>
      </c>
      <c r="R157" s="7" t="s">
        <v>1765</v>
      </c>
      <c r="S157" s="7" t="s">
        <v>148</v>
      </c>
      <c r="T157" s="7">
        <v>1.0</v>
      </c>
      <c r="U157" s="7" t="s">
        <v>41</v>
      </c>
      <c r="V157" s="7"/>
      <c r="W157" s="7" t="s">
        <v>152</v>
      </c>
      <c r="X157" s="7" t="s">
        <v>41</v>
      </c>
      <c r="Y157" s="7"/>
      <c r="Z157" s="7" t="s">
        <v>139</v>
      </c>
      <c r="AA157" s="7"/>
      <c r="AB157" s="7" t="s">
        <v>138</v>
      </c>
      <c r="AC157" s="7" t="s">
        <v>59</v>
      </c>
      <c r="AD157" s="7"/>
    </row>
    <row r="158" ht="15.75" customHeight="1">
      <c r="A158" s="7" t="s">
        <v>1767</v>
      </c>
      <c r="B158" s="7" t="s">
        <v>1768</v>
      </c>
      <c r="C158" s="7" t="s">
        <v>1307</v>
      </c>
      <c r="D158" s="7" t="s">
        <v>1770</v>
      </c>
      <c r="E158" s="7">
        <v>1.0</v>
      </c>
      <c r="F158" s="7" t="s">
        <v>1771</v>
      </c>
      <c r="G158" s="7" t="s">
        <v>137</v>
      </c>
      <c r="H158" s="7" t="s">
        <v>48</v>
      </c>
      <c r="I158" s="7"/>
      <c r="J158" s="7"/>
      <c r="K158" s="7" t="s">
        <v>96</v>
      </c>
      <c r="L158" s="7" t="s">
        <v>89</v>
      </c>
      <c r="M158" s="7" t="s">
        <v>866</v>
      </c>
      <c r="N158" s="7" t="s">
        <v>34</v>
      </c>
      <c r="O158" s="7" t="s">
        <v>143</v>
      </c>
      <c r="P158" s="7" t="s">
        <v>162</v>
      </c>
      <c r="Q158" s="7" t="s">
        <v>1773</v>
      </c>
      <c r="R158" s="7" t="s">
        <v>1775</v>
      </c>
      <c r="S158" s="7" t="s">
        <v>188</v>
      </c>
      <c r="T158" s="7">
        <v>1.0</v>
      </c>
      <c r="U158" s="7" t="s">
        <v>41</v>
      </c>
      <c r="V158" s="7"/>
      <c r="W158" s="7" t="s">
        <v>152</v>
      </c>
      <c r="X158" s="7" t="s">
        <v>41</v>
      </c>
      <c r="Y158" s="7"/>
      <c r="Z158" s="7"/>
      <c r="AA158" s="7"/>
      <c r="AB158" s="7" t="s">
        <v>96</v>
      </c>
      <c r="AC158" s="7" t="s">
        <v>59</v>
      </c>
      <c r="AD158" s="7"/>
    </row>
    <row r="159" ht="15.75" customHeight="1">
      <c r="A159" s="7" t="s">
        <v>1767</v>
      </c>
      <c r="B159" s="7" t="s">
        <v>1768</v>
      </c>
      <c r="C159" s="7" t="s">
        <v>1307</v>
      </c>
      <c r="D159" s="7" t="s">
        <v>1770</v>
      </c>
      <c r="E159" s="7">
        <v>2.0</v>
      </c>
      <c r="F159" s="7" t="s">
        <v>1778</v>
      </c>
      <c r="G159" s="7" t="s">
        <v>137</v>
      </c>
      <c r="H159" s="7" t="s">
        <v>48</v>
      </c>
      <c r="I159" s="7"/>
      <c r="J159" s="7"/>
      <c r="K159" s="7" t="s">
        <v>96</v>
      </c>
      <c r="L159" s="7" t="s">
        <v>89</v>
      </c>
      <c r="M159" s="7" t="s">
        <v>866</v>
      </c>
      <c r="N159" s="7" t="s">
        <v>34</v>
      </c>
      <c r="O159" s="7" t="s">
        <v>143</v>
      </c>
      <c r="P159" s="7" t="s">
        <v>162</v>
      </c>
      <c r="Q159" s="7" t="s">
        <v>1780</v>
      </c>
      <c r="R159" s="7" t="s">
        <v>1781</v>
      </c>
      <c r="S159" s="7" t="s">
        <v>188</v>
      </c>
      <c r="T159" s="7">
        <v>1.0</v>
      </c>
      <c r="U159" s="7" t="s">
        <v>41</v>
      </c>
      <c r="V159" s="7"/>
      <c r="W159" s="7" t="s">
        <v>152</v>
      </c>
      <c r="X159" s="7" t="s">
        <v>41</v>
      </c>
      <c r="Y159" s="7"/>
      <c r="Z159" s="7"/>
      <c r="AA159" s="7"/>
      <c r="AB159" s="7" t="s">
        <v>96</v>
      </c>
      <c r="AC159" s="7" t="s">
        <v>59</v>
      </c>
      <c r="AD159" s="7"/>
    </row>
    <row r="160" ht="15.75" customHeight="1">
      <c r="A160" s="7" t="s">
        <v>1767</v>
      </c>
      <c r="B160" s="7" t="s">
        <v>1768</v>
      </c>
      <c r="C160" s="7" t="s">
        <v>1307</v>
      </c>
      <c r="D160" s="7" t="s">
        <v>1770</v>
      </c>
      <c r="E160" s="7">
        <v>3.0</v>
      </c>
      <c r="F160" s="7" t="s">
        <v>1785</v>
      </c>
      <c r="G160" s="7" t="s">
        <v>137</v>
      </c>
      <c r="H160" s="7" t="s">
        <v>48</v>
      </c>
      <c r="I160" s="7"/>
      <c r="J160" s="7"/>
      <c r="K160" s="7" t="s">
        <v>215</v>
      </c>
      <c r="L160" s="7" t="s">
        <v>209</v>
      </c>
      <c r="M160" s="7" t="s">
        <v>182</v>
      </c>
      <c r="N160" s="7" t="s">
        <v>34</v>
      </c>
      <c r="O160" s="7" t="s">
        <v>143</v>
      </c>
      <c r="P160" s="7" t="s">
        <v>162</v>
      </c>
      <c r="Q160" s="7" t="s">
        <v>1787</v>
      </c>
      <c r="R160" s="7" t="s">
        <v>1781</v>
      </c>
      <c r="S160" s="7" t="s">
        <v>188</v>
      </c>
      <c r="T160" s="7">
        <v>1.0</v>
      </c>
      <c r="U160" s="7" t="s">
        <v>41</v>
      </c>
      <c r="V160" s="7"/>
      <c r="W160" s="7" t="s">
        <v>152</v>
      </c>
      <c r="X160" s="7" t="s">
        <v>41</v>
      </c>
      <c r="Y160" s="7"/>
      <c r="Z160" s="7"/>
      <c r="AA160" s="7"/>
      <c r="AB160" s="7" t="s">
        <v>215</v>
      </c>
      <c r="AC160" s="7" t="s">
        <v>59</v>
      </c>
      <c r="AD160" s="7"/>
    </row>
    <row r="161" ht="15.75" customHeight="1">
      <c r="A161" s="7" t="s">
        <v>1790</v>
      </c>
      <c r="B161" s="7" t="s">
        <v>1792</v>
      </c>
      <c r="C161" s="7" t="s">
        <v>1793</v>
      </c>
      <c r="D161" s="7" t="s">
        <v>1794</v>
      </c>
      <c r="E161" s="7">
        <v>1.0</v>
      </c>
      <c r="F161" s="7" t="s">
        <v>1796</v>
      </c>
      <c r="G161" s="7" t="s">
        <v>137</v>
      </c>
      <c r="H161" s="7" t="s">
        <v>110</v>
      </c>
      <c r="I161" s="7"/>
      <c r="J161" s="7"/>
      <c r="K161" s="7" t="s">
        <v>729</v>
      </c>
      <c r="L161" s="7" t="s">
        <v>725</v>
      </c>
      <c r="M161" s="7" t="s">
        <v>866</v>
      </c>
      <c r="N161" s="7" t="s">
        <v>34</v>
      </c>
      <c r="O161" s="7" t="s">
        <v>143</v>
      </c>
      <c r="P161" s="7" t="s">
        <v>185</v>
      </c>
      <c r="Q161" s="7" t="s">
        <v>1799</v>
      </c>
      <c r="R161" s="7" t="s">
        <v>1800</v>
      </c>
      <c r="S161" s="7" t="s">
        <v>188</v>
      </c>
      <c r="T161" s="7">
        <v>1.0</v>
      </c>
      <c r="U161" s="7" t="s">
        <v>41</v>
      </c>
      <c r="V161" s="7"/>
      <c r="W161" s="7" t="s">
        <v>152</v>
      </c>
      <c r="X161" s="7" t="s">
        <v>41</v>
      </c>
      <c r="Y161" s="7"/>
      <c r="Z161" s="7"/>
      <c r="AA161" s="7"/>
      <c r="AB161" s="7" t="s">
        <v>729</v>
      </c>
      <c r="AC161" s="7" t="s">
        <v>119</v>
      </c>
      <c r="AD161" s="7"/>
    </row>
    <row r="162" ht="15.75" customHeight="1">
      <c r="A162" s="7" t="s">
        <v>1790</v>
      </c>
      <c r="B162" s="7" t="s">
        <v>1792</v>
      </c>
      <c r="C162" s="7" t="s">
        <v>1793</v>
      </c>
      <c r="D162" s="7" t="s">
        <v>1794</v>
      </c>
      <c r="E162" s="7">
        <v>2.0</v>
      </c>
      <c r="F162" s="7" t="s">
        <v>1804</v>
      </c>
      <c r="G162" s="7" t="s">
        <v>137</v>
      </c>
      <c r="H162" s="7" t="s">
        <v>110</v>
      </c>
      <c r="I162" s="7"/>
      <c r="J162" s="7"/>
      <c r="K162" s="7" t="s">
        <v>121</v>
      </c>
      <c r="L162" s="7" t="s">
        <v>121</v>
      </c>
      <c r="M162" s="7" t="s">
        <v>121</v>
      </c>
      <c r="N162" s="7" t="s">
        <v>34</v>
      </c>
      <c r="O162" s="7" t="s">
        <v>1069</v>
      </c>
      <c r="P162" s="7" t="s">
        <v>37</v>
      </c>
      <c r="Q162" s="7" t="s">
        <v>1807</v>
      </c>
      <c r="R162" s="7" t="s">
        <v>1808</v>
      </c>
      <c r="S162" s="7" t="s">
        <v>148</v>
      </c>
      <c r="T162" s="7">
        <v>1.0</v>
      </c>
      <c r="U162" s="7" t="s">
        <v>41</v>
      </c>
      <c r="V162" s="7"/>
      <c r="W162" s="7" t="s">
        <v>152</v>
      </c>
      <c r="X162" s="7" t="s">
        <v>41</v>
      </c>
      <c r="Y162" s="7"/>
      <c r="Z162" s="7" t="s">
        <v>121</v>
      </c>
      <c r="AA162" s="7"/>
      <c r="AB162" s="7" t="s">
        <v>138</v>
      </c>
      <c r="AC162" s="7" t="s">
        <v>119</v>
      </c>
      <c r="AD162" s="7"/>
    </row>
    <row r="163" ht="15.75" customHeight="1">
      <c r="A163" s="7" t="s">
        <v>1790</v>
      </c>
      <c r="B163" s="7" t="s">
        <v>1792</v>
      </c>
      <c r="C163" s="7" t="s">
        <v>1793</v>
      </c>
      <c r="D163" s="7" t="s">
        <v>1794</v>
      </c>
      <c r="E163" s="7">
        <v>3.0</v>
      </c>
      <c r="F163" s="7" t="s">
        <v>1813</v>
      </c>
      <c r="G163" s="7" t="s">
        <v>137</v>
      </c>
      <c r="H163" s="7" t="s">
        <v>110</v>
      </c>
      <c r="I163" s="7"/>
      <c r="J163" s="7"/>
      <c r="K163" s="7" t="s">
        <v>121</v>
      </c>
      <c r="L163" s="7" t="s">
        <v>121</v>
      </c>
      <c r="M163" s="7" t="s">
        <v>121</v>
      </c>
      <c r="N163" s="7" t="s">
        <v>34</v>
      </c>
      <c r="O163" s="7" t="s">
        <v>623</v>
      </c>
      <c r="P163" s="7" t="s">
        <v>37</v>
      </c>
      <c r="Q163" s="7" t="s">
        <v>1816</v>
      </c>
      <c r="R163" s="7" t="s">
        <v>1808</v>
      </c>
      <c r="S163" s="7" t="s">
        <v>148</v>
      </c>
      <c r="T163" s="7">
        <v>1.0</v>
      </c>
      <c r="U163" s="7" t="s">
        <v>41</v>
      </c>
      <c r="V163" s="7"/>
      <c r="W163" s="7" t="s">
        <v>152</v>
      </c>
      <c r="X163" s="7" t="s">
        <v>41</v>
      </c>
      <c r="Y163" s="7"/>
      <c r="Z163" s="7" t="s">
        <v>121</v>
      </c>
      <c r="AA163" s="7"/>
      <c r="AB163" s="7" t="s">
        <v>138</v>
      </c>
      <c r="AC163" s="7" t="s">
        <v>119</v>
      </c>
      <c r="AD163" s="7"/>
    </row>
    <row r="164" ht="15.75" customHeight="1">
      <c r="A164" s="7" t="s">
        <v>1819</v>
      </c>
      <c r="B164" s="7" t="s">
        <v>1820</v>
      </c>
      <c r="C164" s="7" t="s">
        <v>1793</v>
      </c>
      <c r="D164" s="7" t="s">
        <v>1822</v>
      </c>
      <c r="E164" s="7">
        <v>1.0</v>
      </c>
      <c r="F164" s="7" t="s">
        <v>1823</v>
      </c>
      <c r="G164" s="7" t="s">
        <v>137</v>
      </c>
      <c r="H164" s="7" t="s">
        <v>48</v>
      </c>
      <c r="I164" s="7"/>
      <c r="J164" s="7"/>
      <c r="K164" s="7" t="s">
        <v>556</v>
      </c>
      <c r="L164" s="7" t="s">
        <v>550</v>
      </c>
      <c r="M164" s="7" t="s">
        <v>182</v>
      </c>
      <c r="N164" s="7" t="s">
        <v>34</v>
      </c>
      <c r="O164" s="7" t="s">
        <v>143</v>
      </c>
      <c r="P164" s="7" t="s">
        <v>185</v>
      </c>
      <c r="Q164" s="7" t="s">
        <v>1827</v>
      </c>
      <c r="R164" s="7" t="s">
        <v>1828</v>
      </c>
      <c r="S164" s="7" t="s">
        <v>188</v>
      </c>
      <c r="T164" s="7">
        <v>1.0</v>
      </c>
      <c r="U164" s="7" t="s">
        <v>41</v>
      </c>
      <c r="V164" s="7"/>
      <c r="W164" s="7" t="s">
        <v>152</v>
      </c>
      <c r="X164" s="7" t="s">
        <v>41</v>
      </c>
      <c r="Y164" s="7"/>
      <c r="Z164" s="7"/>
      <c r="AA164" s="7"/>
      <c r="AB164" s="7" t="s">
        <v>556</v>
      </c>
      <c r="AC164" s="7" t="s">
        <v>59</v>
      </c>
      <c r="AD164" s="7" t="s">
        <v>1829</v>
      </c>
    </row>
    <row r="165" ht="15.75" customHeight="1">
      <c r="A165" s="7" t="s">
        <v>1819</v>
      </c>
      <c r="B165" s="7" t="s">
        <v>1820</v>
      </c>
      <c r="C165" s="7" t="s">
        <v>1793</v>
      </c>
      <c r="D165" s="7" t="s">
        <v>1822</v>
      </c>
      <c r="E165" s="7">
        <v>2.0</v>
      </c>
      <c r="F165" s="7" t="s">
        <v>1831</v>
      </c>
      <c r="G165" s="7" t="s">
        <v>137</v>
      </c>
      <c r="H165" s="7" t="s">
        <v>48</v>
      </c>
      <c r="I165" s="7"/>
      <c r="J165" s="7"/>
      <c r="K165" s="7" t="s">
        <v>556</v>
      </c>
      <c r="L165" s="7" t="s">
        <v>550</v>
      </c>
      <c r="M165" s="7" t="s">
        <v>182</v>
      </c>
      <c r="N165" s="7" t="s">
        <v>34</v>
      </c>
      <c r="O165" s="7" t="s">
        <v>1833</v>
      </c>
      <c r="P165" s="7" t="s">
        <v>162</v>
      </c>
      <c r="Q165" s="7" t="s">
        <v>1834</v>
      </c>
      <c r="R165" s="7" t="s">
        <v>1835</v>
      </c>
      <c r="S165" s="7" t="s">
        <v>148</v>
      </c>
      <c r="T165" s="7">
        <v>1.0</v>
      </c>
      <c r="U165" s="7" t="s">
        <v>41</v>
      </c>
      <c r="V165" s="7"/>
      <c r="W165" s="7" t="s">
        <v>152</v>
      </c>
      <c r="X165" s="7" t="s">
        <v>41</v>
      </c>
      <c r="Y165" s="7"/>
      <c r="Z165" s="7"/>
      <c r="AA165" s="7"/>
      <c r="AB165" s="7" t="s">
        <v>556</v>
      </c>
      <c r="AC165" s="7" t="s">
        <v>59</v>
      </c>
      <c r="AD165" s="7" t="s">
        <v>1829</v>
      </c>
    </row>
    <row r="166" ht="15.75" customHeight="1">
      <c r="A166" s="7" t="s">
        <v>1819</v>
      </c>
      <c r="B166" s="7" t="s">
        <v>1820</v>
      </c>
      <c r="C166" s="7" t="s">
        <v>1793</v>
      </c>
      <c r="D166" s="7" t="s">
        <v>1822</v>
      </c>
      <c r="E166" s="7">
        <v>3.0</v>
      </c>
      <c r="F166" s="7" t="s">
        <v>1839</v>
      </c>
      <c r="G166" s="7" t="s">
        <v>137</v>
      </c>
      <c r="H166" s="7" t="s">
        <v>48</v>
      </c>
      <c r="I166" s="7"/>
      <c r="J166" s="7"/>
      <c r="K166" s="7" t="s">
        <v>105</v>
      </c>
      <c r="L166" s="7" t="s">
        <v>101</v>
      </c>
      <c r="M166" s="7" t="s">
        <v>182</v>
      </c>
      <c r="N166" s="7" t="s">
        <v>34</v>
      </c>
      <c r="O166" s="7" t="s">
        <v>1069</v>
      </c>
      <c r="P166" s="7" t="s">
        <v>37</v>
      </c>
      <c r="Q166" s="7" t="s">
        <v>1841</v>
      </c>
      <c r="R166" s="7" t="s">
        <v>1835</v>
      </c>
      <c r="S166" s="7" t="s">
        <v>148</v>
      </c>
      <c r="T166" s="7">
        <v>1.0</v>
      </c>
      <c r="U166" s="7" t="s">
        <v>41</v>
      </c>
      <c r="V166" s="7"/>
      <c r="W166" s="7" t="s">
        <v>152</v>
      </c>
      <c r="X166" s="7" t="s">
        <v>41</v>
      </c>
      <c r="Y166" s="7"/>
      <c r="Z166" s="7"/>
      <c r="AA166" s="7"/>
      <c r="AB166" s="7" t="s">
        <v>105</v>
      </c>
      <c r="AC166" s="7" t="s">
        <v>59</v>
      </c>
      <c r="AD166" s="7" t="s">
        <v>1829</v>
      </c>
    </row>
    <row r="167" ht="15.75" customHeight="1">
      <c r="A167" s="7" t="s">
        <v>1819</v>
      </c>
      <c r="B167" s="7" t="s">
        <v>1820</v>
      </c>
      <c r="C167" s="7" t="s">
        <v>1793</v>
      </c>
      <c r="D167" s="7" t="s">
        <v>1822</v>
      </c>
      <c r="E167" s="7">
        <v>4.0</v>
      </c>
      <c r="F167" s="7" t="s">
        <v>1844</v>
      </c>
      <c r="G167" s="7" t="s">
        <v>137</v>
      </c>
      <c r="H167" s="7" t="s">
        <v>48</v>
      </c>
      <c r="I167" s="7" t="s">
        <v>631</v>
      </c>
      <c r="J167" s="7"/>
      <c r="K167" s="7" t="s">
        <v>118</v>
      </c>
      <c r="L167" s="7" t="s">
        <v>112</v>
      </c>
      <c r="M167" s="7" t="s">
        <v>182</v>
      </c>
      <c r="N167" s="7" t="s">
        <v>34</v>
      </c>
      <c r="O167" s="7" t="s">
        <v>1846</v>
      </c>
      <c r="P167" s="7" t="s">
        <v>37</v>
      </c>
      <c r="Q167" s="7" t="s">
        <v>1848</v>
      </c>
      <c r="R167" s="7" t="s">
        <v>1849</v>
      </c>
      <c r="S167" s="7" t="s">
        <v>148</v>
      </c>
      <c r="T167" s="7">
        <v>1.0</v>
      </c>
      <c r="U167" s="7" t="s">
        <v>41</v>
      </c>
      <c r="V167" s="7"/>
      <c r="W167" s="7" t="s">
        <v>152</v>
      </c>
      <c r="X167" s="7" t="s">
        <v>41</v>
      </c>
      <c r="Y167" s="7"/>
      <c r="Z167" s="7"/>
      <c r="AA167" s="7"/>
      <c r="AB167" s="7" t="s">
        <v>118</v>
      </c>
      <c r="AC167" s="7" t="s">
        <v>59</v>
      </c>
      <c r="AD167" s="7" t="s">
        <v>1829</v>
      </c>
    </row>
    <row r="168" ht="15.75" customHeight="1">
      <c r="A168" s="7" t="s">
        <v>1819</v>
      </c>
      <c r="B168" s="7" t="s">
        <v>1820</v>
      </c>
      <c r="C168" s="7" t="s">
        <v>1793</v>
      </c>
      <c r="D168" s="7" t="s">
        <v>1822</v>
      </c>
      <c r="E168" s="7">
        <v>5.0</v>
      </c>
      <c r="F168" s="7" t="s">
        <v>1853</v>
      </c>
      <c r="G168" s="7" t="s">
        <v>631</v>
      </c>
      <c r="H168" s="7"/>
      <c r="I168" s="7"/>
      <c r="J168" s="7"/>
      <c r="K168" s="7" t="s">
        <v>139</v>
      </c>
      <c r="L168" s="7" t="s">
        <v>139</v>
      </c>
      <c r="M168" s="7" t="s">
        <v>121</v>
      </c>
      <c r="N168" s="7" t="s">
        <v>34</v>
      </c>
      <c r="O168" s="7" t="s">
        <v>1854</v>
      </c>
      <c r="P168" s="7" t="s">
        <v>162</v>
      </c>
      <c r="Q168" s="7" t="s">
        <v>1855</v>
      </c>
      <c r="R168" s="7" t="s">
        <v>1856</v>
      </c>
      <c r="S168" s="7" t="s">
        <v>188</v>
      </c>
      <c r="T168" s="7">
        <v>1.0</v>
      </c>
      <c r="U168" s="7" t="s">
        <v>41</v>
      </c>
      <c r="V168" s="7"/>
      <c r="W168" s="7" t="s">
        <v>152</v>
      </c>
      <c r="X168" s="7" t="s">
        <v>41</v>
      </c>
      <c r="Y168" s="7"/>
      <c r="Z168" s="7" t="s">
        <v>139</v>
      </c>
      <c r="AA168" s="7" t="s">
        <v>631</v>
      </c>
      <c r="AB168" s="7" t="s">
        <v>138</v>
      </c>
      <c r="AC168" s="7" t="s">
        <v>78</v>
      </c>
      <c r="AD168" s="7" t="s">
        <v>1829</v>
      </c>
    </row>
    <row r="169" ht="15.75" customHeight="1">
      <c r="A169" s="7" t="s">
        <v>1859</v>
      </c>
      <c r="B169" s="7" t="s">
        <v>1861</v>
      </c>
      <c r="C169" s="7" t="s">
        <v>1793</v>
      </c>
      <c r="D169" s="7" t="s">
        <v>1863</v>
      </c>
      <c r="E169" s="7">
        <v>1.0</v>
      </c>
      <c r="F169" s="7" t="s">
        <v>1864</v>
      </c>
      <c r="G169" s="7" t="s">
        <v>137</v>
      </c>
      <c r="H169" s="7" t="s">
        <v>110</v>
      </c>
      <c r="I169" s="7"/>
      <c r="J169" s="7"/>
      <c r="K169" s="7" t="s">
        <v>215</v>
      </c>
      <c r="L169" s="7" t="s">
        <v>209</v>
      </c>
      <c r="M169" s="7" t="s">
        <v>182</v>
      </c>
      <c r="N169" s="7" t="s">
        <v>34</v>
      </c>
      <c r="O169" s="7" t="s">
        <v>143</v>
      </c>
      <c r="P169" s="7" t="s">
        <v>145</v>
      </c>
      <c r="Q169" s="7" t="s">
        <v>1866</v>
      </c>
      <c r="R169" s="7" t="s">
        <v>1868</v>
      </c>
      <c r="S169" s="7" t="s">
        <v>188</v>
      </c>
      <c r="T169" s="7">
        <v>1.0</v>
      </c>
      <c r="U169" s="7" t="s">
        <v>41</v>
      </c>
      <c r="V169" s="7"/>
      <c r="W169" s="7" t="s">
        <v>152</v>
      </c>
      <c r="X169" s="7" t="s">
        <v>41</v>
      </c>
      <c r="Y169" s="7"/>
      <c r="Z169" s="7"/>
      <c r="AA169" s="7"/>
      <c r="AB169" s="7" t="s">
        <v>215</v>
      </c>
      <c r="AC169" s="7" t="s">
        <v>119</v>
      </c>
      <c r="AD169" s="7" t="s">
        <v>1871</v>
      </c>
    </row>
    <row r="170" ht="15.75" customHeight="1">
      <c r="A170" s="7" t="s">
        <v>1859</v>
      </c>
      <c r="B170" s="7" t="s">
        <v>1861</v>
      </c>
      <c r="C170" s="7" t="s">
        <v>1793</v>
      </c>
      <c r="D170" s="7" t="s">
        <v>1863</v>
      </c>
      <c r="E170" s="7">
        <v>2.0</v>
      </c>
      <c r="F170" s="7" t="s">
        <v>1874</v>
      </c>
      <c r="G170" s="7" t="s">
        <v>137</v>
      </c>
      <c r="H170" s="7" t="s">
        <v>110</v>
      </c>
      <c r="I170" s="7"/>
      <c r="J170" s="7"/>
      <c r="K170" s="7" t="s">
        <v>215</v>
      </c>
      <c r="L170" s="7" t="s">
        <v>209</v>
      </c>
      <c r="M170" s="7" t="s">
        <v>182</v>
      </c>
      <c r="N170" s="7" t="s">
        <v>34</v>
      </c>
      <c r="O170" s="7" t="s">
        <v>143</v>
      </c>
      <c r="P170" s="7" t="s">
        <v>145</v>
      </c>
      <c r="Q170" s="7" t="s">
        <v>1877</v>
      </c>
      <c r="R170" s="7" t="s">
        <v>1878</v>
      </c>
      <c r="S170" s="7" t="s">
        <v>188</v>
      </c>
      <c r="T170" s="7">
        <v>1.0</v>
      </c>
      <c r="U170" s="7" t="s">
        <v>41</v>
      </c>
      <c r="V170" s="7"/>
      <c r="W170" s="7" t="s">
        <v>152</v>
      </c>
      <c r="X170" s="7" t="s">
        <v>41</v>
      </c>
      <c r="Y170" s="7"/>
      <c r="Z170" s="7"/>
      <c r="AA170" s="7"/>
      <c r="AB170" s="7" t="s">
        <v>215</v>
      </c>
      <c r="AC170" s="7" t="s">
        <v>119</v>
      </c>
      <c r="AD170" s="7" t="s">
        <v>1871</v>
      </c>
    </row>
    <row r="171" ht="15.75" customHeight="1">
      <c r="A171" s="7" t="s">
        <v>1859</v>
      </c>
      <c r="B171" s="7" t="s">
        <v>1861</v>
      </c>
      <c r="C171" s="7" t="s">
        <v>1793</v>
      </c>
      <c r="D171" s="7" t="s">
        <v>1863</v>
      </c>
      <c r="E171" s="7">
        <v>3.0</v>
      </c>
      <c r="F171" s="7" t="s">
        <v>1879</v>
      </c>
      <c r="G171" s="7" t="s">
        <v>137</v>
      </c>
      <c r="H171" s="7" t="s">
        <v>110</v>
      </c>
      <c r="I171" s="7"/>
      <c r="J171" s="7"/>
      <c r="K171" s="7" t="s">
        <v>139</v>
      </c>
      <c r="L171" s="7" t="s">
        <v>139</v>
      </c>
      <c r="M171" s="7" t="s">
        <v>121</v>
      </c>
      <c r="N171" s="7" t="s">
        <v>34</v>
      </c>
      <c r="O171" s="7" t="s">
        <v>1881</v>
      </c>
      <c r="P171" s="7" t="s">
        <v>162</v>
      </c>
      <c r="Q171" s="7" t="s">
        <v>1882</v>
      </c>
      <c r="R171" s="7" t="s">
        <v>1883</v>
      </c>
      <c r="S171" s="7" t="s">
        <v>148</v>
      </c>
      <c r="T171" s="7">
        <v>1.0</v>
      </c>
      <c r="U171" s="7" t="s">
        <v>41</v>
      </c>
      <c r="V171" s="7"/>
      <c r="W171" s="7" t="s">
        <v>152</v>
      </c>
      <c r="X171" s="7" t="s">
        <v>41</v>
      </c>
      <c r="Y171" s="7"/>
      <c r="Z171" s="7" t="s">
        <v>139</v>
      </c>
      <c r="AA171" s="7"/>
      <c r="AB171" s="7" t="s">
        <v>138</v>
      </c>
      <c r="AC171" s="7" t="s">
        <v>119</v>
      </c>
      <c r="AD171" s="7" t="s">
        <v>1871</v>
      </c>
    </row>
    <row r="172" ht="15.75" customHeight="1">
      <c r="A172" s="7" t="s">
        <v>1885</v>
      </c>
      <c r="B172" s="7" t="s">
        <v>1887</v>
      </c>
      <c r="C172" s="7" t="s">
        <v>1793</v>
      </c>
      <c r="D172" s="7" t="s">
        <v>1888</v>
      </c>
      <c r="E172" s="7">
        <v>1.0</v>
      </c>
      <c r="F172" s="7" t="s">
        <v>1891</v>
      </c>
      <c r="G172" s="7" t="s">
        <v>137</v>
      </c>
      <c r="H172" s="7" t="s">
        <v>48</v>
      </c>
      <c r="I172" s="7"/>
      <c r="J172" s="7"/>
      <c r="K172" s="7" t="s">
        <v>139</v>
      </c>
      <c r="L172" s="7" t="s">
        <v>139</v>
      </c>
      <c r="M172" s="7" t="s">
        <v>121</v>
      </c>
      <c r="N172" s="7" t="s">
        <v>34</v>
      </c>
      <c r="O172" s="7" t="s">
        <v>143</v>
      </c>
      <c r="P172" s="7" t="s">
        <v>37</v>
      </c>
      <c r="Q172" s="7" t="s">
        <v>1892</v>
      </c>
      <c r="R172" s="7" t="s">
        <v>1894</v>
      </c>
      <c r="S172" s="7" t="s">
        <v>188</v>
      </c>
      <c r="T172" s="7">
        <v>1.0</v>
      </c>
      <c r="U172" s="7" t="s">
        <v>41</v>
      </c>
      <c r="V172" s="7"/>
      <c r="W172" s="7" t="s">
        <v>152</v>
      </c>
      <c r="X172" s="7" t="s">
        <v>41</v>
      </c>
      <c r="Y172" s="7"/>
      <c r="Z172" s="7" t="s">
        <v>139</v>
      </c>
      <c r="AA172" s="7"/>
      <c r="AB172" s="7" t="s">
        <v>138</v>
      </c>
      <c r="AC172" s="7" t="s">
        <v>59</v>
      </c>
      <c r="AD172" s="7" t="s">
        <v>1896</v>
      </c>
    </row>
    <row r="173" ht="15.75" customHeight="1">
      <c r="A173" s="7" t="s">
        <v>1898</v>
      </c>
      <c r="B173" s="7" t="s">
        <v>1900</v>
      </c>
      <c r="C173" s="7" t="s">
        <v>1793</v>
      </c>
      <c r="D173" s="7" t="s">
        <v>1901</v>
      </c>
      <c r="E173" s="7">
        <v>1.0</v>
      </c>
      <c r="F173" s="7" t="s">
        <v>1902</v>
      </c>
      <c r="G173" s="7" t="s">
        <v>137</v>
      </c>
      <c r="H173" s="7" t="s">
        <v>48</v>
      </c>
      <c r="I173" s="7"/>
      <c r="J173" s="7"/>
      <c r="K173" s="7" t="s">
        <v>215</v>
      </c>
      <c r="L173" s="7" t="s">
        <v>209</v>
      </c>
      <c r="M173" s="7" t="s">
        <v>182</v>
      </c>
      <c r="N173" s="7" t="s">
        <v>34</v>
      </c>
      <c r="O173" s="7" t="s">
        <v>143</v>
      </c>
      <c r="P173" s="7" t="s">
        <v>185</v>
      </c>
      <c r="Q173" s="7" t="s">
        <v>1904</v>
      </c>
      <c r="R173" s="7" t="s">
        <v>1905</v>
      </c>
      <c r="S173" s="7" t="s">
        <v>148</v>
      </c>
      <c r="T173" s="7">
        <v>1.0</v>
      </c>
      <c r="U173" s="7" t="s">
        <v>41</v>
      </c>
      <c r="V173" s="7"/>
      <c r="W173" s="7" t="s">
        <v>152</v>
      </c>
      <c r="X173" s="7" t="s">
        <v>41</v>
      </c>
      <c r="Y173" s="7"/>
      <c r="Z173" s="7"/>
      <c r="AA173" s="7"/>
      <c r="AB173" s="7" t="s">
        <v>215</v>
      </c>
      <c r="AC173" s="7" t="s">
        <v>59</v>
      </c>
      <c r="AD173" s="7"/>
    </row>
    <row r="174" ht="15.75" customHeight="1">
      <c r="A174" s="7" t="s">
        <v>1908</v>
      </c>
      <c r="B174" s="7" t="s">
        <v>1909</v>
      </c>
      <c r="C174" s="7" t="s">
        <v>1910</v>
      </c>
      <c r="D174" s="7" t="s">
        <v>1911</v>
      </c>
      <c r="E174" s="7">
        <v>1.0</v>
      </c>
      <c r="F174" s="7" t="s">
        <v>1913</v>
      </c>
      <c r="G174" s="7" t="s">
        <v>891</v>
      </c>
      <c r="H174" s="7" t="s">
        <v>132</v>
      </c>
      <c r="I174" s="7"/>
      <c r="J174" s="7"/>
      <c r="K174" s="7" t="s">
        <v>42</v>
      </c>
      <c r="L174" s="7" t="s">
        <v>32</v>
      </c>
      <c r="M174" s="7" t="s">
        <v>182</v>
      </c>
      <c r="N174" s="7" t="s">
        <v>34</v>
      </c>
      <c r="O174" s="7" t="s">
        <v>143</v>
      </c>
      <c r="P174" s="7" t="s">
        <v>310</v>
      </c>
      <c r="Q174" s="7" t="s">
        <v>1914</v>
      </c>
      <c r="R174" s="7" t="s">
        <v>1916</v>
      </c>
      <c r="S174" s="7" t="s">
        <v>292</v>
      </c>
      <c r="T174" s="7">
        <v>1.0</v>
      </c>
      <c r="U174" s="7" t="s">
        <v>41</v>
      </c>
      <c r="V174" s="7"/>
      <c r="W174" s="7" t="s">
        <v>152</v>
      </c>
      <c r="X174" s="7" t="s">
        <v>41</v>
      </c>
      <c r="Y174" s="7"/>
      <c r="Z174" s="7"/>
      <c r="AA174" s="7"/>
      <c r="AB174" s="7" t="s">
        <v>42</v>
      </c>
      <c r="AC174" s="7" t="s">
        <v>140</v>
      </c>
      <c r="AD174" s="7" t="s">
        <v>1919</v>
      </c>
    </row>
    <row r="175" ht="15.75" customHeight="1">
      <c r="A175" s="7" t="s">
        <v>1920</v>
      </c>
      <c r="B175" s="7" t="s">
        <v>1921</v>
      </c>
      <c r="C175" s="7" t="s">
        <v>1910</v>
      </c>
      <c r="D175" s="7" t="s">
        <v>1922</v>
      </c>
      <c r="E175" s="7">
        <v>1.0</v>
      </c>
      <c r="F175" s="7" t="s">
        <v>1923</v>
      </c>
      <c r="G175" s="7" t="s">
        <v>137</v>
      </c>
      <c r="H175" s="7" t="s">
        <v>48</v>
      </c>
      <c r="I175" s="7"/>
      <c r="J175" s="7"/>
      <c r="K175" s="7" t="s">
        <v>471</v>
      </c>
      <c r="L175" s="7" t="s">
        <v>466</v>
      </c>
      <c r="M175" s="7" t="s">
        <v>866</v>
      </c>
      <c r="N175" s="7" t="s">
        <v>34</v>
      </c>
      <c r="O175" s="7" t="s">
        <v>143</v>
      </c>
      <c r="P175" s="7" t="s">
        <v>310</v>
      </c>
      <c r="Q175" s="7" t="s">
        <v>1925</v>
      </c>
      <c r="R175" s="7" t="s">
        <v>1926</v>
      </c>
      <c r="S175" s="7" t="s">
        <v>188</v>
      </c>
      <c r="T175" s="7">
        <v>1.0</v>
      </c>
      <c r="U175" s="7" t="s">
        <v>41</v>
      </c>
      <c r="V175" s="7"/>
      <c r="W175" s="7" t="s">
        <v>152</v>
      </c>
      <c r="X175" s="7" t="s">
        <v>41</v>
      </c>
      <c r="Y175" s="7"/>
      <c r="Z175" s="7"/>
      <c r="AA175" s="7"/>
      <c r="AB175" s="7" t="s">
        <v>471</v>
      </c>
      <c r="AC175" s="7" t="s">
        <v>59</v>
      </c>
      <c r="AD175" s="7" t="s">
        <v>1928</v>
      </c>
    </row>
    <row r="176" ht="15.75" customHeight="1">
      <c r="A176" s="7" t="s">
        <v>1920</v>
      </c>
      <c r="B176" s="7" t="s">
        <v>1921</v>
      </c>
      <c r="C176" s="7" t="s">
        <v>1910</v>
      </c>
      <c r="D176" s="7" t="s">
        <v>1922</v>
      </c>
      <c r="E176" s="7">
        <v>2.0</v>
      </c>
      <c r="F176" s="7" t="s">
        <v>1931</v>
      </c>
      <c r="G176" s="7" t="s">
        <v>137</v>
      </c>
      <c r="H176" s="7" t="s">
        <v>48</v>
      </c>
      <c r="I176" s="7"/>
      <c r="J176" s="7"/>
      <c r="K176" s="7" t="s">
        <v>241</v>
      </c>
      <c r="L176" s="7" t="s">
        <v>243</v>
      </c>
      <c r="M176" s="7" t="s">
        <v>244</v>
      </c>
      <c r="N176" s="7" t="s">
        <v>34</v>
      </c>
      <c r="O176" s="7" t="s">
        <v>143</v>
      </c>
      <c r="P176" s="7" t="s">
        <v>185</v>
      </c>
      <c r="Q176" s="7" t="s">
        <v>1934</v>
      </c>
      <c r="R176" s="7" t="s">
        <v>1936</v>
      </c>
      <c r="S176" s="7" t="s">
        <v>188</v>
      </c>
      <c r="T176" s="7">
        <v>1.0</v>
      </c>
      <c r="U176" s="7" t="s">
        <v>41</v>
      </c>
      <c r="V176" s="7"/>
      <c r="W176" s="7" t="s">
        <v>152</v>
      </c>
      <c r="X176" s="7" t="s">
        <v>41</v>
      </c>
      <c r="Y176" s="7"/>
      <c r="Z176" s="7"/>
      <c r="AA176" s="7"/>
      <c r="AB176" s="7" t="s">
        <v>241</v>
      </c>
      <c r="AC176" s="7" t="s">
        <v>59</v>
      </c>
      <c r="AD176" s="7" t="s">
        <v>1928</v>
      </c>
    </row>
    <row r="177" ht="15.75" customHeight="1">
      <c r="A177" s="7" t="s">
        <v>1920</v>
      </c>
      <c r="B177" s="7" t="s">
        <v>1921</v>
      </c>
      <c r="C177" s="7" t="s">
        <v>1910</v>
      </c>
      <c r="D177" s="7" t="s">
        <v>1922</v>
      </c>
      <c r="E177" s="7">
        <v>3.0</v>
      </c>
      <c r="F177" s="7" t="s">
        <v>1939</v>
      </c>
      <c r="G177" s="7" t="s">
        <v>1940</v>
      </c>
      <c r="H177" s="7" t="s">
        <v>390</v>
      </c>
      <c r="I177" s="7"/>
      <c r="J177" s="7"/>
      <c r="K177" s="7" t="s">
        <v>471</v>
      </c>
      <c r="L177" s="7" t="s">
        <v>466</v>
      </c>
      <c r="M177" s="7" t="s">
        <v>866</v>
      </c>
      <c r="N177" s="7" t="s">
        <v>79</v>
      </c>
      <c r="O177" s="7" t="s">
        <v>143</v>
      </c>
      <c r="P177" s="7" t="s">
        <v>54</v>
      </c>
      <c r="Q177" s="7" t="s">
        <v>1942</v>
      </c>
      <c r="R177" s="7" t="s">
        <v>1943</v>
      </c>
      <c r="S177" s="7" t="s">
        <v>148</v>
      </c>
      <c r="T177" s="7">
        <v>1.0</v>
      </c>
      <c r="U177" s="7" t="s">
        <v>41</v>
      </c>
      <c r="V177" s="7"/>
      <c r="W177" s="7" t="s">
        <v>152</v>
      </c>
      <c r="X177" s="7" t="s">
        <v>41</v>
      </c>
      <c r="Y177" s="7"/>
      <c r="Z177" s="7"/>
      <c r="AA177" s="7"/>
      <c r="AB177" s="7" t="s">
        <v>471</v>
      </c>
      <c r="AC177" s="7" t="s">
        <v>1945</v>
      </c>
      <c r="AD177" s="7" t="s">
        <v>1928</v>
      </c>
    </row>
    <row r="178" ht="15.75" customHeight="1">
      <c r="A178" s="7" t="s">
        <v>1947</v>
      </c>
      <c r="B178" s="7" t="s">
        <v>1948</v>
      </c>
      <c r="C178" s="7" t="s">
        <v>1910</v>
      </c>
      <c r="D178" s="7" t="s">
        <v>1949</v>
      </c>
      <c r="E178" s="7">
        <v>1.0</v>
      </c>
      <c r="F178" s="7" t="s">
        <v>1950</v>
      </c>
      <c r="G178" s="7" t="s">
        <v>137</v>
      </c>
      <c r="H178" s="7" t="s">
        <v>48</v>
      </c>
      <c r="I178" s="7" t="s">
        <v>891</v>
      </c>
      <c r="J178" s="7" t="s">
        <v>132</v>
      </c>
      <c r="K178" s="7" t="s">
        <v>42</v>
      </c>
      <c r="L178" s="7" t="s">
        <v>32</v>
      </c>
      <c r="M178" s="7" t="s">
        <v>182</v>
      </c>
      <c r="N178" s="7" t="s">
        <v>34</v>
      </c>
      <c r="O178" s="7" t="s">
        <v>143</v>
      </c>
      <c r="P178" s="7" t="s">
        <v>310</v>
      </c>
      <c r="Q178" s="7" t="s">
        <v>1953</v>
      </c>
      <c r="R178" s="7" t="s">
        <v>515</v>
      </c>
      <c r="S178" s="7" t="s">
        <v>148</v>
      </c>
      <c r="T178" s="7">
        <v>1.0</v>
      </c>
      <c r="U178" s="7" t="s">
        <v>41</v>
      </c>
      <c r="V178" s="7"/>
      <c r="W178" s="7" t="s">
        <v>152</v>
      </c>
      <c r="X178" s="7" t="s">
        <v>41</v>
      </c>
      <c r="Y178" s="7"/>
      <c r="Z178" s="7"/>
      <c r="AA178" s="7"/>
      <c r="AB178" s="7" t="s">
        <v>42</v>
      </c>
      <c r="AC178" s="7" t="s">
        <v>59</v>
      </c>
      <c r="AD178" s="7"/>
    </row>
    <row r="179" ht="15.75" customHeight="1">
      <c r="A179" s="7" t="s">
        <v>1947</v>
      </c>
      <c r="B179" s="7" t="s">
        <v>1948</v>
      </c>
      <c r="C179" s="7" t="s">
        <v>1910</v>
      </c>
      <c r="D179" s="7" t="s">
        <v>1949</v>
      </c>
      <c r="E179" s="7">
        <v>2.0</v>
      </c>
      <c r="F179" s="7" t="s">
        <v>1957</v>
      </c>
      <c r="G179" s="7" t="s">
        <v>631</v>
      </c>
      <c r="H179" s="7"/>
      <c r="I179" s="7"/>
      <c r="J179" s="7"/>
      <c r="K179" s="7" t="s">
        <v>139</v>
      </c>
      <c r="L179" s="7" t="s">
        <v>139</v>
      </c>
      <c r="M179" s="7" t="s">
        <v>121</v>
      </c>
      <c r="N179" s="7" t="s">
        <v>34</v>
      </c>
      <c r="O179" s="7" t="s">
        <v>143</v>
      </c>
      <c r="P179" s="7" t="s">
        <v>247</v>
      </c>
      <c r="Q179" s="7" t="s">
        <v>1959</v>
      </c>
      <c r="R179" s="7" t="s">
        <v>1960</v>
      </c>
      <c r="S179" s="7" t="s">
        <v>188</v>
      </c>
      <c r="T179" s="7">
        <v>1.0</v>
      </c>
      <c r="U179" s="7" t="s">
        <v>41</v>
      </c>
      <c r="V179" s="7"/>
      <c r="W179" s="7" t="s">
        <v>152</v>
      </c>
      <c r="X179" s="7" t="s">
        <v>41</v>
      </c>
      <c r="Y179" s="7"/>
      <c r="Z179" s="7" t="s">
        <v>139</v>
      </c>
      <c r="AA179" s="7" t="s">
        <v>631</v>
      </c>
      <c r="AB179" s="7" t="s">
        <v>138</v>
      </c>
      <c r="AC179" s="7" t="s">
        <v>78</v>
      </c>
      <c r="AD179" s="7"/>
    </row>
    <row r="180" ht="15.75" customHeight="1">
      <c r="A180" s="7" t="s">
        <v>1962</v>
      </c>
      <c r="B180" s="7" t="s">
        <v>1964</v>
      </c>
      <c r="C180" s="7" t="s">
        <v>1910</v>
      </c>
      <c r="D180" s="7" t="s">
        <v>1967</v>
      </c>
      <c r="E180" s="7">
        <v>1.0</v>
      </c>
      <c r="F180" s="7" t="s">
        <v>1968</v>
      </c>
      <c r="G180" s="7" t="s">
        <v>137</v>
      </c>
      <c r="H180" s="7" t="s">
        <v>48</v>
      </c>
      <c r="I180" s="7"/>
      <c r="J180" s="7"/>
      <c r="K180" s="7" t="s">
        <v>96</v>
      </c>
      <c r="L180" s="7" t="s">
        <v>89</v>
      </c>
      <c r="M180" s="7" t="s">
        <v>866</v>
      </c>
      <c r="N180" s="7" t="s">
        <v>34</v>
      </c>
      <c r="O180" s="7" t="s">
        <v>143</v>
      </c>
      <c r="P180" s="7" t="s">
        <v>37</v>
      </c>
      <c r="Q180" s="7" t="s">
        <v>1970</v>
      </c>
      <c r="R180" s="7" t="s">
        <v>1971</v>
      </c>
      <c r="S180" s="7" t="s">
        <v>188</v>
      </c>
      <c r="T180" s="7">
        <v>1.0</v>
      </c>
      <c r="U180" s="7" t="s">
        <v>41</v>
      </c>
      <c r="V180" s="7"/>
      <c r="W180" s="7" t="s">
        <v>152</v>
      </c>
      <c r="X180" s="7" t="s">
        <v>41</v>
      </c>
      <c r="Y180" s="7"/>
      <c r="Z180" s="7"/>
      <c r="AA180" s="7"/>
      <c r="AB180" s="7" t="s">
        <v>96</v>
      </c>
      <c r="AC180" s="7" t="s">
        <v>59</v>
      </c>
      <c r="AD180" s="7"/>
    </row>
    <row r="181" ht="15.75" customHeight="1">
      <c r="A181" s="7" t="s">
        <v>1974</v>
      </c>
      <c r="B181" s="7" t="s">
        <v>1975</v>
      </c>
      <c r="C181" s="7" t="s">
        <v>1910</v>
      </c>
      <c r="D181" s="7" t="s">
        <v>1976</v>
      </c>
      <c r="E181" s="7">
        <v>1.0</v>
      </c>
      <c r="F181" s="7" t="s">
        <v>1977</v>
      </c>
      <c r="G181" s="7" t="s">
        <v>137</v>
      </c>
      <c r="H181" s="7" t="s">
        <v>325</v>
      </c>
      <c r="I181" s="7"/>
      <c r="J181" s="7"/>
      <c r="K181" s="7" t="s">
        <v>72</v>
      </c>
      <c r="L181" s="7" t="s">
        <v>63</v>
      </c>
      <c r="M181" s="7" t="s">
        <v>182</v>
      </c>
      <c r="N181" s="7" t="s">
        <v>34</v>
      </c>
      <c r="O181" s="7" t="s">
        <v>143</v>
      </c>
      <c r="P181" s="7" t="s">
        <v>185</v>
      </c>
      <c r="Q181" s="7" t="s">
        <v>1979</v>
      </c>
      <c r="R181" s="7" t="s">
        <v>1980</v>
      </c>
      <c r="S181" s="7" t="s">
        <v>148</v>
      </c>
      <c r="T181" s="7">
        <v>1.0</v>
      </c>
      <c r="U181" s="7" t="s">
        <v>41</v>
      </c>
      <c r="V181" s="7"/>
      <c r="W181" s="7" t="s">
        <v>152</v>
      </c>
      <c r="X181" s="7" t="s">
        <v>41</v>
      </c>
      <c r="Y181" s="7"/>
      <c r="Z181" s="7"/>
      <c r="AA181" s="7"/>
      <c r="AB181" s="7" t="s">
        <v>72</v>
      </c>
      <c r="AC181" s="7" t="s">
        <v>1791</v>
      </c>
      <c r="AD181" s="7"/>
    </row>
    <row r="182" ht="15.75" customHeight="1">
      <c r="A182" s="7" t="s">
        <v>1974</v>
      </c>
      <c r="B182" s="7" t="s">
        <v>1975</v>
      </c>
      <c r="C182" s="7" t="s">
        <v>1910</v>
      </c>
      <c r="D182" s="7" t="s">
        <v>1976</v>
      </c>
      <c r="E182" s="7">
        <v>2.0</v>
      </c>
      <c r="F182" s="7" t="s">
        <v>1986</v>
      </c>
      <c r="G182" s="7" t="s">
        <v>137</v>
      </c>
      <c r="H182" s="7" t="s">
        <v>48</v>
      </c>
      <c r="I182" s="7"/>
      <c r="J182" s="7"/>
      <c r="K182" s="7" t="s">
        <v>547</v>
      </c>
      <c r="L182" s="7" t="s">
        <v>542</v>
      </c>
      <c r="M182" s="7" t="s">
        <v>614</v>
      </c>
      <c r="N182" s="7" t="s">
        <v>34</v>
      </c>
      <c r="O182" s="7" t="s">
        <v>143</v>
      </c>
      <c r="P182" s="7" t="s">
        <v>310</v>
      </c>
      <c r="Q182" s="7" t="s">
        <v>1988</v>
      </c>
      <c r="R182" s="7" t="s">
        <v>1990</v>
      </c>
      <c r="S182" s="7" t="s">
        <v>148</v>
      </c>
      <c r="T182" s="7">
        <v>1.0</v>
      </c>
      <c r="U182" s="7" t="s">
        <v>41</v>
      </c>
      <c r="V182" s="7"/>
      <c r="W182" s="7" t="s">
        <v>152</v>
      </c>
      <c r="X182" s="7" t="s">
        <v>41</v>
      </c>
      <c r="Y182" s="7"/>
      <c r="Z182" s="7"/>
      <c r="AA182" s="7"/>
      <c r="AB182" s="7" t="s">
        <v>547</v>
      </c>
      <c r="AC182" s="7" t="s">
        <v>59</v>
      </c>
      <c r="AD182" s="7"/>
    </row>
    <row r="183" ht="15.75" customHeight="1">
      <c r="A183" s="7" t="s">
        <v>1974</v>
      </c>
      <c r="B183" s="7" t="s">
        <v>1975</v>
      </c>
      <c r="C183" s="7" t="s">
        <v>1910</v>
      </c>
      <c r="D183" s="7" t="s">
        <v>1976</v>
      </c>
      <c r="E183" s="7">
        <v>3.0</v>
      </c>
      <c r="F183" s="7" t="s">
        <v>1994</v>
      </c>
      <c r="G183" s="7" t="s">
        <v>631</v>
      </c>
      <c r="H183" s="7"/>
      <c r="I183" s="7"/>
      <c r="J183" s="7"/>
      <c r="K183" s="7" t="s">
        <v>139</v>
      </c>
      <c r="L183" s="7" t="s">
        <v>139</v>
      </c>
      <c r="M183" s="7" t="s">
        <v>121</v>
      </c>
      <c r="N183" s="7" t="s">
        <v>34</v>
      </c>
      <c r="O183" s="7" t="s">
        <v>143</v>
      </c>
      <c r="P183" s="7" t="s">
        <v>310</v>
      </c>
      <c r="Q183" s="7" t="s">
        <v>1999</v>
      </c>
      <c r="R183" s="7" t="s">
        <v>2000</v>
      </c>
      <c r="S183" s="7" t="s">
        <v>292</v>
      </c>
      <c r="T183" s="7">
        <v>1.0</v>
      </c>
      <c r="U183" s="7" t="s">
        <v>41</v>
      </c>
      <c r="V183" s="7"/>
      <c r="W183" s="7" t="s">
        <v>152</v>
      </c>
      <c r="X183" s="7" t="s">
        <v>41</v>
      </c>
      <c r="Y183" s="7"/>
      <c r="Z183" s="7" t="s">
        <v>139</v>
      </c>
      <c r="AA183" s="7" t="s">
        <v>631</v>
      </c>
      <c r="AB183" s="7" t="s">
        <v>138</v>
      </c>
      <c r="AC183" s="7" t="s">
        <v>78</v>
      </c>
      <c r="AD183" s="7"/>
    </row>
    <row r="184" ht="15.75" customHeight="1">
      <c r="A184" s="7" t="s">
        <v>1974</v>
      </c>
      <c r="B184" s="7" t="s">
        <v>1975</v>
      </c>
      <c r="C184" s="7" t="s">
        <v>1910</v>
      </c>
      <c r="D184" s="7" t="s">
        <v>1976</v>
      </c>
      <c r="E184" s="7">
        <v>4.0</v>
      </c>
      <c r="F184" s="7" t="s">
        <v>2004</v>
      </c>
      <c r="G184" s="7" t="s">
        <v>137</v>
      </c>
      <c r="H184" s="7" t="s">
        <v>100</v>
      </c>
      <c r="I184" s="7"/>
      <c r="J184" s="7"/>
      <c r="K184" s="7" t="s">
        <v>72</v>
      </c>
      <c r="L184" s="7" t="s">
        <v>63</v>
      </c>
      <c r="M184" s="7" t="s">
        <v>182</v>
      </c>
      <c r="N184" s="7" t="s">
        <v>34</v>
      </c>
      <c r="O184" s="7" t="s">
        <v>143</v>
      </c>
      <c r="P184" s="7" t="s">
        <v>310</v>
      </c>
      <c r="Q184" s="7" t="s">
        <v>2006</v>
      </c>
      <c r="R184" s="7" t="s">
        <v>2007</v>
      </c>
      <c r="S184" s="7" t="s">
        <v>148</v>
      </c>
      <c r="T184" s="7">
        <v>1.0</v>
      </c>
      <c r="U184" s="7" t="s">
        <v>41</v>
      </c>
      <c r="V184" s="7"/>
      <c r="W184" s="7" t="s">
        <v>152</v>
      </c>
      <c r="X184" s="7" t="s">
        <v>41</v>
      </c>
      <c r="Y184" s="7"/>
      <c r="Z184" s="7"/>
      <c r="AA184" s="7"/>
      <c r="AB184" s="7" t="s">
        <v>72</v>
      </c>
      <c r="AC184" s="7" t="s">
        <v>106</v>
      </c>
      <c r="AD184" s="7"/>
    </row>
    <row r="185" ht="15.75" customHeight="1">
      <c r="A185" s="7" t="s">
        <v>2009</v>
      </c>
      <c r="B185" s="7" t="s">
        <v>2010</v>
      </c>
      <c r="C185" s="7" t="s">
        <v>1910</v>
      </c>
      <c r="D185" s="7" t="s">
        <v>2013</v>
      </c>
      <c r="E185" s="7">
        <v>1.0</v>
      </c>
      <c r="F185" s="7" t="s">
        <v>2015</v>
      </c>
      <c r="G185" s="7" t="s">
        <v>137</v>
      </c>
      <c r="H185" s="7" t="s">
        <v>48</v>
      </c>
      <c r="I185" s="7"/>
      <c r="J185" s="7"/>
      <c r="K185" s="7" t="s">
        <v>556</v>
      </c>
      <c r="L185" s="7" t="s">
        <v>550</v>
      </c>
      <c r="M185" s="7" t="s">
        <v>182</v>
      </c>
      <c r="N185" s="7" t="s">
        <v>34</v>
      </c>
      <c r="O185" s="7" t="s">
        <v>143</v>
      </c>
      <c r="P185" s="7" t="s">
        <v>37</v>
      </c>
      <c r="Q185" s="7" t="s">
        <v>2017</v>
      </c>
      <c r="R185" s="7" t="s">
        <v>2018</v>
      </c>
      <c r="S185" s="7" t="s">
        <v>188</v>
      </c>
      <c r="T185" s="7">
        <v>1.0</v>
      </c>
      <c r="U185" s="7" t="s">
        <v>41</v>
      </c>
      <c r="V185" s="7"/>
      <c r="W185" s="7" t="s">
        <v>152</v>
      </c>
      <c r="X185" s="7" t="s">
        <v>41</v>
      </c>
      <c r="Y185" s="7"/>
      <c r="Z185" s="7"/>
      <c r="AA185" s="7"/>
      <c r="AB185" s="7" t="s">
        <v>556</v>
      </c>
      <c r="AC185" s="7" t="s">
        <v>59</v>
      </c>
      <c r="AD185" s="7"/>
    </row>
    <row r="186" ht="15.75" customHeight="1">
      <c r="A186" s="7" t="s">
        <v>2009</v>
      </c>
      <c r="B186" s="7" t="s">
        <v>2010</v>
      </c>
      <c r="C186" s="7" t="s">
        <v>1910</v>
      </c>
      <c r="D186" s="7" t="s">
        <v>2013</v>
      </c>
      <c r="E186" s="7">
        <v>2.0</v>
      </c>
      <c r="F186" s="7" t="s">
        <v>2023</v>
      </c>
      <c r="G186" s="7" t="s">
        <v>137</v>
      </c>
      <c r="H186" s="7" t="s">
        <v>48</v>
      </c>
      <c r="I186" s="7"/>
      <c r="J186" s="7"/>
      <c r="K186" s="7" t="s">
        <v>72</v>
      </c>
      <c r="L186" s="7" t="s">
        <v>63</v>
      </c>
      <c r="M186" s="7" t="s">
        <v>182</v>
      </c>
      <c r="N186" s="7" t="s">
        <v>34</v>
      </c>
      <c r="O186" s="7" t="s">
        <v>143</v>
      </c>
      <c r="P186" s="7" t="s">
        <v>185</v>
      </c>
      <c r="Q186" s="7" t="s">
        <v>2027</v>
      </c>
      <c r="R186" s="7" t="s">
        <v>2028</v>
      </c>
      <c r="S186" s="7" t="s">
        <v>188</v>
      </c>
      <c r="T186" s="7">
        <v>1.0</v>
      </c>
      <c r="U186" s="7" t="s">
        <v>41</v>
      </c>
      <c r="V186" s="7"/>
      <c r="W186" s="7" t="s">
        <v>152</v>
      </c>
      <c r="X186" s="7" t="s">
        <v>41</v>
      </c>
      <c r="Y186" s="7"/>
      <c r="Z186" s="7"/>
      <c r="AA186" s="7"/>
      <c r="AB186" s="7" t="s">
        <v>72</v>
      </c>
      <c r="AC186" s="7" t="s">
        <v>59</v>
      </c>
      <c r="AD186" s="7"/>
    </row>
    <row r="187" ht="15.75" customHeight="1">
      <c r="A187" s="7" t="s">
        <v>2009</v>
      </c>
      <c r="B187" s="7" t="s">
        <v>2010</v>
      </c>
      <c r="C187" s="7" t="s">
        <v>1910</v>
      </c>
      <c r="D187" s="7" t="s">
        <v>2013</v>
      </c>
      <c r="E187" s="7">
        <v>3.0</v>
      </c>
      <c r="F187" s="7" t="s">
        <v>2031</v>
      </c>
      <c r="G187" s="7" t="s">
        <v>137</v>
      </c>
      <c r="H187" s="7" t="s">
        <v>48</v>
      </c>
      <c r="I187" s="7"/>
      <c r="J187" s="7"/>
      <c r="K187" s="7" t="s">
        <v>72</v>
      </c>
      <c r="L187" s="7" t="s">
        <v>63</v>
      </c>
      <c r="M187" s="7" t="s">
        <v>182</v>
      </c>
      <c r="N187" s="7" t="s">
        <v>34</v>
      </c>
      <c r="O187" s="7" t="s">
        <v>143</v>
      </c>
      <c r="P187" s="7" t="s">
        <v>185</v>
      </c>
      <c r="Q187" s="7" t="s">
        <v>2034</v>
      </c>
      <c r="R187" s="7" t="s">
        <v>2028</v>
      </c>
      <c r="S187" s="7" t="s">
        <v>188</v>
      </c>
      <c r="T187" s="7">
        <v>1.0</v>
      </c>
      <c r="U187" s="7" t="s">
        <v>41</v>
      </c>
      <c r="V187" s="7"/>
      <c r="W187" s="7" t="s">
        <v>152</v>
      </c>
      <c r="X187" s="7" t="s">
        <v>41</v>
      </c>
      <c r="Y187" s="7"/>
      <c r="Z187" s="7"/>
      <c r="AA187" s="7"/>
      <c r="AB187" s="7" t="s">
        <v>72</v>
      </c>
      <c r="AC187" s="7" t="s">
        <v>59</v>
      </c>
      <c r="AD187" s="7"/>
    </row>
    <row r="188" ht="15.75" customHeight="1">
      <c r="A188" s="7" t="s">
        <v>2036</v>
      </c>
      <c r="B188" s="7" t="s">
        <v>2037</v>
      </c>
      <c r="C188" s="7" t="s">
        <v>1910</v>
      </c>
      <c r="D188" s="7" t="s">
        <v>2038</v>
      </c>
      <c r="E188" s="7">
        <v>1.0</v>
      </c>
      <c r="F188" s="7" t="s">
        <v>2041</v>
      </c>
      <c r="G188" s="7" t="s">
        <v>137</v>
      </c>
      <c r="H188" s="7" t="s">
        <v>48</v>
      </c>
      <c r="I188" s="7"/>
      <c r="J188" s="7"/>
      <c r="K188" s="7" t="s">
        <v>118</v>
      </c>
      <c r="L188" s="7" t="s">
        <v>112</v>
      </c>
      <c r="M188" s="7" t="s">
        <v>182</v>
      </c>
      <c r="N188" s="7" t="s">
        <v>34</v>
      </c>
      <c r="O188" s="7" t="s">
        <v>143</v>
      </c>
      <c r="P188" s="7" t="s">
        <v>185</v>
      </c>
      <c r="Q188" s="7" t="s">
        <v>2045</v>
      </c>
      <c r="R188" s="7" t="s">
        <v>2046</v>
      </c>
      <c r="S188" s="7" t="s">
        <v>148</v>
      </c>
      <c r="T188" s="7">
        <v>1.0</v>
      </c>
      <c r="U188" s="7" t="s">
        <v>41</v>
      </c>
      <c r="V188" s="7"/>
      <c r="W188" s="7" t="s">
        <v>152</v>
      </c>
      <c r="X188" s="7" t="s">
        <v>41</v>
      </c>
      <c r="Y188" s="7"/>
      <c r="Z188" s="7"/>
      <c r="AA188" s="7"/>
      <c r="AB188" s="7" t="s">
        <v>118</v>
      </c>
      <c r="AC188" s="7" t="s">
        <v>59</v>
      </c>
      <c r="AD188" s="7"/>
    </row>
    <row r="189" ht="15.75" customHeight="1">
      <c r="A189" s="7" t="s">
        <v>2036</v>
      </c>
      <c r="B189" s="7" t="s">
        <v>2037</v>
      </c>
      <c r="C189" s="7" t="s">
        <v>1910</v>
      </c>
      <c r="D189" s="7" t="s">
        <v>2038</v>
      </c>
      <c r="E189" s="7">
        <v>2.0</v>
      </c>
      <c r="F189" s="7" t="s">
        <v>2051</v>
      </c>
      <c r="G189" s="7" t="s">
        <v>137</v>
      </c>
      <c r="H189" s="7" t="s">
        <v>48</v>
      </c>
      <c r="I189" s="7"/>
      <c r="J189" s="7"/>
      <c r="K189" s="7" t="s">
        <v>72</v>
      </c>
      <c r="L189" s="7" t="s">
        <v>63</v>
      </c>
      <c r="M189" s="7" t="s">
        <v>182</v>
      </c>
      <c r="N189" s="7" t="s">
        <v>142</v>
      </c>
      <c r="O189" s="7" t="s">
        <v>143</v>
      </c>
      <c r="P189" s="7" t="s">
        <v>54</v>
      </c>
      <c r="Q189" s="7" t="s">
        <v>2053</v>
      </c>
      <c r="R189" s="7" t="s">
        <v>2054</v>
      </c>
      <c r="S189" s="7" t="s">
        <v>188</v>
      </c>
      <c r="T189" s="7">
        <v>1.0</v>
      </c>
      <c r="U189" s="7" t="s">
        <v>41</v>
      </c>
      <c r="V189" s="7"/>
      <c r="W189" s="7" t="s">
        <v>152</v>
      </c>
      <c r="X189" s="7" t="s">
        <v>41</v>
      </c>
      <c r="Y189" s="7"/>
      <c r="Z189" s="7"/>
      <c r="AA189" s="7"/>
      <c r="AB189" s="7" t="s">
        <v>72</v>
      </c>
      <c r="AC189" s="7" t="s">
        <v>59</v>
      </c>
      <c r="AD189" s="7"/>
    </row>
    <row r="190" ht="15.75" customHeight="1">
      <c r="A190" s="7" t="s">
        <v>2057</v>
      </c>
      <c r="B190" s="7" t="s">
        <v>2058</v>
      </c>
      <c r="C190" s="7" t="s">
        <v>1910</v>
      </c>
      <c r="D190" s="7" t="s">
        <v>2059</v>
      </c>
      <c r="E190" s="7">
        <v>1.0</v>
      </c>
      <c r="F190" s="7" t="s">
        <v>2060</v>
      </c>
      <c r="G190" s="7" t="s">
        <v>891</v>
      </c>
      <c r="H190" s="7" t="s">
        <v>346</v>
      </c>
      <c r="I190" s="7"/>
      <c r="J190" s="7"/>
      <c r="K190" s="7" t="s">
        <v>105</v>
      </c>
      <c r="L190" s="7" t="s">
        <v>101</v>
      </c>
      <c r="M190" s="7" t="s">
        <v>182</v>
      </c>
      <c r="N190" s="7" t="s">
        <v>34</v>
      </c>
      <c r="O190" s="7" t="s">
        <v>143</v>
      </c>
      <c r="P190" s="7" t="s">
        <v>185</v>
      </c>
      <c r="Q190" s="7" t="s">
        <v>2062</v>
      </c>
      <c r="R190" s="7" t="s">
        <v>2064</v>
      </c>
      <c r="S190" s="7" t="s">
        <v>148</v>
      </c>
      <c r="T190" s="7">
        <v>1.0</v>
      </c>
      <c r="U190" s="7" t="s">
        <v>41</v>
      </c>
      <c r="V190" s="7"/>
      <c r="W190" s="7" t="s">
        <v>152</v>
      </c>
      <c r="X190" s="7" t="s">
        <v>41</v>
      </c>
      <c r="Y190" s="7"/>
      <c r="Z190" s="7"/>
      <c r="AA190" s="7"/>
      <c r="AB190" s="7" t="s">
        <v>105</v>
      </c>
      <c r="AC190" s="7" t="s">
        <v>2065</v>
      </c>
      <c r="AD190" s="7"/>
    </row>
    <row r="191" ht="15.75" customHeight="1">
      <c r="A191" s="7" t="s">
        <v>2066</v>
      </c>
      <c r="B191" s="7" t="s">
        <v>2068</v>
      </c>
      <c r="C191" s="7" t="s">
        <v>1910</v>
      </c>
      <c r="D191" s="7" t="s">
        <v>2069</v>
      </c>
      <c r="E191" s="7">
        <v>1.0</v>
      </c>
      <c r="F191" s="7" t="s">
        <v>2070</v>
      </c>
      <c r="G191" s="7" t="s">
        <v>137</v>
      </c>
      <c r="H191" s="7" t="s">
        <v>48</v>
      </c>
      <c r="I191" s="7"/>
      <c r="J191" s="7"/>
      <c r="K191" s="7" t="s">
        <v>139</v>
      </c>
      <c r="L191" s="7" t="s">
        <v>139</v>
      </c>
      <c r="M191" s="7" t="s">
        <v>121</v>
      </c>
      <c r="N191" s="7" t="s">
        <v>34</v>
      </c>
      <c r="O191" s="7" t="s">
        <v>143</v>
      </c>
      <c r="P191" s="7" t="s">
        <v>37</v>
      </c>
      <c r="Q191" s="7" t="s">
        <v>2073</v>
      </c>
      <c r="R191" s="7" t="s">
        <v>2074</v>
      </c>
      <c r="S191" s="7" t="s">
        <v>188</v>
      </c>
      <c r="T191" s="7">
        <v>1.0</v>
      </c>
      <c r="U191" s="7" t="s">
        <v>41</v>
      </c>
      <c r="V191" s="7"/>
      <c r="W191" s="7" t="s">
        <v>152</v>
      </c>
      <c r="X191" s="7" t="s">
        <v>41</v>
      </c>
      <c r="Y191" s="7"/>
      <c r="Z191" s="7" t="s">
        <v>139</v>
      </c>
      <c r="AA191" s="7"/>
      <c r="AB191" s="7" t="s">
        <v>138</v>
      </c>
      <c r="AC191" s="7" t="s">
        <v>59</v>
      </c>
      <c r="AD191" s="7"/>
    </row>
    <row r="192" ht="15.75" customHeight="1">
      <c r="A192" s="7" t="s">
        <v>2066</v>
      </c>
      <c r="B192" s="7" t="s">
        <v>2068</v>
      </c>
      <c r="C192" s="7" t="s">
        <v>1910</v>
      </c>
      <c r="D192" s="7" t="s">
        <v>2069</v>
      </c>
      <c r="E192" s="7">
        <v>2.0</v>
      </c>
      <c r="F192" s="7" t="s">
        <v>2078</v>
      </c>
      <c r="G192" s="7" t="s">
        <v>137</v>
      </c>
      <c r="H192" s="7" t="s">
        <v>48</v>
      </c>
      <c r="I192" s="7"/>
      <c r="J192" s="7"/>
      <c r="K192" s="7" t="s">
        <v>139</v>
      </c>
      <c r="L192" s="7" t="s">
        <v>139</v>
      </c>
      <c r="M192" s="7" t="s">
        <v>121</v>
      </c>
      <c r="N192" s="7" t="s">
        <v>34</v>
      </c>
      <c r="O192" s="7" t="s">
        <v>143</v>
      </c>
      <c r="P192" s="7" t="s">
        <v>37</v>
      </c>
      <c r="Q192" s="7" t="s">
        <v>2080</v>
      </c>
      <c r="R192" s="7" t="s">
        <v>2074</v>
      </c>
      <c r="S192" s="7" t="s">
        <v>188</v>
      </c>
      <c r="T192" s="7">
        <v>1.0</v>
      </c>
      <c r="U192" s="7" t="s">
        <v>41</v>
      </c>
      <c r="V192" s="7"/>
      <c r="W192" s="7" t="s">
        <v>152</v>
      </c>
      <c r="X192" s="7" t="s">
        <v>41</v>
      </c>
      <c r="Y192" s="7"/>
      <c r="Z192" s="7" t="s">
        <v>139</v>
      </c>
      <c r="AA192" s="7"/>
      <c r="AB192" s="7" t="s">
        <v>138</v>
      </c>
      <c r="AC192" s="7" t="s">
        <v>59</v>
      </c>
      <c r="AD192" s="7"/>
    </row>
    <row r="193" ht="15.75" customHeight="1">
      <c r="A193" s="7" t="s">
        <v>2066</v>
      </c>
      <c r="B193" s="7" t="s">
        <v>2068</v>
      </c>
      <c r="C193" s="7" t="s">
        <v>1910</v>
      </c>
      <c r="D193" s="7" t="s">
        <v>2069</v>
      </c>
      <c r="E193" s="7">
        <v>3.0</v>
      </c>
      <c r="F193" s="7" t="s">
        <v>2084</v>
      </c>
      <c r="G193" s="7" t="s">
        <v>137</v>
      </c>
      <c r="H193" s="7" t="s">
        <v>48</v>
      </c>
      <c r="I193" s="7"/>
      <c r="J193" s="7"/>
      <c r="K193" s="7" t="s">
        <v>96</v>
      </c>
      <c r="L193" s="7" t="s">
        <v>89</v>
      </c>
      <c r="M193" s="7" t="s">
        <v>866</v>
      </c>
      <c r="N193" s="7" t="s">
        <v>34</v>
      </c>
      <c r="O193" s="7" t="s">
        <v>143</v>
      </c>
      <c r="P193" s="7" t="s">
        <v>37</v>
      </c>
      <c r="Q193" s="7" t="s">
        <v>2086</v>
      </c>
      <c r="R193" s="7" t="s">
        <v>2074</v>
      </c>
      <c r="S193" s="7" t="s">
        <v>188</v>
      </c>
      <c r="T193" s="7">
        <v>1.0</v>
      </c>
      <c r="U193" s="7" t="s">
        <v>41</v>
      </c>
      <c r="V193" s="7"/>
      <c r="W193" s="7" t="s">
        <v>152</v>
      </c>
      <c r="X193" s="7" t="s">
        <v>41</v>
      </c>
      <c r="Y193" s="7"/>
      <c r="Z193" s="7"/>
      <c r="AA193" s="7"/>
      <c r="AB193" s="7" t="s">
        <v>96</v>
      </c>
      <c r="AC193" s="7" t="s">
        <v>59</v>
      </c>
      <c r="AD193" s="7"/>
    </row>
    <row r="194" ht="15.75" customHeight="1">
      <c r="A194" s="7" t="s">
        <v>2066</v>
      </c>
      <c r="B194" s="7" t="s">
        <v>2068</v>
      </c>
      <c r="C194" s="7" t="s">
        <v>1910</v>
      </c>
      <c r="D194" s="7" t="s">
        <v>2069</v>
      </c>
      <c r="E194" s="7">
        <v>4.0</v>
      </c>
      <c r="F194" s="7" t="s">
        <v>2090</v>
      </c>
      <c r="G194" s="7" t="s">
        <v>137</v>
      </c>
      <c r="H194" s="7" t="s">
        <v>48</v>
      </c>
      <c r="I194" s="7"/>
      <c r="J194" s="7"/>
      <c r="K194" s="7" t="s">
        <v>139</v>
      </c>
      <c r="L194" s="7" t="s">
        <v>139</v>
      </c>
      <c r="M194" s="7" t="s">
        <v>121</v>
      </c>
      <c r="N194" s="7" t="s">
        <v>34</v>
      </c>
      <c r="O194" s="7" t="s">
        <v>143</v>
      </c>
      <c r="P194" s="7" t="s">
        <v>37</v>
      </c>
      <c r="Q194" s="7" t="s">
        <v>2093</v>
      </c>
      <c r="R194" s="7" t="s">
        <v>2074</v>
      </c>
      <c r="S194" s="7" t="s">
        <v>188</v>
      </c>
      <c r="T194" s="7">
        <v>1.0</v>
      </c>
      <c r="U194" s="7" t="s">
        <v>41</v>
      </c>
      <c r="V194" s="7"/>
      <c r="W194" s="7" t="s">
        <v>152</v>
      </c>
      <c r="X194" s="7" t="s">
        <v>41</v>
      </c>
      <c r="Y194" s="7"/>
      <c r="Z194" s="7" t="s">
        <v>139</v>
      </c>
      <c r="AA194" s="7"/>
      <c r="AB194" s="7" t="s">
        <v>138</v>
      </c>
      <c r="AC194" s="7" t="s">
        <v>59</v>
      </c>
      <c r="AD194" s="7"/>
    </row>
    <row r="195" ht="15.75" customHeight="1">
      <c r="A195" s="7" t="s">
        <v>2094</v>
      </c>
      <c r="B195" s="7" t="s">
        <v>2095</v>
      </c>
      <c r="C195" s="7" t="s">
        <v>1910</v>
      </c>
      <c r="D195" s="7" t="s">
        <v>2096</v>
      </c>
      <c r="E195" s="7">
        <v>1.0</v>
      </c>
      <c r="F195" s="7" t="s">
        <v>2097</v>
      </c>
      <c r="G195" s="7" t="s">
        <v>137</v>
      </c>
      <c r="H195" s="7" t="s">
        <v>100</v>
      </c>
      <c r="I195" s="7"/>
      <c r="J195" s="7"/>
      <c r="K195" s="7" t="s">
        <v>215</v>
      </c>
      <c r="L195" s="7" t="s">
        <v>209</v>
      </c>
      <c r="M195" s="7" t="s">
        <v>182</v>
      </c>
      <c r="N195" s="7" t="s">
        <v>34</v>
      </c>
      <c r="O195" s="7" t="s">
        <v>143</v>
      </c>
      <c r="P195" s="7" t="s">
        <v>185</v>
      </c>
      <c r="Q195" s="7" t="s">
        <v>2098</v>
      </c>
      <c r="R195" s="7" t="s">
        <v>2099</v>
      </c>
      <c r="S195" s="7" t="s">
        <v>188</v>
      </c>
      <c r="T195" s="7">
        <v>1.0</v>
      </c>
      <c r="U195" s="7" t="s">
        <v>41</v>
      </c>
      <c r="V195" s="7"/>
      <c r="W195" s="7" t="s">
        <v>152</v>
      </c>
      <c r="X195" s="7" t="s">
        <v>41</v>
      </c>
      <c r="Y195" s="7"/>
      <c r="Z195" s="7"/>
      <c r="AA195" s="7"/>
      <c r="AB195" s="7" t="s">
        <v>215</v>
      </c>
      <c r="AC195" s="7" t="s">
        <v>106</v>
      </c>
      <c r="AD195" s="7"/>
    </row>
    <row r="196" ht="15.75" customHeight="1">
      <c r="A196" s="7" t="s">
        <v>2100</v>
      </c>
      <c r="B196" s="7" t="s">
        <v>2101</v>
      </c>
      <c r="C196" s="7" t="s">
        <v>2102</v>
      </c>
      <c r="D196" s="7" t="s">
        <v>2103</v>
      </c>
      <c r="E196" s="7">
        <v>1.0</v>
      </c>
      <c r="F196" s="7" t="s">
        <v>2104</v>
      </c>
      <c r="G196" s="7" t="s">
        <v>137</v>
      </c>
      <c r="H196" s="7" t="s">
        <v>48</v>
      </c>
      <c r="I196" s="7"/>
      <c r="J196" s="7"/>
      <c r="K196" s="7" t="s">
        <v>42</v>
      </c>
      <c r="L196" s="7" t="s">
        <v>32</v>
      </c>
      <c r="M196" s="7" t="s">
        <v>182</v>
      </c>
      <c r="N196" s="7" t="s">
        <v>34</v>
      </c>
      <c r="O196" s="7" t="s">
        <v>143</v>
      </c>
      <c r="P196" s="7" t="s">
        <v>185</v>
      </c>
      <c r="Q196" s="7" t="s">
        <v>2105</v>
      </c>
      <c r="R196" s="7" t="s">
        <v>2106</v>
      </c>
      <c r="S196" s="7" t="s">
        <v>148</v>
      </c>
      <c r="T196" s="7">
        <v>1.0</v>
      </c>
      <c r="U196" s="7" t="s">
        <v>41</v>
      </c>
      <c r="V196" s="7"/>
      <c r="W196" s="7" t="s">
        <v>152</v>
      </c>
      <c r="X196" s="7" t="s">
        <v>41</v>
      </c>
      <c r="Y196" s="7"/>
      <c r="Z196" s="7"/>
      <c r="AA196" s="7"/>
      <c r="AB196" s="7" t="s">
        <v>42</v>
      </c>
      <c r="AC196" s="7" t="s">
        <v>59</v>
      </c>
      <c r="AD196" s="7"/>
    </row>
    <row r="197" ht="15.75" customHeight="1">
      <c r="A197" s="7" t="s">
        <v>2107</v>
      </c>
      <c r="B197" s="7" t="s">
        <v>2108</v>
      </c>
      <c r="C197" s="7" t="s">
        <v>2102</v>
      </c>
      <c r="D197" s="7" t="s">
        <v>2109</v>
      </c>
      <c r="E197" s="7">
        <v>1.0</v>
      </c>
      <c r="F197" s="7" t="s">
        <v>2110</v>
      </c>
      <c r="G197" s="7" t="s">
        <v>137</v>
      </c>
      <c r="H197" s="7" t="s">
        <v>48</v>
      </c>
      <c r="I197" s="7"/>
      <c r="J197" s="7"/>
      <c r="K197" s="7" t="s">
        <v>215</v>
      </c>
      <c r="L197" s="7" t="s">
        <v>209</v>
      </c>
      <c r="M197" s="7" t="s">
        <v>182</v>
      </c>
      <c r="N197" s="7" t="s">
        <v>34</v>
      </c>
      <c r="O197" s="7" t="s">
        <v>143</v>
      </c>
      <c r="P197" s="7" t="s">
        <v>185</v>
      </c>
      <c r="Q197" s="7" t="s">
        <v>2111</v>
      </c>
      <c r="R197" s="7" t="s">
        <v>2112</v>
      </c>
      <c r="S197" s="7" t="s">
        <v>148</v>
      </c>
      <c r="T197" s="7">
        <v>1.0</v>
      </c>
      <c r="U197" s="7" t="s">
        <v>41</v>
      </c>
      <c r="V197" s="7"/>
      <c r="W197" s="7" t="s">
        <v>152</v>
      </c>
      <c r="X197" s="7" t="s">
        <v>41</v>
      </c>
      <c r="Y197" s="7"/>
      <c r="Z197" s="7"/>
      <c r="AA197" s="7"/>
      <c r="AB197" s="7" t="s">
        <v>215</v>
      </c>
      <c r="AC197" s="7" t="s">
        <v>59</v>
      </c>
      <c r="AD197" s="7"/>
    </row>
    <row r="198" ht="15.75" customHeight="1">
      <c r="A198" s="7" t="s">
        <v>2107</v>
      </c>
      <c r="B198" s="7" t="s">
        <v>2108</v>
      </c>
      <c r="C198" s="7" t="s">
        <v>2102</v>
      </c>
      <c r="D198" s="7" t="s">
        <v>2109</v>
      </c>
      <c r="E198" s="7">
        <v>2.0</v>
      </c>
      <c r="F198" s="7" t="s">
        <v>2113</v>
      </c>
      <c r="G198" s="7" t="s">
        <v>137</v>
      </c>
      <c r="H198" s="7" t="s">
        <v>48</v>
      </c>
      <c r="I198" s="7"/>
      <c r="J198" s="7"/>
      <c r="K198" s="7" t="s">
        <v>729</v>
      </c>
      <c r="L198" s="7" t="s">
        <v>725</v>
      </c>
      <c r="M198" s="7" t="s">
        <v>866</v>
      </c>
      <c r="N198" s="7" t="s">
        <v>34</v>
      </c>
      <c r="O198" s="7" t="s">
        <v>143</v>
      </c>
      <c r="P198" s="7" t="s">
        <v>162</v>
      </c>
      <c r="Q198" s="7" t="s">
        <v>2114</v>
      </c>
      <c r="R198" s="7" t="s">
        <v>2115</v>
      </c>
      <c r="S198" s="7" t="s">
        <v>148</v>
      </c>
      <c r="T198" s="7">
        <v>1.0</v>
      </c>
      <c r="U198" s="7" t="s">
        <v>41</v>
      </c>
      <c r="V198" s="7"/>
      <c r="W198" s="7" t="s">
        <v>152</v>
      </c>
      <c r="X198" s="7" t="s">
        <v>41</v>
      </c>
      <c r="Y198" s="7"/>
      <c r="Z198" s="7"/>
      <c r="AA198" s="7"/>
      <c r="AB198" s="7" t="s">
        <v>729</v>
      </c>
      <c r="AC198" s="7" t="s">
        <v>59</v>
      </c>
      <c r="AD198" s="7"/>
    </row>
    <row r="199" ht="15.75" customHeight="1">
      <c r="A199" s="7" t="s">
        <v>2116</v>
      </c>
      <c r="B199" s="7" t="s">
        <v>2117</v>
      </c>
      <c r="C199" s="7" t="s">
        <v>2102</v>
      </c>
      <c r="D199" s="7" t="s">
        <v>2118</v>
      </c>
      <c r="E199" s="7">
        <v>1.0</v>
      </c>
      <c r="F199" s="7" t="s">
        <v>163</v>
      </c>
      <c r="G199" s="7"/>
      <c r="H199" s="7"/>
      <c r="I199" s="7"/>
      <c r="J199" s="7"/>
      <c r="K199" s="7" t="s">
        <v>121</v>
      </c>
      <c r="L199" s="7" t="s">
        <v>121</v>
      </c>
      <c r="M199" s="7" t="s">
        <v>121</v>
      </c>
      <c r="N199" s="7"/>
      <c r="O199" s="7" t="s">
        <v>167</v>
      </c>
      <c r="P199" s="7" t="s">
        <v>167</v>
      </c>
      <c r="Q199" s="7"/>
      <c r="R199" s="7"/>
      <c r="S199" s="7"/>
      <c r="T199" s="7">
        <v>1.0</v>
      </c>
      <c r="U199" s="7" t="s">
        <v>170</v>
      </c>
      <c r="V199" s="7"/>
      <c r="W199" s="7" t="s">
        <v>152</v>
      </c>
      <c r="X199" s="7" t="s">
        <v>170</v>
      </c>
      <c r="Y199" s="7" t="s">
        <v>172</v>
      </c>
      <c r="Z199" s="7"/>
      <c r="AA199" s="7"/>
      <c r="AB199" s="7"/>
      <c r="AC199" s="7"/>
      <c r="AD199" s="7"/>
    </row>
    <row r="200" ht="15.75" customHeight="1">
      <c r="A200" s="7" t="s">
        <v>2119</v>
      </c>
      <c r="B200" s="7" t="s">
        <v>2120</v>
      </c>
      <c r="C200" s="7" t="s">
        <v>2102</v>
      </c>
      <c r="D200" s="7" t="s">
        <v>2121</v>
      </c>
      <c r="E200" s="7">
        <v>1.0</v>
      </c>
      <c r="F200" s="7" t="s">
        <v>2122</v>
      </c>
      <c r="G200" s="7" t="s">
        <v>137</v>
      </c>
      <c r="H200" s="7" t="s">
        <v>100</v>
      </c>
      <c r="I200" s="7"/>
      <c r="J200" s="7"/>
      <c r="K200" s="7" t="s">
        <v>121</v>
      </c>
      <c r="L200" s="7" t="s">
        <v>121</v>
      </c>
      <c r="M200" s="7" t="s">
        <v>121</v>
      </c>
      <c r="N200" s="7" t="s">
        <v>34</v>
      </c>
      <c r="O200" s="7" t="s">
        <v>143</v>
      </c>
      <c r="P200" s="7" t="s">
        <v>162</v>
      </c>
      <c r="Q200" s="7" t="s">
        <v>2123</v>
      </c>
      <c r="R200" s="7" t="s">
        <v>2124</v>
      </c>
      <c r="S200" s="7" t="s">
        <v>188</v>
      </c>
      <c r="T200" s="7">
        <v>1.0</v>
      </c>
      <c r="U200" s="7" t="s">
        <v>41</v>
      </c>
      <c r="V200" s="7"/>
      <c r="W200" s="7" t="s">
        <v>152</v>
      </c>
      <c r="X200" s="7" t="s">
        <v>41</v>
      </c>
      <c r="Y200" s="7"/>
      <c r="Z200" s="7" t="s">
        <v>121</v>
      </c>
      <c r="AA200" s="7"/>
      <c r="AB200" s="7" t="s">
        <v>138</v>
      </c>
      <c r="AC200" s="7" t="s">
        <v>106</v>
      </c>
      <c r="AD200" s="7" t="s">
        <v>2125</v>
      </c>
    </row>
    <row r="201" ht="15.75" customHeight="1">
      <c r="A201" s="7" t="s">
        <v>2119</v>
      </c>
      <c r="B201" s="7" t="s">
        <v>2120</v>
      </c>
      <c r="C201" s="7" t="s">
        <v>2102</v>
      </c>
      <c r="D201" s="7" t="s">
        <v>2121</v>
      </c>
      <c r="E201" s="7">
        <v>2.0</v>
      </c>
      <c r="F201" s="7" t="s">
        <v>2126</v>
      </c>
      <c r="G201" s="7" t="s">
        <v>137</v>
      </c>
      <c r="H201" s="7" t="s">
        <v>100</v>
      </c>
      <c r="I201" s="7"/>
      <c r="J201" s="7"/>
      <c r="K201" s="7" t="s">
        <v>121</v>
      </c>
      <c r="L201" s="7" t="s">
        <v>121</v>
      </c>
      <c r="M201" s="7" t="s">
        <v>121</v>
      </c>
      <c r="N201" s="7" t="s">
        <v>34</v>
      </c>
      <c r="O201" s="7" t="s">
        <v>143</v>
      </c>
      <c r="P201" s="7" t="s">
        <v>162</v>
      </c>
      <c r="Q201" s="7" t="s">
        <v>2127</v>
      </c>
      <c r="R201" s="7" t="s">
        <v>2124</v>
      </c>
      <c r="S201" s="7" t="s">
        <v>148</v>
      </c>
      <c r="T201" s="7">
        <v>1.0</v>
      </c>
      <c r="U201" s="7" t="s">
        <v>41</v>
      </c>
      <c r="V201" s="7"/>
      <c r="W201" s="7" t="s">
        <v>152</v>
      </c>
      <c r="X201" s="7" t="s">
        <v>41</v>
      </c>
      <c r="Y201" s="7"/>
      <c r="Z201" s="7" t="s">
        <v>121</v>
      </c>
      <c r="AA201" s="7"/>
      <c r="AB201" s="7" t="s">
        <v>138</v>
      </c>
      <c r="AC201" s="7" t="s">
        <v>106</v>
      </c>
      <c r="AD201" s="7" t="s">
        <v>2125</v>
      </c>
    </row>
    <row r="202" ht="15.75" customHeight="1">
      <c r="A202" s="7" t="s">
        <v>2119</v>
      </c>
      <c r="B202" s="7" t="s">
        <v>2120</v>
      </c>
      <c r="C202" s="7" t="s">
        <v>2102</v>
      </c>
      <c r="D202" s="7" t="s">
        <v>2121</v>
      </c>
      <c r="E202" s="7">
        <v>3.0</v>
      </c>
      <c r="F202" s="7" t="s">
        <v>2128</v>
      </c>
      <c r="G202" s="7" t="s">
        <v>137</v>
      </c>
      <c r="H202" s="7" t="s">
        <v>48</v>
      </c>
      <c r="I202" s="7"/>
      <c r="J202" s="7"/>
      <c r="K202" s="7" t="s">
        <v>121</v>
      </c>
      <c r="L202" s="7" t="s">
        <v>121</v>
      </c>
      <c r="M202" s="7" t="s">
        <v>121</v>
      </c>
      <c r="N202" s="7" t="s">
        <v>34</v>
      </c>
      <c r="O202" s="7" t="s">
        <v>143</v>
      </c>
      <c r="P202" s="7" t="s">
        <v>162</v>
      </c>
      <c r="Q202" s="7" t="s">
        <v>2129</v>
      </c>
      <c r="R202" s="7" t="s">
        <v>2124</v>
      </c>
      <c r="S202" s="7" t="s">
        <v>148</v>
      </c>
      <c r="T202" s="7">
        <v>1.0</v>
      </c>
      <c r="U202" s="7" t="s">
        <v>41</v>
      </c>
      <c r="V202" s="7"/>
      <c r="W202" s="7" t="s">
        <v>152</v>
      </c>
      <c r="X202" s="7" t="s">
        <v>41</v>
      </c>
      <c r="Y202" s="7"/>
      <c r="Z202" s="7" t="s">
        <v>121</v>
      </c>
      <c r="AA202" s="7"/>
      <c r="AB202" s="7" t="s">
        <v>138</v>
      </c>
      <c r="AC202" s="7" t="s">
        <v>59</v>
      </c>
      <c r="AD202" s="7" t="s">
        <v>2125</v>
      </c>
    </row>
    <row r="203" ht="15.75" customHeight="1">
      <c r="A203" s="7" t="s">
        <v>2119</v>
      </c>
      <c r="B203" s="7" t="s">
        <v>2120</v>
      </c>
      <c r="C203" s="7" t="s">
        <v>2102</v>
      </c>
      <c r="D203" s="7" t="s">
        <v>2121</v>
      </c>
      <c r="E203" s="7">
        <v>4.0</v>
      </c>
      <c r="F203" s="7" t="s">
        <v>2130</v>
      </c>
      <c r="G203" s="7" t="s">
        <v>631</v>
      </c>
      <c r="H203" s="7"/>
      <c r="I203" s="7"/>
      <c r="J203" s="7"/>
      <c r="K203" s="7" t="s">
        <v>121</v>
      </c>
      <c r="L203" s="7" t="s">
        <v>121</v>
      </c>
      <c r="M203" s="7" t="s">
        <v>121</v>
      </c>
      <c r="N203" s="7" t="s">
        <v>34</v>
      </c>
      <c r="O203" s="7" t="s">
        <v>143</v>
      </c>
      <c r="P203" s="7" t="s">
        <v>162</v>
      </c>
      <c r="Q203" s="7" t="s">
        <v>2131</v>
      </c>
      <c r="R203" s="7" t="s">
        <v>2124</v>
      </c>
      <c r="S203" s="7" t="s">
        <v>188</v>
      </c>
      <c r="T203" s="7">
        <v>1.0</v>
      </c>
      <c r="U203" s="7" t="s">
        <v>41</v>
      </c>
      <c r="V203" s="7"/>
      <c r="W203" s="7" t="s">
        <v>152</v>
      </c>
      <c r="X203" s="7" t="s">
        <v>41</v>
      </c>
      <c r="Y203" s="7"/>
      <c r="Z203" s="7" t="s">
        <v>121</v>
      </c>
      <c r="AA203" s="7" t="s">
        <v>631</v>
      </c>
      <c r="AB203" s="7" t="s">
        <v>138</v>
      </c>
      <c r="AC203" s="7" t="s">
        <v>78</v>
      </c>
      <c r="AD203" s="7" t="s">
        <v>2125</v>
      </c>
    </row>
    <row r="204" ht="15.75" customHeight="1">
      <c r="A204" s="7" t="s">
        <v>2119</v>
      </c>
      <c r="B204" s="7" t="s">
        <v>2120</v>
      </c>
      <c r="C204" s="7" t="s">
        <v>2102</v>
      </c>
      <c r="D204" s="7" t="s">
        <v>2121</v>
      </c>
      <c r="E204" s="7">
        <v>5.0</v>
      </c>
      <c r="F204" s="7" t="s">
        <v>2132</v>
      </c>
      <c r="G204" s="7" t="s">
        <v>631</v>
      </c>
      <c r="H204" s="7"/>
      <c r="I204" s="7"/>
      <c r="J204" s="7"/>
      <c r="K204" s="7" t="s">
        <v>121</v>
      </c>
      <c r="L204" s="7" t="s">
        <v>121</v>
      </c>
      <c r="M204" s="7" t="s">
        <v>121</v>
      </c>
      <c r="N204" s="7" t="s">
        <v>34</v>
      </c>
      <c r="O204" s="7" t="s">
        <v>143</v>
      </c>
      <c r="P204" s="7" t="s">
        <v>162</v>
      </c>
      <c r="Q204" s="7" t="s">
        <v>2133</v>
      </c>
      <c r="R204" s="7" t="s">
        <v>2124</v>
      </c>
      <c r="S204" s="7" t="s">
        <v>188</v>
      </c>
      <c r="T204" s="7">
        <v>1.0</v>
      </c>
      <c r="U204" s="7" t="s">
        <v>41</v>
      </c>
      <c r="V204" s="7"/>
      <c r="W204" s="7" t="s">
        <v>152</v>
      </c>
      <c r="X204" s="7" t="s">
        <v>41</v>
      </c>
      <c r="Y204" s="7"/>
      <c r="Z204" s="7" t="s">
        <v>121</v>
      </c>
      <c r="AA204" s="7" t="s">
        <v>631</v>
      </c>
      <c r="AB204" s="7" t="s">
        <v>138</v>
      </c>
      <c r="AC204" s="7" t="s">
        <v>78</v>
      </c>
      <c r="AD204" s="7" t="s">
        <v>2125</v>
      </c>
    </row>
    <row r="205" ht="15.75" customHeight="1">
      <c r="A205" s="7" t="s">
        <v>2119</v>
      </c>
      <c r="B205" s="7" t="s">
        <v>2120</v>
      </c>
      <c r="C205" s="7" t="s">
        <v>2102</v>
      </c>
      <c r="D205" s="7" t="s">
        <v>2121</v>
      </c>
      <c r="E205" s="7">
        <v>6.0</v>
      </c>
      <c r="F205" s="7" t="s">
        <v>2134</v>
      </c>
      <c r="G205" s="7" t="s">
        <v>631</v>
      </c>
      <c r="H205" s="7"/>
      <c r="I205" s="7"/>
      <c r="J205" s="7"/>
      <c r="K205" s="7" t="s">
        <v>767</v>
      </c>
      <c r="L205" s="7" t="s">
        <v>762</v>
      </c>
      <c r="M205" s="7" t="s">
        <v>244</v>
      </c>
      <c r="N205" s="7" t="s">
        <v>34</v>
      </c>
      <c r="O205" s="7" t="s">
        <v>143</v>
      </c>
      <c r="P205" s="7" t="s">
        <v>162</v>
      </c>
      <c r="Q205" s="7" t="s">
        <v>2135</v>
      </c>
      <c r="R205" s="7" t="s">
        <v>2136</v>
      </c>
      <c r="S205" s="7" t="s">
        <v>148</v>
      </c>
      <c r="T205" s="7">
        <v>1.0</v>
      </c>
      <c r="U205" s="7" t="s">
        <v>41</v>
      </c>
      <c r="V205" s="7"/>
      <c r="W205" s="7" t="s">
        <v>152</v>
      </c>
      <c r="X205" s="7" t="s">
        <v>41</v>
      </c>
      <c r="Y205" s="7"/>
      <c r="Z205" s="7"/>
      <c r="AA205" s="7" t="s">
        <v>631</v>
      </c>
      <c r="AB205" s="7" t="s">
        <v>767</v>
      </c>
      <c r="AC205" s="7" t="s">
        <v>78</v>
      </c>
      <c r="AD205" s="7" t="s">
        <v>2125</v>
      </c>
    </row>
    <row r="206" ht="15.75" customHeight="1">
      <c r="A206" s="7" t="s">
        <v>2119</v>
      </c>
      <c r="B206" s="7" t="s">
        <v>2120</v>
      </c>
      <c r="C206" s="7" t="s">
        <v>2102</v>
      </c>
      <c r="D206" s="7" t="s">
        <v>2121</v>
      </c>
      <c r="E206" s="7">
        <v>7.0</v>
      </c>
      <c r="F206" s="7" t="s">
        <v>2137</v>
      </c>
      <c r="G206" s="7" t="s">
        <v>631</v>
      </c>
      <c r="H206" s="7"/>
      <c r="I206" s="7"/>
      <c r="J206" s="7"/>
      <c r="K206" s="7" t="s">
        <v>1497</v>
      </c>
      <c r="L206" s="7" t="s">
        <v>1498</v>
      </c>
      <c r="M206" s="7" t="s">
        <v>614</v>
      </c>
      <c r="N206" s="7" t="s">
        <v>34</v>
      </c>
      <c r="O206" s="7" t="s">
        <v>143</v>
      </c>
      <c r="P206" s="7" t="s">
        <v>162</v>
      </c>
      <c r="Q206" s="7" t="s">
        <v>2138</v>
      </c>
      <c r="R206" s="7" t="s">
        <v>2139</v>
      </c>
      <c r="S206" s="7" t="s">
        <v>148</v>
      </c>
      <c r="T206" s="7">
        <v>1.0</v>
      </c>
      <c r="U206" s="7" t="s">
        <v>41</v>
      </c>
      <c r="V206" s="7"/>
      <c r="W206" s="7" t="s">
        <v>152</v>
      </c>
      <c r="X206" s="7" t="s">
        <v>41</v>
      </c>
      <c r="Y206" s="7"/>
      <c r="Z206" s="7"/>
      <c r="AA206" s="7" t="s">
        <v>631</v>
      </c>
      <c r="AB206" s="7" t="s">
        <v>1497</v>
      </c>
      <c r="AC206" s="7" t="s">
        <v>78</v>
      </c>
      <c r="AD206" s="7" t="s">
        <v>2125</v>
      </c>
    </row>
    <row r="207" ht="15.75" customHeight="1">
      <c r="A207" s="7" t="s">
        <v>2140</v>
      </c>
      <c r="B207" s="7" t="s">
        <v>2141</v>
      </c>
      <c r="C207" s="7" t="s">
        <v>2102</v>
      </c>
      <c r="D207" s="7" t="s">
        <v>2142</v>
      </c>
      <c r="E207" s="7">
        <v>1.0</v>
      </c>
      <c r="F207" s="7" t="s">
        <v>2143</v>
      </c>
      <c r="G207" s="7" t="s">
        <v>137</v>
      </c>
      <c r="H207" s="7" t="s">
        <v>48</v>
      </c>
      <c r="I207" s="7"/>
      <c r="J207" s="7"/>
      <c r="K207" s="7" t="s">
        <v>121</v>
      </c>
      <c r="L207" s="7" t="s">
        <v>121</v>
      </c>
      <c r="M207" s="7" t="s">
        <v>121</v>
      </c>
      <c r="N207" s="7" t="s">
        <v>34</v>
      </c>
      <c r="O207" s="7" t="s">
        <v>143</v>
      </c>
      <c r="P207" s="7" t="s">
        <v>145</v>
      </c>
      <c r="Q207" s="7" t="s">
        <v>2144</v>
      </c>
      <c r="R207" s="7" t="s">
        <v>2145</v>
      </c>
      <c r="S207" s="7" t="s">
        <v>188</v>
      </c>
      <c r="T207" s="7">
        <v>1.0</v>
      </c>
      <c r="U207" s="7" t="s">
        <v>41</v>
      </c>
      <c r="V207" s="7"/>
      <c r="W207" s="7" t="s">
        <v>152</v>
      </c>
      <c r="X207" s="7" t="s">
        <v>41</v>
      </c>
      <c r="Y207" s="7"/>
      <c r="Z207" s="7" t="s">
        <v>121</v>
      </c>
      <c r="AA207" s="7"/>
      <c r="AB207" s="7" t="s">
        <v>138</v>
      </c>
      <c r="AC207" s="7" t="s">
        <v>59</v>
      </c>
      <c r="AD207" s="7"/>
    </row>
    <row r="208" ht="15.75" customHeight="1">
      <c r="A208" s="7" t="s">
        <v>2146</v>
      </c>
      <c r="B208" s="7" t="s">
        <v>2147</v>
      </c>
      <c r="C208" s="7" t="s">
        <v>2102</v>
      </c>
      <c r="D208" s="7" t="s">
        <v>2148</v>
      </c>
      <c r="E208" s="7">
        <v>1.0</v>
      </c>
      <c r="F208" s="7" t="s">
        <v>2149</v>
      </c>
      <c r="G208" s="7" t="s">
        <v>137</v>
      </c>
      <c r="H208" s="7" t="s">
        <v>48</v>
      </c>
      <c r="I208" s="7"/>
      <c r="J208" s="7"/>
      <c r="K208" s="7" t="s">
        <v>139</v>
      </c>
      <c r="L208" s="7" t="s">
        <v>139</v>
      </c>
      <c r="M208" s="7" t="s">
        <v>121</v>
      </c>
      <c r="N208" s="7" t="s">
        <v>34</v>
      </c>
      <c r="O208" s="7" t="s">
        <v>143</v>
      </c>
      <c r="P208" s="7" t="s">
        <v>162</v>
      </c>
      <c r="Q208" s="7" t="s">
        <v>2150</v>
      </c>
      <c r="R208" s="7" t="s">
        <v>2151</v>
      </c>
      <c r="S208" s="7" t="s">
        <v>148</v>
      </c>
      <c r="T208" s="7">
        <v>1.0</v>
      </c>
      <c r="U208" s="7" t="s">
        <v>41</v>
      </c>
      <c r="V208" s="7"/>
      <c r="W208" s="7" t="s">
        <v>152</v>
      </c>
      <c r="X208" s="7" t="s">
        <v>41</v>
      </c>
      <c r="Y208" s="7"/>
      <c r="Z208" s="7" t="s">
        <v>139</v>
      </c>
      <c r="AA208" s="7"/>
      <c r="AB208" s="7" t="s">
        <v>138</v>
      </c>
      <c r="AC208" s="7" t="s">
        <v>59</v>
      </c>
      <c r="AD208" s="7"/>
    </row>
    <row r="209" ht="15.75" customHeight="1">
      <c r="A209" s="7" t="s">
        <v>2146</v>
      </c>
      <c r="B209" s="7" t="s">
        <v>2147</v>
      </c>
      <c r="C209" s="7" t="s">
        <v>2102</v>
      </c>
      <c r="D209" s="7" t="s">
        <v>2148</v>
      </c>
      <c r="E209" s="7">
        <v>2.0</v>
      </c>
      <c r="F209" s="7" t="s">
        <v>2152</v>
      </c>
      <c r="G209" s="7" t="s">
        <v>137</v>
      </c>
      <c r="H209" s="7" t="s">
        <v>48</v>
      </c>
      <c r="I209" s="7"/>
      <c r="J209" s="7"/>
      <c r="K209" s="7" t="s">
        <v>139</v>
      </c>
      <c r="L209" s="7" t="s">
        <v>139</v>
      </c>
      <c r="M209" s="7" t="s">
        <v>121</v>
      </c>
      <c r="N209" s="7" t="s">
        <v>34</v>
      </c>
      <c r="O209" s="7" t="s">
        <v>143</v>
      </c>
      <c r="P209" s="7" t="s">
        <v>162</v>
      </c>
      <c r="Q209" s="7" t="s">
        <v>2153</v>
      </c>
      <c r="R209" s="7" t="s">
        <v>2154</v>
      </c>
      <c r="S209" s="7" t="s">
        <v>292</v>
      </c>
      <c r="T209" s="7">
        <v>1.0</v>
      </c>
      <c r="U209" s="7" t="s">
        <v>41</v>
      </c>
      <c r="V209" s="7"/>
      <c r="W209" s="7" t="s">
        <v>152</v>
      </c>
      <c r="X209" s="7" t="s">
        <v>41</v>
      </c>
      <c r="Y209" s="7"/>
      <c r="Z209" s="7" t="s">
        <v>139</v>
      </c>
      <c r="AA209" s="7"/>
      <c r="AB209" s="7" t="s">
        <v>138</v>
      </c>
      <c r="AC209" s="7" t="s">
        <v>59</v>
      </c>
      <c r="AD209" s="7"/>
    </row>
    <row r="210" ht="15.75" customHeight="1">
      <c r="A210" s="7" t="s">
        <v>2146</v>
      </c>
      <c r="B210" s="7" t="s">
        <v>2147</v>
      </c>
      <c r="C210" s="7" t="s">
        <v>2102</v>
      </c>
      <c r="D210" s="7" t="s">
        <v>2148</v>
      </c>
      <c r="E210" s="7">
        <v>3.0</v>
      </c>
      <c r="F210" s="7" t="s">
        <v>2155</v>
      </c>
      <c r="G210" s="7" t="s">
        <v>137</v>
      </c>
      <c r="H210" s="7" t="s">
        <v>48</v>
      </c>
      <c r="I210" s="7"/>
      <c r="J210" s="7"/>
      <c r="K210" s="7" t="s">
        <v>215</v>
      </c>
      <c r="L210" s="7" t="s">
        <v>209</v>
      </c>
      <c r="M210" s="7" t="s">
        <v>182</v>
      </c>
      <c r="N210" s="7" t="s">
        <v>34</v>
      </c>
      <c r="O210" s="7" t="s">
        <v>143</v>
      </c>
      <c r="P210" s="7" t="s">
        <v>162</v>
      </c>
      <c r="Q210" s="7" t="s">
        <v>2156</v>
      </c>
      <c r="R210" s="7" t="s">
        <v>2157</v>
      </c>
      <c r="S210" s="7" t="s">
        <v>148</v>
      </c>
      <c r="T210" s="7">
        <v>1.0</v>
      </c>
      <c r="U210" s="7" t="s">
        <v>41</v>
      </c>
      <c r="V210" s="7"/>
      <c r="W210" s="7" t="s">
        <v>152</v>
      </c>
      <c r="X210" s="7" t="s">
        <v>41</v>
      </c>
      <c r="Y210" s="7"/>
      <c r="Z210" s="7"/>
      <c r="AA210" s="7"/>
      <c r="AB210" s="7" t="s">
        <v>215</v>
      </c>
      <c r="AC210" s="7" t="s">
        <v>59</v>
      </c>
      <c r="AD210" s="7"/>
    </row>
    <row r="211" ht="15.75" customHeight="1">
      <c r="A211" s="7" t="s">
        <v>2146</v>
      </c>
      <c r="B211" s="7" t="s">
        <v>2147</v>
      </c>
      <c r="C211" s="7" t="s">
        <v>2102</v>
      </c>
      <c r="D211" s="7" t="s">
        <v>2148</v>
      </c>
      <c r="E211" s="7">
        <v>4.0</v>
      </c>
      <c r="F211" s="7" t="s">
        <v>2158</v>
      </c>
      <c r="G211" s="7" t="s">
        <v>137</v>
      </c>
      <c r="H211" s="7" t="s">
        <v>48</v>
      </c>
      <c r="I211" s="7"/>
      <c r="J211" s="7"/>
      <c r="K211" s="7" t="s">
        <v>139</v>
      </c>
      <c r="L211" s="7" t="s">
        <v>139</v>
      </c>
      <c r="M211" s="7" t="s">
        <v>121</v>
      </c>
      <c r="N211" s="7" t="s">
        <v>34</v>
      </c>
      <c r="O211" s="7" t="s">
        <v>143</v>
      </c>
      <c r="P211" s="7" t="s">
        <v>162</v>
      </c>
      <c r="Q211" s="7" t="s">
        <v>2159</v>
      </c>
      <c r="R211" s="7" t="s">
        <v>2160</v>
      </c>
      <c r="S211" s="7" t="s">
        <v>148</v>
      </c>
      <c r="T211" s="7">
        <v>1.0</v>
      </c>
      <c r="U211" s="7" t="s">
        <v>41</v>
      </c>
      <c r="V211" s="7"/>
      <c r="W211" s="7" t="s">
        <v>152</v>
      </c>
      <c r="X211" s="7" t="s">
        <v>41</v>
      </c>
      <c r="Y211" s="7"/>
      <c r="Z211" s="7" t="s">
        <v>139</v>
      </c>
      <c r="AA211" s="7"/>
      <c r="AB211" s="7" t="s">
        <v>138</v>
      </c>
      <c r="AC211" s="7" t="s">
        <v>59</v>
      </c>
      <c r="AD211" s="7"/>
    </row>
    <row r="212" ht="15.75" customHeight="1">
      <c r="A212" s="7" t="s">
        <v>2146</v>
      </c>
      <c r="B212" s="7" t="s">
        <v>2147</v>
      </c>
      <c r="C212" s="7" t="s">
        <v>2102</v>
      </c>
      <c r="D212" s="7" t="s">
        <v>2148</v>
      </c>
      <c r="E212" s="7">
        <v>5.0</v>
      </c>
      <c r="F212" s="7" t="s">
        <v>2161</v>
      </c>
      <c r="G212" s="7" t="s">
        <v>137</v>
      </c>
      <c r="H212" s="7" t="s">
        <v>48</v>
      </c>
      <c r="I212" s="7"/>
      <c r="J212" s="7"/>
      <c r="K212" s="7" t="s">
        <v>139</v>
      </c>
      <c r="L212" s="7" t="s">
        <v>139</v>
      </c>
      <c r="M212" s="7" t="s">
        <v>121</v>
      </c>
      <c r="N212" s="7" t="s">
        <v>34</v>
      </c>
      <c r="O212" s="7" t="s">
        <v>143</v>
      </c>
      <c r="P212" s="7" t="s">
        <v>162</v>
      </c>
      <c r="Q212" s="7" t="s">
        <v>2162</v>
      </c>
      <c r="R212" s="7" t="s">
        <v>673</v>
      </c>
      <c r="S212" s="7" t="s">
        <v>292</v>
      </c>
      <c r="T212" s="7">
        <v>1.0</v>
      </c>
      <c r="U212" s="7" t="s">
        <v>41</v>
      </c>
      <c r="V212" s="7"/>
      <c r="W212" s="7" t="s">
        <v>152</v>
      </c>
      <c r="X212" s="7" t="s">
        <v>41</v>
      </c>
      <c r="Y212" s="7"/>
      <c r="Z212" s="7" t="s">
        <v>139</v>
      </c>
      <c r="AA212" s="7"/>
      <c r="AB212" s="7" t="s">
        <v>138</v>
      </c>
      <c r="AC212" s="7" t="s">
        <v>59</v>
      </c>
      <c r="AD212" s="7"/>
    </row>
    <row r="213" ht="15.75" customHeight="1">
      <c r="A213" s="7" t="s">
        <v>2163</v>
      </c>
      <c r="B213" s="7" t="s">
        <v>2164</v>
      </c>
      <c r="C213" s="7" t="s">
        <v>2102</v>
      </c>
      <c r="D213" s="7" t="s">
        <v>2165</v>
      </c>
      <c r="E213" s="7">
        <v>1.0</v>
      </c>
      <c r="F213" s="7" t="s">
        <v>2166</v>
      </c>
      <c r="G213" s="7" t="s">
        <v>137</v>
      </c>
      <c r="H213" s="7" t="s">
        <v>48</v>
      </c>
      <c r="I213" s="7"/>
      <c r="J213" s="7"/>
      <c r="K213" s="7" t="s">
        <v>118</v>
      </c>
      <c r="L213" s="7" t="s">
        <v>112</v>
      </c>
      <c r="M213" s="7" t="s">
        <v>182</v>
      </c>
      <c r="N213" s="7" t="s">
        <v>79</v>
      </c>
      <c r="O213" s="7" t="s">
        <v>143</v>
      </c>
      <c r="P213" s="7" t="s">
        <v>247</v>
      </c>
      <c r="Q213" s="7" t="s">
        <v>2167</v>
      </c>
      <c r="R213" s="7" t="s">
        <v>2145</v>
      </c>
      <c r="S213" s="7" t="s">
        <v>148</v>
      </c>
      <c r="T213" s="7">
        <v>1.0</v>
      </c>
      <c r="U213" s="7" t="s">
        <v>41</v>
      </c>
      <c r="V213" s="7"/>
      <c r="W213" s="7" t="s">
        <v>152</v>
      </c>
      <c r="X213" s="7" t="s">
        <v>41</v>
      </c>
      <c r="Y213" s="7"/>
      <c r="Z213" s="7"/>
      <c r="AA213" s="7"/>
      <c r="AB213" s="7" t="s">
        <v>118</v>
      </c>
      <c r="AC213" s="7" t="s">
        <v>59</v>
      </c>
      <c r="AD213" s="7" t="s">
        <v>2168</v>
      </c>
    </row>
    <row r="214" ht="15.75" customHeight="1">
      <c r="A214" s="7" t="s">
        <v>2169</v>
      </c>
      <c r="B214" s="7" t="s">
        <v>2170</v>
      </c>
      <c r="C214" s="7" t="s">
        <v>2102</v>
      </c>
      <c r="D214" s="7" t="s">
        <v>2171</v>
      </c>
      <c r="E214" s="7">
        <v>1.0</v>
      </c>
      <c r="F214" s="7" t="s">
        <v>2172</v>
      </c>
      <c r="G214" s="7" t="s">
        <v>631</v>
      </c>
      <c r="H214" s="7"/>
      <c r="I214" s="7"/>
      <c r="J214" s="7"/>
      <c r="K214" s="7" t="s">
        <v>139</v>
      </c>
      <c r="L214" s="7" t="s">
        <v>139</v>
      </c>
      <c r="M214" s="7" t="s">
        <v>121</v>
      </c>
      <c r="N214" s="7" t="s">
        <v>142</v>
      </c>
      <c r="O214" s="7" t="s">
        <v>143</v>
      </c>
      <c r="P214" s="7" t="s">
        <v>54</v>
      </c>
      <c r="Q214" s="7" t="s">
        <v>2173</v>
      </c>
      <c r="R214" s="7" t="s">
        <v>2174</v>
      </c>
      <c r="S214" s="7" t="s">
        <v>188</v>
      </c>
      <c r="T214" s="7">
        <v>1.0</v>
      </c>
      <c r="U214" s="7" t="s">
        <v>41</v>
      </c>
      <c r="V214" s="7"/>
      <c r="W214" s="7" t="s">
        <v>152</v>
      </c>
      <c r="X214" s="7" t="s">
        <v>41</v>
      </c>
      <c r="Y214" s="7"/>
      <c r="Z214" s="7" t="s">
        <v>139</v>
      </c>
      <c r="AA214" s="7" t="s">
        <v>631</v>
      </c>
      <c r="AB214" s="7" t="s">
        <v>138</v>
      </c>
      <c r="AC214" s="7" t="s">
        <v>78</v>
      </c>
      <c r="AD214" s="7" t="s">
        <v>2175</v>
      </c>
    </row>
    <row r="215" ht="15.75" customHeight="1">
      <c r="A215" s="7" t="s">
        <v>2169</v>
      </c>
      <c r="B215" s="7" t="s">
        <v>2170</v>
      </c>
      <c r="C215" s="7" t="s">
        <v>2102</v>
      </c>
      <c r="D215" s="7" t="s">
        <v>2171</v>
      </c>
      <c r="E215" s="7">
        <v>2.0</v>
      </c>
      <c r="F215" s="7" t="s">
        <v>2176</v>
      </c>
      <c r="G215" s="7" t="s">
        <v>2177</v>
      </c>
      <c r="H215" s="7" t="s">
        <v>442</v>
      </c>
      <c r="I215" s="7"/>
      <c r="J215" s="7"/>
      <c r="K215" s="7" t="s">
        <v>729</v>
      </c>
      <c r="L215" s="7" t="s">
        <v>725</v>
      </c>
      <c r="M215" s="7" t="s">
        <v>866</v>
      </c>
      <c r="N215" s="7" t="s">
        <v>142</v>
      </c>
      <c r="O215" s="7" t="s">
        <v>143</v>
      </c>
      <c r="P215" s="7" t="s">
        <v>54</v>
      </c>
      <c r="Q215" s="7" t="s">
        <v>2178</v>
      </c>
      <c r="R215" s="7" t="s">
        <v>2174</v>
      </c>
      <c r="S215" s="7" t="s">
        <v>188</v>
      </c>
      <c r="T215" s="7">
        <v>1.0</v>
      </c>
      <c r="U215" s="7" t="s">
        <v>41</v>
      </c>
      <c r="V215" s="7"/>
      <c r="W215" s="7" t="s">
        <v>152</v>
      </c>
      <c r="X215" s="7" t="s">
        <v>41</v>
      </c>
      <c r="Y215" s="7"/>
      <c r="Z215" s="7"/>
      <c r="AA215" s="7"/>
      <c r="AB215" s="7" t="s">
        <v>729</v>
      </c>
      <c r="AC215" s="7" t="s">
        <v>809</v>
      </c>
      <c r="AD215" s="7" t="s">
        <v>2175</v>
      </c>
    </row>
    <row r="216" ht="15.75" customHeight="1">
      <c r="A216" s="7" t="s">
        <v>2169</v>
      </c>
      <c r="B216" s="7" t="s">
        <v>2170</v>
      </c>
      <c r="C216" s="7" t="s">
        <v>2102</v>
      </c>
      <c r="D216" s="7" t="s">
        <v>2171</v>
      </c>
      <c r="E216" s="7">
        <v>3.0</v>
      </c>
      <c r="F216" s="7" t="s">
        <v>2179</v>
      </c>
      <c r="G216" s="7" t="s">
        <v>137</v>
      </c>
      <c r="H216" s="7" t="s">
        <v>100</v>
      </c>
      <c r="I216" s="7"/>
      <c r="J216" s="7"/>
      <c r="K216" s="7" t="s">
        <v>72</v>
      </c>
      <c r="L216" s="7" t="s">
        <v>63</v>
      </c>
      <c r="M216" s="7" t="s">
        <v>182</v>
      </c>
      <c r="N216" s="7" t="s">
        <v>79</v>
      </c>
      <c r="O216" s="7" t="s">
        <v>143</v>
      </c>
      <c r="P216" s="7" t="s">
        <v>54</v>
      </c>
      <c r="Q216" s="7" t="s">
        <v>2180</v>
      </c>
      <c r="R216" s="7" t="s">
        <v>2181</v>
      </c>
      <c r="S216" s="7" t="s">
        <v>188</v>
      </c>
      <c r="T216" s="7">
        <v>1.0</v>
      </c>
      <c r="U216" s="7" t="s">
        <v>41</v>
      </c>
      <c r="V216" s="7"/>
      <c r="W216" s="7" t="s">
        <v>152</v>
      </c>
      <c r="X216" s="7" t="s">
        <v>41</v>
      </c>
      <c r="Y216" s="7"/>
      <c r="Z216" s="7"/>
      <c r="AA216" s="7"/>
      <c r="AB216" s="7" t="s">
        <v>72</v>
      </c>
      <c r="AC216" s="7" t="s">
        <v>106</v>
      </c>
      <c r="AD216" s="7" t="s">
        <v>2175</v>
      </c>
    </row>
    <row r="217" ht="15.75" customHeight="1">
      <c r="A217" s="7" t="s">
        <v>2169</v>
      </c>
      <c r="B217" s="7" t="s">
        <v>2170</v>
      </c>
      <c r="C217" s="7" t="s">
        <v>2102</v>
      </c>
      <c r="D217" s="7" t="s">
        <v>2171</v>
      </c>
      <c r="E217" s="7">
        <v>4.0</v>
      </c>
      <c r="F217" s="7" t="s">
        <v>2182</v>
      </c>
      <c r="G217" s="7" t="s">
        <v>137</v>
      </c>
      <c r="H217" s="7" t="s">
        <v>100</v>
      </c>
      <c r="I217" s="7"/>
      <c r="J217" s="7"/>
      <c r="K217" s="7" t="s">
        <v>215</v>
      </c>
      <c r="L217" s="7" t="s">
        <v>209</v>
      </c>
      <c r="M217" s="7" t="s">
        <v>182</v>
      </c>
      <c r="N217" s="7" t="s">
        <v>79</v>
      </c>
      <c r="O217" s="7" t="s">
        <v>143</v>
      </c>
      <c r="P217" s="7" t="s">
        <v>54</v>
      </c>
      <c r="Q217" s="7" t="s">
        <v>2183</v>
      </c>
      <c r="R217" s="7" t="s">
        <v>2184</v>
      </c>
      <c r="S217" s="7" t="s">
        <v>188</v>
      </c>
      <c r="T217" s="7">
        <v>1.0</v>
      </c>
      <c r="U217" s="7" t="s">
        <v>41</v>
      </c>
      <c r="V217" s="7"/>
      <c r="W217" s="7" t="s">
        <v>152</v>
      </c>
      <c r="X217" s="7" t="s">
        <v>41</v>
      </c>
      <c r="Y217" s="7"/>
      <c r="Z217" s="7"/>
      <c r="AA217" s="7"/>
      <c r="AB217" s="7" t="s">
        <v>215</v>
      </c>
      <c r="AC217" s="7" t="s">
        <v>106</v>
      </c>
      <c r="AD217" s="7" t="s">
        <v>2175</v>
      </c>
    </row>
    <row r="218" ht="15.75" customHeight="1">
      <c r="A218" s="7" t="s">
        <v>2169</v>
      </c>
      <c r="B218" s="7" t="s">
        <v>2170</v>
      </c>
      <c r="C218" s="7" t="s">
        <v>2102</v>
      </c>
      <c r="D218" s="7" t="s">
        <v>2171</v>
      </c>
      <c r="E218" s="7">
        <v>5.0</v>
      </c>
      <c r="F218" s="7" t="s">
        <v>2185</v>
      </c>
      <c r="G218" s="7" t="s">
        <v>137</v>
      </c>
      <c r="H218" s="7" t="s">
        <v>48</v>
      </c>
      <c r="I218" s="7" t="s">
        <v>891</v>
      </c>
      <c r="J218" s="7" t="s">
        <v>132</v>
      </c>
      <c r="K218" s="7" t="s">
        <v>42</v>
      </c>
      <c r="L218" s="7" t="s">
        <v>32</v>
      </c>
      <c r="M218" s="7" t="s">
        <v>182</v>
      </c>
      <c r="N218" s="7" t="s">
        <v>79</v>
      </c>
      <c r="O218" s="7" t="s">
        <v>143</v>
      </c>
      <c r="P218" s="7" t="s">
        <v>54</v>
      </c>
      <c r="Q218" s="7" t="s">
        <v>2186</v>
      </c>
      <c r="R218" s="7" t="s">
        <v>2187</v>
      </c>
      <c r="S218" s="7" t="s">
        <v>188</v>
      </c>
      <c r="T218" s="7">
        <v>1.0</v>
      </c>
      <c r="U218" s="7" t="s">
        <v>41</v>
      </c>
      <c r="V218" s="7"/>
      <c r="W218" s="7" t="s">
        <v>152</v>
      </c>
      <c r="X218" s="7" t="s">
        <v>41</v>
      </c>
      <c r="Y218" s="7"/>
      <c r="Z218" s="7"/>
      <c r="AA218" s="7"/>
      <c r="AB218" s="7" t="s">
        <v>42</v>
      </c>
      <c r="AC218" s="7" t="s">
        <v>59</v>
      </c>
      <c r="AD218" s="7" t="s">
        <v>2175</v>
      </c>
    </row>
    <row r="219" ht="15.75" customHeight="1">
      <c r="A219" s="7" t="s">
        <v>2169</v>
      </c>
      <c r="B219" s="7" t="s">
        <v>2170</v>
      </c>
      <c r="C219" s="7" t="s">
        <v>2102</v>
      </c>
      <c r="D219" s="7" t="s">
        <v>2171</v>
      </c>
      <c r="E219" s="7">
        <v>6.0</v>
      </c>
      <c r="F219" s="7" t="s">
        <v>2188</v>
      </c>
      <c r="G219" s="7" t="s">
        <v>891</v>
      </c>
      <c r="H219" s="7" t="s">
        <v>132</v>
      </c>
      <c r="I219" s="7" t="s">
        <v>2189</v>
      </c>
      <c r="J219" s="7" t="s">
        <v>404</v>
      </c>
      <c r="K219" s="7" t="s">
        <v>215</v>
      </c>
      <c r="L219" s="7" t="s">
        <v>209</v>
      </c>
      <c r="M219" s="7" t="s">
        <v>182</v>
      </c>
      <c r="N219" s="7" t="s">
        <v>79</v>
      </c>
      <c r="O219" s="7" t="s">
        <v>143</v>
      </c>
      <c r="P219" s="7" t="s">
        <v>54</v>
      </c>
      <c r="Q219" s="7" t="s">
        <v>2190</v>
      </c>
      <c r="R219" s="7" t="s">
        <v>2191</v>
      </c>
      <c r="S219" s="7" t="s">
        <v>292</v>
      </c>
      <c r="T219" s="7">
        <v>1.0</v>
      </c>
      <c r="U219" s="7" t="s">
        <v>41</v>
      </c>
      <c r="V219" s="7"/>
      <c r="W219" s="7" t="s">
        <v>152</v>
      </c>
      <c r="X219" s="7" t="s">
        <v>41</v>
      </c>
      <c r="Y219" s="7"/>
      <c r="Z219" s="7"/>
      <c r="AA219" s="7"/>
      <c r="AB219" s="7" t="s">
        <v>215</v>
      </c>
      <c r="AC219" s="7" t="s">
        <v>140</v>
      </c>
      <c r="AD219" s="7" t="s">
        <v>2175</v>
      </c>
    </row>
    <row r="220" ht="15.75" customHeight="1">
      <c r="A220" s="7" t="s">
        <v>2192</v>
      </c>
      <c r="B220" s="7" t="s">
        <v>2193</v>
      </c>
      <c r="C220" s="7" t="s">
        <v>2194</v>
      </c>
      <c r="D220" s="7" t="s">
        <v>2195</v>
      </c>
      <c r="E220" s="7">
        <v>1.0</v>
      </c>
      <c r="F220" s="7" t="s">
        <v>2196</v>
      </c>
      <c r="G220" s="7" t="s">
        <v>137</v>
      </c>
      <c r="H220" s="7" t="s">
        <v>100</v>
      </c>
      <c r="I220" s="7"/>
      <c r="J220" s="7"/>
      <c r="K220" s="7" t="s">
        <v>215</v>
      </c>
      <c r="L220" s="7" t="s">
        <v>209</v>
      </c>
      <c r="M220" s="7" t="s">
        <v>182</v>
      </c>
      <c r="N220" s="7" t="s">
        <v>51</v>
      </c>
      <c r="O220" s="7" t="s">
        <v>143</v>
      </c>
      <c r="P220" s="7" t="s">
        <v>54</v>
      </c>
      <c r="Q220" s="7" t="s">
        <v>2197</v>
      </c>
      <c r="R220" s="7" t="s">
        <v>2198</v>
      </c>
      <c r="S220" s="7" t="s">
        <v>148</v>
      </c>
      <c r="T220" s="7">
        <v>1.0</v>
      </c>
      <c r="U220" s="7" t="s">
        <v>41</v>
      </c>
      <c r="V220" s="7"/>
      <c r="W220" s="7" t="s">
        <v>152</v>
      </c>
      <c r="X220" s="7" t="s">
        <v>41</v>
      </c>
      <c r="Y220" s="7"/>
      <c r="Z220" s="7"/>
      <c r="AA220" s="7"/>
      <c r="AB220" s="7" t="s">
        <v>215</v>
      </c>
      <c r="AC220" s="7" t="s">
        <v>106</v>
      </c>
      <c r="AD220" s="7" t="s">
        <v>2200</v>
      </c>
    </row>
    <row r="221" ht="15.75" customHeight="1">
      <c r="A221" s="7" t="s">
        <v>2192</v>
      </c>
      <c r="B221" s="7" t="s">
        <v>2193</v>
      </c>
      <c r="C221" s="7" t="s">
        <v>2194</v>
      </c>
      <c r="D221" s="7" t="s">
        <v>2195</v>
      </c>
      <c r="E221" s="7">
        <v>2.0</v>
      </c>
      <c r="F221" s="7" t="s">
        <v>2201</v>
      </c>
      <c r="G221" s="7" t="s">
        <v>137</v>
      </c>
      <c r="H221" s="7" t="s">
        <v>329</v>
      </c>
      <c r="I221" s="7"/>
      <c r="J221" s="7"/>
      <c r="K221" s="7" t="s">
        <v>260</v>
      </c>
      <c r="L221" s="7" t="s">
        <v>261</v>
      </c>
      <c r="M221" s="7" t="s">
        <v>182</v>
      </c>
      <c r="N221" s="7" t="s">
        <v>34</v>
      </c>
      <c r="O221" s="7" t="s">
        <v>143</v>
      </c>
      <c r="P221" s="7" t="s">
        <v>162</v>
      </c>
      <c r="Q221" s="7" t="s">
        <v>2202</v>
      </c>
      <c r="R221" s="7" t="s">
        <v>2198</v>
      </c>
      <c r="S221" s="7" t="s">
        <v>188</v>
      </c>
      <c r="T221" s="7">
        <v>1.0</v>
      </c>
      <c r="U221" s="7" t="s">
        <v>41</v>
      </c>
      <c r="V221" s="7"/>
      <c r="W221" s="7" t="s">
        <v>152</v>
      </c>
      <c r="X221" s="7" t="s">
        <v>41</v>
      </c>
      <c r="Y221" s="7"/>
      <c r="Z221" s="7"/>
      <c r="AA221" s="7"/>
      <c r="AB221" s="7" t="s">
        <v>260</v>
      </c>
      <c r="AC221" s="7" t="s">
        <v>540</v>
      </c>
      <c r="AD221" s="7" t="s">
        <v>2200</v>
      </c>
    </row>
    <row r="222" ht="15.75" customHeight="1">
      <c r="A222" s="7" t="s">
        <v>2192</v>
      </c>
      <c r="B222" s="7" t="s">
        <v>2193</v>
      </c>
      <c r="C222" s="7" t="s">
        <v>2194</v>
      </c>
      <c r="D222" s="7" t="s">
        <v>2195</v>
      </c>
      <c r="E222" s="7">
        <v>3.0</v>
      </c>
      <c r="F222" s="7" t="s">
        <v>2203</v>
      </c>
      <c r="G222" s="7" t="s">
        <v>137</v>
      </c>
      <c r="H222" s="7" t="s">
        <v>329</v>
      </c>
      <c r="I222" s="7"/>
      <c r="J222" s="7"/>
      <c r="K222" s="7" t="s">
        <v>260</v>
      </c>
      <c r="L222" s="7" t="s">
        <v>261</v>
      </c>
      <c r="M222" s="7" t="s">
        <v>182</v>
      </c>
      <c r="N222" s="7" t="s">
        <v>34</v>
      </c>
      <c r="O222" s="7" t="s">
        <v>143</v>
      </c>
      <c r="P222" s="7" t="s">
        <v>162</v>
      </c>
      <c r="Q222" s="7" t="s">
        <v>2204</v>
      </c>
      <c r="R222" s="7" t="s">
        <v>2198</v>
      </c>
      <c r="S222" s="7" t="s">
        <v>188</v>
      </c>
      <c r="T222" s="7">
        <v>1.0</v>
      </c>
      <c r="U222" s="7" t="s">
        <v>41</v>
      </c>
      <c r="V222" s="7"/>
      <c r="W222" s="7" t="s">
        <v>152</v>
      </c>
      <c r="X222" s="7" t="s">
        <v>41</v>
      </c>
      <c r="Y222" s="7"/>
      <c r="Z222" s="7"/>
      <c r="AA222" s="7"/>
      <c r="AB222" s="7" t="s">
        <v>260</v>
      </c>
      <c r="AC222" s="7" t="s">
        <v>540</v>
      </c>
      <c r="AD222" s="7" t="s">
        <v>2200</v>
      </c>
    </row>
    <row r="223" ht="15.75" customHeight="1">
      <c r="A223" s="7" t="s">
        <v>2205</v>
      </c>
      <c r="B223" s="7" t="s">
        <v>2206</v>
      </c>
      <c r="C223" s="7" t="s">
        <v>2194</v>
      </c>
      <c r="D223" s="7" t="s">
        <v>2207</v>
      </c>
      <c r="E223" s="7">
        <v>1.0</v>
      </c>
      <c r="F223" s="7" t="s">
        <v>163</v>
      </c>
      <c r="G223" s="7"/>
      <c r="H223" s="7"/>
      <c r="I223" s="7"/>
      <c r="J223" s="7"/>
      <c r="K223" s="7" t="s">
        <v>121</v>
      </c>
      <c r="L223" s="7" t="s">
        <v>121</v>
      </c>
      <c r="M223" s="7" t="s">
        <v>121</v>
      </c>
      <c r="N223" s="7"/>
      <c r="O223" s="7" t="s">
        <v>167</v>
      </c>
      <c r="P223" s="7" t="s">
        <v>167</v>
      </c>
      <c r="Q223" s="7" t="s">
        <v>167</v>
      </c>
      <c r="R223" s="7" t="s">
        <v>167</v>
      </c>
      <c r="S223" s="7"/>
      <c r="T223" s="7">
        <v>1.0</v>
      </c>
      <c r="U223" s="7" t="s">
        <v>170</v>
      </c>
      <c r="V223" s="7"/>
      <c r="W223" s="7" t="s">
        <v>152</v>
      </c>
      <c r="X223" s="7" t="s">
        <v>170</v>
      </c>
      <c r="Y223" s="7" t="s">
        <v>172</v>
      </c>
      <c r="Z223" s="7"/>
      <c r="AA223" s="7"/>
      <c r="AB223" s="7"/>
      <c r="AC223" s="7"/>
      <c r="AD223" s="7"/>
    </row>
    <row r="224" ht="15.75" customHeight="1">
      <c r="A224" s="7" t="s">
        <v>2208</v>
      </c>
      <c r="B224" s="7" t="s">
        <v>2209</v>
      </c>
      <c r="C224" s="7" t="s">
        <v>2194</v>
      </c>
      <c r="D224" s="7" t="s">
        <v>2210</v>
      </c>
      <c r="E224" s="7">
        <v>1.0</v>
      </c>
      <c r="F224" s="7" t="s">
        <v>2211</v>
      </c>
      <c r="G224" s="7" t="s">
        <v>137</v>
      </c>
      <c r="H224" s="7" t="s">
        <v>48</v>
      </c>
      <c r="I224" s="7"/>
      <c r="J224" s="7"/>
      <c r="K224" s="7" t="s">
        <v>105</v>
      </c>
      <c r="L224" s="7" t="s">
        <v>101</v>
      </c>
      <c r="M224" s="7" t="s">
        <v>182</v>
      </c>
      <c r="N224" s="7" t="s">
        <v>34</v>
      </c>
      <c r="O224" s="7" t="s">
        <v>143</v>
      </c>
      <c r="P224" s="7" t="s">
        <v>37</v>
      </c>
      <c r="Q224" s="7" t="s">
        <v>2212</v>
      </c>
      <c r="R224" s="7" t="s">
        <v>2213</v>
      </c>
      <c r="S224" s="7" t="s">
        <v>188</v>
      </c>
      <c r="T224" s="7">
        <v>1.0</v>
      </c>
      <c r="U224" s="7" t="s">
        <v>41</v>
      </c>
      <c r="V224" s="7"/>
      <c r="W224" s="7" t="s">
        <v>152</v>
      </c>
      <c r="X224" s="7" t="s">
        <v>41</v>
      </c>
      <c r="Y224" s="7"/>
      <c r="Z224" s="7"/>
      <c r="AA224" s="7"/>
      <c r="AB224" s="7" t="s">
        <v>105</v>
      </c>
      <c r="AC224" s="7" t="s">
        <v>59</v>
      </c>
      <c r="AD224" s="7"/>
    </row>
    <row r="225" ht="15.75" customHeight="1">
      <c r="A225" s="7" t="s">
        <v>2208</v>
      </c>
      <c r="B225" s="7" t="s">
        <v>2209</v>
      </c>
      <c r="C225" s="7" t="s">
        <v>2194</v>
      </c>
      <c r="D225" s="7" t="s">
        <v>2210</v>
      </c>
      <c r="E225" s="7">
        <v>2.0</v>
      </c>
      <c r="F225" s="7" t="s">
        <v>2214</v>
      </c>
      <c r="G225" s="7" t="s">
        <v>137</v>
      </c>
      <c r="H225" s="7" t="s">
        <v>48</v>
      </c>
      <c r="I225" s="7"/>
      <c r="J225" s="7"/>
      <c r="K225" s="7" t="s">
        <v>139</v>
      </c>
      <c r="L225" s="7" t="s">
        <v>139</v>
      </c>
      <c r="M225" s="7" t="s">
        <v>121</v>
      </c>
      <c r="N225" s="7" t="s">
        <v>34</v>
      </c>
      <c r="O225" s="7" t="s">
        <v>623</v>
      </c>
      <c r="P225" s="7" t="s">
        <v>37</v>
      </c>
      <c r="Q225" s="7" t="s">
        <v>2215</v>
      </c>
      <c r="R225" s="7" t="s">
        <v>2216</v>
      </c>
      <c r="S225" s="7" t="s">
        <v>188</v>
      </c>
      <c r="T225" s="7">
        <v>1.0</v>
      </c>
      <c r="U225" s="7" t="s">
        <v>41</v>
      </c>
      <c r="V225" s="7"/>
      <c r="W225" s="7" t="s">
        <v>152</v>
      </c>
      <c r="X225" s="7" t="s">
        <v>41</v>
      </c>
      <c r="Y225" s="7"/>
      <c r="Z225" s="7" t="s">
        <v>139</v>
      </c>
      <c r="AA225" s="7"/>
      <c r="AB225" s="7" t="s">
        <v>138</v>
      </c>
      <c r="AC225" s="7" t="s">
        <v>59</v>
      </c>
      <c r="AD225" s="7"/>
    </row>
    <row r="226" ht="15.75" customHeight="1">
      <c r="A226" s="7" t="s">
        <v>2208</v>
      </c>
      <c r="B226" s="7" t="s">
        <v>2209</v>
      </c>
      <c r="C226" s="7" t="s">
        <v>2194</v>
      </c>
      <c r="D226" s="7" t="s">
        <v>2210</v>
      </c>
      <c r="E226" s="7">
        <v>3.0</v>
      </c>
      <c r="F226" s="7" t="s">
        <v>2217</v>
      </c>
      <c r="G226" s="7" t="s">
        <v>137</v>
      </c>
      <c r="H226" s="7" t="s">
        <v>48</v>
      </c>
      <c r="I226" s="7"/>
      <c r="J226" s="7"/>
      <c r="K226" s="7" t="s">
        <v>139</v>
      </c>
      <c r="L226" s="7" t="s">
        <v>139</v>
      </c>
      <c r="M226" s="7" t="s">
        <v>121</v>
      </c>
      <c r="N226" s="7" t="s">
        <v>34</v>
      </c>
      <c r="O226" s="7" t="s">
        <v>2218</v>
      </c>
      <c r="P226" s="7" t="s">
        <v>185</v>
      </c>
      <c r="Q226" s="7" t="s">
        <v>2219</v>
      </c>
      <c r="R226" s="7" t="s">
        <v>2216</v>
      </c>
      <c r="S226" s="7" t="s">
        <v>148</v>
      </c>
      <c r="T226" s="7">
        <v>1.0</v>
      </c>
      <c r="U226" s="7" t="s">
        <v>41</v>
      </c>
      <c r="V226" s="7"/>
      <c r="W226" s="7" t="s">
        <v>152</v>
      </c>
      <c r="X226" s="7" t="s">
        <v>41</v>
      </c>
      <c r="Y226" s="7"/>
      <c r="Z226" s="7" t="s">
        <v>139</v>
      </c>
      <c r="AA226" s="7"/>
      <c r="AB226" s="7" t="s">
        <v>138</v>
      </c>
      <c r="AC226" s="7" t="s">
        <v>59</v>
      </c>
      <c r="AD226" s="7"/>
    </row>
    <row r="227" ht="15.75" customHeight="1">
      <c r="A227" s="7" t="s">
        <v>2208</v>
      </c>
      <c r="B227" s="7" t="s">
        <v>2209</v>
      </c>
      <c r="C227" s="7" t="s">
        <v>2194</v>
      </c>
      <c r="D227" s="7" t="s">
        <v>2210</v>
      </c>
      <c r="E227" s="7">
        <v>4.0</v>
      </c>
      <c r="F227" s="7" t="s">
        <v>2220</v>
      </c>
      <c r="G227" s="7" t="s">
        <v>137</v>
      </c>
      <c r="H227" s="7" t="s">
        <v>48</v>
      </c>
      <c r="I227" s="7"/>
      <c r="J227" s="7"/>
      <c r="K227" s="7" t="s">
        <v>139</v>
      </c>
      <c r="L227" s="7" t="s">
        <v>139</v>
      </c>
      <c r="M227" s="7" t="s">
        <v>121</v>
      </c>
      <c r="N227" s="7" t="s">
        <v>79</v>
      </c>
      <c r="O227" s="7" t="s">
        <v>2221</v>
      </c>
      <c r="P227" s="7" t="s">
        <v>54</v>
      </c>
      <c r="Q227" s="7" t="s">
        <v>2222</v>
      </c>
      <c r="R227" s="7" t="s">
        <v>2216</v>
      </c>
      <c r="S227" s="7" t="s">
        <v>188</v>
      </c>
      <c r="T227" s="7">
        <v>1.0</v>
      </c>
      <c r="U227" s="7" t="s">
        <v>41</v>
      </c>
      <c r="V227" s="7"/>
      <c r="W227" s="7" t="s">
        <v>152</v>
      </c>
      <c r="X227" s="7" t="s">
        <v>41</v>
      </c>
      <c r="Y227" s="7"/>
      <c r="Z227" s="7" t="s">
        <v>139</v>
      </c>
      <c r="AA227" s="7"/>
      <c r="AB227" s="7" t="s">
        <v>138</v>
      </c>
      <c r="AC227" s="7" t="s">
        <v>59</v>
      </c>
      <c r="AD227" s="7"/>
    </row>
    <row r="228" ht="15.75" customHeight="1">
      <c r="A228" s="7" t="s">
        <v>2208</v>
      </c>
      <c r="B228" s="7" t="s">
        <v>2209</v>
      </c>
      <c r="C228" s="7" t="s">
        <v>2194</v>
      </c>
      <c r="D228" s="7" t="s">
        <v>2210</v>
      </c>
      <c r="E228" s="7">
        <v>5.0</v>
      </c>
      <c r="F228" s="7" t="s">
        <v>2223</v>
      </c>
      <c r="G228" s="7" t="s">
        <v>137</v>
      </c>
      <c r="H228" s="7" t="s">
        <v>48</v>
      </c>
      <c r="I228" s="7"/>
      <c r="J228" s="7"/>
      <c r="K228" s="7" t="s">
        <v>139</v>
      </c>
      <c r="L228" s="7" t="s">
        <v>139</v>
      </c>
      <c r="M228" s="7" t="s">
        <v>121</v>
      </c>
      <c r="N228" s="7" t="s">
        <v>34</v>
      </c>
      <c r="O228" s="7" t="s">
        <v>2224</v>
      </c>
      <c r="P228" s="7" t="s">
        <v>145</v>
      </c>
      <c r="Q228" s="7" t="s">
        <v>2225</v>
      </c>
      <c r="R228" s="7" t="s">
        <v>2216</v>
      </c>
      <c r="S228" s="7" t="s">
        <v>148</v>
      </c>
      <c r="T228" s="7">
        <v>1.0</v>
      </c>
      <c r="U228" s="7" t="s">
        <v>41</v>
      </c>
      <c r="V228" s="7"/>
      <c r="W228" s="7" t="s">
        <v>152</v>
      </c>
      <c r="X228" s="7" t="s">
        <v>41</v>
      </c>
      <c r="Y228" s="7"/>
      <c r="Z228" s="7" t="s">
        <v>139</v>
      </c>
      <c r="AA228" s="7"/>
      <c r="AB228" s="7" t="s">
        <v>138</v>
      </c>
      <c r="AC228" s="7" t="s">
        <v>59</v>
      </c>
      <c r="AD228" s="7"/>
    </row>
    <row r="229" ht="15.75" customHeight="1">
      <c r="A229" s="7" t="s">
        <v>2208</v>
      </c>
      <c r="B229" s="7" t="s">
        <v>2209</v>
      </c>
      <c r="C229" s="7" t="s">
        <v>2194</v>
      </c>
      <c r="D229" s="7" t="s">
        <v>2210</v>
      </c>
      <c r="E229" s="7">
        <v>6.0</v>
      </c>
      <c r="F229" s="7" t="s">
        <v>2226</v>
      </c>
      <c r="G229" s="7" t="s">
        <v>891</v>
      </c>
      <c r="H229" s="7" t="s">
        <v>346</v>
      </c>
      <c r="I229" s="7" t="s">
        <v>137</v>
      </c>
      <c r="J229" s="7" t="s">
        <v>48</v>
      </c>
      <c r="K229" s="7" t="s">
        <v>139</v>
      </c>
      <c r="L229" s="7" t="s">
        <v>139</v>
      </c>
      <c r="M229" s="7" t="s">
        <v>121</v>
      </c>
      <c r="N229" s="7" t="s">
        <v>79</v>
      </c>
      <c r="O229" s="7" t="s">
        <v>2227</v>
      </c>
      <c r="P229" s="7" t="s">
        <v>2228</v>
      </c>
      <c r="Q229" s="7" t="s">
        <v>2229</v>
      </c>
      <c r="R229" s="7" t="s">
        <v>2216</v>
      </c>
      <c r="S229" s="7" t="s">
        <v>148</v>
      </c>
      <c r="T229" s="7">
        <v>1.0</v>
      </c>
      <c r="U229" s="7" t="s">
        <v>41</v>
      </c>
      <c r="V229" s="7"/>
      <c r="W229" s="7" t="s">
        <v>152</v>
      </c>
      <c r="X229" s="7" t="s">
        <v>41</v>
      </c>
      <c r="Y229" s="7"/>
      <c r="Z229" s="7" t="s">
        <v>139</v>
      </c>
      <c r="AA229" s="7"/>
      <c r="AB229" s="7" t="s">
        <v>138</v>
      </c>
      <c r="AC229" s="7" t="s">
        <v>2065</v>
      </c>
      <c r="AD229" s="7"/>
    </row>
    <row r="230" ht="15.75" customHeight="1">
      <c r="A230" s="7" t="s">
        <v>2208</v>
      </c>
      <c r="B230" s="7" t="s">
        <v>2209</v>
      </c>
      <c r="C230" s="7" t="s">
        <v>2194</v>
      </c>
      <c r="D230" s="7" t="s">
        <v>2210</v>
      </c>
      <c r="E230" s="7">
        <v>7.0</v>
      </c>
      <c r="F230" s="7" t="s">
        <v>2230</v>
      </c>
      <c r="G230" s="7" t="s">
        <v>137</v>
      </c>
      <c r="H230" s="7" t="s">
        <v>48</v>
      </c>
      <c r="I230" s="7"/>
      <c r="J230" s="7"/>
      <c r="K230" s="7" t="s">
        <v>139</v>
      </c>
      <c r="L230" s="7" t="s">
        <v>139</v>
      </c>
      <c r="M230" s="7" t="s">
        <v>121</v>
      </c>
      <c r="N230" s="7" t="s">
        <v>34</v>
      </c>
      <c r="O230" s="7" t="s">
        <v>2231</v>
      </c>
      <c r="P230" s="7" t="s">
        <v>145</v>
      </c>
      <c r="Q230" s="7" t="s">
        <v>2232</v>
      </c>
      <c r="R230" s="7" t="s">
        <v>2233</v>
      </c>
      <c r="S230" s="7" t="s">
        <v>148</v>
      </c>
      <c r="T230" s="7">
        <v>1.0</v>
      </c>
      <c r="U230" s="7" t="s">
        <v>41</v>
      </c>
      <c r="V230" s="7"/>
      <c r="W230" s="7" t="s">
        <v>152</v>
      </c>
      <c r="X230" s="7" t="s">
        <v>41</v>
      </c>
      <c r="Y230" s="7"/>
      <c r="Z230" s="7" t="s">
        <v>139</v>
      </c>
      <c r="AA230" s="7"/>
      <c r="AB230" s="7" t="s">
        <v>138</v>
      </c>
      <c r="AC230" s="7" t="s">
        <v>59</v>
      </c>
      <c r="AD230" s="7"/>
    </row>
    <row r="231" ht="15.75" customHeight="1">
      <c r="A231" s="7" t="s">
        <v>2234</v>
      </c>
      <c r="B231" s="7" t="s">
        <v>2235</v>
      </c>
      <c r="C231" s="7" t="s">
        <v>2194</v>
      </c>
      <c r="D231" s="7" t="s">
        <v>2236</v>
      </c>
      <c r="E231" s="7">
        <v>1.0</v>
      </c>
      <c r="F231" s="7" t="s">
        <v>2237</v>
      </c>
      <c r="G231" s="7" t="s">
        <v>137</v>
      </c>
      <c r="H231" s="7" t="s">
        <v>100</v>
      </c>
      <c r="I231" s="7"/>
      <c r="J231" s="7"/>
      <c r="K231" s="7" t="s">
        <v>241</v>
      </c>
      <c r="L231" s="7" t="s">
        <v>243</v>
      </c>
      <c r="M231" s="7" t="s">
        <v>244</v>
      </c>
      <c r="N231" s="7" t="s">
        <v>51</v>
      </c>
      <c r="O231" s="7" t="s">
        <v>143</v>
      </c>
      <c r="P231" s="7" t="s">
        <v>54</v>
      </c>
      <c r="Q231" s="7" t="s">
        <v>2238</v>
      </c>
      <c r="R231" s="7" t="s">
        <v>2239</v>
      </c>
      <c r="S231" s="7" t="s">
        <v>292</v>
      </c>
      <c r="T231" s="7">
        <v>1.0</v>
      </c>
      <c r="U231" s="7" t="s">
        <v>41</v>
      </c>
      <c r="V231" s="7"/>
      <c r="W231" s="7" t="s">
        <v>152</v>
      </c>
      <c r="X231" s="7" t="s">
        <v>41</v>
      </c>
      <c r="Y231" s="7"/>
      <c r="Z231" s="7"/>
      <c r="AA231" s="7"/>
      <c r="AB231" s="7" t="s">
        <v>241</v>
      </c>
      <c r="AC231" s="7" t="s">
        <v>106</v>
      </c>
      <c r="AD231" s="7"/>
    </row>
    <row r="232" ht="15.75" customHeight="1">
      <c r="A232" s="7" t="s">
        <v>2234</v>
      </c>
      <c r="B232" s="7" t="s">
        <v>2235</v>
      </c>
      <c r="C232" s="7" t="s">
        <v>2194</v>
      </c>
      <c r="D232" s="7" t="s">
        <v>2236</v>
      </c>
      <c r="E232" s="7">
        <v>2.0</v>
      </c>
      <c r="F232" s="7" t="s">
        <v>2240</v>
      </c>
      <c r="G232" s="7" t="s">
        <v>631</v>
      </c>
      <c r="H232" s="7"/>
      <c r="I232" s="7"/>
      <c r="J232" s="7"/>
      <c r="K232" s="7" t="s">
        <v>96</v>
      </c>
      <c r="L232" s="7" t="s">
        <v>89</v>
      </c>
      <c r="M232" s="7" t="s">
        <v>866</v>
      </c>
      <c r="N232" s="7" t="s">
        <v>34</v>
      </c>
      <c r="O232" s="7" t="s">
        <v>143</v>
      </c>
      <c r="P232" s="7" t="s">
        <v>162</v>
      </c>
      <c r="Q232" s="7" t="s">
        <v>2241</v>
      </c>
      <c r="R232" s="7" t="s">
        <v>2239</v>
      </c>
      <c r="S232" s="7" t="s">
        <v>188</v>
      </c>
      <c r="T232" s="7">
        <v>1.0</v>
      </c>
      <c r="U232" s="7" t="s">
        <v>41</v>
      </c>
      <c r="V232" s="7"/>
      <c r="W232" s="7" t="s">
        <v>152</v>
      </c>
      <c r="X232" s="7" t="s">
        <v>41</v>
      </c>
      <c r="Y232" s="7"/>
      <c r="Z232" s="7"/>
      <c r="AA232" s="7" t="s">
        <v>631</v>
      </c>
      <c r="AB232" s="7" t="s">
        <v>96</v>
      </c>
      <c r="AC232" s="7" t="s">
        <v>78</v>
      </c>
      <c r="AD232" s="7"/>
    </row>
    <row r="233" ht="15.75" customHeight="1">
      <c r="A233" s="7" t="s">
        <v>2234</v>
      </c>
      <c r="B233" s="7" t="s">
        <v>2235</v>
      </c>
      <c r="C233" s="7" t="s">
        <v>2194</v>
      </c>
      <c r="D233" s="7" t="s">
        <v>2236</v>
      </c>
      <c r="E233" s="7">
        <v>3.0</v>
      </c>
      <c r="F233" s="7" t="s">
        <v>2242</v>
      </c>
      <c r="G233" s="7" t="s">
        <v>631</v>
      </c>
      <c r="H233" s="7"/>
      <c r="I233" s="7"/>
      <c r="J233" s="7"/>
      <c r="K233" s="7" t="s">
        <v>2243</v>
      </c>
      <c r="L233" s="7" t="s">
        <v>2244</v>
      </c>
      <c r="M233" s="7" t="s">
        <v>244</v>
      </c>
      <c r="N233" s="7" t="s">
        <v>34</v>
      </c>
      <c r="O233" s="7" t="s">
        <v>143</v>
      </c>
      <c r="P233" s="7" t="s">
        <v>162</v>
      </c>
      <c r="Q233" s="7" t="s">
        <v>2245</v>
      </c>
      <c r="R233" s="7" t="s">
        <v>2239</v>
      </c>
      <c r="S233" s="7" t="s">
        <v>148</v>
      </c>
      <c r="T233" s="7">
        <v>1.0</v>
      </c>
      <c r="U233" s="7" t="s">
        <v>41</v>
      </c>
      <c r="V233" s="7"/>
      <c r="W233" s="7" t="s">
        <v>152</v>
      </c>
      <c r="X233" s="7" t="s">
        <v>41</v>
      </c>
      <c r="Y233" s="7"/>
      <c r="Z233" s="7"/>
      <c r="AA233" s="7" t="s">
        <v>631</v>
      </c>
      <c r="AB233" s="7" t="s">
        <v>2243</v>
      </c>
      <c r="AC233" s="7" t="s">
        <v>78</v>
      </c>
      <c r="AD233" s="7"/>
    </row>
    <row r="234" ht="15.75" customHeight="1">
      <c r="A234" s="7" t="s">
        <v>2234</v>
      </c>
      <c r="B234" s="7" t="s">
        <v>2235</v>
      </c>
      <c r="C234" s="7" t="s">
        <v>2194</v>
      </c>
      <c r="D234" s="7" t="s">
        <v>2236</v>
      </c>
      <c r="E234" s="7">
        <v>4.0</v>
      </c>
      <c r="F234" s="7" t="s">
        <v>2246</v>
      </c>
      <c r="G234" s="7" t="s">
        <v>137</v>
      </c>
      <c r="H234" s="7" t="s">
        <v>100</v>
      </c>
      <c r="I234" s="7"/>
      <c r="J234" s="7"/>
      <c r="K234" s="7" t="s">
        <v>729</v>
      </c>
      <c r="L234" s="7" t="s">
        <v>725</v>
      </c>
      <c r="M234" s="7" t="s">
        <v>866</v>
      </c>
      <c r="N234" s="7" t="s">
        <v>34</v>
      </c>
      <c r="O234" s="7" t="s">
        <v>143</v>
      </c>
      <c r="P234" s="7" t="s">
        <v>162</v>
      </c>
      <c r="Q234" s="7" t="s">
        <v>2247</v>
      </c>
      <c r="R234" s="7" t="s">
        <v>2239</v>
      </c>
      <c r="S234" s="7" t="s">
        <v>148</v>
      </c>
      <c r="T234" s="7">
        <v>1.0</v>
      </c>
      <c r="U234" s="7" t="s">
        <v>41</v>
      </c>
      <c r="V234" s="7"/>
      <c r="W234" s="7" t="s">
        <v>152</v>
      </c>
      <c r="X234" s="7" t="s">
        <v>41</v>
      </c>
      <c r="Y234" s="7"/>
      <c r="Z234" s="7"/>
      <c r="AA234" s="7"/>
      <c r="AB234" s="7" t="s">
        <v>729</v>
      </c>
      <c r="AC234" s="7" t="s">
        <v>106</v>
      </c>
      <c r="AD234" s="7"/>
    </row>
    <row r="235" ht="15.75" customHeight="1">
      <c r="A235" s="7" t="s">
        <v>2234</v>
      </c>
      <c r="B235" s="7" t="s">
        <v>2235</v>
      </c>
      <c r="C235" s="7" t="s">
        <v>2194</v>
      </c>
      <c r="D235" s="7" t="s">
        <v>2236</v>
      </c>
      <c r="E235" s="7">
        <v>5.0</v>
      </c>
      <c r="F235" s="7" t="s">
        <v>2248</v>
      </c>
      <c r="G235" s="7" t="s">
        <v>631</v>
      </c>
      <c r="H235" s="7"/>
      <c r="I235" s="7"/>
      <c r="J235" s="7"/>
      <c r="K235" s="30" t="s">
        <v>2249</v>
      </c>
      <c r="L235" s="7" t="s">
        <v>2250</v>
      </c>
      <c r="M235" s="7" t="s">
        <v>866</v>
      </c>
      <c r="N235" s="7" t="s">
        <v>34</v>
      </c>
      <c r="O235" s="7" t="s">
        <v>143</v>
      </c>
      <c r="P235" s="7" t="s">
        <v>162</v>
      </c>
      <c r="Q235" s="7" t="s">
        <v>2251</v>
      </c>
      <c r="R235" s="7" t="s">
        <v>2239</v>
      </c>
      <c r="S235" s="7" t="s">
        <v>188</v>
      </c>
      <c r="T235" s="7">
        <v>1.0</v>
      </c>
      <c r="U235" s="7" t="s">
        <v>41</v>
      </c>
      <c r="V235" s="7"/>
      <c r="W235" s="7" t="s">
        <v>152</v>
      </c>
      <c r="X235" s="7" t="s">
        <v>41</v>
      </c>
      <c r="Y235" s="7"/>
      <c r="Z235" s="7"/>
      <c r="AA235" s="7" t="s">
        <v>631</v>
      </c>
      <c r="AB235" s="7" t="s">
        <v>2249</v>
      </c>
      <c r="AC235" s="7" t="s">
        <v>78</v>
      </c>
      <c r="AD235" s="7"/>
    </row>
    <row r="236" ht="15.75" customHeight="1">
      <c r="A236" s="7" t="s">
        <v>2234</v>
      </c>
      <c r="B236" s="7" t="s">
        <v>2235</v>
      </c>
      <c r="C236" s="7" t="s">
        <v>2194</v>
      </c>
      <c r="D236" s="7" t="s">
        <v>2236</v>
      </c>
      <c r="E236" s="7">
        <v>6.0</v>
      </c>
      <c r="F236" s="7" t="s">
        <v>2252</v>
      </c>
      <c r="G236" s="7" t="s">
        <v>631</v>
      </c>
      <c r="H236" s="7"/>
      <c r="I236" s="7"/>
      <c r="J236" s="7"/>
      <c r="K236" s="7" t="s">
        <v>421</v>
      </c>
      <c r="L236" s="7" t="s">
        <v>415</v>
      </c>
      <c r="M236" s="7" t="s">
        <v>614</v>
      </c>
      <c r="N236" s="7" t="s">
        <v>34</v>
      </c>
      <c r="O236" s="7" t="s">
        <v>143</v>
      </c>
      <c r="P236" s="7" t="s">
        <v>162</v>
      </c>
      <c r="Q236" s="7" t="s">
        <v>2253</v>
      </c>
      <c r="R236" s="7" t="s">
        <v>2239</v>
      </c>
      <c r="S236" s="7" t="s">
        <v>188</v>
      </c>
      <c r="T236" s="7">
        <v>1.0</v>
      </c>
      <c r="U236" s="7" t="s">
        <v>41</v>
      </c>
      <c r="V236" s="7"/>
      <c r="W236" s="7" t="s">
        <v>152</v>
      </c>
      <c r="X236" s="7" t="s">
        <v>41</v>
      </c>
      <c r="Y236" s="7"/>
      <c r="Z236" s="7"/>
      <c r="AA236" s="7" t="s">
        <v>631</v>
      </c>
      <c r="AB236" s="7" t="s">
        <v>421</v>
      </c>
      <c r="AC236" s="7" t="s">
        <v>78</v>
      </c>
      <c r="AD236" s="7"/>
    </row>
    <row r="237" ht="15.75" customHeight="1">
      <c r="A237" s="7" t="s">
        <v>2254</v>
      </c>
      <c r="B237" s="7" t="s">
        <v>2255</v>
      </c>
      <c r="C237" s="7" t="s">
        <v>2194</v>
      </c>
      <c r="D237" s="7" t="s">
        <v>2256</v>
      </c>
      <c r="E237" s="7">
        <v>1.0</v>
      </c>
      <c r="F237" s="7" t="s">
        <v>2257</v>
      </c>
      <c r="G237" s="7" t="s">
        <v>137</v>
      </c>
      <c r="H237" s="7" t="s">
        <v>48</v>
      </c>
      <c r="I237" s="7"/>
      <c r="J237" s="7"/>
      <c r="K237" s="7" t="s">
        <v>139</v>
      </c>
      <c r="L237" s="7" t="s">
        <v>139</v>
      </c>
      <c r="M237" s="7" t="s">
        <v>121</v>
      </c>
      <c r="N237" s="7" t="s">
        <v>34</v>
      </c>
      <c r="O237" s="7" t="s">
        <v>143</v>
      </c>
      <c r="P237" s="7" t="s">
        <v>185</v>
      </c>
      <c r="Q237" s="7" t="s">
        <v>2258</v>
      </c>
      <c r="R237" s="7" t="s">
        <v>2259</v>
      </c>
      <c r="S237" s="7" t="s">
        <v>188</v>
      </c>
      <c r="T237" s="7">
        <v>1.0</v>
      </c>
      <c r="U237" s="7" t="s">
        <v>41</v>
      </c>
      <c r="V237" s="7"/>
      <c r="W237" s="7" t="s">
        <v>152</v>
      </c>
      <c r="X237" s="7" t="s">
        <v>41</v>
      </c>
      <c r="Y237" s="7"/>
      <c r="Z237" s="7" t="s">
        <v>139</v>
      </c>
      <c r="AA237" s="7"/>
      <c r="AB237" s="7" t="s">
        <v>138</v>
      </c>
      <c r="AC237" s="7" t="s">
        <v>59</v>
      </c>
      <c r="AD237" s="7" t="s">
        <v>2260</v>
      </c>
    </row>
    <row r="238" ht="15.75" customHeight="1">
      <c r="A238" s="7" t="s">
        <v>2254</v>
      </c>
      <c r="B238" s="7" t="s">
        <v>2255</v>
      </c>
      <c r="C238" s="7" t="s">
        <v>2194</v>
      </c>
      <c r="D238" s="7" t="s">
        <v>2256</v>
      </c>
      <c r="E238" s="7">
        <v>2.0</v>
      </c>
      <c r="F238" s="7" t="s">
        <v>2261</v>
      </c>
      <c r="G238" s="7" t="s">
        <v>137</v>
      </c>
      <c r="H238" s="7" t="s">
        <v>48</v>
      </c>
      <c r="I238" s="7"/>
      <c r="J238" s="7"/>
      <c r="K238" s="7" t="s">
        <v>139</v>
      </c>
      <c r="L238" s="7" t="s">
        <v>139</v>
      </c>
      <c r="M238" s="7" t="s">
        <v>121</v>
      </c>
      <c r="N238" s="7" t="s">
        <v>34</v>
      </c>
      <c r="O238" s="7" t="s">
        <v>143</v>
      </c>
      <c r="P238" s="7" t="s">
        <v>185</v>
      </c>
      <c r="Q238" s="7" t="s">
        <v>2262</v>
      </c>
      <c r="R238" s="7" t="s">
        <v>2259</v>
      </c>
      <c r="S238" s="7" t="s">
        <v>188</v>
      </c>
      <c r="T238" s="7">
        <v>1.0</v>
      </c>
      <c r="U238" s="7" t="s">
        <v>41</v>
      </c>
      <c r="V238" s="7"/>
      <c r="W238" s="7" t="s">
        <v>152</v>
      </c>
      <c r="X238" s="7" t="s">
        <v>41</v>
      </c>
      <c r="Y238" s="7"/>
      <c r="Z238" s="7" t="s">
        <v>139</v>
      </c>
      <c r="AA238" s="7"/>
      <c r="AB238" s="7" t="s">
        <v>138</v>
      </c>
      <c r="AC238" s="7" t="s">
        <v>59</v>
      </c>
      <c r="AD238" s="7" t="s">
        <v>2260</v>
      </c>
    </row>
    <row r="239" ht="15.75" customHeight="1">
      <c r="A239" s="7" t="s">
        <v>2254</v>
      </c>
      <c r="B239" s="7" t="s">
        <v>2255</v>
      </c>
      <c r="C239" s="7" t="s">
        <v>2194</v>
      </c>
      <c r="D239" s="7" t="s">
        <v>2256</v>
      </c>
      <c r="E239" s="7">
        <v>3.0</v>
      </c>
      <c r="F239" s="7" t="s">
        <v>2263</v>
      </c>
      <c r="G239" s="7" t="s">
        <v>137</v>
      </c>
      <c r="H239" s="7" t="s">
        <v>48</v>
      </c>
      <c r="I239" s="7"/>
      <c r="J239" s="7"/>
      <c r="K239" s="7" t="s">
        <v>139</v>
      </c>
      <c r="L239" s="7" t="s">
        <v>139</v>
      </c>
      <c r="M239" s="7" t="s">
        <v>121</v>
      </c>
      <c r="N239" s="7" t="s">
        <v>34</v>
      </c>
      <c r="O239" s="7" t="s">
        <v>143</v>
      </c>
      <c r="P239" s="7" t="s">
        <v>185</v>
      </c>
      <c r="Q239" s="7" t="s">
        <v>2264</v>
      </c>
      <c r="R239" s="7" t="s">
        <v>2259</v>
      </c>
      <c r="S239" s="7" t="s">
        <v>148</v>
      </c>
      <c r="T239" s="7">
        <v>1.0</v>
      </c>
      <c r="U239" s="7" t="s">
        <v>41</v>
      </c>
      <c r="V239" s="7"/>
      <c r="W239" s="7" t="s">
        <v>152</v>
      </c>
      <c r="X239" s="7" t="s">
        <v>41</v>
      </c>
      <c r="Y239" s="7"/>
      <c r="Z239" s="7" t="s">
        <v>139</v>
      </c>
      <c r="AA239" s="7"/>
      <c r="AB239" s="7" t="s">
        <v>138</v>
      </c>
      <c r="AC239" s="7" t="s">
        <v>59</v>
      </c>
      <c r="AD239" s="7" t="s">
        <v>2260</v>
      </c>
    </row>
    <row r="240" ht="15.75" customHeight="1">
      <c r="A240" s="7" t="s">
        <v>2254</v>
      </c>
      <c r="B240" s="7" t="s">
        <v>2255</v>
      </c>
      <c r="C240" s="7" t="s">
        <v>2194</v>
      </c>
      <c r="D240" s="7" t="s">
        <v>2256</v>
      </c>
      <c r="E240" s="7">
        <v>4.0</v>
      </c>
      <c r="F240" s="7" t="s">
        <v>2265</v>
      </c>
      <c r="G240" s="7" t="s">
        <v>137</v>
      </c>
      <c r="H240" s="7" t="s">
        <v>48</v>
      </c>
      <c r="I240" s="7"/>
      <c r="J240" s="7"/>
      <c r="K240" s="7" t="s">
        <v>139</v>
      </c>
      <c r="L240" s="7" t="s">
        <v>139</v>
      </c>
      <c r="M240" s="7" t="s">
        <v>121</v>
      </c>
      <c r="N240" s="7" t="s">
        <v>34</v>
      </c>
      <c r="O240" s="7" t="s">
        <v>143</v>
      </c>
      <c r="P240" s="7" t="s">
        <v>185</v>
      </c>
      <c r="Q240" s="7" t="s">
        <v>2266</v>
      </c>
      <c r="R240" s="7" t="s">
        <v>2267</v>
      </c>
      <c r="S240" s="7" t="s">
        <v>188</v>
      </c>
      <c r="T240" s="7">
        <v>1.0</v>
      </c>
      <c r="U240" s="7" t="s">
        <v>41</v>
      </c>
      <c r="V240" s="7"/>
      <c r="W240" s="7" t="s">
        <v>152</v>
      </c>
      <c r="X240" s="7" t="s">
        <v>41</v>
      </c>
      <c r="Y240" s="7"/>
      <c r="Z240" s="7" t="s">
        <v>139</v>
      </c>
      <c r="AA240" s="7"/>
      <c r="AB240" s="7" t="s">
        <v>138</v>
      </c>
      <c r="AC240" s="7" t="s">
        <v>59</v>
      </c>
      <c r="AD240" s="7" t="s">
        <v>2260</v>
      </c>
    </row>
    <row r="241" ht="15.75" customHeight="1">
      <c r="A241" s="7" t="s">
        <v>2268</v>
      </c>
      <c r="B241" s="7" t="s">
        <v>2269</v>
      </c>
      <c r="C241" s="7" t="s">
        <v>2194</v>
      </c>
      <c r="D241" s="7" t="s">
        <v>2270</v>
      </c>
      <c r="E241" s="7">
        <v>1.0</v>
      </c>
      <c r="F241" s="7" t="s">
        <v>2271</v>
      </c>
      <c r="G241" s="7" t="s">
        <v>137</v>
      </c>
      <c r="H241" s="7" t="s">
        <v>48</v>
      </c>
      <c r="I241" s="7"/>
      <c r="J241" s="7"/>
      <c r="K241" s="7" t="s">
        <v>121</v>
      </c>
      <c r="L241" s="7" t="s">
        <v>121</v>
      </c>
      <c r="M241" s="7" t="s">
        <v>121</v>
      </c>
      <c r="N241" s="7" t="s">
        <v>34</v>
      </c>
      <c r="O241" s="7" t="s">
        <v>143</v>
      </c>
      <c r="P241" s="7" t="s">
        <v>162</v>
      </c>
      <c r="Q241" s="7" t="s">
        <v>2272</v>
      </c>
      <c r="R241" s="7" t="s">
        <v>2273</v>
      </c>
      <c r="S241" s="7" t="s">
        <v>188</v>
      </c>
      <c r="T241" s="7">
        <v>1.0</v>
      </c>
      <c r="U241" s="7" t="s">
        <v>41</v>
      </c>
      <c r="V241" s="7"/>
      <c r="W241" s="7" t="s">
        <v>152</v>
      </c>
      <c r="X241" s="7" t="s">
        <v>41</v>
      </c>
      <c r="Y241" s="7"/>
      <c r="Z241" s="7" t="s">
        <v>121</v>
      </c>
      <c r="AA241" s="7"/>
      <c r="AB241" s="7" t="s">
        <v>138</v>
      </c>
      <c r="AC241" s="7" t="s">
        <v>59</v>
      </c>
      <c r="AD241" s="7"/>
    </row>
    <row r="242" ht="15.75" customHeight="1">
      <c r="A242" s="7" t="s">
        <v>2268</v>
      </c>
      <c r="B242" s="7" t="s">
        <v>2269</v>
      </c>
      <c r="C242" s="7" t="s">
        <v>2194</v>
      </c>
      <c r="D242" s="7" t="s">
        <v>2270</v>
      </c>
      <c r="E242" s="7">
        <v>2.0</v>
      </c>
      <c r="F242" s="7" t="s">
        <v>2274</v>
      </c>
      <c r="G242" s="7" t="s">
        <v>137</v>
      </c>
      <c r="H242" s="7" t="s">
        <v>100</v>
      </c>
      <c r="I242" s="7"/>
      <c r="J242" s="7"/>
      <c r="K242" s="7" t="s">
        <v>121</v>
      </c>
      <c r="L242" s="7" t="s">
        <v>121</v>
      </c>
      <c r="M242" s="7" t="s">
        <v>121</v>
      </c>
      <c r="N242" s="7" t="s">
        <v>34</v>
      </c>
      <c r="O242" s="7" t="s">
        <v>143</v>
      </c>
      <c r="P242" s="7" t="s">
        <v>162</v>
      </c>
      <c r="Q242" s="7" t="s">
        <v>2275</v>
      </c>
      <c r="R242" s="7" t="s">
        <v>2276</v>
      </c>
      <c r="S242" s="7" t="s">
        <v>148</v>
      </c>
      <c r="T242" s="7">
        <v>1.0</v>
      </c>
      <c r="U242" s="7" t="s">
        <v>41</v>
      </c>
      <c r="V242" s="7"/>
      <c r="W242" s="7" t="s">
        <v>152</v>
      </c>
      <c r="X242" s="7" t="s">
        <v>41</v>
      </c>
      <c r="Y242" s="7"/>
      <c r="Z242" s="7" t="s">
        <v>121</v>
      </c>
      <c r="AA242" s="7"/>
      <c r="AB242" s="7" t="s">
        <v>138</v>
      </c>
      <c r="AC242" s="7" t="s">
        <v>106</v>
      </c>
      <c r="AD242" s="7"/>
    </row>
    <row r="243" ht="15.75" customHeight="1">
      <c r="A243" s="7" t="s">
        <v>2268</v>
      </c>
      <c r="B243" s="7" t="s">
        <v>2269</v>
      </c>
      <c r="C243" s="7" t="s">
        <v>2194</v>
      </c>
      <c r="D243" s="7" t="s">
        <v>2270</v>
      </c>
      <c r="E243" s="7">
        <v>3.0</v>
      </c>
      <c r="F243" s="7" t="s">
        <v>2279</v>
      </c>
      <c r="G243" s="7" t="s">
        <v>137</v>
      </c>
      <c r="H243" s="7" t="s">
        <v>100</v>
      </c>
      <c r="I243" s="7"/>
      <c r="J243" s="7"/>
      <c r="K243" s="7" t="s">
        <v>121</v>
      </c>
      <c r="L243" s="7" t="s">
        <v>121</v>
      </c>
      <c r="M243" s="7" t="s">
        <v>121</v>
      </c>
      <c r="N243" s="7" t="s">
        <v>34</v>
      </c>
      <c r="O243" s="7" t="s">
        <v>143</v>
      </c>
      <c r="P243" s="7" t="s">
        <v>162</v>
      </c>
      <c r="Q243" s="7" t="s">
        <v>2280</v>
      </c>
      <c r="R243" s="7" t="s">
        <v>2281</v>
      </c>
      <c r="S243" s="7" t="s">
        <v>188</v>
      </c>
      <c r="T243" s="7">
        <v>1.0</v>
      </c>
      <c r="U243" s="7" t="s">
        <v>41</v>
      </c>
      <c r="V243" s="7"/>
      <c r="W243" s="7" t="s">
        <v>152</v>
      </c>
      <c r="X243" s="7" t="s">
        <v>41</v>
      </c>
      <c r="Y243" s="7"/>
      <c r="Z243" s="7" t="s">
        <v>121</v>
      </c>
      <c r="AA243" s="7"/>
      <c r="AB243" s="7" t="s">
        <v>138</v>
      </c>
      <c r="AC243" s="7" t="s">
        <v>106</v>
      </c>
      <c r="AD243" s="7"/>
    </row>
    <row r="244" ht="15.75" customHeight="1">
      <c r="A244" s="7" t="s">
        <v>2268</v>
      </c>
      <c r="B244" s="7" t="s">
        <v>2269</v>
      </c>
      <c r="C244" s="7" t="s">
        <v>2194</v>
      </c>
      <c r="D244" s="7" t="s">
        <v>2270</v>
      </c>
      <c r="E244" s="7">
        <v>4.0</v>
      </c>
      <c r="F244" s="7" t="s">
        <v>2285</v>
      </c>
      <c r="G244" s="7" t="s">
        <v>137</v>
      </c>
      <c r="H244" s="7" t="s">
        <v>110</v>
      </c>
      <c r="I244" s="7"/>
      <c r="J244" s="7"/>
      <c r="K244" s="7" t="s">
        <v>121</v>
      </c>
      <c r="L244" s="7" t="s">
        <v>121</v>
      </c>
      <c r="M244" s="7" t="s">
        <v>121</v>
      </c>
      <c r="N244" s="7" t="s">
        <v>142</v>
      </c>
      <c r="O244" s="7" t="s">
        <v>143</v>
      </c>
      <c r="P244" s="7" t="s">
        <v>167</v>
      </c>
      <c r="Q244" s="7" t="s">
        <v>2287</v>
      </c>
      <c r="R244" s="7" t="s">
        <v>2288</v>
      </c>
      <c r="S244" s="7" t="s">
        <v>148</v>
      </c>
      <c r="T244" s="7">
        <v>1.0</v>
      </c>
      <c r="U244" s="7" t="s">
        <v>41</v>
      </c>
      <c r="V244" s="7"/>
      <c r="W244" s="7" t="s">
        <v>152</v>
      </c>
      <c r="X244" s="7" t="s">
        <v>41</v>
      </c>
      <c r="Y244" s="7"/>
      <c r="Z244" s="7" t="s">
        <v>121</v>
      </c>
      <c r="AA244" s="7"/>
      <c r="AB244" s="7" t="s">
        <v>138</v>
      </c>
      <c r="AC244" s="7" t="s">
        <v>119</v>
      </c>
      <c r="AD244" s="7"/>
    </row>
    <row r="245" ht="15.75" customHeight="1">
      <c r="A245" s="7" t="s">
        <v>2268</v>
      </c>
      <c r="B245" s="7" t="s">
        <v>2269</v>
      </c>
      <c r="C245" s="7" t="s">
        <v>2194</v>
      </c>
      <c r="D245" s="7" t="s">
        <v>2270</v>
      </c>
      <c r="E245" s="7">
        <v>5.0</v>
      </c>
      <c r="F245" s="7" t="s">
        <v>2292</v>
      </c>
      <c r="G245" s="7" t="s">
        <v>137</v>
      </c>
      <c r="H245" s="7" t="s">
        <v>100</v>
      </c>
      <c r="I245" s="7"/>
      <c r="J245" s="7"/>
      <c r="K245" s="7" t="s">
        <v>121</v>
      </c>
      <c r="L245" s="7" t="s">
        <v>121</v>
      </c>
      <c r="M245" s="7" t="s">
        <v>121</v>
      </c>
      <c r="N245" s="7" t="s">
        <v>142</v>
      </c>
      <c r="O245" s="7" t="s">
        <v>143</v>
      </c>
      <c r="P245" s="7" t="s">
        <v>167</v>
      </c>
      <c r="Q245" s="7" t="s">
        <v>2298</v>
      </c>
      <c r="R245" s="7" t="s">
        <v>2288</v>
      </c>
      <c r="S245" s="7" t="s">
        <v>148</v>
      </c>
      <c r="T245" s="7">
        <v>1.0</v>
      </c>
      <c r="U245" s="7" t="s">
        <v>41</v>
      </c>
      <c r="V245" s="7"/>
      <c r="W245" s="7" t="s">
        <v>152</v>
      </c>
      <c r="X245" s="7" t="s">
        <v>41</v>
      </c>
      <c r="Y245" s="7"/>
      <c r="Z245" s="7" t="s">
        <v>121</v>
      </c>
      <c r="AA245" s="7"/>
      <c r="AB245" s="7" t="s">
        <v>138</v>
      </c>
      <c r="AC245" s="7" t="s">
        <v>106</v>
      </c>
      <c r="AD245" s="7"/>
    </row>
    <row r="246" ht="15.75" customHeight="1">
      <c r="A246" s="7" t="s">
        <v>2268</v>
      </c>
      <c r="B246" s="7" t="s">
        <v>2269</v>
      </c>
      <c r="C246" s="7" t="s">
        <v>2194</v>
      </c>
      <c r="D246" s="7" t="s">
        <v>2270</v>
      </c>
      <c r="E246" s="7">
        <v>6.0</v>
      </c>
      <c r="F246" s="7" t="s">
        <v>2302</v>
      </c>
      <c r="G246" s="7" t="s">
        <v>137</v>
      </c>
      <c r="H246" s="7" t="s">
        <v>110</v>
      </c>
      <c r="I246" s="7"/>
      <c r="J246" s="7"/>
      <c r="K246" s="7" t="s">
        <v>121</v>
      </c>
      <c r="L246" s="7" t="s">
        <v>121</v>
      </c>
      <c r="M246" s="7" t="s">
        <v>121</v>
      </c>
      <c r="N246" s="7" t="s">
        <v>142</v>
      </c>
      <c r="O246" s="7" t="s">
        <v>143</v>
      </c>
      <c r="P246" s="7" t="s">
        <v>167</v>
      </c>
      <c r="Q246" s="7" t="s">
        <v>2305</v>
      </c>
      <c r="R246" s="7" t="s">
        <v>2288</v>
      </c>
      <c r="S246" s="7" t="s">
        <v>188</v>
      </c>
      <c r="T246" s="7">
        <v>1.0</v>
      </c>
      <c r="U246" s="7" t="s">
        <v>41</v>
      </c>
      <c r="V246" s="7"/>
      <c r="W246" s="7" t="s">
        <v>152</v>
      </c>
      <c r="X246" s="7" t="s">
        <v>41</v>
      </c>
      <c r="Y246" s="7"/>
      <c r="Z246" s="7" t="s">
        <v>121</v>
      </c>
      <c r="AA246" s="7"/>
      <c r="AB246" s="7" t="s">
        <v>138</v>
      </c>
      <c r="AC246" s="7" t="s">
        <v>119</v>
      </c>
      <c r="AD246" s="7"/>
    </row>
    <row r="247" ht="15.75" customHeight="1">
      <c r="A247" s="7" t="s">
        <v>2268</v>
      </c>
      <c r="B247" s="7" t="s">
        <v>2269</v>
      </c>
      <c r="C247" s="7" t="s">
        <v>2194</v>
      </c>
      <c r="D247" s="7" t="s">
        <v>2270</v>
      </c>
      <c r="E247" s="7">
        <v>7.0</v>
      </c>
      <c r="F247" s="7" t="s">
        <v>2310</v>
      </c>
      <c r="G247" s="7" t="s">
        <v>137</v>
      </c>
      <c r="H247" s="7" t="s">
        <v>100</v>
      </c>
      <c r="I247" s="7"/>
      <c r="J247" s="7"/>
      <c r="K247" s="7" t="s">
        <v>121</v>
      </c>
      <c r="L247" s="7" t="s">
        <v>121</v>
      </c>
      <c r="M247" s="7" t="s">
        <v>121</v>
      </c>
      <c r="N247" s="7" t="s">
        <v>34</v>
      </c>
      <c r="O247" s="7" t="s">
        <v>623</v>
      </c>
      <c r="P247" s="7" t="s">
        <v>185</v>
      </c>
      <c r="Q247" s="7" t="s">
        <v>2313</v>
      </c>
      <c r="R247" s="7" t="s">
        <v>2314</v>
      </c>
      <c r="S247" s="7" t="s">
        <v>188</v>
      </c>
      <c r="T247" s="7">
        <v>1.0</v>
      </c>
      <c r="U247" s="7" t="s">
        <v>41</v>
      </c>
      <c r="V247" s="7"/>
      <c r="W247" s="7" t="s">
        <v>152</v>
      </c>
      <c r="X247" s="7" t="s">
        <v>41</v>
      </c>
      <c r="Y247" s="7"/>
      <c r="Z247" s="7" t="s">
        <v>121</v>
      </c>
      <c r="AA247" s="7"/>
      <c r="AB247" s="7" t="s">
        <v>138</v>
      </c>
      <c r="AC247" s="7" t="s">
        <v>106</v>
      </c>
      <c r="AD247" s="7"/>
    </row>
    <row r="248" ht="15.75" customHeight="1">
      <c r="A248" s="7" t="s">
        <v>2316</v>
      </c>
      <c r="B248" s="7" t="s">
        <v>2318</v>
      </c>
      <c r="C248" s="7" t="s">
        <v>2194</v>
      </c>
      <c r="D248" s="7" t="s">
        <v>2319</v>
      </c>
      <c r="E248" s="7">
        <v>1.0</v>
      </c>
      <c r="F248" s="7" t="s">
        <v>163</v>
      </c>
      <c r="G248" s="7"/>
      <c r="H248" s="7"/>
      <c r="I248" s="7"/>
      <c r="J248" s="7"/>
      <c r="K248" s="7" t="s">
        <v>121</v>
      </c>
      <c r="L248" s="7" t="s">
        <v>121</v>
      </c>
      <c r="M248" s="7" t="s">
        <v>121</v>
      </c>
      <c r="N248" s="7"/>
      <c r="O248" s="7" t="s">
        <v>167</v>
      </c>
      <c r="P248" s="7" t="s">
        <v>167</v>
      </c>
      <c r="Q248" s="7" t="s">
        <v>167</v>
      </c>
      <c r="R248" s="7" t="s">
        <v>167</v>
      </c>
      <c r="S248" s="7"/>
      <c r="T248" s="7">
        <v>1.0</v>
      </c>
      <c r="U248" s="7" t="s">
        <v>170</v>
      </c>
      <c r="V248" s="7"/>
      <c r="W248" s="7" t="s">
        <v>152</v>
      </c>
      <c r="X248" s="7" t="s">
        <v>170</v>
      </c>
      <c r="Y248" s="7" t="s">
        <v>172</v>
      </c>
      <c r="Z248" s="7"/>
      <c r="AA248" s="7"/>
      <c r="AB248" s="7"/>
      <c r="AC248" s="7"/>
      <c r="AD248" s="7"/>
    </row>
    <row r="249" ht="15.75" customHeight="1">
      <c r="A249" s="7" t="s">
        <v>2323</v>
      </c>
      <c r="B249" s="7" t="s">
        <v>2325</v>
      </c>
      <c r="C249" s="7" t="s">
        <v>2194</v>
      </c>
      <c r="D249" s="7" t="s">
        <v>2326</v>
      </c>
      <c r="E249" s="7">
        <v>1.0</v>
      </c>
      <c r="F249" s="7" t="s">
        <v>2328</v>
      </c>
      <c r="G249" s="7" t="s">
        <v>137</v>
      </c>
      <c r="H249" s="7" t="s">
        <v>48</v>
      </c>
      <c r="I249" s="7"/>
      <c r="J249" s="7"/>
      <c r="K249" s="7" t="s">
        <v>139</v>
      </c>
      <c r="L249" s="7" t="s">
        <v>139</v>
      </c>
      <c r="M249" s="7" t="s">
        <v>121</v>
      </c>
      <c r="N249" s="7" t="s">
        <v>34</v>
      </c>
      <c r="O249" s="7" t="s">
        <v>143</v>
      </c>
      <c r="P249" s="7" t="s">
        <v>145</v>
      </c>
      <c r="Q249" s="7" t="s">
        <v>2331</v>
      </c>
      <c r="R249" s="7" t="s">
        <v>2333</v>
      </c>
      <c r="S249" s="7" t="s">
        <v>148</v>
      </c>
      <c r="T249" s="7">
        <v>1.0</v>
      </c>
      <c r="U249" s="7" t="s">
        <v>41</v>
      </c>
      <c r="V249" s="7"/>
      <c r="W249" s="7" t="s">
        <v>152</v>
      </c>
      <c r="X249" s="7" t="s">
        <v>41</v>
      </c>
      <c r="Y249" s="7"/>
      <c r="Z249" s="7" t="s">
        <v>139</v>
      </c>
      <c r="AA249" s="7"/>
      <c r="AB249" s="7" t="s">
        <v>138</v>
      </c>
      <c r="AC249" s="7" t="s">
        <v>59</v>
      </c>
      <c r="AD249" s="7"/>
    </row>
    <row r="250" ht="15.75" customHeight="1">
      <c r="A250" s="7" t="s">
        <v>2336</v>
      </c>
      <c r="B250" s="7" t="s">
        <v>2337</v>
      </c>
      <c r="C250" s="7" t="s">
        <v>2338</v>
      </c>
      <c r="D250" s="7" t="s">
        <v>2339</v>
      </c>
      <c r="E250" s="7">
        <v>1.0</v>
      </c>
      <c r="F250" s="7" t="s">
        <v>2340</v>
      </c>
      <c r="G250" s="7" t="s">
        <v>137</v>
      </c>
      <c r="H250" s="7" t="s">
        <v>48</v>
      </c>
      <c r="I250" s="7"/>
      <c r="J250" s="7"/>
      <c r="K250" s="7" t="s">
        <v>105</v>
      </c>
      <c r="L250" s="7" t="s">
        <v>101</v>
      </c>
      <c r="M250" s="7" t="s">
        <v>182</v>
      </c>
      <c r="N250" s="7" t="s">
        <v>34</v>
      </c>
      <c r="O250" s="7" t="s">
        <v>143</v>
      </c>
      <c r="P250" s="7" t="s">
        <v>185</v>
      </c>
      <c r="Q250" s="7" t="s">
        <v>2341</v>
      </c>
      <c r="R250" s="7" t="s">
        <v>2342</v>
      </c>
      <c r="S250" s="7" t="s">
        <v>148</v>
      </c>
      <c r="T250" s="7">
        <v>1.0</v>
      </c>
      <c r="U250" s="7" t="s">
        <v>41</v>
      </c>
      <c r="V250" s="7"/>
      <c r="W250" s="7" t="s">
        <v>152</v>
      </c>
      <c r="X250" s="7" t="s">
        <v>41</v>
      </c>
      <c r="Y250" s="7"/>
      <c r="Z250" s="7"/>
      <c r="AA250" s="7"/>
      <c r="AB250" s="7" t="s">
        <v>105</v>
      </c>
      <c r="AC250" s="7" t="s">
        <v>59</v>
      </c>
      <c r="AD250" s="7"/>
    </row>
    <row r="251" ht="15.75" customHeight="1">
      <c r="A251" s="7" t="s">
        <v>2343</v>
      </c>
      <c r="B251" s="7" t="s">
        <v>2344</v>
      </c>
      <c r="C251" s="7" t="s">
        <v>2338</v>
      </c>
      <c r="D251" s="7" t="s">
        <v>2345</v>
      </c>
      <c r="E251" s="7">
        <v>1.0</v>
      </c>
      <c r="F251" s="7" t="s">
        <v>163</v>
      </c>
      <c r="G251" s="7"/>
      <c r="H251" s="7"/>
      <c r="I251" s="7"/>
      <c r="J251" s="7"/>
      <c r="K251" s="7" t="s">
        <v>121</v>
      </c>
      <c r="L251" s="7" t="s">
        <v>121</v>
      </c>
      <c r="M251" s="7" t="s">
        <v>121</v>
      </c>
      <c r="N251" s="7"/>
      <c r="O251" s="7" t="s">
        <v>167</v>
      </c>
      <c r="P251" s="7" t="s">
        <v>167</v>
      </c>
      <c r="Q251" s="7"/>
      <c r="R251" s="7"/>
      <c r="S251" s="7"/>
      <c r="T251" s="7">
        <v>1.0</v>
      </c>
      <c r="U251" s="7" t="s">
        <v>170</v>
      </c>
      <c r="V251" s="7"/>
      <c r="W251" s="7" t="s">
        <v>152</v>
      </c>
      <c r="X251" s="7" t="s">
        <v>170</v>
      </c>
      <c r="Y251" s="7" t="s">
        <v>172</v>
      </c>
      <c r="Z251" s="7"/>
      <c r="AA251" s="7"/>
      <c r="AB251" s="7"/>
      <c r="AC251" s="7"/>
      <c r="AD251" s="7"/>
    </row>
    <row r="252" ht="15.75" customHeight="1">
      <c r="A252" s="7" t="s">
        <v>2346</v>
      </c>
      <c r="B252" s="7" t="s">
        <v>2347</v>
      </c>
      <c r="C252" s="7" t="s">
        <v>2338</v>
      </c>
      <c r="D252" s="7" t="s">
        <v>2348</v>
      </c>
      <c r="E252" s="7">
        <v>1.0</v>
      </c>
      <c r="F252" s="7" t="s">
        <v>2349</v>
      </c>
      <c r="G252" s="7" t="s">
        <v>137</v>
      </c>
      <c r="H252" s="7" t="s">
        <v>48</v>
      </c>
      <c r="I252" s="7"/>
      <c r="J252" s="7"/>
      <c r="K252" s="7" t="s">
        <v>703</v>
      </c>
      <c r="L252" s="7" t="s">
        <v>696</v>
      </c>
      <c r="M252" s="7" t="s">
        <v>182</v>
      </c>
      <c r="N252" s="7" t="s">
        <v>34</v>
      </c>
      <c r="O252" s="7" t="s">
        <v>143</v>
      </c>
      <c r="P252" s="7" t="s">
        <v>145</v>
      </c>
      <c r="Q252" s="7" t="s">
        <v>2350</v>
      </c>
      <c r="R252" s="7" t="s">
        <v>2351</v>
      </c>
      <c r="S252" s="7" t="s">
        <v>148</v>
      </c>
      <c r="T252" s="7">
        <v>1.0</v>
      </c>
      <c r="U252" s="7" t="s">
        <v>41</v>
      </c>
      <c r="V252" s="7"/>
      <c r="W252" s="7" t="s">
        <v>152</v>
      </c>
      <c r="X252" s="7" t="s">
        <v>41</v>
      </c>
      <c r="Y252" s="7"/>
      <c r="Z252" s="7"/>
      <c r="AA252" s="7"/>
      <c r="AB252" s="7" t="s">
        <v>703</v>
      </c>
      <c r="AC252" s="7" t="s">
        <v>59</v>
      </c>
      <c r="AD252" s="7" t="s">
        <v>2352</v>
      </c>
    </row>
    <row r="253" ht="15.75" customHeight="1">
      <c r="A253" s="7" t="s">
        <v>2353</v>
      </c>
      <c r="B253" s="7" t="s">
        <v>2354</v>
      </c>
      <c r="C253" s="7" t="s">
        <v>2338</v>
      </c>
      <c r="D253" s="7" t="s">
        <v>2355</v>
      </c>
      <c r="E253" s="7">
        <v>1.0</v>
      </c>
      <c r="F253" s="7" t="s">
        <v>2356</v>
      </c>
      <c r="G253" s="7" t="s">
        <v>137</v>
      </c>
      <c r="H253" s="7" t="s">
        <v>100</v>
      </c>
      <c r="I253" s="7"/>
      <c r="J253" s="7"/>
      <c r="K253" s="7" t="s">
        <v>105</v>
      </c>
      <c r="L253" s="7" t="s">
        <v>101</v>
      </c>
      <c r="M253" s="7" t="s">
        <v>182</v>
      </c>
      <c r="N253" s="7" t="s">
        <v>34</v>
      </c>
      <c r="O253" s="7" t="s">
        <v>143</v>
      </c>
      <c r="P253" s="7" t="s">
        <v>1070</v>
      </c>
      <c r="Q253" s="7" t="s">
        <v>2357</v>
      </c>
      <c r="R253" s="7" t="s">
        <v>2358</v>
      </c>
      <c r="S253" s="7" t="s">
        <v>188</v>
      </c>
      <c r="T253" s="7">
        <v>1.0</v>
      </c>
      <c r="U253" s="7" t="s">
        <v>41</v>
      </c>
      <c r="V253" s="7"/>
      <c r="W253" s="7" t="s">
        <v>152</v>
      </c>
      <c r="X253" s="7" t="s">
        <v>41</v>
      </c>
      <c r="Y253" s="7"/>
      <c r="Z253" s="7"/>
      <c r="AA253" s="7"/>
      <c r="AB253" s="7" t="s">
        <v>105</v>
      </c>
      <c r="AC253" s="7" t="s">
        <v>106</v>
      </c>
      <c r="AD253" s="7"/>
    </row>
    <row r="254" ht="15.75" customHeight="1">
      <c r="A254" s="7" t="s">
        <v>2359</v>
      </c>
      <c r="B254" s="7" t="s">
        <v>2360</v>
      </c>
      <c r="C254" s="7" t="s">
        <v>2361</v>
      </c>
      <c r="D254" s="7" t="s">
        <v>2362</v>
      </c>
      <c r="E254" s="7">
        <v>1.0</v>
      </c>
      <c r="F254" s="7" t="s">
        <v>2363</v>
      </c>
      <c r="G254" s="7" t="s">
        <v>1035</v>
      </c>
      <c r="H254" s="7" t="s">
        <v>238</v>
      </c>
      <c r="I254" s="7" t="s">
        <v>1940</v>
      </c>
      <c r="J254" s="7" t="s">
        <v>390</v>
      </c>
      <c r="K254" s="7" t="s">
        <v>121</v>
      </c>
      <c r="L254" s="7" t="s">
        <v>121</v>
      </c>
      <c r="M254" s="7" t="s">
        <v>121</v>
      </c>
      <c r="N254" s="7" t="s">
        <v>79</v>
      </c>
      <c r="O254" s="7" t="s">
        <v>143</v>
      </c>
      <c r="P254" s="7" t="s">
        <v>54</v>
      </c>
      <c r="Q254" s="7" t="s">
        <v>2364</v>
      </c>
      <c r="R254" s="7" t="s">
        <v>2365</v>
      </c>
      <c r="S254" s="7" t="s">
        <v>148</v>
      </c>
      <c r="T254" s="7">
        <v>1.0</v>
      </c>
      <c r="U254" s="7" t="s">
        <v>41</v>
      </c>
      <c r="V254" s="7"/>
      <c r="W254" s="7" t="s">
        <v>152</v>
      </c>
      <c r="X254" s="7" t="s">
        <v>41</v>
      </c>
      <c r="Y254" s="7"/>
      <c r="Z254" s="7" t="s">
        <v>121</v>
      </c>
      <c r="AA254" s="7"/>
      <c r="AB254" s="7" t="s">
        <v>138</v>
      </c>
      <c r="AC254" s="7" t="s">
        <v>538</v>
      </c>
      <c r="AD254" s="7" t="s">
        <v>2366</v>
      </c>
    </row>
    <row r="255" ht="15.75" customHeight="1">
      <c r="A255" s="7" t="s">
        <v>2367</v>
      </c>
      <c r="B255" s="7" t="s">
        <v>2368</v>
      </c>
      <c r="C255" s="7" t="s">
        <v>2361</v>
      </c>
      <c r="D255" s="7" t="s">
        <v>2369</v>
      </c>
      <c r="E255" s="7">
        <v>1.0</v>
      </c>
      <c r="F255" s="7" t="s">
        <v>2370</v>
      </c>
      <c r="G255" s="7" t="s">
        <v>1453</v>
      </c>
      <c r="H255" s="7" t="s">
        <v>285</v>
      </c>
      <c r="I255" s="7"/>
      <c r="J255" s="7"/>
      <c r="K255" s="7" t="s">
        <v>121</v>
      </c>
      <c r="L255" s="7" t="s">
        <v>121</v>
      </c>
      <c r="M255" s="7" t="s">
        <v>121</v>
      </c>
      <c r="N255" s="7" t="s">
        <v>142</v>
      </c>
      <c r="O255" s="7" t="s">
        <v>143</v>
      </c>
      <c r="P255" s="7" t="s">
        <v>1070</v>
      </c>
      <c r="Q255" s="7" t="s">
        <v>2371</v>
      </c>
      <c r="R255" s="7" t="s">
        <v>2372</v>
      </c>
      <c r="S255" s="7" t="s">
        <v>188</v>
      </c>
      <c r="T255" s="7">
        <v>1.0</v>
      </c>
      <c r="U255" s="7" t="s">
        <v>41</v>
      </c>
      <c r="V255" s="7"/>
      <c r="W255" s="7" t="s">
        <v>152</v>
      </c>
      <c r="X255" s="7" t="s">
        <v>41</v>
      </c>
      <c r="Y255" s="7"/>
      <c r="Z255" s="7" t="s">
        <v>121</v>
      </c>
      <c r="AA255" s="7"/>
      <c r="AB255" s="7" t="s">
        <v>138</v>
      </c>
      <c r="AC255" s="7" t="s">
        <v>742</v>
      </c>
      <c r="AD255" s="7"/>
    </row>
    <row r="256" ht="15.75" customHeight="1">
      <c r="A256" s="7" t="s">
        <v>2373</v>
      </c>
      <c r="B256" s="7" t="s">
        <v>2374</v>
      </c>
      <c r="C256" s="7" t="s">
        <v>2361</v>
      </c>
      <c r="D256" s="7" t="s">
        <v>2375</v>
      </c>
      <c r="E256" s="7">
        <v>1.0</v>
      </c>
      <c r="F256" s="7" t="s">
        <v>2376</v>
      </c>
      <c r="G256" s="7" t="s">
        <v>1940</v>
      </c>
      <c r="H256" s="7" t="s">
        <v>390</v>
      </c>
      <c r="I256" s="7"/>
      <c r="J256" s="7"/>
      <c r="K256" s="7" t="s">
        <v>139</v>
      </c>
      <c r="L256" s="7" t="s">
        <v>139</v>
      </c>
      <c r="M256" s="7" t="s">
        <v>121</v>
      </c>
      <c r="N256" s="7" t="s">
        <v>34</v>
      </c>
      <c r="O256" s="7" t="s">
        <v>143</v>
      </c>
      <c r="P256" s="7" t="s">
        <v>310</v>
      </c>
      <c r="Q256" s="7" t="s">
        <v>2377</v>
      </c>
      <c r="R256" s="7" t="s">
        <v>2378</v>
      </c>
      <c r="S256" s="7" t="s">
        <v>292</v>
      </c>
      <c r="T256" s="7">
        <v>1.0</v>
      </c>
      <c r="U256" s="7" t="s">
        <v>41</v>
      </c>
      <c r="V256" s="7"/>
      <c r="W256" s="7" t="s">
        <v>152</v>
      </c>
      <c r="X256" s="7" t="s">
        <v>41</v>
      </c>
      <c r="Y256" s="7"/>
      <c r="Z256" s="7" t="s">
        <v>139</v>
      </c>
      <c r="AA256" s="7"/>
      <c r="AB256" s="7" t="s">
        <v>138</v>
      </c>
      <c r="AC256" s="7" t="s">
        <v>1945</v>
      </c>
      <c r="AD256" s="7"/>
    </row>
    <row r="257" ht="15.75" customHeight="1">
      <c r="A257" s="7" t="s">
        <v>2373</v>
      </c>
      <c r="B257" s="7" t="s">
        <v>2374</v>
      </c>
      <c r="C257" s="7" t="s">
        <v>2361</v>
      </c>
      <c r="D257" s="7" t="s">
        <v>2375</v>
      </c>
      <c r="E257" s="7">
        <v>2.0</v>
      </c>
      <c r="F257" s="7" t="s">
        <v>2379</v>
      </c>
      <c r="G257" s="7" t="s">
        <v>1940</v>
      </c>
      <c r="H257" s="7" t="s">
        <v>390</v>
      </c>
      <c r="I257" s="7"/>
      <c r="J257" s="7"/>
      <c r="K257" s="7" t="s">
        <v>139</v>
      </c>
      <c r="L257" s="7" t="s">
        <v>139</v>
      </c>
      <c r="M257" s="7" t="s">
        <v>121</v>
      </c>
      <c r="N257" s="7" t="s">
        <v>34</v>
      </c>
      <c r="O257" s="7" t="s">
        <v>143</v>
      </c>
      <c r="P257" s="7" t="s">
        <v>310</v>
      </c>
      <c r="Q257" s="7" t="s">
        <v>2380</v>
      </c>
      <c r="R257" s="7" t="s">
        <v>2378</v>
      </c>
      <c r="S257" s="7" t="s">
        <v>188</v>
      </c>
      <c r="T257" s="7">
        <v>1.0</v>
      </c>
      <c r="U257" s="7" t="s">
        <v>41</v>
      </c>
      <c r="V257" s="7"/>
      <c r="W257" s="7" t="s">
        <v>152</v>
      </c>
      <c r="X257" s="7" t="s">
        <v>41</v>
      </c>
      <c r="Y257" s="7"/>
      <c r="Z257" s="7" t="s">
        <v>139</v>
      </c>
      <c r="AA257" s="7"/>
      <c r="AB257" s="7" t="s">
        <v>138</v>
      </c>
      <c r="AC257" s="7" t="s">
        <v>1945</v>
      </c>
      <c r="AD257" s="7"/>
    </row>
    <row r="258" ht="15.75" customHeight="1">
      <c r="A258" s="7" t="s">
        <v>2381</v>
      </c>
      <c r="B258" s="7" t="s">
        <v>2382</v>
      </c>
      <c r="C258" s="7" t="s">
        <v>2361</v>
      </c>
      <c r="D258" s="7" t="s">
        <v>2383</v>
      </c>
      <c r="E258" s="7">
        <v>1.0</v>
      </c>
      <c r="F258" s="7" t="s">
        <v>163</v>
      </c>
      <c r="G258" s="7"/>
      <c r="H258" s="7"/>
      <c r="I258" s="7"/>
      <c r="J258" s="7"/>
      <c r="K258" s="7" t="s">
        <v>121</v>
      </c>
      <c r="L258" s="7" t="s">
        <v>121</v>
      </c>
      <c r="M258" s="7" t="s">
        <v>121</v>
      </c>
      <c r="N258" s="7"/>
      <c r="O258" s="7" t="s">
        <v>167</v>
      </c>
      <c r="P258" s="7" t="s">
        <v>167</v>
      </c>
      <c r="Q258" s="7"/>
      <c r="R258" s="7"/>
      <c r="S258" s="7"/>
      <c r="T258" s="7">
        <v>1.0</v>
      </c>
      <c r="U258" s="7" t="s">
        <v>170</v>
      </c>
      <c r="V258" s="7"/>
      <c r="W258" s="7" t="s">
        <v>152</v>
      </c>
      <c r="X258" s="7" t="s">
        <v>170</v>
      </c>
      <c r="Y258" s="7" t="s">
        <v>172</v>
      </c>
      <c r="Z258" s="7"/>
      <c r="AA258" s="7"/>
      <c r="AB258" s="7"/>
      <c r="AC258" s="7"/>
      <c r="AD258" s="7"/>
    </row>
    <row r="259" ht="15.75" customHeight="1">
      <c r="A259" s="7" t="s">
        <v>2384</v>
      </c>
      <c r="B259" s="7" t="s">
        <v>2385</v>
      </c>
      <c r="C259" s="7" t="s">
        <v>2361</v>
      </c>
      <c r="D259" s="7" t="s">
        <v>2386</v>
      </c>
      <c r="E259" s="7">
        <v>1.0</v>
      </c>
      <c r="F259" s="7" t="s">
        <v>2387</v>
      </c>
      <c r="G259" s="7" t="s">
        <v>2388</v>
      </c>
      <c r="H259" s="7" t="s">
        <v>191</v>
      </c>
      <c r="I259" s="7"/>
      <c r="J259" s="7"/>
      <c r="K259" s="7" t="s">
        <v>215</v>
      </c>
      <c r="L259" s="7" t="s">
        <v>209</v>
      </c>
      <c r="M259" s="7" t="s">
        <v>182</v>
      </c>
      <c r="N259" s="7" t="s">
        <v>34</v>
      </c>
      <c r="O259" s="7" t="s">
        <v>143</v>
      </c>
      <c r="P259" s="7" t="s">
        <v>145</v>
      </c>
      <c r="Q259" s="7" t="s">
        <v>2389</v>
      </c>
      <c r="R259" s="7" t="s">
        <v>2390</v>
      </c>
      <c r="S259" s="7" t="s">
        <v>148</v>
      </c>
      <c r="T259" s="7">
        <v>1.0</v>
      </c>
      <c r="U259" s="7" t="s">
        <v>41</v>
      </c>
      <c r="V259" s="7"/>
      <c r="W259" s="7" t="s">
        <v>152</v>
      </c>
      <c r="X259" s="7" t="s">
        <v>41</v>
      </c>
      <c r="Y259" s="7"/>
      <c r="Z259" s="7"/>
      <c r="AA259" s="7"/>
      <c r="AB259" s="7" t="s">
        <v>215</v>
      </c>
      <c r="AC259" s="7" t="s">
        <v>774</v>
      </c>
      <c r="AD259" s="7"/>
    </row>
    <row r="260" ht="15.75" customHeight="1">
      <c r="A260" s="7" t="s">
        <v>2384</v>
      </c>
      <c r="B260" s="7" t="s">
        <v>2385</v>
      </c>
      <c r="C260" s="7" t="s">
        <v>2361</v>
      </c>
      <c r="D260" s="7" t="s">
        <v>2386</v>
      </c>
      <c r="E260" s="7">
        <v>2.0</v>
      </c>
      <c r="F260" s="7" t="s">
        <v>2391</v>
      </c>
      <c r="G260" s="7" t="s">
        <v>2388</v>
      </c>
      <c r="H260" s="7" t="s">
        <v>191</v>
      </c>
      <c r="I260" s="7" t="s">
        <v>952</v>
      </c>
      <c r="J260" s="7" t="s">
        <v>262</v>
      </c>
      <c r="K260" s="7" t="s">
        <v>215</v>
      </c>
      <c r="L260" s="7" t="s">
        <v>209</v>
      </c>
      <c r="M260" s="7" t="s">
        <v>182</v>
      </c>
      <c r="N260" s="7" t="s">
        <v>34</v>
      </c>
      <c r="O260" s="7" t="s">
        <v>143</v>
      </c>
      <c r="P260" s="7" t="s">
        <v>310</v>
      </c>
      <c r="Q260" s="7" t="s">
        <v>2392</v>
      </c>
      <c r="R260" s="7" t="s">
        <v>2390</v>
      </c>
      <c r="S260" s="7" t="s">
        <v>292</v>
      </c>
      <c r="T260" s="7">
        <v>1.0</v>
      </c>
      <c r="U260" s="7" t="s">
        <v>41</v>
      </c>
      <c r="V260" s="7"/>
      <c r="W260" s="7" t="s">
        <v>152</v>
      </c>
      <c r="X260" s="7" t="s">
        <v>41</v>
      </c>
      <c r="Y260" s="7"/>
      <c r="Z260" s="7"/>
      <c r="AA260" s="7"/>
      <c r="AB260" s="7" t="s">
        <v>215</v>
      </c>
      <c r="AC260" s="7" t="s">
        <v>774</v>
      </c>
      <c r="AD260" s="7"/>
    </row>
    <row r="261" ht="15.75" customHeight="1">
      <c r="A261" s="7" t="s">
        <v>2393</v>
      </c>
      <c r="B261" s="7" t="s">
        <v>2394</v>
      </c>
      <c r="C261" s="7" t="s">
        <v>2361</v>
      </c>
      <c r="D261" s="7" t="s">
        <v>2395</v>
      </c>
      <c r="E261" s="7">
        <v>1.0</v>
      </c>
      <c r="F261" s="7" t="s">
        <v>2396</v>
      </c>
      <c r="G261" s="7" t="s">
        <v>1162</v>
      </c>
      <c r="H261" s="7" t="s">
        <v>228</v>
      </c>
      <c r="I261" s="7"/>
      <c r="J261" s="7"/>
      <c r="K261" s="7" t="s">
        <v>729</v>
      </c>
      <c r="L261" s="7" t="s">
        <v>725</v>
      </c>
      <c r="M261" s="7" t="s">
        <v>866</v>
      </c>
      <c r="N261" s="7" t="s">
        <v>34</v>
      </c>
      <c r="O261" s="7" t="s">
        <v>143</v>
      </c>
      <c r="P261" s="7" t="s">
        <v>145</v>
      </c>
      <c r="Q261" s="7" t="s">
        <v>2397</v>
      </c>
      <c r="R261" s="7" t="s">
        <v>2398</v>
      </c>
      <c r="S261" s="7" t="s">
        <v>148</v>
      </c>
      <c r="T261" s="7">
        <v>1.0</v>
      </c>
      <c r="U261" s="7" t="s">
        <v>41</v>
      </c>
      <c r="V261" s="7"/>
      <c r="W261" s="7" t="s">
        <v>152</v>
      </c>
      <c r="X261" s="7" t="s">
        <v>41</v>
      </c>
      <c r="Y261" s="7"/>
      <c r="Z261" s="7"/>
      <c r="AA261" s="7"/>
      <c r="AB261" s="7" t="s">
        <v>729</v>
      </c>
      <c r="AC261" s="7" t="s">
        <v>653</v>
      </c>
      <c r="AD261" s="7"/>
    </row>
    <row r="262" ht="15.75" customHeight="1">
      <c r="A262" s="7" t="s">
        <v>2399</v>
      </c>
      <c r="B262" s="7" t="s">
        <v>2400</v>
      </c>
      <c r="C262" s="7" t="s">
        <v>2361</v>
      </c>
      <c r="D262" s="7" t="s">
        <v>2401</v>
      </c>
      <c r="E262" s="7">
        <v>1.0</v>
      </c>
      <c r="F262" s="7" t="s">
        <v>2402</v>
      </c>
      <c r="G262" s="7" t="s">
        <v>1453</v>
      </c>
      <c r="H262" s="7" t="s">
        <v>190</v>
      </c>
      <c r="I262" s="7"/>
      <c r="J262" s="7"/>
      <c r="K262" s="7" t="s">
        <v>729</v>
      </c>
      <c r="L262" s="7" t="s">
        <v>725</v>
      </c>
      <c r="M262" s="7" t="s">
        <v>866</v>
      </c>
      <c r="N262" s="7" t="s">
        <v>34</v>
      </c>
      <c r="O262" s="7" t="s">
        <v>143</v>
      </c>
      <c r="P262" s="7" t="s">
        <v>145</v>
      </c>
      <c r="Q262" s="7" t="s">
        <v>2403</v>
      </c>
      <c r="R262" s="7" t="s">
        <v>2404</v>
      </c>
      <c r="S262" s="7" t="s">
        <v>188</v>
      </c>
      <c r="T262" s="7">
        <v>1.0</v>
      </c>
      <c r="U262" s="7" t="s">
        <v>41</v>
      </c>
      <c r="V262" s="7"/>
      <c r="W262" s="7" t="s">
        <v>152</v>
      </c>
      <c r="X262" s="7" t="s">
        <v>41</v>
      </c>
      <c r="Y262" s="7"/>
      <c r="Z262" s="7"/>
      <c r="AA262" s="7"/>
      <c r="AB262" s="7" t="s">
        <v>729</v>
      </c>
      <c r="AC262" s="7" t="s">
        <v>195</v>
      </c>
      <c r="AD262" s="7"/>
    </row>
    <row r="263" ht="15.75" customHeight="1">
      <c r="A263" s="7" t="s">
        <v>2405</v>
      </c>
      <c r="B263" s="7" t="s">
        <v>2406</v>
      </c>
      <c r="C263" s="7" t="s">
        <v>2361</v>
      </c>
      <c r="D263" s="7" t="s">
        <v>2407</v>
      </c>
      <c r="E263" s="7">
        <v>1.0</v>
      </c>
      <c r="F263" s="7" t="s">
        <v>2408</v>
      </c>
      <c r="G263" s="7" t="s">
        <v>891</v>
      </c>
      <c r="H263" s="7" t="s">
        <v>132</v>
      </c>
      <c r="I263" s="7"/>
      <c r="J263" s="7"/>
      <c r="K263" s="7" t="s">
        <v>42</v>
      </c>
      <c r="L263" s="7" t="s">
        <v>32</v>
      </c>
      <c r="M263" s="7" t="s">
        <v>182</v>
      </c>
      <c r="N263" s="7" t="s">
        <v>34</v>
      </c>
      <c r="O263" s="7" t="s">
        <v>143</v>
      </c>
      <c r="P263" s="7" t="s">
        <v>310</v>
      </c>
      <c r="Q263" s="7" t="s">
        <v>2409</v>
      </c>
      <c r="R263" s="7" t="s">
        <v>2410</v>
      </c>
      <c r="S263" s="7" t="s">
        <v>188</v>
      </c>
      <c r="T263" s="7">
        <v>1.0</v>
      </c>
      <c r="U263" s="7" t="s">
        <v>41</v>
      </c>
      <c r="V263" s="7"/>
      <c r="W263" s="7" t="s">
        <v>152</v>
      </c>
      <c r="X263" s="7" t="s">
        <v>41</v>
      </c>
      <c r="Y263" s="7"/>
      <c r="Z263" s="7"/>
      <c r="AA263" s="7"/>
      <c r="AB263" s="7" t="s">
        <v>42</v>
      </c>
      <c r="AC263" s="7" t="s">
        <v>140</v>
      </c>
      <c r="AD263" s="7"/>
    </row>
    <row r="264" ht="15.75" customHeight="1">
      <c r="A264" s="7" t="s">
        <v>2411</v>
      </c>
      <c r="B264" s="7" t="s">
        <v>2412</v>
      </c>
      <c r="C264" s="7" t="s">
        <v>2361</v>
      </c>
      <c r="D264" s="7" t="s">
        <v>2413</v>
      </c>
      <c r="E264" s="7">
        <v>1.0</v>
      </c>
      <c r="F264" s="7" t="s">
        <v>2414</v>
      </c>
      <c r="G264" s="7" t="s">
        <v>1453</v>
      </c>
      <c r="H264" s="7" t="s">
        <v>282</v>
      </c>
      <c r="I264" s="7"/>
      <c r="J264" s="7"/>
      <c r="K264" s="7" t="s">
        <v>58</v>
      </c>
      <c r="L264" s="7" t="s">
        <v>49</v>
      </c>
      <c r="M264" s="7" t="s">
        <v>866</v>
      </c>
      <c r="N264" s="7" t="s">
        <v>34</v>
      </c>
      <c r="O264" s="7" t="s">
        <v>143</v>
      </c>
      <c r="P264" s="7" t="s">
        <v>185</v>
      </c>
      <c r="Q264" s="7" t="s">
        <v>2415</v>
      </c>
      <c r="R264" s="7" t="s">
        <v>2416</v>
      </c>
      <c r="S264" s="7" t="s">
        <v>188</v>
      </c>
      <c r="T264" s="7">
        <v>1.0</v>
      </c>
      <c r="U264" s="7" t="s">
        <v>41</v>
      </c>
      <c r="V264" s="7"/>
      <c r="W264" s="7" t="s">
        <v>152</v>
      </c>
      <c r="X264" s="7" t="s">
        <v>41</v>
      </c>
      <c r="Y264" s="7"/>
      <c r="Z264" s="7"/>
      <c r="AA264" s="7"/>
      <c r="AB264" s="7" t="s">
        <v>58</v>
      </c>
      <c r="AC264" s="7" t="s">
        <v>783</v>
      </c>
      <c r="AD264" s="7" t="s">
        <v>2417</v>
      </c>
    </row>
    <row r="265" ht="15.75" customHeight="1">
      <c r="A265" s="7" t="s">
        <v>2411</v>
      </c>
      <c r="B265" s="7" t="s">
        <v>2412</v>
      </c>
      <c r="C265" s="7" t="s">
        <v>2361</v>
      </c>
      <c r="D265" s="7" t="s">
        <v>2413</v>
      </c>
      <c r="E265" s="7">
        <v>2.0</v>
      </c>
      <c r="F265" s="7" t="s">
        <v>2418</v>
      </c>
      <c r="G265" s="7" t="s">
        <v>137</v>
      </c>
      <c r="H265" s="7" t="s">
        <v>48</v>
      </c>
      <c r="I265" s="7"/>
      <c r="J265" s="7"/>
      <c r="K265" s="7" t="s">
        <v>58</v>
      </c>
      <c r="L265" s="7" t="s">
        <v>49</v>
      </c>
      <c r="M265" s="7" t="s">
        <v>866</v>
      </c>
      <c r="N265" s="7" t="s">
        <v>34</v>
      </c>
      <c r="O265" s="7" t="s">
        <v>143</v>
      </c>
      <c r="P265" s="7" t="s">
        <v>185</v>
      </c>
      <c r="Q265" s="7" t="s">
        <v>2419</v>
      </c>
      <c r="R265" s="7" t="s">
        <v>2420</v>
      </c>
      <c r="S265" s="7" t="s">
        <v>188</v>
      </c>
      <c r="T265" s="7">
        <v>1.0</v>
      </c>
      <c r="U265" s="7" t="s">
        <v>41</v>
      </c>
      <c r="V265" s="7"/>
      <c r="W265" s="7" t="s">
        <v>152</v>
      </c>
      <c r="X265" s="7" t="s">
        <v>41</v>
      </c>
      <c r="Y265" s="7"/>
      <c r="Z265" s="7"/>
      <c r="AA265" s="7"/>
      <c r="AB265" s="7" t="s">
        <v>58</v>
      </c>
      <c r="AC265" s="7" t="s">
        <v>59</v>
      </c>
      <c r="AD265" s="7" t="s">
        <v>2417</v>
      </c>
    </row>
    <row r="266" ht="15.75" customHeight="1">
      <c r="A266" s="7" t="s">
        <v>2421</v>
      </c>
      <c r="B266" s="7" t="s">
        <v>2422</v>
      </c>
      <c r="C266" s="7" t="s">
        <v>2361</v>
      </c>
      <c r="D266" s="7" t="s">
        <v>2423</v>
      </c>
      <c r="E266" s="7">
        <v>1.0</v>
      </c>
      <c r="F266" s="7" t="s">
        <v>2424</v>
      </c>
      <c r="G266" s="7" t="s">
        <v>1453</v>
      </c>
      <c r="H266" s="7" t="s">
        <v>282</v>
      </c>
      <c r="I266" s="7"/>
      <c r="J266" s="7"/>
      <c r="K266" s="7" t="s">
        <v>58</v>
      </c>
      <c r="L266" s="7" t="s">
        <v>49</v>
      </c>
      <c r="M266" s="7" t="s">
        <v>866</v>
      </c>
      <c r="N266" s="7" t="s">
        <v>34</v>
      </c>
      <c r="O266" s="7" t="s">
        <v>143</v>
      </c>
      <c r="P266" s="7" t="s">
        <v>37</v>
      </c>
      <c r="Q266" s="7" t="s">
        <v>2425</v>
      </c>
      <c r="R266" s="7" t="s">
        <v>2426</v>
      </c>
      <c r="S266" s="7" t="s">
        <v>292</v>
      </c>
      <c r="T266" s="7">
        <v>1.0</v>
      </c>
      <c r="U266" s="7" t="s">
        <v>41</v>
      </c>
      <c r="V266" s="7"/>
      <c r="W266" s="7" t="s">
        <v>152</v>
      </c>
      <c r="X266" s="7" t="s">
        <v>41</v>
      </c>
      <c r="Y266" s="7"/>
      <c r="Z266" s="7"/>
      <c r="AA266" s="7"/>
      <c r="AB266" s="7" t="s">
        <v>58</v>
      </c>
      <c r="AC266" s="7" t="s">
        <v>783</v>
      </c>
      <c r="AD266" s="7"/>
    </row>
    <row r="267" ht="15.75" customHeight="1">
      <c r="A267" s="7" t="s">
        <v>2427</v>
      </c>
      <c r="B267" s="7" t="s">
        <v>2428</v>
      </c>
      <c r="C267" s="7" t="s">
        <v>2361</v>
      </c>
      <c r="D267" s="7" t="s">
        <v>2429</v>
      </c>
      <c r="E267" s="7">
        <v>1.0</v>
      </c>
      <c r="F267" s="7" t="s">
        <v>2430</v>
      </c>
      <c r="G267" s="7" t="s">
        <v>137</v>
      </c>
      <c r="H267" s="7" t="s">
        <v>329</v>
      </c>
      <c r="I267" s="7"/>
      <c r="J267" s="7"/>
      <c r="K267" s="7" t="s">
        <v>729</v>
      </c>
      <c r="L267" s="7" t="s">
        <v>725</v>
      </c>
      <c r="M267" s="7" t="s">
        <v>866</v>
      </c>
      <c r="N267" s="7" t="s">
        <v>34</v>
      </c>
      <c r="O267" s="7" t="s">
        <v>143</v>
      </c>
      <c r="P267" s="7" t="s">
        <v>162</v>
      </c>
      <c r="Q267" s="7" t="s">
        <v>2431</v>
      </c>
      <c r="R267" s="7" t="s">
        <v>2432</v>
      </c>
      <c r="S267" s="7" t="s">
        <v>148</v>
      </c>
      <c r="T267" s="7">
        <v>1.0</v>
      </c>
      <c r="U267" s="7" t="s">
        <v>41</v>
      </c>
      <c r="V267" s="7"/>
      <c r="W267" s="7" t="s">
        <v>152</v>
      </c>
      <c r="X267" s="7" t="s">
        <v>41</v>
      </c>
      <c r="Y267" s="7"/>
      <c r="Z267" s="7"/>
      <c r="AA267" s="7"/>
      <c r="AB267" s="7" t="s">
        <v>729</v>
      </c>
      <c r="AC267" s="7" t="s">
        <v>540</v>
      </c>
      <c r="AD267" s="7"/>
    </row>
    <row r="268" ht="15.75" customHeight="1">
      <c r="A268" s="7" t="s">
        <v>2427</v>
      </c>
      <c r="B268" s="7" t="s">
        <v>2428</v>
      </c>
      <c r="C268" s="7" t="s">
        <v>2361</v>
      </c>
      <c r="D268" s="7" t="s">
        <v>2429</v>
      </c>
      <c r="E268" s="7">
        <v>2.0</v>
      </c>
      <c r="F268" s="7" t="s">
        <v>2433</v>
      </c>
      <c r="G268" s="7" t="s">
        <v>137</v>
      </c>
      <c r="H268" s="7" t="s">
        <v>329</v>
      </c>
      <c r="I268" s="7"/>
      <c r="J268" s="7"/>
      <c r="K268" s="7" t="s">
        <v>729</v>
      </c>
      <c r="L268" s="7" t="s">
        <v>725</v>
      </c>
      <c r="M268" s="7" t="s">
        <v>866</v>
      </c>
      <c r="N268" s="7" t="s">
        <v>34</v>
      </c>
      <c r="O268" s="7" t="s">
        <v>143</v>
      </c>
      <c r="P268" s="7" t="s">
        <v>162</v>
      </c>
      <c r="Q268" s="7" t="s">
        <v>2434</v>
      </c>
      <c r="R268" s="7" t="s">
        <v>2432</v>
      </c>
      <c r="S268" s="7" t="s">
        <v>292</v>
      </c>
      <c r="T268" s="7">
        <v>1.0</v>
      </c>
      <c r="U268" s="7" t="s">
        <v>41</v>
      </c>
      <c r="V268" s="7"/>
      <c r="W268" s="7" t="s">
        <v>152</v>
      </c>
      <c r="X268" s="7" t="s">
        <v>41</v>
      </c>
      <c r="Y268" s="7"/>
      <c r="Z268" s="7"/>
      <c r="AA268" s="7"/>
      <c r="AB268" s="7" t="s">
        <v>729</v>
      </c>
      <c r="AC268" s="7" t="s">
        <v>540</v>
      </c>
      <c r="AD268" s="7"/>
    </row>
    <row r="269" ht="15.75" customHeight="1">
      <c r="A269" s="7" t="s">
        <v>2427</v>
      </c>
      <c r="B269" s="7" t="s">
        <v>2428</v>
      </c>
      <c r="C269" s="7" t="s">
        <v>2361</v>
      </c>
      <c r="D269" s="7" t="s">
        <v>2429</v>
      </c>
      <c r="E269" s="7">
        <v>3.0</v>
      </c>
      <c r="F269" s="7" t="s">
        <v>2435</v>
      </c>
      <c r="G269" s="7" t="s">
        <v>137</v>
      </c>
      <c r="H269" s="7" t="s">
        <v>110</v>
      </c>
      <c r="I269" s="7"/>
      <c r="J269" s="7"/>
      <c r="K269" s="7" t="s">
        <v>729</v>
      </c>
      <c r="L269" s="7" t="s">
        <v>725</v>
      </c>
      <c r="M269" s="7" t="s">
        <v>866</v>
      </c>
      <c r="N269" s="7" t="s">
        <v>34</v>
      </c>
      <c r="O269" s="7" t="s">
        <v>143</v>
      </c>
      <c r="P269" s="7" t="s">
        <v>162</v>
      </c>
      <c r="Q269" s="7" t="s">
        <v>2436</v>
      </c>
      <c r="R269" s="7" t="s">
        <v>2432</v>
      </c>
      <c r="S269" s="7" t="s">
        <v>148</v>
      </c>
      <c r="T269" s="7">
        <v>1.0</v>
      </c>
      <c r="U269" s="7" t="s">
        <v>41</v>
      </c>
      <c r="V269" s="7"/>
      <c r="W269" s="7" t="s">
        <v>152</v>
      </c>
      <c r="X269" s="7" t="s">
        <v>41</v>
      </c>
      <c r="Y269" s="7"/>
      <c r="Z269" s="7"/>
      <c r="AA269" s="7"/>
      <c r="AB269" s="7" t="s">
        <v>729</v>
      </c>
      <c r="AC269" s="7" t="s">
        <v>119</v>
      </c>
      <c r="AD269" s="7"/>
    </row>
    <row r="270" ht="15.75" customHeight="1">
      <c r="A270" s="7" t="s">
        <v>2427</v>
      </c>
      <c r="B270" s="7" t="s">
        <v>2428</v>
      </c>
      <c r="C270" s="7" t="s">
        <v>2361</v>
      </c>
      <c r="D270" s="7" t="s">
        <v>2429</v>
      </c>
      <c r="E270" s="7">
        <v>4.0</v>
      </c>
      <c r="F270" s="7" t="s">
        <v>2437</v>
      </c>
      <c r="G270" s="7" t="s">
        <v>137</v>
      </c>
      <c r="H270" s="7" t="s">
        <v>48</v>
      </c>
      <c r="I270" s="7"/>
      <c r="J270" s="7"/>
      <c r="K270" s="7" t="s">
        <v>729</v>
      </c>
      <c r="L270" s="7" t="s">
        <v>725</v>
      </c>
      <c r="M270" s="7" t="s">
        <v>866</v>
      </c>
      <c r="N270" s="7" t="s">
        <v>34</v>
      </c>
      <c r="O270" s="7" t="s">
        <v>143</v>
      </c>
      <c r="P270" s="7" t="s">
        <v>162</v>
      </c>
      <c r="Q270" s="7" t="s">
        <v>2438</v>
      </c>
      <c r="R270" s="7" t="s">
        <v>2432</v>
      </c>
      <c r="S270" s="7" t="s">
        <v>292</v>
      </c>
      <c r="T270" s="7">
        <v>1.0</v>
      </c>
      <c r="U270" s="7" t="s">
        <v>41</v>
      </c>
      <c r="V270" s="7"/>
      <c r="W270" s="7" t="s">
        <v>152</v>
      </c>
      <c r="X270" s="7" t="s">
        <v>41</v>
      </c>
      <c r="Y270" s="7"/>
      <c r="Z270" s="7"/>
      <c r="AA270" s="7"/>
      <c r="AB270" s="7" t="s">
        <v>729</v>
      </c>
      <c r="AC270" s="7" t="s">
        <v>59</v>
      </c>
      <c r="AD270" s="7"/>
    </row>
    <row r="271" ht="15.75" customHeight="1">
      <c r="A271" s="7" t="s">
        <v>2427</v>
      </c>
      <c r="B271" s="7" t="s">
        <v>2428</v>
      </c>
      <c r="C271" s="7" t="s">
        <v>2361</v>
      </c>
      <c r="D271" s="7" t="s">
        <v>2429</v>
      </c>
      <c r="E271" s="7">
        <v>5.0</v>
      </c>
      <c r="F271" s="7" t="s">
        <v>2439</v>
      </c>
      <c r="G271" s="7" t="s">
        <v>631</v>
      </c>
      <c r="H271" s="7"/>
      <c r="I271" s="7"/>
      <c r="J271" s="7"/>
      <c r="K271" s="7" t="s">
        <v>729</v>
      </c>
      <c r="L271" s="7" t="s">
        <v>725</v>
      </c>
      <c r="M271" s="7" t="s">
        <v>866</v>
      </c>
      <c r="N271" s="7" t="s">
        <v>34</v>
      </c>
      <c r="O271" s="7" t="s">
        <v>143</v>
      </c>
      <c r="P271" s="7" t="s">
        <v>162</v>
      </c>
      <c r="Q271" s="7" t="s">
        <v>2440</v>
      </c>
      <c r="R271" s="7" t="s">
        <v>2432</v>
      </c>
      <c r="S271" s="7" t="s">
        <v>148</v>
      </c>
      <c r="T271" s="7">
        <v>1.0</v>
      </c>
      <c r="U271" s="7" t="s">
        <v>41</v>
      </c>
      <c r="V271" s="7"/>
      <c r="W271" s="7" t="s">
        <v>152</v>
      </c>
      <c r="X271" s="7" t="s">
        <v>41</v>
      </c>
      <c r="Y271" s="7"/>
      <c r="Z271" s="7"/>
      <c r="AA271" s="7" t="s">
        <v>631</v>
      </c>
      <c r="AB271" s="7" t="s">
        <v>729</v>
      </c>
      <c r="AC271" s="7" t="s">
        <v>78</v>
      </c>
      <c r="AD271" s="7"/>
    </row>
    <row r="272" ht="15.75" customHeight="1">
      <c r="A272" s="7" t="s">
        <v>2427</v>
      </c>
      <c r="B272" s="7" t="s">
        <v>2428</v>
      </c>
      <c r="C272" s="7" t="s">
        <v>2361</v>
      </c>
      <c r="D272" s="7" t="s">
        <v>2429</v>
      </c>
      <c r="E272" s="7">
        <v>6.0</v>
      </c>
      <c r="F272" s="7" t="s">
        <v>2441</v>
      </c>
      <c r="G272" s="7" t="s">
        <v>2442</v>
      </c>
      <c r="H272" s="7" t="s">
        <v>309</v>
      </c>
      <c r="I272" s="7"/>
      <c r="J272" s="7"/>
      <c r="K272" s="7" t="s">
        <v>729</v>
      </c>
      <c r="L272" s="7" t="s">
        <v>725</v>
      </c>
      <c r="M272" s="7" t="s">
        <v>866</v>
      </c>
      <c r="N272" s="7" t="s">
        <v>34</v>
      </c>
      <c r="O272" s="7" t="s">
        <v>143</v>
      </c>
      <c r="P272" s="7" t="s">
        <v>162</v>
      </c>
      <c r="Q272" s="7" t="s">
        <v>2443</v>
      </c>
      <c r="R272" s="7" t="s">
        <v>2432</v>
      </c>
      <c r="S272" s="7" t="s">
        <v>292</v>
      </c>
      <c r="T272" s="7">
        <v>1.0</v>
      </c>
      <c r="U272" s="7" t="s">
        <v>41</v>
      </c>
      <c r="V272" s="7"/>
      <c r="W272" s="7" t="s">
        <v>152</v>
      </c>
      <c r="X272" s="7" t="s">
        <v>41</v>
      </c>
      <c r="Y272" s="7"/>
      <c r="Z272" s="7"/>
      <c r="AA272" s="7"/>
      <c r="AB272" s="7" t="s">
        <v>729</v>
      </c>
      <c r="AC272" s="7" t="s">
        <v>2444</v>
      </c>
      <c r="AD272" s="7"/>
    </row>
    <row r="273" ht="15.75" customHeight="1">
      <c r="A273" s="7" t="s">
        <v>2427</v>
      </c>
      <c r="B273" s="7" t="s">
        <v>2428</v>
      </c>
      <c r="C273" s="7" t="s">
        <v>2361</v>
      </c>
      <c r="D273" s="7" t="s">
        <v>2429</v>
      </c>
      <c r="E273" s="7">
        <v>7.0</v>
      </c>
      <c r="F273" s="7" t="s">
        <v>2445</v>
      </c>
      <c r="G273" s="7" t="s">
        <v>137</v>
      </c>
      <c r="H273" s="7" t="s">
        <v>100</v>
      </c>
      <c r="I273" s="7"/>
      <c r="J273" s="7"/>
      <c r="K273" s="7" t="s">
        <v>729</v>
      </c>
      <c r="L273" s="7" t="s">
        <v>725</v>
      </c>
      <c r="M273" s="7" t="s">
        <v>866</v>
      </c>
      <c r="N273" s="7" t="s">
        <v>34</v>
      </c>
      <c r="O273" s="7" t="s">
        <v>143</v>
      </c>
      <c r="P273" s="7" t="s">
        <v>162</v>
      </c>
      <c r="Q273" s="7" t="s">
        <v>2446</v>
      </c>
      <c r="R273" s="7" t="s">
        <v>2447</v>
      </c>
      <c r="S273" s="7" t="s">
        <v>292</v>
      </c>
      <c r="T273" s="7">
        <v>1.0</v>
      </c>
      <c r="U273" s="7" t="s">
        <v>41</v>
      </c>
      <c r="V273" s="7"/>
      <c r="W273" s="7" t="s">
        <v>152</v>
      </c>
      <c r="X273" s="7" t="s">
        <v>41</v>
      </c>
      <c r="Y273" s="7"/>
      <c r="Z273" s="7"/>
      <c r="AA273" s="7"/>
      <c r="AB273" s="7" t="s">
        <v>729</v>
      </c>
      <c r="AC273" s="7" t="s">
        <v>106</v>
      </c>
      <c r="AD273" s="7"/>
    </row>
    <row r="274" ht="15.75" customHeight="1">
      <c r="A274" s="7" t="s">
        <v>2427</v>
      </c>
      <c r="B274" s="7" t="s">
        <v>2428</v>
      </c>
      <c r="C274" s="7" t="s">
        <v>2361</v>
      </c>
      <c r="D274" s="7" t="s">
        <v>2429</v>
      </c>
      <c r="E274" s="7">
        <v>8.0</v>
      </c>
      <c r="F274" s="7" t="s">
        <v>2448</v>
      </c>
      <c r="G274" s="7" t="s">
        <v>137</v>
      </c>
      <c r="H274" s="7" t="s">
        <v>110</v>
      </c>
      <c r="I274" s="7"/>
      <c r="J274" s="7"/>
      <c r="K274" s="7" t="s">
        <v>729</v>
      </c>
      <c r="L274" s="7" t="s">
        <v>725</v>
      </c>
      <c r="M274" s="7" t="s">
        <v>866</v>
      </c>
      <c r="N274" s="7" t="s">
        <v>34</v>
      </c>
      <c r="O274" s="7" t="s">
        <v>143</v>
      </c>
      <c r="P274" s="7" t="s">
        <v>162</v>
      </c>
      <c r="Q274" s="7" t="s">
        <v>2449</v>
      </c>
      <c r="R274" s="7" t="s">
        <v>2432</v>
      </c>
      <c r="S274" s="7" t="s">
        <v>148</v>
      </c>
      <c r="T274" s="7">
        <v>1.0</v>
      </c>
      <c r="U274" s="7" t="s">
        <v>41</v>
      </c>
      <c r="V274" s="7"/>
      <c r="W274" s="7" t="s">
        <v>152</v>
      </c>
      <c r="X274" s="7" t="s">
        <v>41</v>
      </c>
      <c r="Y274" s="7"/>
      <c r="Z274" s="7"/>
      <c r="AA274" s="7"/>
      <c r="AB274" s="7" t="s">
        <v>729</v>
      </c>
      <c r="AC274" s="7" t="s">
        <v>119</v>
      </c>
      <c r="AD274" s="7"/>
    </row>
    <row r="275" ht="15.75" customHeight="1">
      <c r="A275" s="7" t="s">
        <v>2427</v>
      </c>
      <c r="B275" s="7" t="s">
        <v>2428</v>
      </c>
      <c r="C275" s="7" t="s">
        <v>2361</v>
      </c>
      <c r="D275" s="7" t="s">
        <v>2429</v>
      </c>
      <c r="E275" s="7">
        <v>9.0</v>
      </c>
      <c r="F275" s="7" t="s">
        <v>2450</v>
      </c>
      <c r="G275" s="7" t="s">
        <v>891</v>
      </c>
      <c r="H275" s="7" t="s">
        <v>132</v>
      </c>
      <c r="I275" s="7"/>
      <c r="J275" s="7"/>
      <c r="K275" s="7" t="s">
        <v>729</v>
      </c>
      <c r="L275" s="7" t="s">
        <v>725</v>
      </c>
      <c r="M275" s="7" t="s">
        <v>866</v>
      </c>
      <c r="N275" s="7" t="s">
        <v>34</v>
      </c>
      <c r="O275" s="7" t="s">
        <v>143</v>
      </c>
      <c r="P275" s="7" t="s">
        <v>162</v>
      </c>
      <c r="Q275" s="7" t="s">
        <v>2451</v>
      </c>
      <c r="R275" s="7" t="s">
        <v>2432</v>
      </c>
      <c r="S275" s="7" t="s">
        <v>292</v>
      </c>
      <c r="T275" s="7">
        <v>1.0</v>
      </c>
      <c r="U275" s="7" t="s">
        <v>41</v>
      </c>
      <c r="V275" s="7"/>
      <c r="W275" s="7" t="s">
        <v>152</v>
      </c>
      <c r="X275" s="7" t="s">
        <v>41</v>
      </c>
      <c r="Y275" s="7"/>
      <c r="Z275" s="7"/>
      <c r="AA275" s="7"/>
      <c r="AB275" s="7" t="s">
        <v>729</v>
      </c>
      <c r="AC275" s="7" t="s">
        <v>140</v>
      </c>
      <c r="AD275" s="7"/>
    </row>
    <row r="276" ht="15.75" customHeight="1">
      <c r="A276" s="7" t="s">
        <v>2427</v>
      </c>
      <c r="B276" s="7" t="s">
        <v>2428</v>
      </c>
      <c r="C276" s="7" t="s">
        <v>2361</v>
      </c>
      <c r="D276" s="7" t="s">
        <v>2429</v>
      </c>
      <c r="E276" s="7">
        <v>10.0</v>
      </c>
      <c r="F276" s="7" t="s">
        <v>2452</v>
      </c>
      <c r="G276" s="7" t="s">
        <v>137</v>
      </c>
      <c r="H276" s="7" t="s">
        <v>329</v>
      </c>
      <c r="I276" s="7"/>
      <c r="J276" s="7"/>
      <c r="K276" s="7" t="s">
        <v>729</v>
      </c>
      <c r="L276" s="7" t="s">
        <v>725</v>
      </c>
      <c r="M276" s="7" t="s">
        <v>866</v>
      </c>
      <c r="N276" s="7" t="s">
        <v>34</v>
      </c>
      <c r="O276" s="7" t="s">
        <v>143</v>
      </c>
      <c r="P276" s="7" t="s">
        <v>162</v>
      </c>
      <c r="Q276" s="7" t="s">
        <v>2454</v>
      </c>
      <c r="R276" s="7" t="s">
        <v>2432</v>
      </c>
      <c r="S276" s="7" t="s">
        <v>148</v>
      </c>
      <c r="T276" s="7">
        <v>1.0</v>
      </c>
      <c r="U276" s="7" t="s">
        <v>41</v>
      </c>
      <c r="V276" s="7"/>
      <c r="W276" s="7" t="s">
        <v>152</v>
      </c>
      <c r="X276" s="7" t="s">
        <v>41</v>
      </c>
      <c r="Y276" s="7"/>
      <c r="Z276" s="7"/>
      <c r="AA276" s="7"/>
      <c r="AB276" s="7" t="s">
        <v>729</v>
      </c>
      <c r="AC276" s="7" t="s">
        <v>540</v>
      </c>
      <c r="AD276" s="7"/>
    </row>
    <row r="277" ht="15.75" customHeight="1">
      <c r="A277" s="7" t="s">
        <v>2455</v>
      </c>
      <c r="B277" s="7" t="s">
        <v>2456</v>
      </c>
      <c r="C277" s="7" t="s">
        <v>2361</v>
      </c>
      <c r="D277" s="7" t="s">
        <v>2457</v>
      </c>
      <c r="E277" s="7">
        <v>1.0</v>
      </c>
      <c r="F277" s="7" t="s">
        <v>2458</v>
      </c>
      <c r="G277" s="7" t="s">
        <v>1453</v>
      </c>
      <c r="H277" s="7" t="s">
        <v>282</v>
      </c>
      <c r="I277" s="7"/>
      <c r="J277" s="7"/>
      <c r="K277" s="7" t="s">
        <v>877</v>
      </c>
      <c r="L277" s="7" t="s">
        <v>870</v>
      </c>
      <c r="M277" s="7" t="s">
        <v>182</v>
      </c>
      <c r="N277" s="7" t="s">
        <v>34</v>
      </c>
      <c r="O277" s="7" t="s">
        <v>143</v>
      </c>
      <c r="P277" s="7" t="s">
        <v>145</v>
      </c>
      <c r="Q277" s="7" t="s">
        <v>2459</v>
      </c>
      <c r="R277" s="7" t="s">
        <v>2460</v>
      </c>
      <c r="S277" s="7" t="s">
        <v>188</v>
      </c>
      <c r="T277" s="7">
        <v>1.0</v>
      </c>
      <c r="U277" s="7" t="s">
        <v>41</v>
      </c>
      <c r="V277" s="7"/>
      <c r="W277" s="7" t="s">
        <v>152</v>
      </c>
      <c r="X277" s="7" t="s">
        <v>41</v>
      </c>
      <c r="Y277" s="7"/>
      <c r="Z277" s="7"/>
      <c r="AA277" s="7"/>
      <c r="AB277" s="7" t="s">
        <v>877</v>
      </c>
      <c r="AC277" s="7" t="s">
        <v>783</v>
      </c>
      <c r="AD277" s="7"/>
    </row>
    <row r="278" ht="15.75" customHeight="1">
      <c r="A278" s="7" t="s">
        <v>2455</v>
      </c>
      <c r="B278" s="7" t="s">
        <v>2456</v>
      </c>
      <c r="C278" s="7" t="s">
        <v>2361</v>
      </c>
      <c r="D278" s="7" t="s">
        <v>2457</v>
      </c>
      <c r="E278" s="7">
        <v>2.0</v>
      </c>
      <c r="F278" s="7" t="s">
        <v>2461</v>
      </c>
      <c r="G278" s="7" t="s">
        <v>1453</v>
      </c>
      <c r="H278" s="7" t="s">
        <v>282</v>
      </c>
      <c r="I278" s="7"/>
      <c r="J278" s="7"/>
      <c r="K278" s="7" t="s">
        <v>877</v>
      </c>
      <c r="L278" s="7" t="s">
        <v>870</v>
      </c>
      <c r="M278" s="7" t="s">
        <v>182</v>
      </c>
      <c r="N278" s="7" t="s">
        <v>142</v>
      </c>
      <c r="O278" s="7" t="s">
        <v>143</v>
      </c>
      <c r="P278" s="7" t="s">
        <v>54</v>
      </c>
      <c r="Q278" s="7" t="s">
        <v>2462</v>
      </c>
      <c r="R278" s="7" t="s">
        <v>2463</v>
      </c>
      <c r="S278" s="7" t="s">
        <v>188</v>
      </c>
      <c r="T278" s="7">
        <v>1.0</v>
      </c>
      <c r="U278" s="7" t="s">
        <v>41</v>
      </c>
      <c r="V278" s="7"/>
      <c r="W278" s="7" t="s">
        <v>152</v>
      </c>
      <c r="X278" s="7" t="s">
        <v>41</v>
      </c>
      <c r="Y278" s="7"/>
      <c r="Z278" s="7"/>
      <c r="AA278" s="7"/>
      <c r="AB278" s="7" t="s">
        <v>877</v>
      </c>
      <c r="AC278" s="7" t="s">
        <v>783</v>
      </c>
      <c r="AD278" s="7"/>
    </row>
    <row r="279" ht="15.75" customHeight="1">
      <c r="A279" s="7" t="s">
        <v>2464</v>
      </c>
      <c r="B279" s="7" t="s">
        <v>2465</v>
      </c>
      <c r="C279" s="7" t="s">
        <v>2361</v>
      </c>
      <c r="D279" s="7" t="s">
        <v>2466</v>
      </c>
      <c r="E279" s="7">
        <v>1.0</v>
      </c>
      <c r="F279" s="7" t="s">
        <v>2467</v>
      </c>
      <c r="G279" s="7" t="s">
        <v>891</v>
      </c>
      <c r="H279" s="7" t="s">
        <v>339</v>
      </c>
      <c r="I279" s="7"/>
      <c r="J279" s="7"/>
      <c r="K279" s="7" t="s">
        <v>729</v>
      </c>
      <c r="L279" s="7" t="s">
        <v>725</v>
      </c>
      <c r="M279" s="7" t="s">
        <v>866</v>
      </c>
      <c r="N279" s="7" t="s">
        <v>34</v>
      </c>
      <c r="O279" s="7" t="s">
        <v>143</v>
      </c>
      <c r="P279" s="7" t="s">
        <v>145</v>
      </c>
      <c r="Q279" s="7" t="s">
        <v>2468</v>
      </c>
      <c r="R279" s="7" t="s">
        <v>2469</v>
      </c>
      <c r="S279" s="7" t="s">
        <v>188</v>
      </c>
      <c r="T279" s="7">
        <v>1.0</v>
      </c>
      <c r="U279" s="7" t="s">
        <v>41</v>
      </c>
      <c r="V279" s="7"/>
      <c r="W279" s="7" t="s">
        <v>152</v>
      </c>
      <c r="X279" s="7" t="s">
        <v>41</v>
      </c>
      <c r="Y279" s="7"/>
      <c r="Z279" s="7"/>
      <c r="AA279" s="7"/>
      <c r="AB279" s="7" t="s">
        <v>729</v>
      </c>
      <c r="AC279" s="7" t="s">
        <v>2470</v>
      </c>
      <c r="AD279" s="7"/>
    </row>
    <row r="280" ht="15.75" customHeight="1">
      <c r="A280" s="7" t="s">
        <v>2471</v>
      </c>
      <c r="B280" s="7" t="s">
        <v>2472</v>
      </c>
      <c r="C280" s="7" t="s">
        <v>2361</v>
      </c>
      <c r="D280" s="7" t="s">
        <v>2473</v>
      </c>
      <c r="E280" s="7">
        <v>1.0</v>
      </c>
      <c r="F280" s="7" t="s">
        <v>2474</v>
      </c>
      <c r="G280" s="7" t="s">
        <v>1453</v>
      </c>
      <c r="H280" s="7" t="s">
        <v>284</v>
      </c>
      <c r="I280" s="7"/>
      <c r="J280" s="7"/>
      <c r="K280" s="7" t="s">
        <v>256</v>
      </c>
      <c r="L280" s="7" t="s">
        <v>253</v>
      </c>
      <c r="M280" s="7" t="s">
        <v>1440</v>
      </c>
      <c r="N280" s="7" t="s">
        <v>34</v>
      </c>
      <c r="O280" s="7" t="s">
        <v>143</v>
      </c>
      <c r="P280" s="7" t="s">
        <v>247</v>
      </c>
      <c r="Q280" s="7" t="s">
        <v>2475</v>
      </c>
      <c r="R280" s="7" t="s">
        <v>2476</v>
      </c>
      <c r="S280" s="7" t="s">
        <v>148</v>
      </c>
      <c r="T280" s="7">
        <v>1.0</v>
      </c>
      <c r="U280" s="7" t="s">
        <v>41</v>
      </c>
      <c r="V280" s="7"/>
      <c r="W280" s="7" t="s">
        <v>152</v>
      </c>
      <c r="X280" s="7" t="s">
        <v>41</v>
      </c>
      <c r="Y280" s="7"/>
      <c r="Z280" s="7"/>
      <c r="AA280" s="7"/>
      <c r="AB280" s="7" t="s">
        <v>256</v>
      </c>
      <c r="AC280" s="7" t="s">
        <v>2477</v>
      </c>
      <c r="AD280" s="7"/>
    </row>
    <row r="281" ht="15.75" customHeight="1">
      <c r="A281" s="7" t="s">
        <v>2471</v>
      </c>
      <c r="B281" s="7" t="s">
        <v>2472</v>
      </c>
      <c r="C281" s="7" t="s">
        <v>2361</v>
      </c>
      <c r="D281" s="7" t="s">
        <v>2473</v>
      </c>
      <c r="E281" s="7">
        <v>2.0</v>
      </c>
      <c r="F281" s="7" t="s">
        <v>2478</v>
      </c>
      <c r="G281" s="7" t="s">
        <v>1453</v>
      </c>
      <c r="H281" s="7" t="s">
        <v>284</v>
      </c>
      <c r="I281" s="7"/>
      <c r="J281" s="7"/>
      <c r="K281" s="7" t="s">
        <v>121</v>
      </c>
      <c r="L281" s="7" t="s">
        <v>121</v>
      </c>
      <c r="M281" s="7" t="s">
        <v>121</v>
      </c>
      <c r="N281" s="7" t="s">
        <v>142</v>
      </c>
      <c r="O281" s="7" t="s">
        <v>143</v>
      </c>
      <c r="P281" s="7" t="s">
        <v>54</v>
      </c>
      <c r="Q281" s="7" t="s">
        <v>2479</v>
      </c>
      <c r="R281" s="7" t="s">
        <v>2480</v>
      </c>
      <c r="S281" s="7" t="s">
        <v>188</v>
      </c>
      <c r="T281" s="7">
        <v>1.0</v>
      </c>
      <c r="U281" s="7" t="s">
        <v>41</v>
      </c>
      <c r="V281" s="7"/>
      <c r="W281" s="7" t="s">
        <v>152</v>
      </c>
      <c r="X281" s="7" t="s">
        <v>41</v>
      </c>
      <c r="Y281" s="7"/>
      <c r="Z281" s="7" t="s">
        <v>121</v>
      </c>
      <c r="AA281" s="7"/>
      <c r="AB281" s="7" t="s">
        <v>138</v>
      </c>
      <c r="AC281" s="7" t="s">
        <v>2477</v>
      </c>
      <c r="AD281" s="7"/>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28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4.0"/>
  </cols>
  <sheetData>
    <row r="1">
      <c r="A1" s="31" t="s">
        <v>2277</v>
      </c>
      <c r="B1" s="31" t="s">
        <v>2278</v>
      </c>
    </row>
    <row r="2">
      <c r="A2" s="32" t="s">
        <v>25</v>
      </c>
      <c r="B2" s="33" t="s">
        <v>2282</v>
      </c>
    </row>
    <row r="3">
      <c r="A3" s="32" t="s">
        <v>97</v>
      </c>
      <c r="B3" s="33" t="s">
        <v>2283</v>
      </c>
    </row>
    <row r="4">
      <c r="A4" s="32" t="s">
        <v>202</v>
      </c>
      <c r="B4" s="34" t="s">
        <v>2284</v>
      </c>
    </row>
    <row r="5">
      <c r="A5" s="32" t="s">
        <v>207</v>
      </c>
      <c r="B5" s="34" t="s">
        <v>2286</v>
      </c>
    </row>
    <row r="6">
      <c r="A6" s="32" t="s">
        <v>295</v>
      </c>
      <c r="B6" s="34" t="s">
        <v>2289</v>
      </c>
    </row>
    <row r="7">
      <c r="A7" s="32" t="s">
        <v>318</v>
      </c>
      <c r="B7" s="32" t="s">
        <v>2290</v>
      </c>
    </row>
    <row r="8">
      <c r="A8" s="32" t="s">
        <v>485</v>
      </c>
      <c r="B8" s="34" t="s">
        <v>2291</v>
      </c>
    </row>
    <row r="9">
      <c r="A9" s="32" t="s">
        <v>504</v>
      </c>
      <c r="B9" s="34" t="s">
        <v>2294</v>
      </c>
    </row>
    <row r="10">
      <c r="A10" s="32" t="s">
        <v>594</v>
      </c>
      <c r="B10" s="34" t="s">
        <v>2295</v>
      </c>
    </row>
    <row r="11">
      <c r="A11" s="32" t="s">
        <v>730</v>
      </c>
      <c r="B11" s="34" t="s">
        <v>2296</v>
      </c>
    </row>
    <row r="12">
      <c r="A12" s="32" t="s">
        <v>937</v>
      </c>
      <c r="B12" s="34" t="s">
        <v>2297</v>
      </c>
    </row>
    <row r="13">
      <c r="A13" s="32" t="s">
        <v>1085</v>
      </c>
      <c r="B13" s="34" t="s">
        <v>2299</v>
      </c>
    </row>
    <row r="14">
      <c r="A14" s="32" t="s">
        <v>1136</v>
      </c>
      <c r="B14" s="34" t="s">
        <v>2300</v>
      </c>
    </row>
    <row r="15">
      <c r="A15" s="32" t="s">
        <v>1192</v>
      </c>
      <c r="B15" s="34" t="s">
        <v>2301</v>
      </c>
    </row>
    <row r="16">
      <c r="A16" s="32" t="s">
        <v>1249</v>
      </c>
      <c r="B16" s="34" t="s">
        <v>2303</v>
      </c>
    </row>
    <row r="17">
      <c r="A17" s="32" t="s">
        <v>1342</v>
      </c>
      <c r="B17" s="34" t="s">
        <v>2304</v>
      </c>
    </row>
    <row r="18">
      <c r="A18" s="32" t="s">
        <v>1433</v>
      </c>
      <c r="B18" s="34" t="s">
        <v>2306</v>
      </c>
    </row>
    <row r="19">
      <c r="A19" s="32" t="s">
        <v>1488</v>
      </c>
      <c r="B19" s="34" t="s">
        <v>2307</v>
      </c>
    </row>
    <row r="20">
      <c r="A20" s="32" t="s">
        <v>1607</v>
      </c>
      <c r="B20" s="34" t="s">
        <v>2308</v>
      </c>
    </row>
    <row r="21">
      <c r="A21" s="32" t="s">
        <v>1610</v>
      </c>
      <c r="B21" s="34" t="s">
        <v>2309</v>
      </c>
    </row>
    <row r="22">
      <c r="A22" s="32" t="s">
        <v>1619</v>
      </c>
      <c r="B22" s="34" t="s">
        <v>2311</v>
      </c>
    </row>
    <row r="23">
      <c r="A23" s="32" t="s">
        <v>1621</v>
      </c>
      <c r="B23" s="34" t="s">
        <v>2312</v>
      </c>
    </row>
    <row r="24">
      <c r="A24" s="32" t="s">
        <v>1647</v>
      </c>
      <c r="B24" s="34" t="s">
        <v>2315</v>
      </c>
    </row>
    <row r="25">
      <c r="A25" s="32" t="s">
        <v>1694</v>
      </c>
      <c r="B25" s="34" t="s">
        <v>2317</v>
      </c>
    </row>
    <row r="26">
      <c r="A26" s="32" t="s">
        <v>1760</v>
      </c>
      <c r="B26" s="34" t="s">
        <v>2320</v>
      </c>
    </row>
    <row r="27">
      <c r="A27" s="32" t="s">
        <v>1805</v>
      </c>
      <c r="B27" s="34" t="s">
        <v>2321</v>
      </c>
    </row>
    <row r="28">
      <c r="A28" s="32" t="s">
        <v>1852</v>
      </c>
      <c r="B28" s="34" t="s">
        <v>2322</v>
      </c>
    </row>
    <row r="29">
      <c r="A29" s="32" t="s">
        <v>1857</v>
      </c>
      <c r="B29" s="34" t="s">
        <v>2324</v>
      </c>
    </row>
    <row r="30">
      <c r="A30" s="32" t="s">
        <v>1930</v>
      </c>
      <c r="B30" s="34" t="s">
        <v>2327</v>
      </c>
    </row>
    <row r="31">
      <c r="A31" s="32" t="s">
        <v>1951</v>
      </c>
      <c r="B31" s="34" t="s">
        <v>2329</v>
      </c>
    </row>
    <row r="32">
      <c r="A32" s="32" t="s">
        <v>1982</v>
      </c>
      <c r="B32" s="34" t="s">
        <v>2332</v>
      </c>
    </row>
    <row r="33">
      <c r="A33" s="32" t="s">
        <v>2035</v>
      </c>
      <c r="B33" s="34" t="s">
        <v>2334</v>
      </c>
    </row>
    <row r="34">
      <c r="A34" s="32" t="s">
        <v>2039</v>
      </c>
      <c r="B34" s="34" t="s">
        <v>2335</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3" width="30.0"/>
    <col customWidth="1" min="4" max="4" width="60.0"/>
    <col customWidth="1" min="5" max="26" width="8.71"/>
  </cols>
  <sheetData>
    <row r="1">
      <c r="A1" s="36" t="s">
        <v>2481</v>
      </c>
    </row>
    <row r="3">
      <c r="A3" s="37" t="s">
        <v>2482</v>
      </c>
    </row>
    <row r="4">
      <c r="A4" s="7" t="s">
        <v>2483</v>
      </c>
      <c r="B4" s="16" t="s">
        <v>2484</v>
      </c>
      <c r="C4" s="16" t="s">
        <v>2485</v>
      </c>
      <c r="D4" s="16" t="s">
        <v>2486</v>
      </c>
    </row>
    <row r="5">
      <c r="A5" s="7" t="s">
        <v>2487</v>
      </c>
      <c r="B5" s="16">
        <v>281.0</v>
      </c>
      <c r="C5" s="16">
        <v>276.0</v>
      </c>
      <c r="D5" s="16">
        <v>5.0</v>
      </c>
    </row>
    <row r="6">
      <c r="A6" s="7" t="s">
        <v>2488</v>
      </c>
      <c r="B6" s="16">
        <v>280.0</v>
      </c>
      <c r="C6" s="16">
        <v>265.0</v>
      </c>
      <c r="D6" s="16">
        <v>15.0</v>
      </c>
    </row>
    <row r="7">
      <c r="A7" s="7"/>
    </row>
    <row r="8">
      <c r="A8" s="37" t="s">
        <v>2489</v>
      </c>
    </row>
    <row r="9">
      <c r="A9" s="7" t="s">
        <v>2490</v>
      </c>
      <c r="B9" s="16" t="s">
        <v>40</v>
      </c>
      <c r="C9" s="16" t="s">
        <v>152</v>
      </c>
    </row>
    <row r="10">
      <c r="A10" s="7" t="s">
        <v>172</v>
      </c>
      <c r="B10" s="16">
        <v>5.0</v>
      </c>
      <c r="C10" s="16">
        <v>15.0</v>
      </c>
    </row>
    <row r="11">
      <c r="A11" s="7"/>
    </row>
    <row r="12">
      <c r="A12" s="37" t="s">
        <v>2491</v>
      </c>
    </row>
    <row r="13">
      <c r="A13" s="7" t="s">
        <v>2492</v>
      </c>
      <c r="B13" s="38">
        <f>Matriz_subarea!DP121</f>
        <v>541</v>
      </c>
    </row>
    <row r="14">
      <c r="A14" s="7" t="s">
        <v>2493</v>
      </c>
      <c r="B14" s="16">
        <f>COUNTIF('Prácticas_Revisiones'!$T$2:$T$282,"&lt;&gt;")+COUNTIF('Prácticas_Snowballing'!$AC$2:$AC$281,"&lt;&gt;")</f>
        <v>541</v>
      </c>
    </row>
    <row r="15">
      <c r="A15" s="7"/>
    </row>
    <row r="16">
      <c r="A16" s="7" t="s">
        <v>2494</v>
      </c>
      <c r="B16" s="38">
        <f>SUM(Matriz_subarea!DP7:DP18,Matriz_subarea!DP20:DP39,Matriz_subarea!DP41:DP68,Matriz_subarea!DP70:DP87,Matriz_subarea!DP89:DP103,Matriz_subarea!DP105:DP117,Matriz_subarea!DP119)</f>
        <v>541</v>
      </c>
    </row>
    <row r="17">
      <c r="A17" s="7" t="s">
        <v>2495</v>
      </c>
      <c r="B17" s="38">
        <f>SUM(Matriz_subarea!C121:K121,Matriz_subarea!M121:Q121,Matriz_subarea!S121:Y121,Matriz_subarea!AA121:AF121,Matriz_subarea!AH121:AP121,Matriz_subarea!AR121:AX121,Matriz_subarea!AZ121:BE121,Matriz_subarea!BG121:BN121,Matriz_subarea!BP121:BS121,Matriz_subarea!BU121:BY121,Matriz_subarea!CA121:CE121,Matriz_subarea!CG121:CM121,Matriz_subarea!CO121:CR121,Matriz_subarea!CT121:DD121,Matriz_subarea!DF121:DM121,Matriz_subarea!DO121)</f>
        <v>541</v>
      </c>
    </row>
    <row r="18">
      <c r="A18" s="7"/>
    </row>
    <row r="19" ht="15.75" customHeight="1">
      <c r="A19" s="7" t="s">
        <v>2496</v>
      </c>
      <c r="B19" s="38">
        <f>'Matriz_por_área'!S120</f>
        <v>541</v>
      </c>
    </row>
    <row r="20" ht="15.75" customHeight="1">
      <c r="A20" s="7"/>
    </row>
    <row r="21" ht="15.75" customHeight="1">
      <c r="A21" s="7" t="s">
        <v>2498</v>
      </c>
      <c r="B21" s="16">
        <v>265.0</v>
      </c>
    </row>
    <row r="22" ht="15.75" customHeight="1">
      <c r="A22" s="7" t="s">
        <v>2499</v>
      </c>
      <c r="B22" s="16">
        <v>197.0</v>
      </c>
      <c r="C22" s="16" t="s">
        <v>2500</v>
      </c>
      <c r="D22" s="16">
        <v>210.0</v>
      </c>
      <c r="E22" s="16" t="s">
        <v>2501</v>
      </c>
      <c r="F22" s="16">
        <v>407.0</v>
      </c>
      <c r="G22" s="16" t="s">
        <v>2502</v>
      </c>
    </row>
    <row r="23" ht="15.75" customHeight="1">
      <c r="A23" s="7"/>
    </row>
    <row r="24" ht="15.75" customHeight="1">
      <c r="A24" s="37" t="s">
        <v>2503</v>
      </c>
    </row>
    <row r="25" ht="15.75" customHeight="1">
      <c r="A25" s="7" t="s">
        <v>2504</v>
      </c>
      <c r="B25" s="16" t="s">
        <v>2505</v>
      </c>
    </row>
    <row r="26" ht="15.75" customHeight="1">
      <c r="A26" s="7" t="s">
        <v>1453</v>
      </c>
      <c r="B26" s="16" t="s">
        <v>57</v>
      </c>
    </row>
    <row r="27" ht="15.75" customHeight="1">
      <c r="A27" s="7" t="s">
        <v>2442</v>
      </c>
      <c r="B27" s="16" t="s">
        <v>61</v>
      </c>
    </row>
    <row r="28" ht="15.75" customHeight="1">
      <c r="A28" s="7" t="s">
        <v>1035</v>
      </c>
      <c r="B28" s="16" t="s">
        <v>62</v>
      </c>
    </row>
    <row r="29" ht="15.75" customHeight="1">
      <c r="A29" s="7" t="s">
        <v>137</v>
      </c>
      <c r="B29" s="16" t="s">
        <v>47</v>
      </c>
    </row>
    <row r="30" ht="15.75" customHeight="1">
      <c r="A30" s="7" t="s">
        <v>891</v>
      </c>
      <c r="B30" s="16" t="s">
        <v>64</v>
      </c>
    </row>
    <row r="31" ht="15.75" customHeight="1">
      <c r="A31" s="7" t="s">
        <v>2506</v>
      </c>
      <c r="B31" s="16" t="s">
        <v>65</v>
      </c>
    </row>
    <row r="32" ht="15.75" customHeight="1">
      <c r="A32" s="7" t="s">
        <v>2388</v>
      </c>
      <c r="B32" s="16" t="s">
        <v>66</v>
      </c>
    </row>
    <row r="33" ht="15.75" customHeight="1">
      <c r="A33" s="7" t="s">
        <v>214</v>
      </c>
      <c r="B33" s="16" t="s">
        <v>68</v>
      </c>
    </row>
    <row r="34" ht="15.75" customHeight="1">
      <c r="A34" s="7" t="s">
        <v>2507</v>
      </c>
      <c r="B34" s="16" t="s">
        <v>28</v>
      </c>
    </row>
    <row r="35" ht="15.75" customHeight="1">
      <c r="A35" s="7" t="s">
        <v>1940</v>
      </c>
      <c r="B35" s="16" t="s">
        <v>71</v>
      </c>
    </row>
    <row r="36" ht="15.75" customHeight="1">
      <c r="A36" s="7" t="s">
        <v>952</v>
      </c>
      <c r="B36" s="16" t="s">
        <v>73</v>
      </c>
    </row>
    <row r="37" ht="15.75" customHeight="1">
      <c r="A37" s="7" t="s">
        <v>2189</v>
      </c>
      <c r="B37" s="16" t="s">
        <v>74</v>
      </c>
    </row>
    <row r="38" ht="15.75" customHeight="1">
      <c r="A38" s="7" t="s">
        <v>1162</v>
      </c>
      <c r="B38" s="16" t="s">
        <v>30</v>
      </c>
    </row>
    <row r="39" ht="15.75" customHeight="1">
      <c r="A39" s="7" t="s">
        <v>2508</v>
      </c>
      <c r="B39" s="16" t="s">
        <v>76</v>
      </c>
    </row>
    <row r="40" ht="15.75" customHeight="1">
      <c r="A40" s="7" t="s">
        <v>2177</v>
      </c>
      <c r="B40" s="16" t="s">
        <v>77</v>
      </c>
    </row>
    <row r="41" ht="15.75" customHeight="1">
      <c r="A41" s="7"/>
    </row>
    <row r="42" ht="15.75" customHeight="1">
      <c r="A42" s="7" t="s">
        <v>2509</v>
      </c>
      <c r="B42" s="16" t="s">
        <v>2510</v>
      </c>
    </row>
    <row r="43" ht="15.75" customHeight="1">
      <c r="A43" s="7"/>
    </row>
    <row r="44" ht="15.75" customHeight="1">
      <c r="A44" s="7" t="s">
        <v>2511</v>
      </c>
      <c r="B44" s="16" t="s">
        <v>2512</v>
      </c>
    </row>
    <row r="45" ht="15.75" customHeight="1">
      <c r="A45" s="7"/>
    </row>
    <row r="46" ht="15.75" customHeight="1">
      <c r="A46" s="7"/>
    </row>
    <row r="47" ht="15.75" customHeight="1">
      <c r="A47" s="37" t="s">
        <v>2513</v>
      </c>
      <c r="B47" s="7"/>
      <c r="C47" s="7"/>
      <c r="D47" s="7"/>
    </row>
    <row r="48" ht="15.75" customHeight="1">
      <c r="A48" s="7" t="s">
        <v>15</v>
      </c>
      <c r="B48" s="7" t="s">
        <v>2514</v>
      </c>
      <c r="C48" s="7" t="s">
        <v>1</v>
      </c>
      <c r="D48" s="7" t="s">
        <v>2515</v>
      </c>
    </row>
    <row r="49" ht="15.75" customHeight="1">
      <c r="A49" s="7" t="s">
        <v>152</v>
      </c>
      <c r="B49" s="7">
        <v>235.0</v>
      </c>
      <c r="C49" s="7" t="s">
        <v>2234</v>
      </c>
      <c r="D49" s="7" t="s">
        <v>2516</v>
      </c>
    </row>
    <row r="50" ht="15.75" customHeight="1">
      <c r="A50" s="7"/>
      <c r="B50" s="7"/>
      <c r="C50" s="7"/>
      <c r="D50" s="7"/>
    </row>
    <row r="51" ht="15.75" customHeight="1">
      <c r="A51" s="37" t="s">
        <v>2517</v>
      </c>
      <c r="B51" s="7"/>
      <c r="C51" s="7"/>
      <c r="D51" s="7"/>
    </row>
    <row r="52" ht="15.75" customHeight="1">
      <c r="A52" s="7" t="s">
        <v>2518</v>
      </c>
      <c r="B52" s="7" t="s">
        <v>2519</v>
      </c>
      <c r="C52" s="7"/>
      <c r="D52" s="7"/>
    </row>
    <row r="53" ht="15.75" customHeight="1">
      <c r="A53" s="7"/>
      <c r="B53" s="7"/>
      <c r="C53" s="7"/>
      <c r="D53" s="7"/>
    </row>
    <row r="54" ht="15.75" customHeight="1">
      <c r="A54" s="7" t="s">
        <v>2520</v>
      </c>
      <c r="B54" s="7" t="s">
        <v>2521</v>
      </c>
      <c r="C54" s="7" t="s">
        <v>2522</v>
      </c>
      <c r="D54" s="7" t="s">
        <v>2523</v>
      </c>
    </row>
    <row r="55" ht="15.75" customHeight="1">
      <c r="A55" s="7" t="s">
        <v>2524</v>
      </c>
      <c r="B55" s="7" t="s">
        <v>107</v>
      </c>
      <c r="C55" s="7" t="s">
        <v>2525</v>
      </c>
      <c r="D55" s="7" t="s">
        <v>2526</v>
      </c>
    </row>
    <row r="56" ht="15.75" customHeight="1">
      <c r="A56" s="7" t="s">
        <v>2527</v>
      </c>
      <c r="B56" s="7" t="s">
        <v>141</v>
      </c>
      <c r="C56" s="7" t="s">
        <v>2528</v>
      </c>
      <c r="D56" s="7" t="s">
        <v>2529</v>
      </c>
    </row>
    <row r="57" ht="15.75" customHeight="1">
      <c r="A57" s="7" t="s">
        <v>2530</v>
      </c>
      <c r="B57" s="7" t="s">
        <v>2531</v>
      </c>
      <c r="C57" s="7" t="s">
        <v>2532</v>
      </c>
      <c r="D57" s="7" t="s">
        <v>2533</v>
      </c>
    </row>
    <row r="58" ht="15.75" customHeight="1">
      <c r="A58" s="7" t="s">
        <v>2530</v>
      </c>
      <c r="B58" s="7" t="s">
        <v>2534</v>
      </c>
      <c r="C58" s="7" t="s">
        <v>2532</v>
      </c>
      <c r="D58" s="7" t="s">
        <v>2533</v>
      </c>
    </row>
    <row r="59" ht="15.75" customHeight="1">
      <c r="A59" s="7" t="s">
        <v>2530</v>
      </c>
      <c r="B59" s="7" t="s">
        <v>2535</v>
      </c>
      <c r="C59" s="7" t="s">
        <v>2532</v>
      </c>
      <c r="D59" s="7" t="s">
        <v>2533</v>
      </c>
    </row>
    <row r="60" ht="15.75" customHeight="1">
      <c r="A60" s="7" t="s">
        <v>2530</v>
      </c>
      <c r="B60" s="7" t="s">
        <v>2536</v>
      </c>
      <c r="C60" s="7" t="s">
        <v>2532</v>
      </c>
      <c r="D60" s="7" t="s">
        <v>2533</v>
      </c>
    </row>
    <row r="61" ht="15.75" customHeight="1">
      <c r="A61" s="7" t="s">
        <v>2530</v>
      </c>
      <c r="B61" s="7" t="s">
        <v>2537</v>
      </c>
      <c r="C61" s="7" t="s">
        <v>2532</v>
      </c>
      <c r="D61" s="7" t="s">
        <v>2533</v>
      </c>
    </row>
    <row r="62" ht="15.75" customHeight="1">
      <c r="A62" s="7" t="s">
        <v>2125</v>
      </c>
      <c r="B62" s="7" t="s">
        <v>2538</v>
      </c>
      <c r="C62" s="7" t="s">
        <v>2539</v>
      </c>
      <c r="D62" s="7" t="s">
        <v>2540</v>
      </c>
    </row>
    <row r="63" ht="15.75" customHeight="1">
      <c r="A63" s="7" t="s">
        <v>2125</v>
      </c>
      <c r="B63" s="7" t="s">
        <v>2541</v>
      </c>
      <c r="C63" s="7" t="s">
        <v>2539</v>
      </c>
      <c r="D63" s="7" t="s">
        <v>2540</v>
      </c>
    </row>
    <row r="64" ht="15.75" customHeight="1">
      <c r="A64" s="7" t="s">
        <v>2125</v>
      </c>
      <c r="B64" s="7" t="s">
        <v>2542</v>
      </c>
      <c r="C64" s="7" t="s">
        <v>2539</v>
      </c>
      <c r="D64" s="7" t="s">
        <v>2543</v>
      </c>
    </row>
    <row r="65" ht="15.75" customHeight="1">
      <c r="A65" s="7" t="s">
        <v>2125</v>
      </c>
      <c r="B65" s="7" t="s">
        <v>2544</v>
      </c>
      <c r="C65" s="7" t="s">
        <v>2539</v>
      </c>
      <c r="D65" s="7" t="s">
        <v>2545</v>
      </c>
    </row>
    <row r="66" ht="15.75" customHeight="1">
      <c r="A66" s="7" t="s">
        <v>2125</v>
      </c>
      <c r="B66" s="7" t="s">
        <v>2546</v>
      </c>
      <c r="C66" s="7" t="s">
        <v>2539</v>
      </c>
      <c r="D66" s="7" t="s">
        <v>2545</v>
      </c>
    </row>
    <row r="67" ht="15.75" customHeight="1">
      <c r="A67" s="7" t="s">
        <v>2125</v>
      </c>
      <c r="B67" s="7" t="s">
        <v>2547</v>
      </c>
      <c r="C67" s="7" t="s">
        <v>2539</v>
      </c>
      <c r="D67" s="7" t="s">
        <v>2548</v>
      </c>
    </row>
    <row r="68" ht="15.75" customHeight="1">
      <c r="A68" s="7" t="s">
        <v>2125</v>
      </c>
      <c r="B68" s="7" t="s">
        <v>2549</v>
      </c>
      <c r="C68" s="7" t="s">
        <v>2539</v>
      </c>
      <c r="D68" s="7" t="s">
        <v>2550</v>
      </c>
    </row>
    <row r="69" ht="15.75" customHeight="1">
      <c r="A69" s="7" t="s">
        <v>2125</v>
      </c>
      <c r="B69" s="7" t="s">
        <v>2551</v>
      </c>
      <c r="C69" s="7" t="s">
        <v>2552</v>
      </c>
      <c r="D69" s="7" t="s">
        <v>2553</v>
      </c>
    </row>
    <row r="70" ht="15.75" customHeight="1">
      <c r="A70" s="7" t="s">
        <v>2125</v>
      </c>
      <c r="B70" s="7" t="s">
        <v>2554</v>
      </c>
      <c r="C70" s="7" t="s">
        <v>2552</v>
      </c>
      <c r="D70" s="7" t="s">
        <v>2555</v>
      </c>
    </row>
    <row r="71" ht="15.75" customHeight="1">
      <c r="A71" s="7" t="s">
        <v>2125</v>
      </c>
      <c r="B71" s="7" t="s">
        <v>2556</v>
      </c>
      <c r="C71" s="7" t="s">
        <v>2552</v>
      </c>
      <c r="D71" s="7" t="s">
        <v>2557</v>
      </c>
    </row>
    <row r="72" ht="15.75" customHeight="1">
      <c r="A72" s="7" t="s">
        <v>2125</v>
      </c>
      <c r="B72" s="7" t="s">
        <v>2558</v>
      </c>
      <c r="C72" s="7" t="s">
        <v>2552</v>
      </c>
      <c r="D72" s="7" t="s">
        <v>2559</v>
      </c>
    </row>
    <row r="73" ht="15.75" customHeight="1">
      <c r="A73" s="7" t="s">
        <v>2125</v>
      </c>
      <c r="B73" s="7" t="s">
        <v>2560</v>
      </c>
      <c r="C73" s="7" t="s">
        <v>2552</v>
      </c>
      <c r="D73" s="7" t="s">
        <v>2561</v>
      </c>
    </row>
    <row r="74" ht="15.75" customHeight="1">
      <c r="A74" s="7" t="s">
        <v>2125</v>
      </c>
      <c r="B74" s="7" t="s">
        <v>2562</v>
      </c>
      <c r="C74" s="7" t="s">
        <v>2552</v>
      </c>
      <c r="D74" s="7" t="s">
        <v>2563</v>
      </c>
    </row>
    <row r="75" ht="15.75" customHeight="1">
      <c r="A75" s="7" t="s">
        <v>2125</v>
      </c>
      <c r="B75" s="7" t="s">
        <v>2564</v>
      </c>
      <c r="C75" s="7" t="s">
        <v>2552</v>
      </c>
      <c r="D75" s="7" t="s">
        <v>2565</v>
      </c>
    </row>
    <row r="76" ht="15.75" customHeight="1">
      <c r="A76" s="7" t="s">
        <v>2125</v>
      </c>
      <c r="B76" s="7" t="s">
        <v>2566</v>
      </c>
      <c r="C76" s="7" t="s">
        <v>2552</v>
      </c>
      <c r="D76" s="7" t="s">
        <v>2567</v>
      </c>
    </row>
    <row r="77" ht="15.75" customHeight="1">
      <c r="A77" s="7" t="s">
        <v>2125</v>
      </c>
      <c r="B77" s="7" t="s">
        <v>2568</v>
      </c>
      <c r="C77" s="7" t="s">
        <v>2552</v>
      </c>
      <c r="D77" s="7" t="s">
        <v>2569</v>
      </c>
    </row>
    <row r="78" ht="15.75" customHeight="1">
      <c r="A78" s="7" t="s">
        <v>2125</v>
      </c>
      <c r="B78" s="7" t="s">
        <v>2570</v>
      </c>
      <c r="C78" s="7" t="s">
        <v>2552</v>
      </c>
      <c r="D78" s="7" t="s">
        <v>2557</v>
      </c>
    </row>
    <row r="79" ht="15.75" customHeight="1">
      <c r="A79" s="7" t="s">
        <v>2125</v>
      </c>
      <c r="B79" s="7" t="s">
        <v>107</v>
      </c>
      <c r="C79" s="7" t="s">
        <v>2525</v>
      </c>
      <c r="D79" s="7" t="s">
        <v>2571</v>
      </c>
    </row>
    <row r="80" ht="15.75" customHeight="1">
      <c r="A80" s="7" t="s">
        <v>2572</v>
      </c>
      <c r="B80" s="7" t="s">
        <v>107</v>
      </c>
      <c r="C80" s="7" t="s">
        <v>2525</v>
      </c>
      <c r="D80" s="7" t="s">
        <v>2573</v>
      </c>
    </row>
    <row r="81" ht="15.75" customHeight="1">
      <c r="A81" s="7" t="s">
        <v>2574</v>
      </c>
      <c r="B81" s="7" t="s">
        <v>2575</v>
      </c>
      <c r="C81" s="7" t="s">
        <v>2576</v>
      </c>
      <c r="D81" s="7" t="s">
        <v>2577</v>
      </c>
    </row>
    <row r="82" ht="15.75" customHeight="1">
      <c r="A82" s="7" t="s">
        <v>2574</v>
      </c>
      <c r="B82" s="7" t="s">
        <v>2578</v>
      </c>
      <c r="C82" s="7" t="s">
        <v>2576</v>
      </c>
      <c r="D82" s="7" t="s">
        <v>2577</v>
      </c>
    </row>
    <row r="83" ht="15.75" customHeight="1">
      <c r="A83" s="7" t="s">
        <v>2574</v>
      </c>
      <c r="B83" s="7" t="s">
        <v>2579</v>
      </c>
      <c r="C83" s="7" t="s">
        <v>2576</v>
      </c>
      <c r="D83" s="7" t="s">
        <v>2580</v>
      </c>
    </row>
    <row r="84" ht="15.75" customHeight="1">
      <c r="A84" s="7" t="s">
        <v>2574</v>
      </c>
      <c r="B84" s="7" t="s">
        <v>2581</v>
      </c>
      <c r="C84" s="7" t="s">
        <v>2576</v>
      </c>
      <c r="D84" s="7" t="s">
        <v>2582</v>
      </c>
    </row>
    <row r="85" ht="15.75" customHeight="1">
      <c r="A85" s="7" t="s">
        <v>2574</v>
      </c>
      <c r="B85" s="7" t="s">
        <v>2583</v>
      </c>
      <c r="C85" s="7" t="s">
        <v>2576</v>
      </c>
      <c r="D85" s="7" t="s">
        <v>2584</v>
      </c>
    </row>
    <row r="86" ht="15.75" customHeight="1">
      <c r="A86" s="7" t="s">
        <v>2585</v>
      </c>
      <c r="B86" s="7" t="s">
        <v>2575</v>
      </c>
      <c r="C86" s="7" t="s">
        <v>2576</v>
      </c>
      <c r="D86" s="7" t="s">
        <v>2586</v>
      </c>
    </row>
    <row r="87" ht="15.75" customHeight="1">
      <c r="A87" s="7" t="s">
        <v>2585</v>
      </c>
      <c r="B87" s="7" t="s">
        <v>2578</v>
      </c>
      <c r="C87" s="7" t="s">
        <v>2576</v>
      </c>
      <c r="D87" s="7" t="s">
        <v>2586</v>
      </c>
    </row>
    <row r="88" ht="15.75" customHeight="1">
      <c r="A88" s="7" t="s">
        <v>2585</v>
      </c>
      <c r="B88" s="7" t="s">
        <v>2579</v>
      </c>
      <c r="C88" s="7" t="s">
        <v>2576</v>
      </c>
      <c r="D88" s="7" t="s">
        <v>2587</v>
      </c>
    </row>
    <row r="89" ht="15.75" customHeight="1">
      <c r="A89" s="7" t="s">
        <v>2585</v>
      </c>
      <c r="B89" s="7" t="s">
        <v>2581</v>
      </c>
      <c r="C89" s="7" t="s">
        <v>2576</v>
      </c>
      <c r="D89" s="7" t="s">
        <v>2588</v>
      </c>
    </row>
    <row r="90" ht="15.75" customHeight="1">
      <c r="A90" s="7" t="s">
        <v>2585</v>
      </c>
      <c r="B90" s="7" t="s">
        <v>2583</v>
      </c>
      <c r="C90" s="7" t="s">
        <v>2576</v>
      </c>
      <c r="D90" s="7" t="s">
        <v>2589</v>
      </c>
    </row>
    <row r="91" ht="15.75" customHeight="1">
      <c r="A91" s="7" t="s">
        <v>2590</v>
      </c>
      <c r="B91" s="7" t="s">
        <v>2551</v>
      </c>
      <c r="C91" s="7" t="s">
        <v>2552</v>
      </c>
      <c r="D91" s="7" t="s">
        <v>2591</v>
      </c>
    </row>
    <row r="92" ht="15.75" customHeight="1">
      <c r="A92" s="7" t="s">
        <v>2590</v>
      </c>
      <c r="B92" s="7" t="s">
        <v>2554</v>
      </c>
      <c r="C92" s="7" t="s">
        <v>2552</v>
      </c>
      <c r="D92" s="7" t="s">
        <v>2592</v>
      </c>
    </row>
    <row r="93" ht="15.75" customHeight="1">
      <c r="A93" s="7" t="s">
        <v>2590</v>
      </c>
      <c r="B93" s="7" t="s">
        <v>2556</v>
      </c>
      <c r="C93" s="7" t="s">
        <v>2552</v>
      </c>
      <c r="D93" s="7" t="s">
        <v>2593</v>
      </c>
    </row>
    <row r="94" ht="15.75" customHeight="1">
      <c r="A94" s="7" t="s">
        <v>2590</v>
      </c>
      <c r="B94" s="7" t="s">
        <v>2558</v>
      </c>
      <c r="C94" s="7" t="s">
        <v>2552</v>
      </c>
      <c r="D94" s="7" t="s">
        <v>2594</v>
      </c>
    </row>
    <row r="95" ht="15.75" customHeight="1">
      <c r="A95" s="7" t="s">
        <v>2590</v>
      </c>
      <c r="B95" s="7" t="s">
        <v>2560</v>
      </c>
      <c r="C95" s="7" t="s">
        <v>2552</v>
      </c>
      <c r="D95" s="7" t="s">
        <v>2595</v>
      </c>
    </row>
    <row r="96" ht="15.75" customHeight="1">
      <c r="A96" s="7" t="s">
        <v>2590</v>
      </c>
      <c r="B96" s="7" t="s">
        <v>2562</v>
      </c>
      <c r="C96" s="7" t="s">
        <v>2552</v>
      </c>
      <c r="D96" s="7" t="s">
        <v>2596</v>
      </c>
    </row>
    <row r="97" ht="15.75" customHeight="1">
      <c r="A97" s="7" t="s">
        <v>2590</v>
      </c>
      <c r="B97" s="7" t="s">
        <v>2564</v>
      </c>
      <c r="C97" s="7" t="s">
        <v>2552</v>
      </c>
      <c r="D97" s="7" t="s">
        <v>2597</v>
      </c>
    </row>
    <row r="98" ht="15.75" customHeight="1">
      <c r="A98" s="7" t="s">
        <v>2590</v>
      </c>
      <c r="B98" s="7" t="s">
        <v>2566</v>
      </c>
      <c r="C98" s="7" t="s">
        <v>2552</v>
      </c>
      <c r="D98" s="7" t="s">
        <v>2598</v>
      </c>
    </row>
    <row r="99" ht="15.75" customHeight="1">
      <c r="A99" s="7" t="s">
        <v>2590</v>
      </c>
      <c r="B99" s="7" t="s">
        <v>2568</v>
      </c>
      <c r="C99" s="7" t="s">
        <v>2552</v>
      </c>
      <c r="D99" s="7" t="s">
        <v>2599</v>
      </c>
    </row>
    <row r="100" ht="15.75" customHeight="1">
      <c r="A100" s="7" t="s">
        <v>2590</v>
      </c>
      <c r="B100" s="7" t="s">
        <v>2570</v>
      </c>
      <c r="C100" s="7" t="s">
        <v>2552</v>
      </c>
      <c r="D100" s="7" t="s">
        <v>2593</v>
      </c>
    </row>
    <row r="101" ht="15.75" customHeight="1">
      <c r="A101" s="7" t="s">
        <v>2600</v>
      </c>
      <c r="B101" s="7" t="s">
        <v>2551</v>
      </c>
      <c r="C101" s="7" t="s">
        <v>2552</v>
      </c>
      <c r="D101" s="7" t="s">
        <v>2601</v>
      </c>
    </row>
    <row r="102" ht="15.75" customHeight="1">
      <c r="A102" s="7" t="s">
        <v>2600</v>
      </c>
      <c r="B102" s="7" t="s">
        <v>2554</v>
      </c>
      <c r="C102" s="7" t="s">
        <v>2552</v>
      </c>
      <c r="D102" s="7" t="s">
        <v>2602</v>
      </c>
    </row>
    <row r="103" ht="15.75" customHeight="1">
      <c r="A103" s="7" t="s">
        <v>2600</v>
      </c>
      <c r="B103" s="7" t="s">
        <v>2556</v>
      </c>
      <c r="C103" s="7" t="s">
        <v>2552</v>
      </c>
      <c r="D103" s="7" t="s">
        <v>2603</v>
      </c>
    </row>
    <row r="104" ht="15.75" customHeight="1">
      <c r="A104" s="7" t="s">
        <v>2600</v>
      </c>
      <c r="B104" s="7" t="s">
        <v>2558</v>
      </c>
      <c r="C104" s="7" t="s">
        <v>2552</v>
      </c>
      <c r="D104" s="7" t="s">
        <v>2604</v>
      </c>
    </row>
    <row r="105" ht="15.75" customHeight="1">
      <c r="A105" s="7" t="s">
        <v>2600</v>
      </c>
      <c r="B105" s="7" t="s">
        <v>2560</v>
      </c>
      <c r="C105" s="7" t="s">
        <v>2552</v>
      </c>
      <c r="D105" s="7" t="s">
        <v>2605</v>
      </c>
    </row>
    <row r="106" ht="15.75" customHeight="1">
      <c r="A106" s="7" t="s">
        <v>2600</v>
      </c>
      <c r="B106" s="7" t="s">
        <v>2562</v>
      </c>
      <c r="C106" s="7" t="s">
        <v>2552</v>
      </c>
      <c r="D106" s="7" t="s">
        <v>2606</v>
      </c>
    </row>
    <row r="107" ht="15.75" customHeight="1">
      <c r="A107" s="7" t="s">
        <v>2600</v>
      </c>
      <c r="B107" s="7" t="s">
        <v>2564</v>
      </c>
      <c r="C107" s="7" t="s">
        <v>2552</v>
      </c>
      <c r="D107" s="7" t="s">
        <v>2607</v>
      </c>
    </row>
    <row r="108" ht="15.75" customHeight="1">
      <c r="A108" s="7" t="s">
        <v>2600</v>
      </c>
      <c r="B108" s="7" t="s">
        <v>2566</v>
      </c>
      <c r="C108" s="7" t="s">
        <v>2552</v>
      </c>
      <c r="D108" s="7" t="s">
        <v>2608</v>
      </c>
    </row>
    <row r="109" ht="15.75" customHeight="1">
      <c r="A109" s="7" t="s">
        <v>2600</v>
      </c>
      <c r="B109" s="7" t="s">
        <v>2568</v>
      </c>
      <c r="C109" s="7" t="s">
        <v>2552</v>
      </c>
      <c r="D109" s="7" t="s">
        <v>2609</v>
      </c>
    </row>
    <row r="110" ht="15.75" customHeight="1">
      <c r="A110" s="7" t="s">
        <v>2600</v>
      </c>
      <c r="B110" s="7" t="s">
        <v>2570</v>
      </c>
      <c r="C110" s="7" t="s">
        <v>2552</v>
      </c>
      <c r="D110" s="7" t="s">
        <v>2603</v>
      </c>
    </row>
    <row r="111" ht="15.75" customHeight="1">
      <c r="A111" s="7" t="s">
        <v>2610</v>
      </c>
      <c r="B111" s="7" t="s">
        <v>2611</v>
      </c>
      <c r="C111" s="7" t="s">
        <v>2612</v>
      </c>
      <c r="D111" s="7" t="s">
        <v>2613</v>
      </c>
    </row>
    <row r="112" ht="15.75" customHeight="1">
      <c r="A112" s="7" t="s">
        <v>2610</v>
      </c>
      <c r="B112" s="7" t="s">
        <v>2614</v>
      </c>
      <c r="C112" s="7" t="s">
        <v>2612</v>
      </c>
      <c r="D112" s="7" t="s">
        <v>2615</v>
      </c>
    </row>
    <row r="113" ht="15.75" customHeight="1">
      <c r="A113" s="7" t="s">
        <v>2610</v>
      </c>
      <c r="B113" s="7" t="s">
        <v>2616</v>
      </c>
      <c r="C113" s="7" t="s">
        <v>2612</v>
      </c>
      <c r="D113" s="7" t="s">
        <v>2617</v>
      </c>
    </row>
    <row r="114" ht="15.75" customHeight="1">
      <c r="A114" s="7" t="s">
        <v>2610</v>
      </c>
      <c r="B114" s="7" t="s">
        <v>2618</v>
      </c>
      <c r="C114" s="7" t="s">
        <v>2612</v>
      </c>
      <c r="D114" s="7" t="s">
        <v>2619</v>
      </c>
    </row>
    <row r="115" ht="15.75" customHeight="1">
      <c r="A115" s="7" t="s">
        <v>2610</v>
      </c>
      <c r="B115" s="7" t="s">
        <v>2620</v>
      </c>
      <c r="C115" s="7" t="s">
        <v>2612</v>
      </c>
      <c r="D115" s="7" t="s">
        <v>2621</v>
      </c>
    </row>
    <row r="116" ht="15.75" customHeight="1">
      <c r="A116" s="7" t="s">
        <v>2610</v>
      </c>
      <c r="B116" s="7" t="s">
        <v>2622</v>
      </c>
      <c r="C116" s="7" t="s">
        <v>2612</v>
      </c>
      <c r="D116" s="7" t="s">
        <v>2623</v>
      </c>
    </row>
    <row r="117" ht="15.75" customHeight="1">
      <c r="A117" s="7" t="s">
        <v>2624</v>
      </c>
      <c r="B117" s="7" t="s">
        <v>2611</v>
      </c>
      <c r="C117" s="7" t="s">
        <v>2612</v>
      </c>
      <c r="D117" s="7" t="s">
        <v>2625</v>
      </c>
    </row>
    <row r="118" ht="15.75" customHeight="1">
      <c r="A118" s="7" t="s">
        <v>2624</v>
      </c>
      <c r="B118" s="7" t="s">
        <v>2614</v>
      </c>
      <c r="C118" s="7" t="s">
        <v>2612</v>
      </c>
      <c r="D118" s="7" t="s">
        <v>2626</v>
      </c>
    </row>
    <row r="119" ht="15.75" customHeight="1">
      <c r="A119" s="7" t="s">
        <v>2624</v>
      </c>
      <c r="B119" s="7" t="s">
        <v>2616</v>
      </c>
      <c r="C119" s="7" t="s">
        <v>2612</v>
      </c>
      <c r="D119" s="7" t="s">
        <v>2627</v>
      </c>
    </row>
    <row r="120" ht="15.75" customHeight="1">
      <c r="A120" s="7" t="s">
        <v>2624</v>
      </c>
      <c r="B120" s="7" t="s">
        <v>2618</v>
      </c>
      <c r="C120" s="7" t="s">
        <v>2612</v>
      </c>
      <c r="D120" s="7" t="s">
        <v>2628</v>
      </c>
    </row>
    <row r="121" ht="15.75" customHeight="1">
      <c r="A121" s="7" t="s">
        <v>2624</v>
      </c>
      <c r="B121" s="7" t="s">
        <v>2620</v>
      </c>
      <c r="C121" s="7" t="s">
        <v>2612</v>
      </c>
      <c r="D121" s="7" t="s">
        <v>2629</v>
      </c>
    </row>
    <row r="122" ht="15.75" customHeight="1">
      <c r="A122" s="7" t="s">
        <v>2624</v>
      </c>
      <c r="B122" s="7" t="s">
        <v>2622</v>
      </c>
      <c r="C122" s="7" t="s">
        <v>2612</v>
      </c>
      <c r="D122" s="7" t="s">
        <v>2630</v>
      </c>
    </row>
    <row r="123" ht="15.75" customHeight="1">
      <c r="A123" s="7" t="s">
        <v>2631</v>
      </c>
      <c r="B123" s="7" t="s">
        <v>2632</v>
      </c>
      <c r="C123" s="7" t="s">
        <v>2633</v>
      </c>
      <c r="D123" s="7" t="s">
        <v>2634</v>
      </c>
    </row>
    <row r="124" ht="15.75" customHeight="1">
      <c r="A124" s="7" t="s">
        <v>2631</v>
      </c>
      <c r="B124" s="7" t="s">
        <v>2635</v>
      </c>
      <c r="C124" s="7" t="s">
        <v>2633</v>
      </c>
      <c r="D124" s="7" t="s">
        <v>2634</v>
      </c>
    </row>
    <row r="125" ht="15.75" customHeight="1">
      <c r="A125" s="7" t="s">
        <v>2637</v>
      </c>
      <c r="B125" s="7" t="s">
        <v>141</v>
      </c>
      <c r="C125" s="7" t="s">
        <v>2528</v>
      </c>
      <c r="D125" s="7" t="s">
        <v>2638</v>
      </c>
    </row>
    <row r="126" ht="15.75" customHeight="1">
      <c r="A126" s="7" t="s">
        <v>1484</v>
      </c>
      <c r="B126" s="7" t="s">
        <v>2639</v>
      </c>
      <c r="C126" s="7" t="s">
        <v>2640</v>
      </c>
      <c r="D126" s="7" t="s">
        <v>2641</v>
      </c>
    </row>
    <row r="127" ht="15.75" customHeight="1">
      <c r="A127" s="7" t="s">
        <v>1484</v>
      </c>
      <c r="B127" s="7" t="s">
        <v>2642</v>
      </c>
      <c r="C127" s="7" t="s">
        <v>2640</v>
      </c>
      <c r="D127" s="7" t="s">
        <v>2643</v>
      </c>
    </row>
    <row r="128" ht="15.75" customHeight="1">
      <c r="A128" s="7" t="s">
        <v>1484</v>
      </c>
      <c r="B128" s="7" t="s">
        <v>2644</v>
      </c>
      <c r="C128" s="7" t="s">
        <v>2640</v>
      </c>
      <c r="D128" s="7" t="s">
        <v>2645</v>
      </c>
    </row>
    <row r="129" ht="15.75" customHeight="1">
      <c r="A129" s="7" t="s">
        <v>2168</v>
      </c>
      <c r="B129" s="7" t="s">
        <v>462</v>
      </c>
      <c r="C129" s="7" t="s">
        <v>2646</v>
      </c>
      <c r="D129" s="7" t="s">
        <v>2647</v>
      </c>
    </row>
    <row r="130" ht="15.75" customHeight="1">
      <c r="A130" s="7" t="s">
        <v>2648</v>
      </c>
      <c r="B130" s="7" t="s">
        <v>107</v>
      </c>
      <c r="C130" s="7" t="s">
        <v>2525</v>
      </c>
      <c r="D130" s="7" t="s">
        <v>2649</v>
      </c>
    </row>
    <row r="131" ht="15.75" customHeight="1">
      <c r="A131" s="7" t="s">
        <v>2260</v>
      </c>
      <c r="B131" s="7" t="s">
        <v>2650</v>
      </c>
      <c r="C131" s="7" t="s">
        <v>2651</v>
      </c>
      <c r="D131" s="7" t="s">
        <v>2652</v>
      </c>
    </row>
    <row r="132" ht="15.75" customHeight="1">
      <c r="A132" s="7" t="s">
        <v>2260</v>
      </c>
      <c r="B132" s="7" t="s">
        <v>2653</v>
      </c>
      <c r="C132" s="7" t="s">
        <v>2651</v>
      </c>
      <c r="D132" s="7" t="s">
        <v>2652</v>
      </c>
    </row>
    <row r="133" ht="15.75" customHeight="1">
      <c r="A133" s="7" t="s">
        <v>2260</v>
      </c>
      <c r="B133" s="7" t="s">
        <v>2654</v>
      </c>
      <c r="C133" s="7" t="s">
        <v>2651</v>
      </c>
      <c r="D133" s="7" t="s">
        <v>2652</v>
      </c>
    </row>
    <row r="134" ht="15.75" customHeight="1">
      <c r="A134" s="7" t="s">
        <v>2260</v>
      </c>
      <c r="B134" s="7" t="s">
        <v>2655</v>
      </c>
      <c r="C134" s="7" t="s">
        <v>2651</v>
      </c>
      <c r="D134" s="7" t="s">
        <v>2652</v>
      </c>
    </row>
    <row r="135" ht="15.75" customHeight="1">
      <c r="A135" s="7" t="s">
        <v>2200</v>
      </c>
      <c r="B135" s="7" t="s">
        <v>2656</v>
      </c>
      <c r="C135" s="7" t="s">
        <v>2657</v>
      </c>
      <c r="D135" s="7" t="s">
        <v>2658</v>
      </c>
    </row>
    <row r="136" ht="15.75" customHeight="1">
      <c r="A136" s="7" t="s">
        <v>2200</v>
      </c>
      <c r="B136" s="7" t="s">
        <v>2659</v>
      </c>
      <c r="C136" s="7" t="s">
        <v>2657</v>
      </c>
      <c r="D136" s="7" t="s">
        <v>2660</v>
      </c>
    </row>
    <row r="137" ht="15.75" customHeight="1">
      <c r="A137" s="7" t="s">
        <v>2200</v>
      </c>
      <c r="B137" s="7" t="s">
        <v>2661</v>
      </c>
      <c r="C137" s="7" t="s">
        <v>2657</v>
      </c>
      <c r="D137" s="7" t="s">
        <v>2660</v>
      </c>
    </row>
    <row r="138" ht="15.75" customHeight="1">
      <c r="A138" s="7" t="s">
        <v>1871</v>
      </c>
      <c r="B138" s="7" t="s">
        <v>2662</v>
      </c>
      <c r="C138" s="7" t="s">
        <v>2663</v>
      </c>
      <c r="D138" s="7" t="s">
        <v>2664</v>
      </c>
    </row>
    <row r="139" ht="15.75" customHeight="1">
      <c r="A139" s="7" t="s">
        <v>1871</v>
      </c>
      <c r="B139" s="7" t="s">
        <v>2665</v>
      </c>
      <c r="C139" s="7" t="s">
        <v>2663</v>
      </c>
      <c r="D139" s="7" t="s">
        <v>2664</v>
      </c>
    </row>
    <row r="140" ht="15.75" customHeight="1">
      <c r="A140" s="7" t="s">
        <v>1871</v>
      </c>
      <c r="B140" s="7" t="s">
        <v>2666</v>
      </c>
      <c r="C140" s="7" t="s">
        <v>2663</v>
      </c>
      <c r="D140" s="7" t="s">
        <v>2667</v>
      </c>
    </row>
    <row r="141" ht="15.75" customHeight="1">
      <c r="A141" s="7" t="s">
        <v>1896</v>
      </c>
      <c r="B141" s="7" t="s">
        <v>1472</v>
      </c>
      <c r="C141" s="7" t="s">
        <v>2668</v>
      </c>
      <c r="D141" s="7" t="s">
        <v>2652</v>
      </c>
    </row>
    <row r="142" ht="15.75" customHeight="1">
      <c r="A142" s="7" t="s">
        <v>1928</v>
      </c>
      <c r="B142" s="7" t="s">
        <v>2669</v>
      </c>
      <c r="C142" s="7" t="s">
        <v>2670</v>
      </c>
      <c r="D142" s="7" t="s">
        <v>2671</v>
      </c>
    </row>
    <row r="143" ht="15.75" customHeight="1">
      <c r="A143" s="7" t="s">
        <v>1928</v>
      </c>
      <c r="B143" s="7" t="s">
        <v>2672</v>
      </c>
      <c r="C143" s="7" t="s">
        <v>2670</v>
      </c>
      <c r="D143" s="7" t="s">
        <v>2673</v>
      </c>
    </row>
    <row r="144" ht="15.75" customHeight="1">
      <c r="A144" s="7" t="s">
        <v>1928</v>
      </c>
      <c r="B144" s="7" t="s">
        <v>2674</v>
      </c>
      <c r="C144" s="7" t="s">
        <v>2670</v>
      </c>
      <c r="D144" s="7" t="s">
        <v>2675</v>
      </c>
    </row>
    <row r="145" ht="15.75" customHeight="1">
      <c r="A145" s="7" t="s">
        <v>2676</v>
      </c>
      <c r="B145" s="7" t="s">
        <v>2531</v>
      </c>
      <c r="C145" s="7" t="s">
        <v>2532</v>
      </c>
      <c r="D145" s="7" t="s">
        <v>2677</v>
      </c>
    </row>
    <row r="146" ht="15.75" customHeight="1">
      <c r="A146" s="7" t="s">
        <v>2676</v>
      </c>
      <c r="B146" s="7" t="s">
        <v>2534</v>
      </c>
      <c r="C146" s="7" t="s">
        <v>2532</v>
      </c>
      <c r="D146" s="7" t="s">
        <v>2677</v>
      </c>
    </row>
    <row r="147" ht="15.75" customHeight="1">
      <c r="A147" s="7" t="s">
        <v>2676</v>
      </c>
      <c r="B147" s="7" t="s">
        <v>2535</v>
      </c>
      <c r="C147" s="7" t="s">
        <v>2532</v>
      </c>
      <c r="D147" s="7" t="s">
        <v>2677</v>
      </c>
    </row>
    <row r="148" ht="15.75" customHeight="1">
      <c r="A148" s="7" t="s">
        <v>2676</v>
      </c>
      <c r="B148" s="7" t="s">
        <v>2536</v>
      </c>
      <c r="C148" s="7" t="s">
        <v>2532</v>
      </c>
      <c r="D148" s="7" t="s">
        <v>2677</v>
      </c>
    </row>
    <row r="149" ht="15.75" customHeight="1">
      <c r="A149" s="7" t="s">
        <v>2676</v>
      </c>
      <c r="B149" s="7" t="s">
        <v>2537</v>
      </c>
      <c r="C149" s="7" t="s">
        <v>2532</v>
      </c>
      <c r="D149" s="7" t="s">
        <v>2677</v>
      </c>
    </row>
    <row r="150" ht="15.75" customHeight="1">
      <c r="A150" s="7" t="s">
        <v>2352</v>
      </c>
      <c r="B150" s="7" t="s">
        <v>1526</v>
      </c>
      <c r="C150" s="7" t="s">
        <v>2678</v>
      </c>
      <c r="D150" s="7" t="s">
        <v>2679</v>
      </c>
    </row>
    <row r="151" ht="15.75" customHeight="1">
      <c r="A151" s="7" t="s">
        <v>541</v>
      </c>
      <c r="B151" s="7" t="s">
        <v>2680</v>
      </c>
      <c r="C151" s="7" t="s">
        <v>2681</v>
      </c>
      <c r="D151" s="7" t="s">
        <v>2682</v>
      </c>
    </row>
    <row r="152" ht="15.75" customHeight="1">
      <c r="A152" s="7" t="s">
        <v>541</v>
      </c>
      <c r="B152" s="7" t="s">
        <v>2683</v>
      </c>
      <c r="C152" s="7" t="s">
        <v>2681</v>
      </c>
      <c r="D152" s="7" t="s">
        <v>2684</v>
      </c>
    </row>
    <row r="153" ht="15.75" customHeight="1">
      <c r="A153" s="7" t="s">
        <v>541</v>
      </c>
      <c r="B153" s="7" t="s">
        <v>2685</v>
      </c>
      <c r="C153" s="7" t="s">
        <v>2681</v>
      </c>
      <c r="D153" s="7" t="s">
        <v>2686</v>
      </c>
    </row>
    <row r="154" ht="15.75" customHeight="1">
      <c r="A154" s="7" t="s">
        <v>541</v>
      </c>
      <c r="B154" s="7" t="s">
        <v>2687</v>
      </c>
      <c r="C154" s="7" t="s">
        <v>2681</v>
      </c>
      <c r="D154" s="7" t="s">
        <v>2684</v>
      </c>
    </row>
    <row r="155" ht="15.75" customHeight="1">
      <c r="A155" s="7" t="s">
        <v>541</v>
      </c>
      <c r="B155" s="7" t="s">
        <v>2688</v>
      </c>
      <c r="C155" s="7" t="s">
        <v>2681</v>
      </c>
      <c r="D155" s="7" t="s">
        <v>2684</v>
      </c>
    </row>
    <row r="156" ht="15.75" customHeight="1">
      <c r="A156" s="7" t="s">
        <v>541</v>
      </c>
      <c r="B156" s="7" t="s">
        <v>2689</v>
      </c>
      <c r="C156" s="7" t="s">
        <v>2681</v>
      </c>
      <c r="D156" s="7" t="s">
        <v>2690</v>
      </c>
    </row>
    <row r="157" ht="15.75" customHeight="1">
      <c r="A157" s="7" t="s">
        <v>541</v>
      </c>
      <c r="B157" s="7" t="s">
        <v>2691</v>
      </c>
      <c r="C157" s="7" t="s">
        <v>2681</v>
      </c>
      <c r="D157" s="7" t="s">
        <v>2684</v>
      </c>
    </row>
    <row r="158" ht="15.75" customHeight="1">
      <c r="A158" s="7" t="s">
        <v>541</v>
      </c>
      <c r="B158" s="7" t="s">
        <v>2692</v>
      </c>
      <c r="C158" s="7" t="s">
        <v>2681</v>
      </c>
      <c r="D158" s="7" t="s">
        <v>2693</v>
      </c>
    </row>
    <row r="159" ht="15.75" customHeight="1">
      <c r="A159" s="7" t="s">
        <v>541</v>
      </c>
      <c r="B159" s="7" t="s">
        <v>2694</v>
      </c>
      <c r="C159" s="7" t="s">
        <v>2681</v>
      </c>
      <c r="D159" s="7" t="s">
        <v>2682</v>
      </c>
    </row>
    <row r="160" ht="15.75" customHeight="1">
      <c r="A160" s="7" t="s">
        <v>541</v>
      </c>
      <c r="B160" s="7" t="s">
        <v>2695</v>
      </c>
      <c r="C160" s="7" t="s">
        <v>2681</v>
      </c>
      <c r="D160" s="7" t="s">
        <v>2696</v>
      </c>
    </row>
    <row r="161" ht="15.75" customHeight="1">
      <c r="A161" s="7" t="s">
        <v>541</v>
      </c>
      <c r="B161" s="7" t="s">
        <v>2697</v>
      </c>
      <c r="C161" s="7" t="s">
        <v>2681</v>
      </c>
      <c r="D161" s="7" t="s">
        <v>2690</v>
      </c>
    </row>
    <row r="162" ht="15.75" customHeight="1">
      <c r="A162" s="7" t="s">
        <v>541</v>
      </c>
      <c r="B162" s="7" t="s">
        <v>2698</v>
      </c>
      <c r="C162" s="7" t="s">
        <v>2681</v>
      </c>
      <c r="D162" s="7" t="s">
        <v>2682</v>
      </c>
    </row>
    <row r="163" ht="15.75" customHeight="1">
      <c r="A163" s="7" t="s">
        <v>2366</v>
      </c>
      <c r="B163" s="7" t="s">
        <v>1618</v>
      </c>
      <c r="C163" s="7" t="s">
        <v>2700</v>
      </c>
      <c r="D163" s="7" t="s">
        <v>2701</v>
      </c>
    </row>
    <row r="164" ht="15.75" customHeight="1">
      <c r="A164" s="7" t="s">
        <v>2702</v>
      </c>
      <c r="B164" s="7" t="s">
        <v>2632</v>
      </c>
      <c r="C164" s="7" t="s">
        <v>2633</v>
      </c>
      <c r="D164" s="7" t="s">
        <v>2703</v>
      </c>
    </row>
    <row r="165" ht="15.75" customHeight="1">
      <c r="A165" s="7" t="s">
        <v>2702</v>
      </c>
      <c r="B165" s="7" t="s">
        <v>2635</v>
      </c>
      <c r="C165" s="7" t="s">
        <v>2633</v>
      </c>
      <c r="D165" s="7" t="s">
        <v>2703</v>
      </c>
    </row>
    <row r="166" ht="15.75" customHeight="1">
      <c r="A166" s="7" t="s">
        <v>2417</v>
      </c>
      <c r="B166" s="7" t="s">
        <v>2704</v>
      </c>
      <c r="C166" s="7" t="s">
        <v>2705</v>
      </c>
      <c r="D166" s="7" t="s">
        <v>2706</v>
      </c>
    </row>
    <row r="167" ht="15.75" customHeight="1">
      <c r="A167" s="7" t="s">
        <v>2417</v>
      </c>
      <c r="B167" s="7" t="s">
        <v>2707</v>
      </c>
      <c r="C167" s="7" t="s">
        <v>2705</v>
      </c>
      <c r="D167" s="7" t="s">
        <v>2708</v>
      </c>
    </row>
    <row r="168" ht="15.75" customHeight="1">
      <c r="A168" s="7"/>
    </row>
    <row r="169" ht="15.75" customHeight="1">
      <c r="A169" s="7" t="s">
        <v>2509</v>
      </c>
      <c r="B169" s="30" t="s">
        <v>2710</v>
      </c>
    </row>
    <row r="170" ht="15.75" customHeight="1">
      <c r="A170" s="7"/>
    </row>
    <row r="171" ht="15.75" customHeight="1">
      <c r="A171" s="7"/>
    </row>
    <row r="172" ht="15.75" customHeight="1">
      <c r="A172" s="37" t="s">
        <v>2711</v>
      </c>
    </row>
    <row r="173" ht="15.75" customHeight="1">
      <c r="A173" s="7" t="s">
        <v>2712</v>
      </c>
      <c r="B173" s="16">
        <v>541.0</v>
      </c>
    </row>
    <row r="174" ht="15.75" customHeight="1">
      <c r="A174" s="7" t="s">
        <v>2713</v>
      </c>
      <c r="B174" s="16">
        <v>145.0</v>
      </c>
    </row>
    <row r="175" ht="15.75" customHeight="1">
      <c r="A175" s="7" t="s">
        <v>2714</v>
      </c>
      <c r="B175" s="16">
        <v>65.0</v>
      </c>
    </row>
    <row r="176" ht="15.75" customHeight="1">
      <c r="A176" s="7" t="s">
        <v>2715</v>
      </c>
      <c r="B176" s="16">
        <v>80.0</v>
      </c>
    </row>
    <row r="177" ht="15.75" customHeight="1">
      <c r="A177" s="7" t="s">
        <v>2716</v>
      </c>
      <c r="B177" s="16">
        <v>25.0</v>
      </c>
    </row>
    <row r="178" ht="15.75" customHeight="1">
      <c r="A178" s="7" t="s">
        <v>2718</v>
      </c>
      <c r="B178" s="16">
        <v>25.0</v>
      </c>
    </row>
    <row r="179" ht="15.75" customHeight="1">
      <c r="A179" s="7" t="s">
        <v>2719</v>
      </c>
      <c r="B179" s="16">
        <v>0.0</v>
      </c>
    </row>
    <row r="180" ht="15.75" customHeight="1">
      <c r="A180" s="7" t="s">
        <v>2720</v>
      </c>
      <c r="B180" s="16">
        <v>8.0</v>
      </c>
    </row>
    <row r="181" ht="15.75" customHeight="1">
      <c r="A181" s="7" t="s">
        <v>2721</v>
      </c>
      <c r="B181" s="16">
        <v>379.0</v>
      </c>
    </row>
    <row r="182" ht="15.75" customHeight="1">
      <c r="A182" s="7"/>
    </row>
    <row r="183" ht="15.75" customHeight="1">
      <c r="A183" s="7" t="s">
        <v>2722</v>
      </c>
      <c r="B183" s="16" t="s">
        <v>2723</v>
      </c>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9" t="s">
        <v>2699</v>
      </c>
      <c r="B1" s="40"/>
      <c r="C1" s="40"/>
      <c r="D1" s="40"/>
      <c r="E1" s="40"/>
      <c r="F1" s="40"/>
      <c r="G1" s="40"/>
      <c r="H1" s="40"/>
      <c r="I1" s="40"/>
      <c r="J1" s="40"/>
      <c r="K1" s="40"/>
      <c r="L1" s="40"/>
      <c r="M1" s="40"/>
      <c r="N1" s="40"/>
      <c r="O1" s="40"/>
      <c r="P1" s="40"/>
      <c r="Q1" s="40"/>
      <c r="R1" s="40"/>
      <c r="S1" s="40"/>
      <c r="T1" s="40"/>
      <c r="U1" s="40"/>
      <c r="V1" s="40"/>
    </row>
    <row r="2">
      <c r="A2" s="41" t="s">
        <v>2709</v>
      </c>
      <c r="K2" s="40"/>
      <c r="L2" s="40"/>
      <c r="M2" s="40"/>
      <c r="N2" s="40"/>
      <c r="O2" s="40"/>
      <c r="P2" s="40"/>
      <c r="Q2" s="40"/>
      <c r="R2" s="40"/>
      <c r="S2" s="40"/>
      <c r="T2" s="40"/>
      <c r="U2" s="40"/>
      <c r="V2" s="40"/>
    </row>
    <row r="3">
      <c r="A3" s="40"/>
      <c r="B3" s="40"/>
      <c r="C3" s="40"/>
      <c r="D3" s="40"/>
      <c r="E3" s="40"/>
      <c r="F3" s="40"/>
      <c r="G3" s="40"/>
      <c r="H3" s="40"/>
      <c r="I3" s="40"/>
      <c r="J3" s="40"/>
      <c r="K3" s="40"/>
      <c r="L3" s="40"/>
      <c r="M3" s="40"/>
      <c r="N3" s="40"/>
      <c r="O3" s="40"/>
      <c r="P3" s="40"/>
      <c r="Q3" s="40"/>
      <c r="R3" s="40"/>
      <c r="S3" s="40"/>
      <c r="T3" s="40"/>
      <c r="U3" s="40"/>
      <c r="V3" s="40"/>
    </row>
    <row r="4">
      <c r="A4" s="42" t="s">
        <v>3</v>
      </c>
      <c r="B4" s="40"/>
      <c r="C4" s="40"/>
      <c r="D4" s="40"/>
      <c r="E4" s="40"/>
      <c r="F4" s="42" t="s">
        <v>2717</v>
      </c>
      <c r="G4" s="40"/>
      <c r="H4" s="40"/>
      <c r="I4" s="40"/>
      <c r="J4" s="40"/>
      <c r="K4" s="40"/>
      <c r="U4" s="40"/>
      <c r="V4" s="40"/>
    </row>
    <row r="5">
      <c r="A5" s="43" t="s">
        <v>57</v>
      </c>
      <c r="B5" s="44">
        <v>16.0</v>
      </c>
      <c r="C5" s="44">
        <v>16.0</v>
      </c>
      <c r="D5" s="40"/>
      <c r="E5" s="44">
        <v>1.0</v>
      </c>
      <c r="F5" s="43" t="s">
        <v>47</v>
      </c>
      <c r="G5" s="44">
        <v>407.0</v>
      </c>
      <c r="H5" s="40"/>
      <c r="I5" s="40"/>
      <c r="J5" s="40"/>
      <c r="U5" s="40"/>
      <c r="V5" s="40"/>
    </row>
    <row r="6">
      <c r="A6" s="43" t="s">
        <v>61</v>
      </c>
      <c r="B6" s="44">
        <v>1.0</v>
      </c>
      <c r="C6" s="45">
        <v>1000001.0</v>
      </c>
      <c r="D6" s="40"/>
      <c r="E6" s="44">
        <v>2.0</v>
      </c>
      <c r="F6" s="43" t="s">
        <v>78</v>
      </c>
      <c r="G6" s="44">
        <v>25.0</v>
      </c>
      <c r="H6" s="40"/>
      <c r="I6" s="40"/>
      <c r="J6" s="40"/>
      <c r="U6" s="40"/>
      <c r="V6" s="40"/>
    </row>
    <row r="7">
      <c r="A7" s="43" t="s">
        <v>62</v>
      </c>
      <c r="B7" s="44">
        <v>21.0</v>
      </c>
      <c r="C7" s="44">
        <v>21.0</v>
      </c>
      <c r="D7" s="40"/>
      <c r="E7" s="44">
        <v>3.0</v>
      </c>
      <c r="F7" s="43" t="s">
        <v>62</v>
      </c>
      <c r="G7" s="44">
        <v>21.0</v>
      </c>
      <c r="H7" s="40"/>
      <c r="I7" s="40"/>
      <c r="J7" s="40"/>
      <c r="U7" s="40"/>
      <c r="V7" s="40"/>
    </row>
    <row r="8">
      <c r="A8" s="43" t="s">
        <v>47</v>
      </c>
      <c r="B8" s="44">
        <v>407.0</v>
      </c>
      <c r="C8" s="44">
        <v>407.0</v>
      </c>
      <c r="D8" s="40"/>
      <c r="E8" s="44">
        <v>4.0</v>
      </c>
      <c r="F8" s="43" t="s">
        <v>64</v>
      </c>
      <c r="G8" s="44">
        <v>19.0</v>
      </c>
      <c r="H8" s="40"/>
      <c r="I8" s="40"/>
      <c r="J8" s="40"/>
      <c r="U8" s="40"/>
      <c r="V8" s="40"/>
    </row>
    <row r="9">
      <c r="A9" s="43" t="s">
        <v>64</v>
      </c>
      <c r="B9" s="44">
        <v>19.0</v>
      </c>
      <c r="C9" s="44">
        <v>19.0</v>
      </c>
      <c r="D9" s="40"/>
      <c r="E9" s="44">
        <v>5.0</v>
      </c>
      <c r="F9" s="43" t="s">
        <v>57</v>
      </c>
      <c r="G9" s="44">
        <v>16.0</v>
      </c>
      <c r="H9" s="40"/>
      <c r="I9" s="40"/>
      <c r="J9" s="40"/>
      <c r="U9" s="40"/>
      <c r="V9" s="40"/>
    </row>
    <row r="10">
      <c r="A10" s="43" t="s">
        <v>65</v>
      </c>
      <c r="B10" s="44">
        <v>0.0</v>
      </c>
      <c r="C10" s="45">
        <v>1.0</v>
      </c>
      <c r="D10" s="40"/>
      <c r="E10" s="44">
        <v>6.0</v>
      </c>
      <c r="F10" s="43" t="s">
        <v>73</v>
      </c>
      <c r="G10" s="44">
        <v>14.0</v>
      </c>
      <c r="H10" s="40"/>
      <c r="I10" s="40"/>
      <c r="J10" s="40"/>
      <c r="U10" s="40"/>
      <c r="V10" s="40"/>
    </row>
    <row r="11">
      <c r="A11" s="43" t="s">
        <v>66</v>
      </c>
      <c r="B11" s="44">
        <v>11.0</v>
      </c>
      <c r="C11" s="44">
        <v>11.0</v>
      </c>
      <c r="D11" s="40"/>
      <c r="E11" s="44">
        <v>7.0</v>
      </c>
      <c r="F11" s="43" t="s">
        <v>30</v>
      </c>
      <c r="G11" s="44">
        <v>12.0</v>
      </c>
      <c r="H11" s="40"/>
      <c r="I11" s="40"/>
      <c r="J11" s="40"/>
      <c r="U11" s="40"/>
      <c r="V11" s="40"/>
    </row>
    <row r="12">
      <c r="A12" s="43" t="s">
        <v>68</v>
      </c>
      <c r="B12" s="44">
        <v>2.0</v>
      </c>
      <c r="C12" s="45">
        <v>2000001.0</v>
      </c>
      <c r="D12" s="40"/>
      <c r="E12" s="44">
        <v>8.0</v>
      </c>
      <c r="F12" s="43" t="s">
        <v>66</v>
      </c>
      <c r="G12" s="44">
        <v>11.0</v>
      </c>
      <c r="H12" s="40"/>
      <c r="I12" s="40"/>
      <c r="J12" s="40"/>
      <c r="U12" s="40"/>
      <c r="V12" s="40"/>
    </row>
    <row r="13">
      <c r="A13" s="43" t="s">
        <v>28</v>
      </c>
      <c r="B13" s="44">
        <v>2.0</v>
      </c>
      <c r="C13" s="45">
        <v>2000001.0</v>
      </c>
      <c r="D13" s="40"/>
      <c r="E13" s="44">
        <v>9.0</v>
      </c>
      <c r="F13" s="43" t="s">
        <v>71</v>
      </c>
      <c r="G13" s="44">
        <v>5.0</v>
      </c>
      <c r="H13" s="40"/>
      <c r="I13" s="40"/>
      <c r="J13" s="40"/>
      <c r="U13" s="40"/>
      <c r="V13" s="40"/>
    </row>
    <row r="14">
      <c r="A14" s="43" t="s">
        <v>71</v>
      </c>
      <c r="B14" s="44">
        <v>5.0</v>
      </c>
      <c r="C14" s="45">
        <v>5000001.0</v>
      </c>
      <c r="D14" s="40"/>
      <c r="E14" s="44">
        <v>10.0</v>
      </c>
      <c r="F14" s="43" t="s">
        <v>77</v>
      </c>
      <c r="G14" s="44">
        <v>4.0</v>
      </c>
      <c r="H14" s="40"/>
      <c r="I14" s="40"/>
      <c r="J14" s="40"/>
      <c r="U14" s="40"/>
      <c r="V14" s="40"/>
    </row>
    <row r="15">
      <c r="A15" s="43" t="s">
        <v>73</v>
      </c>
      <c r="B15" s="44">
        <v>14.0</v>
      </c>
      <c r="C15" s="44">
        <v>14.0</v>
      </c>
      <c r="D15" s="40"/>
      <c r="E15" s="44">
        <v>11.0</v>
      </c>
      <c r="F15" s="43" t="s">
        <v>74</v>
      </c>
      <c r="G15" s="44">
        <v>2.0</v>
      </c>
      <c r="H15" s="40"/>
      <c r="I15" s="40"/>
      <c r="J15" s="40"/>
      <c r="U15" s="40"/>
      <c r="V15" s="40"/>
    </row>
    <row r="16">
      <c r="A16" s="43" t="s">
        <v>74</v>
      </c>
      <c r="B16" s="44">
        <v>2.0</v>
      </c>
      <c r="C16" s="45">
        <v>2000002.0</v>
      </c>
      <c r="D16" s="40"/>
      <c r="E16" s="44">
        <v>12.0</v>
      </c>
      <c r="F16" s="43" t="s">
        <v>28</v>
      </c>
      <c r="G16" s="44">
        <v>2.0</v>
      </c>
      <c r="H16" s="40"/>
      <c r="I16" s="40"/>
      <c r="J16" s="40"/>
      <c r="U16" s="40"/>
      <c r="V16" s="40"/>
    </row>
    <row r="17">
      <c r="A17" s="43" t="s">
        <v>30</v>
      </c>
      <c r="B17" s="44">
        <v>12.0</v>
      </c>
      <c r="C17" s="44">
        <v>12.0</v>
      </c>
      <c r="D17" s="40"/>
      <c r="E17" s="44">
        <v>13.0</v>
      </c>
      <c r="F17" s="43" t="s">
        <v>68</v>
      </c>
      <c r="G17" s="44">
        <v>2.0</v>
      </c>
      <c r="H17" s="40"/>
      <c r="I17" s="40"/>
      <c r="J17" s="40"/>
      <c r="U17" s="40"/>
      <c r="V17" s="40"/>
    </row>
    <row r="18">
      <c r="A18" s="43" t="s">
        <v>76</v>
      </c>
      <c r="B18" s="44">
        <v>0.0</v>
      </c>
      <c r="C18" s="44" t="s">
        <v>2724</v>
      </c>
      <c r="D18" s="40"/>
      <c r="E18" s="44">
        <v>14.0</v>
      </c>
      <c r="F18" s="43" t="s">
        <v>61</v>
      </c>
      <c r="G18" s="44">
        <v>1.0</v>
      </c>
      <c r="H18" s="40"/>
      <c r="I18" s="40"/>
      <c r="J18" s="40"/>
      <c r="U18" s="40"/>
      <c r="V18" s="40"/>
    </row>
    <row r="19">
      <c r="A19" s="43" t="s">
        <v>77</v>
      </c>
      <c r="B19" s="44">
        <v>4.0</v>
      </c>
      <c r="C19" s="45">
        <v>4000002.0</v>
      </c>
      <c r="D19" s="40"/>
      <c r="E19" s="44">
        <v>15.0</v>
      </c>
      <c r="F19" s="43" t="s">
        <v>76</v>
      </c>
      <c r="G19" s="44">
        <v>0.0</v>
      </c>
      <c r="H19" s="40"/>
      <c r="I19" s="40"/>
      <c r="J19" s="40"/>
      <c r="U19" s="40"/>
      <c r="V19" s="40"/>
    </row>
    <row r="20">
      <c r="A20" s="43" t="s">
        <v>78</v>
      </c>
      <c r="B20" s="44">
        <v>25.0</v>
      </c>
      <c r="C20" s="44">
        <v>25.0</v>
      </c>
      <c r="D20" s="40"/>
      <c r="E20" s="44">
        <v>16.0</v>
      </c>
      <c r="F20" s="43" t="s">
        <v>65</v>
      </c>
      <c r="G20" s="44">
        <v>0.0</v>
      </c>
      <c r="H20" s="40"/>
      <c r="I20" s="40"/>
      <c r="J20" s="40"/>
      <c r="U20" s="40"/>
      <c r="V20" s="40"/>
    </row>
    <row r="21">
      <c r="A21" s="40"/>
      <c r="B21" s="40"/>
      <c r="C21" s="40"/>
      <c r="D21" s="40"/>
      <c r="E21" s="40"/>
      <c r="F21" s="40"/>
      <c r="G21" s="40"/>
      <c r="H21" s="40"/>
      <c r="I21" s="40"/>
      <c r="J21" s="40"/>
      <c r="U21" s="40"/>
      <c r="V21" s="40"/>
    </row>
    <row r="22">
      <c r="A22" s="40"/>
      <c r="B22" s="40"/>
      <c r="C22" s="40"/>
      <c r="D22" s="40"/>
      <c r="E22" s="40"/>
      <c r="F22" s="40"/>
      <c r="G22" s="40"/>
      <c r="H22" s="40"/>
      <c r="I22" s="40"/>
      <c r="J22" s="40"/>
      <c r="K22" s="40"/>
      <c r="L22" s="40"/>
      <c r="M22" s="40"/>
      <c r="N22" s="40"/>
      <c r="O22" s="40"/>
      <c r="P22" s="40"/>
      <c r="Q22" s="40"/>
      <c r="R22" s="40"/>
      <c r="S22" s="40"/>
      <c r="T22" s="40"/>
      <c r="U22" s="40"/>
      <c r="V22" s="40"/>
    </row>
    <row r="23">
      <c r="A23" s="42" t="s">
        <v>2725</v>
      </c>
      <c r="B23" s="40"/>
      <c r="C23" s="40"/>
      <c r="D23" s="40"/>
      <c r="E23" s="40"/>
      <c r="F23" s="42" t="s">
        <v>2726</v>
      </c>
      <c r="I23" s="40"/>
      <c r="J23" s="40"/>
      <c r="K23" s="40"/>
      <c r="U23" s="40"/>
      <c r="V23" s="40"/>
    </row>
    <row r="24">
      <c r="A24" s="43" t="s">
        <v>57</v>
      </c>
      <c r="B24" s="44">
        <v>16.0</v>
      </c>
      <c r="C24" s="44">
        <v>16.0</v>
      </c>
      <c r="D24" s="40"/>
      <c r="E24" s="44">
        <v>1.0</v>
      </c>
      <c r="F24" s="43" t="s">
        <v>78</v>
      </c>
      <c r="G24" s="44">
        <v>25.0</v>
      </c>
      <c r="H24" s="40"/>
      <c r="I24" s="40"/>
      <c r="J24" s="40"/>
      <c r="U24" s="40"/>
      <c r="V24" s="40"/>
    </row>
    <row r="25">
      <c r="A25" s="43" t="s">
        <v>61</v>
      </c>
      <c r="B25" s="44">
        <v>1.0</v>
      </c>
      <c r="C25" s="45">
        <v>1000003.0</v>
      </c>
      <c r="D25" s="40"/>
      <c r="E25" s="44">
        <v>2.0</v>
      </c>
      <c r="F25" s="43" t="s">
        <v>62</v>
      </c>
      <c r="G25" s="44">
        <v>21.0</v>
      </c>
      <c r="H25" s="40"/>
      <c r="I25" s="40"/>
      <c r="J25" s="40"/>
      <c r="U25" s="40"/>
      <c r="V25" s="40"/>
    </row>
    <row r="26">
      <c r="A26" s="43" t="s">
        <v>62</v>
      </c>
      <c r="B26" s="44">
        <v>21.0</v>
      </c>
      <c r="C26" s="44">
        <v>21.0</v>
      </c>
      <c r="D26" s="40"/>
      <c r="E26" s="44">
        <v>3.0</v>
      </c>
      <c r="F26" s="43" t="s">
        <v>64</v>
      </c>
      <c r="G26" s="44">
        <v>19.0</v>
      </c>
      <c r="H26" s="40"/>
      <c r="I26" s="40"/>
      <c r="J26" s="40"/>
      <c r="U26" s="40"/>
      <c r="V26" s="40"/>
    </row>
    <row r="27">
      <c r="A27" s="43" t="s">
        <v>64</v>
      </c>
      <c r="B27" s="44">
        <v>19.0</v>
      </c>
      <c r="C27" s="44">
        <v>19.0</v>
      </c>
      <c r="D27" s="40"/>
      <c r="E27" s="44">
        <v>4.0</v>
      </c>
      <c r="F27" s="43" t="s">
        <v>57</v>
      </c>
      <c r="G27" s="44">
        <v>16.0</v>
      </c>
      <c r="H27" s="40"/>
      <c r="I27" s="40"/>
      <c r="J27" s="40"/>
      <c r="U27" s="40"/>
      <c r="V27" s="40"/>
    </row>
    <row r="28">
      <c r="A28" s="43" t="s">
        <v>65</v>
      </c>
      <c r="B28" s="44">
        <v>0.0</v>
      </c>
      <c r="C28" s="44" t="s">
        <v>2727</v>
      </c>
      <c r="D28" s="40"/>
      <c r="E28" s="44">
        <v>5.0</v>
      </c>
      <c r="F28" s="43" t="s">
        <v>73</v>
      </c>
      <c r="G28" s="44">
        <v>14.0</v>
      </c>
      <c r="H28" s="40"/>
      <c r="I28" s="40"/>
      <c r="J28" s="40"/>
      <c r="U28" s="40"/>
      <c r="V28" s="40"/>
    </row>
    <row r="29">
      <c r="A29" s="43" t="s">
        <v>66</v>
      </c>
      <c r="B29" s="44">
        <v>11.0</v>
      </c>
      <c r="C29" s="44">
        <v>11.0</v>
      </c>
      <c r="D29" s="40"/>
      <c r="E29" s="44">
        <v>6.0</v>
      </c>
      <c r="F29" s="43" t="s">
        <v>30</v>
      </c>
      <c r="G29" s="44">
        <v>12.0</v>
      </c>
      <c r="H29" s="40"/>
      <c r="I29" s="40"/>
      <c r="J29" s="40"/>
      <c r="U29" s="40"/>
      <c r="V29" s="40"/>
    </row>
    <row r="30">
      <c r="A30" s="43" t="s">
        <v>68</v>
      </c>
      <c r="B30" s="44">
        <v>2.0</v>
      </c>
      <c r="C30" s="45">
        <v>2000003.0</v>
      </c>
      <c r="D30" s="40"/>
      <c r="E30" s="44">
        <v>7.0</v>
      </c>
      <c r="F30" s="43" t="s">
        <v>66</v>
      </c>
      <c r="G30" s="44">
        <v>11.0</v>
      </c>
      <c r="H30" s="40"/>
      <c r="I30" s="40"/>
      <c r="J30" s="40"/>
      <c r="U30" s="40"/>
      <c r="V30" s="40"/>
    </row>
    <row r="31">
      <c r="A31" s="43" t="s">
        <v>28</v>
      </c>
      <c r="B31" s="44">
        <v>2.0</v>
      </c>
      <c r="C31" s="45">
        <v>2000003.0</v>
      </c>
      <c r="D31" s="40"/>
      <c r="E31" s="44">
        <v>8.0</v>
      </c>
      <c r="F31" s="43" t="s">
        <v>71</v>
      </c>
      <c r="G31" s="44">
        <v>5.0</v>
      </c>
      <c r="H31" s="40"/>
      <c r="I31" s="40"/>
      <c r="J31" s="40"/>
      <c r="U31" s="40"/>
      <c r="V31" s="40"/>
    </row>
    <row r="32">
      <c r="A32" s="43" t="s">
        <v>71</v>
      </c>
      <c r="B32" s="44">
        <v>5.0</v>
      </c>
      <c r="C32" s="45">
        <v>5000003.0</v>
      </c>
      <c r="D32" s="40"/>
      <c r="E32" s="44">
        <v>9.0</v>
      </c>
      <c r="F32" s="43" t="s">
        <v>77</v>
      </c>
      <c r="G32" s="44">
        <v>4.0</v>
      </c>
      <c r="H32" s="40"/>
      <c r="I32" s="40"/>
      <c r="J32" s="40"/>
      <c r="U32" s="40"/>
      <c r="V32" s="40"/>
    </row>
    <row r="33">
      <c r="A33" s="43" t="s">
        <v>73</v>
      </c>
      <c r="B33" s="44">
        <v>14.0</v>
      </c>
      <c r="C33" s="44">
        <v>14.0</v>
      </c>
      <c r="D33" s="40"/>
      <c r="E33" s="44">
        <v>10.0</v>
      </c>
      <c r="F33" s="43" t="s">
        <v>74</v>
      </c>
      <c r="G33" s="44">
        <v>2.0</v>
      </c>
      <c r="H33" s="40"/>
      <c r="I33" s="40"/>
      <c r="J33" s="40"/>
      <c r="U33" s="40"/>
      <c r="V33" s="40"/>
    </row>
    <row r="34">
      <c r="A34" s="43" t="s">
        <v>74</v>
      </c>
      <c r="B34" s="44">
        <v>2.0</v>
      </c>
      <c r="C34" s="45">
        <v>2000003.0</v>
      </c>
      <c r="D34" s="40"/>
      <c r="E34" s="44">
        <v>11.0</v>
      </c>
      <c r="F34" s="43" t="s">
        <v>28</v>
      </c>
      <c r="G34" s="44">
        <v>2.0</v>
      </c>
      <c r="H34" s="40"/>
      <c r="I34" s="40"/>
      <c r="J34" s="40"/>
      <c r="U34" s="40"/>
      <c r="V34" s="40"/>
    </row>
    <row r="35">
      <c r="A35" s="43" t="s">
        <v>30</v>
      </c>
      <c r="B35" s="44">
        <v>12.0</v>
      </c>
      <c r="C35" s="44">
        <v>12.0</v>
      </c>
      <c r="D35" s="40"/>
      <c r="E35" s="44">
        <v>12.0</v>
      </c>
      <c r="F35" s="43" t="s">
        <v>68</v>
      </c>
      <c r="G35" s="44">
        <v>2.0</v>
      </c>
      <c r="H35" s="40"/>
      <c r="I35" s="40"/>
      <c r="J35" s="40"/>
      <c r="U35" s="40"/>
      <c r="V35" s="40"/>
    </row>
    <row r="36">
      <c r="A36" s="43" t="s">
        <v>76</v>
      </c>
      <c r="B36" s="44">
        <v>0.0</v>
      </c>
      <c r="C36" s="44" t="s">
        <v>2728</v>
      </c>
      <c r="D36" s="40"/>
      <c r="E36" s="44">
        <v>13.0</v>
      </c>
      <c r="F36" s="43" t="s">
        <v>61</v>
      </c>
      <c r="G36" s="44">
        <v>1.0</v>
      </c>
      <c r="H36" s="40"/>
      <c r="I36" s="40"/>
      <c r="J36" s="40"/>
      <c r="U36" s="40"/>
      <c r="V36" s="40"/>
    </row>
    <row r="37">
      <c r="A37" s="43" t="s">
        <v>77</v>
      </c>
      <c r="B37" s="44">
        <v>4.0</v>
      </c>
      <c r="C37" s="45">
        <v>4000004.0</v>
      </c>
      <c r="D37" s="40"/>
      <c r="E37" s="44">
        <v>14.0</v>
      </c>
      <c r="F37" s="43" t="s">
        <v>76</v>
      </c>
      <c r="G37" s="44">
        <v>0.0</v>
      </c>
      <c r="H37" s="40"/>
      <c r="I37" s="40"/>
      <c r="J37" s="40"/>
      <c r="U37" s="40"/>
      <c r="V37" s="40"/>
    </row>
    <row r="38">
      <c r="A38" s="43" t="s">
        <v>78</v>
      </c>
      <c r="B38" s="44">
        <v>25.0</v>
      </c>
      <c r="C38" s="44">
        <v>25.0</v>
      </c>
      <c r="D38" s="40"/>
      <c r="E38" s="44">
        <v>15.0</v>
      </c>
      <c r="F38" s="43" t="s">
        <v>65</v>
      </c>
      <c r="G38" s="44">
        <v>0.0</v>
      </c>
      <c r="H38" s="40"/>
      <c r="I38" s="40"/>
      <c r="J38" s="40"/>
      <c r="U38" s="40"/>
      <c r="V38" s="40"/>
    </row>
    <row r="39">
      <c r="A39" s="40"/>
      <c r="B39" s="40"/>
      <c r="C39" s="40"/>
      <c r="D39" s="40"/>
      <c r="E39" s="40"/>
      <c r="F39" s="40"/>
      <c r="G39" s="40"/>
      <c r="H39" s="40"/>
      <c r="I39" s="40"/>
      <c r="J39" s="40"/>
      <c r="U39" s="40"/>
      <c r="V39" s="40"/>
    </row>
    <row r="40">
      <c r="A40" s="40"/>
      <c r="B40" s="40"/>
      <c r="C40" s="40"/>
      <c r="D40" s="40"/>
      <c r="E40" s="40"/>
      <c r="F40" s="40"/>
      <c r="G40" s="40"/>
      <c r="H40" s="40"/>
      <c r="I40" s="40"/>
      <c r="J40" s="40"/>
      <c r="K40" s="40"/>
      <c r="L40" s="40"/>
      <c r="M40" s="40"/>
      <c r="N40" s="40"/>
      <c r="O40" s="40"/>
      <c r="P40" s="40"/>
      <c r="Q40" s="40"/>
      <c r="R40" s="40"/>
      <c r="S40" s="40"/>
      <c r="T40" s="40"/>
      <c r="U40" s="40"/>
      <c r="V40" s="40"/>
    </row>
    <row r="41">
      <c r="A41" s="42" t="s">
        <v>2730</v>
      </c>
      <c r="B41" s="40"/>
      <c r="C41" s="40"/>
      <c r="D41" s="40"/>
      <c r="E41" s="40"/>
      <c r="F41" s="40"/>
      <c r="G41" s="40"/>
      <c r="H41" s="40"/>
      <c r="I41" s="40"/>
      <c r="J41" s="40"/>
      <c r="K41" s="40"/>
      <c r="U41" s="40"/>
      <c r="V41" s="40"/>
    </row>
    <row r="42">
      <c r="A42" s="43" t="s">
        <v>47</v>
      </c>
      <c r="B42" s="44">
        <v>407.0</v>
      </c>
      <c r="C42" s="40"/>
      <c r="D42" s="40"/>
      <c r="E42" s="40"/>
      <c r="F42" s="40"/>
      <c r="G42" s="40"/>
      <c r="H42" s="40"/>
      <c r="I42" s="40"/>
      <c r="J42" s="40"/>
      <c r="U42" s="40"/>
      <c r="V42" s="40"/>
    </row>
    <row r="43">
      <c r="A43" s="43" t="s">
        <v>2731</v>
      </c>
      <c r="B43" s="44">
        <v>134.0</v>
      </c>
      <c r="C43" s="40"/>
      <c r="D43" s="40"/>
      <c r="E43" s="40"/>
      <c r="F43" s="40"/>
      <c r="G43" s="40"/>
      <c r="H43" s="40"/>
      <c r="I43" s="40"/>
      <c r="J43" s="40"/>
      <c r="U43" s="40"/>
      <c r="V43" s="40"/>
    </row>
    <row r="44">
      <c r="A44" s="40"/>
      <c r="B44" s="40"/>
      <c r="C44" s="40"/>
      <c r="D44" s="40"/>
      <c r="E44" s="40"/>
      <c r="F44" s="40"/>
      <c r="G44" s="40"/>
      <c r="H44" s="40"/>
      <c r="I44" s="40"/>
      <c r="J44" s="40"/>
      <c r="U44" s="40"/>
      <c r="V44" s="40"/>
    </row>
    <row r="45">
      <c r="A45" s="40"/>
      <c r="B45" s="40"/>
      <c r="C45" s="40"/>
      <c r="D45" s="40"/>
      <c r="E45" s="40"/>
      <c r="F45" s="40"/>
      <c r="G45" s="40"/>
      <c r="H45" s="40"/>
      <c r="I45" s="40"/>
      <c r="J45" s="40"/>
      <c r="U45" s="40"/>
      <c r="V45" s="40"/>
    </row>
    <row r="46">
      <c r="A46" s="42" t="s">
        <v>8</v>
      </c>
      <c r="B46" s="40"/>
      <c r="C46" s="40"/>
      <c r="D46" s="40"/>
      <c r="E46" s="40"/>
      <c r="F46" s="40"/>
      <c r="G46" s="40"/>
      <c r="H46" s="40"/>
      <c r="I46" s="40"/>
      <c r="J46" s="40"/>
      <c r="U46" s="40"/>
      <c r="V46" s="40"/>
    </row>
    <row r="47">
      <c r="A47" s="43" t="s">
        <v>85</v>
      </c>
      <c r="B47" s="44">
        <v>14.0</v>
      </c>
      <c r="C47" s="40"/>
      <c r="D47" s="40"/>
      <c r="E47" s="40"/>
      <c r="F47" s="40"/>
      <c r="G47" s="40"/>
      <c r="H47" s="40"/>
      <c r="I47" s="40"/>
      <c r="J47" s="40"/>
      <c r="U47" s="40"/>
      <c r="V47" s="40"/>
    </row>
    <row r="48">
      <c r="A48" s="43" t="s">
        <v>232</v>
      </c>
      <c r="B48" s="44">
        <v>48.0</v>
      </c>
      <c r="C48" s="40"/>
      <c r="D48" s="40"/>
      <c r="E48" s="40"/>
      <c r="F48" s="40"/>
      <c r="G48" s="40"/>
      <c r="H48" s="40"/>
      <c r="I48" s="40"/>
      <c r="J48" s="40"/>
      <c r="U48" s="40"/>
      <c r="V48" s="40"/>
    </row>
    <row r="49">
      <c r="A49" s="43" t="s">
        <v>33</v>
      </c>
      <c r="B49" s="44">
        <v>243.0</v>
      </c>
      <c r="C49" s="40"/>
      <c r="D49" s="40"/>
      <c r="E49" s="40"/>
      <c r="F49" s="40"/>
      <c r="G49" s="40"/>
      <c r="H49" s="40"/>
      <c r="I49" s="40"/>
      <c r="J49" s="40"/>
      <c r="U49" s="40"/>
      <c r="V49" s="40"/>
    </row>
    <row r="50">
      <c r="A50" s="43" t="s">
        <v>159</v>
      </c>
      <c r="B50" s="44">
        <v>27.0</v>
      </c>
      <c r="C50" s="40"/>
      <c r="D50" s="40"/>
      <c r="E50" s="40"/>
      <c r="F50" s="40"/>
      <c r="G50" s="40"/>
      <c r="H50" s="40"/>
      <c r="I50" s="40"/>
      <c r="J50" s="40"/>
      <c r="U50" s="40"/>
      <c r="V50" s="40"/>
    </row>
    <row r="51">
      <c r="A51" s="43" t="s">
        <v>684</v>
      </c>
      <c r="B51" s="44">
        <v>6.0</v>
      </c>
      <c r="C51" s="40"/>
      <c r="D51" s="40"/>
      <c r="E51" s="40"/>
      <c r="F51" s="40"/>
      <c r="G51" s="40"/>
      <c r="H51" s="40"/>
      <c r="I51" s="40"/>
      <c r="J51" s="40"/>
      <c r="U51" s="40"/>
      <c r="V51" s="40"/>
    </row>
    <row r="52">
      <c r="A52" s="43" t="s">
        <v>50</v>
      </c>
      <c r="B52" s="44">
        <v>58.0</v>
      </c>
      <c r="C52" s="40"/>
      <c r="D52" s="40"/>
      <c r="E52" s="40"/>
      <c r="F52" s="40"/>
      <c r="G52" s="40"/>
      <c r="H52" s="40"/>
      <c r="I52" s="40"/>
      <c r="J52" s="40"/>
      <c r="U52" s="40"/>
      <c r="V52" s="40"/>
    </row>
    <row r="53">
      <c r="A53" s="43" t="s">
        <v>2732</v>
      </c>
      <c r="B53" s="44">
        <v>145.0</v>
      </c>
      <c r="C53" s="40"/>
      <c r="D53" s="40"/>
      <c r="E53" s="40"/>
      <c r="F53" s="40"/>
      <c r="G53" s="40"/>
      <c r="H53" s="40"/>
      <c r="I53" s="40"/>
      <c r="J53" s="40"/>
      <c r="U53" s="40"/>
      <c r="V53" s="40"/>
    </row>
    <row r="54">
      <c r="A54" s="40"/>
      <c r="B54" s="40"/>
      <c r="C54" s="40"/>
      <c r="D54" s="40"/>
      <c r="E54" s="40"/>
      <c r="F54" s="40"/>
      <c r="G54" s="40"/>
      <c r="H54" s="40"/>
      <c r="I54" s="40"/>
      <c r="J54" s="40"/>
      <c r="U54" s="40"/>
      <c r="V54" s="40"/>
    </row>
    <row r="55">
      <c r="A55" s="40"/>
      <c r="B55" s="40"/>
      <c r="C55" s="40"/>
      <c r="D55" s="40"/>
      <c r="E55" s="40"/>
      <c r="F55" s="40"/>
      <c r="G55" s="40"/>
      <c r="H55" s="40"/>
      <c r="I55" s="40"/>
      <c r="J55" s="40"/>
      <c r="U55" s="40"/>
      <c r="V55" s="40"/>
    </row>
    <row r="56">
      <c r="A56" s="42" t="s">
        <v>2733</v>
      </c>
      <c r="B56" s="40"/>
      <c r="C56" s="40"/>
      <c r="D56" s="40"/>
      <c r="E56" s="40"/>
      <c r="F56" s="42" t="s">
        <v>2734</v>
      </c>
      <c r="H56" s="40"/>
      <c r="I56" s="40"/>
      <c r="J56" s="40"/>
      <c r="U56" s="40"/>
      <c r="V56" s="40"/>
    </row>
    <row r="57">
      <c r="A57" s="43" t="s">
        <v>92</v>
      </c>
      <c r="B57" s="44">
        <v>7.0</v>
      </c>
      <c r="C57" s="45">
        <v>7000006.0</v>
      </c>
      <c r="D57" s="40"/>
      <c r="E57" s="44">
        <v>1.0</v>
      </c>
      <c r="F57" s="43" t="s">
        <v>2735</v>
      </c>
      <c r="G57" s="44">
        <v>23.0</v>
      </c>
      <c r="H57" s="40"/>
      <c r="I57" s="40"/>
      <c r="J57" s="40"/>
      <c r="U57" s="40"/>
      <c r="V57" s="40"/>
    </row>
    <row r="58">
      <c r="A58" s="43" t="s">
        <v>355</v>
      </c>
      <c r="B58" s="44">
        <v>0.0</v>
      </c>
      <c r="C58" s="44" t="s">
        <v>2736</v>
      </c>
      <c r="D58" s="40"/>
      <c r="E58" s="44">
        <v>2.0</v>
      </c>
      <c r="F58" s="43" t="s">
        <v>2729</v>
      </c>
      <c r="G58" s="44">
        <v>10.0</v>
      </c>
      <c r="H58" s="40"/>
      <c r="I58" s="40"/>
      <c r="J58" s="40"/>
      <c r="U58" s="40"/>
      <c r="V58" s="40"/>
    </row>
    <row r="59">
      <c r="A59" s="43" t="s">
        <v>585</v>
      </c>
      <c r="B59" s="44">
        <v>0.0</v>
      </c>
      <c r="C59" s="44" t="s">
        <v>2737</v>
      </c>
      <c r="D59" s="40"/>
      <c r="E59" s="44">
        <v>3.0</v>
      </c>
      <c r="F59" s="43" t="s">
        <v>92</v>
      </c>
      <c r="G59" s="44">
        <v>7.0</v>
      </c>
      <c r="H59" s="40"/>
      <c r="I59" s="40"/>
      <c r="J59" s="40"/>
      <c r="U59" s="40"/>
      <c r="V59" s="40"/>
    </row>
    <row r="60">
      <c r="A60" s="43" t="s">
        <v>769</v>
      </c>
      <c r="B60" s="44">
        <v>2.0</v>
      </c>
      <c r="C60" s="45">
        <v>2000006.0</v>
      </c>
      <c r="D60" s="40"/>
      <c r="E60" s="44">
        <v>4.0</v>
      </c>
      <c r="F60" s="43" t="s">
        <v>2738</v>
      </c>
      <c r="G60" s="44">
        <v>6.0</v>
      </c>
      <c r="H60" s="40"/>
      <c r="I60" s="40"/>
      <c r="J60" s="40"/>
      <c r="U60" s="40"/>
      <c r="V60" s="40"/>
    </row>
    <row r="61">
      <c r="A61" s="43" t="s">
        <v>964</v>
      </c>
      <c r="B61" s="44">
        <v>0.0</v>
      </c>
      <c r="C61" s="44" t="s">
        <v>2739</v>
      </c>
      <c r="D61" s="40"/>
      <c r="E61" s="44">
        <v>5.0</v>
      </c>
      <c r="F61" s="43" t="s">
        <v>2740</v>
      </c>
      <c r="G61" s="44">
        <v>4.0</v>
      </c>
      <c r="H61" s="40"/>
      <c r="I61" s="40"/>
      <c r="J61" s="40"/>
      <c r="U61" s="40"/>
      <c r="V61" s="40"/>
    </row>
    <row r="62">
      <c r="A62" s="43" t="s">
        <v>1134</v>
      </c>
      <c r="B62" s="44">
        <v>1.0</v>
      </c>
      <c r="C62" s="45">
        <v>1000006.0</v>
      </c>
      <c r="D62" s="40"/>
      <c r="E62" s="44">
        <v>6.0</v>
      </c>
      <c r="F62" s="43" t="s">
        <v>355</v>
      </c>
      <c r="G62" s="44">
        <v>3.0</v>
      </c>
      <c r="H62" s="40"/>
      <c r="I62" s="40"/>
      <c r="J62" s="40"/>
      <c r="U62" s="40"/>
      <c r="V62" s="40"/>
    </row>
    <row r="63">
      <c r="A63" s="43" t="s">
        <v>1316</v>
      </c>
      <c r="B63" s="44">
        <v>1.0</v>
      </c>
      <c r="C63" s="45">
        <v>1000006.0</v>
      </c>
      <c r="D63" s="40"/>
      <c r="E63" s="44">
        <v>7.0</v>
      </c>
      <c r="F63" s="43" t="s">
        <v>2741</v>
      </c>
      <c r="G63" s="44">
        <v>2.0</v>
      </c>
      <c r="H63" s="40"/>
      <c r="I63" s="40"/>
      <c r="J63" s="40"/>
      <c r="U63" s="40"/>
      <c r="V63" s="40"/>
    </row>
    <row r="64">
      <c r="A64" s="43" t="s">
        <v>1483</v>
      </c>
      <c r="B64" s="44">
        <v>2.0</v>
      </c>
      <c r="C64" s="45">
        <v>2000006.0</v>
      </c>
      <c r="D64" s="40"/>
      <c r="E64" s="44">
        <v>8.0</v>
      </c>
      <c r="F64" s="43" t="s">
        <v>1483</v>
      </c>
      <c r="G64" s="44">
        <v>2.0</v>
      </c>
      <c r="H64" s="40"/>
      <c r="I64" s="40"/>
      <c r="J64" s="40"/>
      <c r="U64" s="40"/>
      <c r="V64" s="40"/>
    </row>
    <row r="65">
      <c r="A65" s="43" t="s">
        <v>1660</v>
      </c>
      <c r="B65" s="44">
        <v>1.0</v>
      </c>
      <c r="C65" s="45">
        <v>1000007.0</v>
      </c>
      <c r="D65" s="40"/>
      <c r="E65" s="44">
        <v>9.0</v>
      </c>
      <c r="F65" s="43" t="s">
        <v>769</v>
      </c>
      <c r="G65" s="44">
        <v>2.0</v>
      </c>
      <c r="H65" s="40"/>
      <c r="I65" s="40"/>
      <c r="J65" s="40"/>
      <c r="U65" s="40"/>
      <c r="V65" s="40"/>
    </row>
    <row r="66">
      <c r="A66" s="43" t="s">
        <v>1872</v>
      </c>
      <c r="B66" s="44">
        <v>0.0</v>
      </c>
      <c r="C66" s="44" t="s">
        <v>2742</v>
      </c>
      <c r="D66" s="40"/>
      <c r="E66" s="44">
        <v>10.0</v>
      </c>
      <c r="F66" s="43" t="s">
        <v>2453</v>
      </c>
      <c r="G66" s="44">
        <v>1.0</v>
      </c>
      <c r="H66" s="40"/>
      <c r="I66" s="40"/>
      <c r="J66" s="40"/>
      <c r="U66" s="40"/>
      <c r="V66" s="40"/>
    </row>
    <row r="67">
      <c r="A67" s="43" t="s">
        <v>2083</v>
      </c>
      <c r="B67" s="44">
        <v>0.0</v>
      </c>
      <c r="C67" s="44" t="s">
        <v>2743</v>
      </c>
      <c r="D67" s="40"/>
      <c r="E67" s="44">
        <v>11.0</v>
      </c>
      <c r="F67" s="43" t="s">
        <v>769</v>
      </c>
      <c r="G67" s="44">
        <v>1.0</v>
      </c>
      <c r="H67" s="40"/>
      <c r="I67" s="40"/>
      <c r="J67" s="40"/>
      <c r="U67" s="40"/>
      <c r="V67" s="40"/>
    </row>
    <row r="68">
      <c r="A68" s="43" t="s">
        <v>2330</v>
      </c>
      <c r="B68" s="44">
        <v>0.0</v>
      </c>
      <c r="C68" s="44" t="s">
        <v>2744</v>
      </c>
      <c r="D68" s="40"/>
      <c r="E68" s="44">
        <v>12.0</v>
      </c>
      <c r="F68" s="43" t="s">
        <v>92</v>
      </c>
      <c r="G68" s="44">
        <v>1.0</v>
      </c>
      <c r="H68" s="40"/>
      <c r="I68" s="40"/>
      <c r="J68" s="40"/>
      <c r="U68" s="40"/>
      <c r="V68" s="40"/>
    </row>
    <row r="69">
      <c r="A69" s="43" t="s">
        <v>2453</v>
      </c>
      <c r="B69" s="44">
        <v>0.0</v>
      </c>
      <c r="C69" s="44" t="s">
        <v>2745</v>
      </c>
      <c r="D69" s="40"/>
      <c r="E69" s="44">
        <v>13.0</v>
      </c>
      <c r="F69" s="43" t="s">
        <v>2746</v>
      </c>
      <c r="G69" s="44">
        <v>1.0</v>
      </c>
      <c r="H69" s="40"/>
      <c r="I69" s="40"/>
      <c r="J69" s="40"/>
      <c r="U69" s="40"/>
      <c r="V69" s="40"/>
    </row>
    <row r="70">
      <c r="A70" s="43" t="s">
        <v>2497</v>
      </c>
      <c r="B70" s="44">
        <v>0.0</v>
      </c>
      <c r="C70" s="45">
        <v>7.0</v>
      </c>
      <c r="D70" s="40"/>
      <c r="E70" s="44">
        <v>14.0</v>
      </c>
      <c r="F70" s="43" t="s">
        <v>2747</v>
      </c>
      <c r="G70" s="44">
        <v>1.0</v>
      </c>
      <c r="H70" s="40"/>
      <c r="I70" s="40"/>
      <c r="J70" s="40"/>
      <c r="U70" s="40"/>
      <c r="V70" s="40"/>
    </row>
    <row r="71">
      <c r="A71" s="43" t="s">
        <v>2636</v>
      </c>
      <c r="B71" s="44">
        <v>0.0</v>
      </c>
      <c r="C71" s="44" t="s">
        <v>2748</v>
      </c>
      <c r="D71" s="40"/>
      <c r="E71" s="44">
        <v>15.0</v>
      </c>
      <c r="F71" s="43" t="s">
        <v>2749</v>
      </c>
      <c r="G71" s="44">
        <v>1.0</v>
      </c>
      <c r="H71" s="40"/>
      <c r="I71" s="40"/>
      <c r="J71" s="40"/>
      <c r="U71" s="40"/>
      <c r="V71" s="40"/>
    </row>
    <row r="72">
      <c r="A72" s="43" t="s">
        <v>2729</v>
      </c>
      <c r="B72" s="44">
        <v>10.0</v>
      </c>
      <c r="C72" s="45">
        <v>1000001.0</v>
      </c>
      <c r="D72" s="40"/>
      <c r="E72" s="44">
        <v>16.0</v>
      </c>
      <c r="F72" s="43" t="s">
        <v>1660</v>
      </c>
      <c r="G72" s="44">
        <v>1.0</v>
      </c>
      <c r="H72" s="40"/>
      <c r="I72" s="40"/>
      <c r="J72" s="40"/>
      <c r="U72" s="40"/>
      <c r="V72" s="40"/>
    </row>
    <row r="73">
      <c r="A73" s="43" t="s">
        <v>2750</v>
      </c>
      <c r="B73" s="44">
        <v>0.0</v>
      </c>
      <c r="C73" s="44" t="s">
        <v>2751</v>
      </c>
      <c r="D73" s="40"/>
      <c r="E73" s="44">
        <v>17.0</v>
      </c>
      <c r="F73" s="43" t="s">
        <v>1316</v>
      </c>
      <c r="G73" s="44">
        <v>1.0</v>
      </c>
      <c r="H73" s="40"/>
      <c r="I73" s="40"/>
      <c r="J73" s="40"/>
      <c r="U73" s="40"/>
      <c r="V73" s="40"/>
    </row>
    <row r="74">
      <c r="A74" s="43" t="s">
        <v>2752</v>
      </c>
      <c r="B74" s="44">
        <v>0.0</v>
      </c>
      <c r="C74" s="44" t="s">
        <v>2753</v>
      </c>
      <c r="D74" s="40"/>
      <c r="E74" s="44">
        <v>18.0</v>
      </c>
      <c r="F74" s="43" t="s">
        <v>1134</v>
      </c>
      <c r="G74" s="44">
        <v>1.0</v>
      </c>
      <c r="H74" s="40"/>
      <c r="I74" s="40"/>
      <c r="J74" s="40"/>
      <c r="U74" s="40"/>
      <c r="V74" s="40"/>
    </row>
    <row r="75">
      <c r="A75" s="43" t="s">
        <v>2735</v>
      </c>
      <c r="B75" s="44">
        <v>23.0</v>
      </c>
      <c r="C75" s="45">
        <v>2300001.0</v>
      </c>
      <c r="D75" s="40"/>
      <c r="E75" s="44">
        <v>19.0</v>
      </c>
      <c r="F75" s="43" t="s">
        <v>2636</v>
      </c>
      <c r="G75" s="44">
        <v>0.0</v>
      </c>
      <c r="H75" s="40"/>
      <c r="I75" s="40"/>
      <c r="J75" s="40"/>
      <c r="U75" s="40"/>
      <c r="V75" s="40"/>
    </row>
    <row r="76">
      <c r="A76" s="43" t="s">
        <v>2749</v>
      </c>
      <c r="B76" s="44">
        <v>1.0</v>
      </c>
      <c r="C76" s="45">
        <v>1000008.0</v>
      </c>
      <c r="D76" s="40"/>
      <c r="E76" s="44">
        <v>20.0</v>
      </c>
      <c r="F76" s="43" t="s">
        <v>2497</v>
      </c>
      <c r="G76" s="44">
        <v>0.0</v>
      </c>
      <c r="H76" s="40"/>
      <c r="I76" s="40"/>
      <c r="J76" s="40"/>
      <c r="U76" s="40"/>
      <c r="V76" s="40"/>
    </row>
    <row r="77">
      <c r="A77" s="43" t="s">
        <v>2738</v>
      </c>
      <c r="B77" s="44">
        <v>6.0</v>
      </c>
      <c r="C77" s="45">
        <v>6000008.0</v>
      </c>
      <c r="D77" s="40"/>
      <c r="E77" s="44">
        <v>21.0</v>
      </c>
      <c r="F77" s="43" t="s">
        <v>2330</v>
      </c>
      <c r="G77" s="44">
        <v>0.0</v>
      </c>
      <c r="H77" s="40"/>
      <c r="I77" s="40"/>
      <c r="J77" s="40"/>
      <c r="U77" s="40"/>
      <c r="V77" s="40"/>
    </row>
    <row r="78">
      <c r="A78" s="43" t="s">
        <v>2754</v>
      </c>
      <c r="B78" s="44">
        <v>0.0</v>
      </c>
      <c r="C78" s="44" t="s">
        <v>2755</v>
      </c>
      <c r="D78" s="40"/>
      <c r="E78" s="44">
        <v>22.0</v>
      </c>
      <c r="F78" s="43" t="s">
        <v>2083</v>
      </c>
      <c r="G78" s="44">
        <v>0.0</v>
      </c>
      <c r="H78" s="40"/>
      <c r="I78" s="40"/>
      <c r="J78" s="40"/>
      <c r="K78" s="40"/>
      <c r="L78" s="40"/>
      <c r="M78" s="40"/>
      <c r="N78" s="40"/>
      <c r="O78" s="40"/>
      <c r="P78" s="40"/>
      <c r="Q78" s="40"/>
      <c r="R78" s="40"/>
      <c r="S78" s="40"/>
      <c r="T78" s="40"/>
      <c r="U78" s="40"/>
      <c r="V78" s="40"/>
    </row>
    <row r="79">
      <c r="A79" s="43" t="s">
        <v>2756</v>
      </c>
      <c r="B79" s="44">
        <v>0.0</v>
      </c>
      <c r="C79" s="44" t="s">
        <v>2757</v>
      </c>
      <c r="D79" s="40"/>
      <c r="E79" s="44">
        <v>23.0</v>
      </c>
      <c r="F79" s="43" t="s">
        <v>1872</v>
      </c>
      <c r="G79" s="44">
        <v>0.0</v>
      </c>
      <c r="H79" s="40"/>
      <c r="I79" s="40"/>
      <c r="J79" s="40"/>
      <c r="K79" s="40"/>
      <c r="L79" s="40"/>
      <c r="M79" s="40"/>
      <c r="N79" s="40"/>
      <c r="O79" s="40"/>
      <c r="P79" s="40"/>
      <c r="Q79" s="40"/>
      <c r="R79" s="40"/>
      <c r="S79" s="40"/>
      <c r="T79" s="40"/>
      <c r="U79" s="40"/>
      <c r="V79" s="40"/>
    </row>
    <row r="80">
      <c r="A80" s="43" t="s">
        <v>2747</v>
      </c>
      <c r="B80" s="44">
        <v>1.0</v>
      </c>
      <c r="C80" s="45">
        <v>1000008.0</v>
      </c>
      <c r="D80" s="40"/>
      <c r="E80" s="44">
        <v>24.0</v>
      </c>
      <c r="F80" s="43" t="s">
        <v>1660</v>
      </c>
      <c r="G80" s="44">
        <v>0.0</v>
      </c>
      <c r="H80" s="40"/>
      <c r="I80" s="40"/>
      <c r="J80" s="40"/>
      <c r="K80" s="40"/>
      <c r="L80" s="40"/>
      <c r="M80" s="40"/>
      <c r="N80" s="40"/>
      <c r="O80" s="40"/>
      <c r="P80" s="40"/>
      <c r="Q80" s="40"/>
      <c r="R80" s="40"/>
      <c r="S80" s="40"/>
      <c r="T80" s="40"/>
      <c r="U80" s="40"/>
      <c r="V80" s="40"/>
    </row>
    <row r="81">
      <c r="A81" s="43" t="s">
        <v>2740</v>
      </c>
      <c r="B81" s="44">
        <v>4.0</v>
      </c>
      <c r="C81" s="45">
        <v>4000008.0</v>
      </c>
      <c r="D81" s="40"/>
      <c r="E81" s="44">
        <v>25.0</v>
      </c>
      <c r="F81" s="43" t="s">
        <v>1483</v>
      </c>
      <c r="G81" s="44">
        <v>0.0</v>
      </c>
      <c r="H81" s="40"/>
      <c r="I81" s="40"/>
      <c r="J81" s="40"/>
      <c r="K81" s="40"/>
      <c r="L81" s="40"/>
      <c r="M81" s="40"/>
      <c r="N81" s="40"/>
      <c r="O81" s="40"/>
      <c r="P81" s="40"/>
      <c r="Q81" s="40"/>
      <c r="R81" s="40"/>
      <c r="S81" s="40"/>
      <c r="T81" s="40"/>
      <c r="U81" s="40"/>
      <c r="V81" s="40"/>
    </row>
    <row r="82">
      <c r="A82" s="43" t="s">
        <v>2741</v>
      </c>
      <c r="B82" s="44">
        <v>2.0</v>
      </c>
      <c r="C82" s="45">
        <v>2000008.0</v>
      </c>
      <c r="D82" s="40"/>
      <c r="E82" s="44">
        <v>26.0</v>
      </c>
      <c r="F82" s="43" t="s">
        <v>1316</v>
      </c>
      <c r="G82" s="44">
        <v>0.0</v>
      </c>
      <c r="H82" s="40"/>
      <c r="I82" s="40"/>
      <c r="J82" s="40"/>
      <c r="K82" s="40"/>
      <c r="L82" s="40"/>
      <c r="M82" s="40"/>
      <c r="N82" s="40"/>
      <c r="O82" s="40"/>
      <c r="P82" s="40"/>
      <c r="Q82" s="40"/>
      <c r="R82" s="40"/>
      <c r="S82" s="40"/>
      <c r="T82" s="40"/>
      <c r="U82" s="40"/>
      <c r="V82" s="40"/>
    </row>
    <row r="83">
      <c r="A83" s="43" t="s">
        <v>2758</v>
      </c>
      <c r="B83" s="44">
        <v>0.0</v>
      </c>
      <c r="C83" s="44" t="s">
        <v>2759</v>
      </c>
      <c r="D83" s="40"/>
      <c r="E83" s="44">
        <v>27.0</v>
      </c>
      <c r="F83" s="43" t="s">
        <v>1134</v>
      </c>
      <c r="G83" s="44">
        <v>0.0</v>
      </c>
      <c r="H83" s="40"/>
      <c r="I83" s="40"/>
      <c r="J83" s="40"/>
      <c r="K83" s="40"/>
      <c r="L83" s="40"/>
      <c r="M83" s="40"/>
      <c r="N83" s="40"/>
      <c r="O83" s="40"/>
      <c r="P83" s="40"/>
      <c r="Q83" s="40"/>
      <c r="R83" s="40"/>
      <c r="S83" s="40"/>
      <c r="T83" s="40"/>
      <c r="U83" s="40"/>
      <c r="V83" s="40"/>
    </row>
    <row r="84">
      <c r="A84" s="43" t="s">
        <v>2760</v>
      </c>
      <c r="B84" s="44">
        <v>0.0</v>
      </c>
      <c r="C84" s="44" t="s">
        <v>2761</v>
      </c>
      <c r="D84" s="40"/>
      <c r="E84" s="44">
        <v>28.0</v>
      </c>
      <c r="F84" s="43" t="s">
        <v>964</v>
      </c>
      <c r="G84" s="44">
        <v>0.0</v>
      </c>
      <c r="H84" s="40"/>
      <c r="I84" s="40"/>
      <c r="J84" s="40"/>
      <c r="K84" s="40"/>
      <c r="L84" s="40"/>
      <c r="M84" s="40"/>
      <c r="N84" s="40"/>
      <c r="O84" s="40"/>
      <c r="P84" s="40"/>
      <c r="Q84" s="40"/>
      <c r="R84" s="40"/>
      <c r="S84" s="40"/>
      <c r="T84" s="40"/>
      <c r="U84" s="40"/>
      <c r="V84" s="40"/>
    </row>
    <row r="85">
      <c r="A85" s="43" t="s">
        <v>2746</v>
      </c>
      <c r="B85" s="44">
        <v>1.0</v>
      </c>
      <c r="C85" s="45">
        <v>1000009.0</v>
      </c>
      <c r="D85" s="40"/>
      <c r="E85" s="44">
        <v>29.0</v>
      </c>
      <c r="F85" s="43" t="s">
        <v>585</v>
      </c>
      <c r="G85" s="44">
        <v>0.0</v>
      </c>
      <c r="H85" s="40"/>
      <c r="I85" s="40"/>
      <c r="J85" s="40"/>
      <c r="K85" s="40"/>
      <c r="L85" s="40"/>
      <c r="M85" s="40"/>
      <c r="N85" s="40"/>
      <c r="O85" s="40"/>
      <c r="P85" s="40"/>
      <c r="Q85" s="40"/>
      <c r="R85" s="40"/>
      <c r="S85" s="40"/>
      <c r="T85" s="40"/>
      <c r="U85" s="40"/>
      <c r="V85" s="40"/>
    </row>
    <row r="86">
      <c r="A86" s="43" t="s">
        <v>2762</v>
      </c>
      <c r="B86" s="44">
        <v>0.0</v>
      </c>
      <c r="C86" s="44" t="s">
        <v>2763</v>
      </c>
      <c r="D86" s="40"/>
      <c r="E86" s="44">
        <v>30.0</v>
      </c>
      <c r="F86" s="43" t="s">
        <v>2764</v>
      </c>
      <c r="G86" s="44">
        <v>1.0</v>
      </c>
      <c r="H86" s="40"/>
      <c r="I86" s="40"/>
      <c r="J86" s="40"/>
      <c r="K86" s="40"/>
      <c r="L86" s="40"/>
      <c r="M86" s="40"/>
      <c r="N86" s="40"/>
      <c r="O86" s="40"/>
      <c r="P86" s="40"/>
      <c r="Q86" s="40"/>
      <c r="R86" s="40"/>
      <c r="S86" s="40"/>
      <c r="T86" s="40"/>
      <c r="U86" s="40"/>
      <c r="V86" s="40"/>
    </row>
    <row r="87">
      <c r="A87" s="43" t="s">
        <v>2765</v>
      </c>
      <c r="B87" s="44">
        <v>0.0</v>
      </c>
      <c r="C87" s="44" t="s">
        <v>2766</v>
      </c>
      <c r="D87" s="40"/>
      <c r="E87" s="44">
        <v>31.0</v>
      </c>
      <c r="F87" s="43" t="s">
        <v>2767</v>
      </c>
      <c r="G87" s="44">
        <v>1.0</v>
      </c>
      <c r="H87" s="40"/>
      <c r="I87" s="40"/>
      <c r="J87" s="40"/>
      <c r="K87" s="40"/>
      <c r="L87" s="40"/>
      <c r="M87" s="40"/>
      <c r="N87" s="40"/>
      <c r="O87" s="40"/>
      <c r="P87" s="40"/>
      <c r="Q87" s="40"/>
      <c r="R87" s="40"/>
      <c r="S87" s="40"/>
      <c r="T87" s="40"/>
      <c r="U87" s="40"/>
      <c r="V87" s="40"/>
    </row>
    <row r="88">
      <c r="A88" s="43" t="s">
        <v>2768</v>
      </c>
      <c r="B88" s="44">
        <v>11.0</v>
      </c>
      <c r="C88" s="45">
        <v>1100001.0</v>
      </c>
      <c r="D88" s="40"/>
      <c r="E88" s="44">
        <v>32.0</v>
      </c>
      <c r="F88" s="43" t="s">
        <v>2769</v>
      </c>
      <c r="G88" s="44">
        <v>1.0</v>
      </c>
      <c r="H88" s="40"/>
      <c r="I88" s="40"/>
      <c r="J88" s="40"/>
      <c r="K88" s="40"/>
      <c r="L88" s="40"/>
      <c r="M88" s="40"/>
      <c r="N88" s="40"/>
      <c r="O88" s="40"/>
      <c r="P88" s="40"/>
      <c r="Q88" s="40"/>
      <c r="R88" s="40"/>
      <c r="S88" s="40"/>
      <c r="T88" s="40"/>
      <c r="U88" s="40"/>
      <c r="V88" s="40"/>
    </row>
    <row r="89">
      <c r="A89" s="43" t="s">
        <v>2770</v>
      </c>
      <c r="B89" s="44">
        <v>1.0</v>
      </c>
      <c r="C89" s="45">
        <v>1000009.0</v>
      </c>
      <c r="D89" s="40"/>
      <c r="E89" s="44">
        <v>33.0</v>
      </c>
      <c r="F89" s="43" t="s">
        <v>2771</v>
      </c>
      <c r="G89" s="44">
        <v>1.0</v>
      </c>
      <c r="H89" s="40"/>
      <c r="I89" s="40"/>
      <c r="J89" s="40"/>
      <c r="K89" s="40"/>
      <c r="L89" s="40"/>
      <c r="M89" s="40"/>
      <c r="N89" s="40"/>
      <c r="O89" s="40"/>
      <c r="P89" s="40"/>
      <c r="Q89" s="40"/>
      <c r="R89" s="40"/>
      <c r="S89" s="40"/>
      <c r="T89" s="40"/>
      <c r="U89" s="40"/>
      <c r="V89" s="40"/>
    </row>
    <row r="90">
      <c r="A90" s="43" t="s">
        <v>2772</v>
      </c>
      <c r="B90" s="44">
        <v>0.0</v>
      </c>
      <c r="C90" s="45">
        <v>9.0</v>
      </c>
      <c r="D90" s="40"/>
      <c r="E90" s="44">
        <v>34.0</v>
      </c>
      <c r="F90" s="43" t="s">
        <v>2773</v>
      </c>
      <c r="G90" s="44">
        <v>1.0</v>
      </c>
      <c r="H90" s="40"/>
      <c r="I90" s="40"/>
      <c r="J90" s="40"/>
      <c r="K90" s="40"/>
      <c r="L90" s="40"/>
      <c r="M90" s="40"/>
      <c r="N90" s="40"/>
      <c r="O90" s="40"/>
      <c r="P90" s="40"/>
      <c r="Q90" s="40"/>
      <c r="R90" s="40"/>
      <c r="S90" s="40"/>
      <c r="T90" s="40"/>
      <c r="U90" s="40"/>
      <c r="V90" s="40"/>
    </row>
    <row r="91">
      <c r="A91" s="43" t="s">
        <v>2774</v>
      </c>
      <c r="B91" s="44">
        <v>2.0</v>
      </c>
      <c r="C91" s="45">
        <v>2000009.0</v>
      </c>
      <c r="D91" s="40"/>
      <c r="E91" s="44">
        <v>35.0</v>
      </c>
      <c r="F91" s="43" t="s">
        <v>2775</v>
      </c>
      <c r="G91" s="44">
        <v>1.0</v>
      </c>
      <c r="H91" s="40"/>
      <c r="I91" s="40"/>
      <c r="J91" s="40"/>
      <c r="K91" s="40"/>
      <c r="L91" s="40"/>
      <c r="M91" s="40"/>
      <c r="N91" s="40"/>
      <c r="O91" s="40"/>
      <c r="P91" s="40"/>
      <c r="Q91" s="40"/>
      <c r="R91" s="40"/>
      <c r="S91" s="40"/>
      <c r="T91" s="40"/>
      <c r="U91" s="40"/>
      <c r="V91" s="40"/>
    </row>
    <row r="92">
      <c r="A92" s="43" t="s">
        <v>2776</v>
      </c>
      <c r="B92" s="44">
        <v>0.0</v>
      </c>
      <c r="C92" s="44" t="s">
        <v>2777</v>
      </c>
      <c r="D92" s="40"/>
      <c r="E92" s="44">
        <v>36.0</v>
      </c>
      <c r="F92" s="43" t="s">
        <v>2778</v>
      </c>
      <c r="G92" s="44">
        <v>1.0</v>
      </c>
      <c r="H92" s="40"/>
      <c r="I92" s="40"/>
      <c r="J92" s="40"/>
      <c r="K92" s="40"/>
      <c r="L92" s="40"/>
      <c r="M92" s="40"/>
      <c r="N92" s="40"/>
      <c r="O92" s="40"/>
      <c r="P92" s="40"/>
      <c r="Q92" s="40"/>
      <c r="R92" s="40"/>
      <c r="S92" s="40"/>
      <c r="T92" s="40"/>
      <c r="U92" s="40"/>
      <c r="V92" s="40"/>
    </row>
    <row r="93">
      <c r="A93" s="43" t="s">
        <v>2779</v>
      </c>
      <c r="B93" s="44">
        <v>1.0</v>
      </c>
      <c r="C93" s="45">
        <v>1000009.0</v>
      </c>
      <c r="D93" s="40"/>
      <c r="E93" s="44">
        <v>37.0</v>
      </c>
      <c r="F93" s="43" t="s">
        <v>2779</v>
      </c>
      <c r="G93" s="44">
        <v>1.0</v>
      </c>
      <c r="H93" s="40"/>
      <c r="I93" s="40"/>
      <c r="J93" s="40"/>
      <c r="K93" s="40"/>
      <c r="L93" s="40"/>
      <c r="M93" s="40"/>
      <c r="N93" s="40"/>
      <c r="O93" s="40"/>
      <c r="P93" s="40"/>
      <c r="Q93" s="40"/>
      <c r="R93" s="40"/>
      <c r="S93" s="40"/>
      <c r="T93" s="40"/>
      <c r="U93" s="40"/>
      <c r="V93" s="40"/>
    </row>
    <row r="94">
      <c r="A94" s="43" t="s">
        <v>2780</v>
      </c>
      <c r="B94" s="44">
        <v>0.0</v>
      </c>
      <c r="C94" s="44" t="s">
        <v>2781</v>
      </c>
      <c r="D94" s="40"/>
      <c r="E94" s="44">
        <v>38.0</v>
      </c>
      <c r="F94" s="43" t="s">
        <v>2770</v>
      </c>
      <c r="G94" s="44">
        <v>1.0</v>
      </c>
      <c r="H94" s="40"/>
      <c r="I94" s="40"/>
      <c r="J94" s="40"/>
      <c r="K94" s="40"/>
      <c r="L94" s="40"/>
      <c r="M94" s="40"/>
      <c r="N94" s="40"/>
      <c r="O94" s="40"/>
      <c r="P94" s="40"/>
      <c r="Q94" s="40"/>
      <c r="R94" s="40"/>
      <c r="S94" s="40"/>
      <c r="T94" s="40"/>
      <c r="U94" s="40"/>
      <c r="V94" s="40"/>
    </row>
    <row r="95">
      <c r="A95" s="43" t="s">
        <v>2782</v>
      </c>
      <c r="B95" s="44">
        <v>4.0</v>
      </c>
      <c r="C95" s="45">
        <v>400001.0</v>
      </c>
      <c r="D95" s="40"/>
      <c r="E95" s="44">
        <v>39.0</v>
      </c>
      <c r="F95" s="43" t="s">
        <v>2746</v>
      </c>
      <c r="G95" s="44">
        <v>1.0</v>
      </c>
      <c r="H95" s="40"/>
      <c r="I95" s="40"/>
      <c r="J95" s="40"/>
      <c r="K95" s="40"/>
      <c r="L95" s="40"/>
      <c r="M95" s="40"/>
      <c r="N95" s="40"/>
      <c r="O95" s="40"/>
      <c r="P95" s="40"/>
      <c r="Q95" s="40"/>
      <c r="R95" s="40"/>
      <c r="S95" s="40"/>
      <c r="T95" s="40"/>
      <c r="U95" s="40"/>
      <c r="V95" s="40"/>
    </row>
    <row r="96">
      <c r="A96" s="43" t="s">
        <v>2783</v>
      </c>
      <c r="B96" s="44">
        <v>0.0</v>
      </c>
      <c r="C96" s="44" t="s">
        <v>2784</v>
      </c>
      <c r="D96" s="40"/>
      <c r="E96" s="44">
        <v>40.0</v>
      </c>
      <c r="F96" s="43" t="s">
        <v>2747</v>
      </c>
      <c r="G96" s="44">
        <v>1.0</v>
      </c>
      <c r="H96" s="40"/>
      <c r="I96" s="40"/>
      <c r="J96" s="40"/>
      <c r="K96" s="40"/>
      <c r="L96" s="40"/>
      <c r="M96" s="40"/>
      <c r="N96" s="40"/>
      <c r="O96" s="40"/>
      <c r="P96" s="40"/>
      <c r="Q96" s="40"/>
      <c r="R96" s="40"/>
      <c r="S96" s="40"/>
      <c r="T96" s="40"/>
      <c r="U96" s="40"/>
      <c r="V96" s="40"/>
    </row>
    <row r="97">
      <c r="A97" s="43" t="s">
        <v>2785</v>
      </c>
      <c r="B97" s="44">
        <v>31.0</v>
      </c>
      <c r="C97" s="45">
        <v>3100001.0</v>
      </c>
      <c r="D97" s="40"/>
      <c r="E97" s="44">
        <v>41.0</v>
      </c>
      <c r="F97" s="43" t="s">
        <v>2749</v>
      </c>
      <c r="G97" s="44">
        <v>1.0</v>
      </c>
      <c r="H97" s="40"/>
      <c r="I97" s="40"/>
      <c r="J97" s="40"/>
      <c r="K97" s="40"/>
      <c r="L97" s="40"/>
      <c r="M97" s="40"/>
      <c r="N97" s="40"/>
      <c r="O97" s="40"/>
      <c r="P97" s="40"/>
      <c r="Q97" s="40"/>
      <c r="R97" s="40"/>
      <c r="S97" s="40"/>
      <c r="T97" s="40"/>
      <c r="U97" s="40"/>
      <c r="V97" s="40"/>
    </row>
    <row r="98">
      <c r="A98" s="43" t="s">
        <v>2786</v>
      </c>
      <c r="B98" s="44">
        <v>4.0</v>
      </c>
      <c r="C98" s="45">
        <v>400001.0</v>
      </c>
      <c r="D98" s="40"/>
      <c r="E98" s="44">
        <v>42.0</v>
      </c>
      <c r="F98" s="43" t="s">
        <v>1660</v>
      </c>
      <c r="G98" s="44">
        <v>1.0</v>
      </c>
      <c r="H98" s="40"/>
      <c r="I98" s="40"/>
      <c r="J98" s="40"/>
      <c r="K98" s="40"/>
      <c r="L98" s="40"/>
      <c r="M98" s="40"/>
      <c r="N98" s="40"/>
      <c r="O98" s="40"/>
      <c r="P98" s="40"/>
      <c r="Q98" s="40"/>
      <c r="R98" s="40"/>
      <c r="S98" s="40"/>
      <c r="T98" s="40"/>
      <c r="U98" s="40"/>
      <c r="V98" s="40"/>
    </row>
    <row r="99">
      <c r="A99" s="43" t="s">
        <v>2787</v>
      </c>
      <c r="B99" s="44">
        <v>0.0</v>
      </c>
      <c r="C99" s="44" t="s">
        <v>2788</v>
      </c>
      <c r="D99" s="40"/>
      <c r="E99" s="44">
        <v>43.0</v>
      </c>
      <c r="F99" s="43" t="s">
        <v>1316</v>
      </c>
      <c r="G99" s="44">
        <v>1.0</v>
      </c>
      <c r="H99" s="40"/>
      <c r="I99" s="40"/>
      <c r="J99" s="40"/>
      <c r="K99" s="40"/>
      <c r="L99" s="40"/>
      <c r="M99" s="40"/>
      <c r="N99" s="40"/>
      <c r="O99" s="40"/>
      <c r="P99" s="40"/>
      <c r="Q99" s="40"/>
      <c r="R99" s="40"/>
      <c r="S99" s="40"/>
      <c r="T99" s="40"/>
      <c r="U99" s="40"/>
      <c r="V99" s="40"/>
    </row>
    <row r="100">
      <c r="A100" s="43" t="s">
        <v>2789</v>
      </c>
      <c r="B100" s="44">
        <v>95.0</v>
      </c>
      <c r="C100" s="45">
        <v>9500001.0</v>
      </c>
      <c r="D100" s="40"/>
      <c r="E100" s="44">
        <v>44.0</v>
      </c>
      <c r="F100" s="43" t="s">
        <v>1134</v>
      </c>
      <c r="G100" s="44">
        <v>1.0</v>
      </c>
      <c r="H100" s="40"/>
      <c r="I100" s="40"/>
      <c r="J100" s="40"/>
      <c r="K100" s="40"/>
      <c r="L100" s="40"/>
      <c r="M100" s="40"/>
      <c r="N100" s="40"/>
      <c r="O100" s="40"/>
      <c r="P100" s="40"/>
      <c r="Q100" s="40"/>
      <c r="R100" s="40"/>
      <c r="S100" s="40"/>
      <c r="T100" s="40"/>
      <c r="U100" s="40"/>
      <c r="V100" s="40"/>
    </row>
    <row r="101">
      <c r="A101" s="43" t="s">
        <v>2790</v>
      </c>
      <c r="B101" s="44">
        <v>12.0</v>
      </c>
      <c r="C101" s="45">
        <v>1200001.0</v>
      </c>
      <c r="D101" s="40"/>
      <c r="E101" s="44">
        <v>45.0</v>
      </c>
      <c r="F101" s="43" t="s">
        <v>2791</v>
      </c>
      <c r="G101" s="44">
        <v>0.0</v>
      </c>
      <c r="H101" s="40"/>
      <c r="I101" s="40"/>
      <c r="J101" s="40"/>
      <c r="K101" s="40"/>
      <c r="L101" s="40"/>
      <c r="M101" s="40"/>
      <c r="N101" s="40"/>
      <c r="O101" s="40"/>
      <c r="P101" s="40"/>
      <c r="Q101" s="40"/>
      <c r="R101" s="40"/>
      <c r="S101" s="40"/>
      <c r="T101" s="40"/>
      <c r="U101" s="40"/>
      <c r="V101" s="40"/>
    </row>
    <row r="102">
      <c r="A102" s="43" t="s">
        <v>2792</v>
      </c>
      <c r="B102" s="44">
        <v>0.0</v>
      </c>
      <c r="C102" s="44" t="s">
        <v>2793</v>
      </c>
      <c r="D102" s="40"/>
      <c r="E102" s="44">
        <v>46.0</v>
      </c>
      <c r="F102" s="43" t="s">
        <v>2794</v>
      </c>
      <c r="G102" s="44">
        <v>0.0</v>
      </c>
      <c r="H102" s="40"/>
      <c r="I102" s="40"/>
      <c r="J102" s="40"/>
      <c r="K102" s="40"/>
      <c r="L102" s="40"/>
      <c r="M102" s="40"/>
      <c r="N102" s="40"/>
      <c r="O102" s="40"/>
      <c r="P102" s="40"/>
      <c r="Q102" s="40"/>
      <c r="R102" s="40"/>
      <c r="S102" s="40"/>
      <c r="T102" s="40"/>
      <c r="U102" s="40"/>
      <c r="V102" s="40"/>
    </row>
    <row r="103">
      <c r="A103" s="43" t="s">
        <v>2795</v>
      </c>
      <c r="B103" s="44">
        <v>0.0</v>
      </c>
      <c r="C103" s="44" t="s">
        <v>2796</v>
      </c>
      <c r="D103" s="40"/>
      <c r="E103" s="44">
        <v>47.0</v>
      </c>
      <c r="F103" s="43" t="s">
        <v>2797</v>
      </c>
      <c r="G103" s="44">
        <v>0.0</v>
      </c>
      <c r="H103" s="40"/>
      <c r="I103" s="40"/>
      <c r="J103" s="40"/>
      <c r="K103" s="40"/>
      <c r="L103" s="40"/>
      <c r="M103" s="40"/>
      <c r="N103" s="40"/>
      <c r="O103" s="40"/>
      <c r="P103" s="40"/>
      <c r="Q103" s="40"/>
      <c r="R103" s="40"/>
      <c r="S103" s="40"/>
      <c r="T103" s="40"/>
      <c r="U103" s="40"/>
      <c r="V103" s="40"/>
    </row>
    <row r="104">
      <c r="A104" s="43" t="s">
        <v>2798</v>
      </c>
      <c r="B104" s="44">
        <v>0.0</v>
      </c>
      <c r="C104" s="44" t="s">
        <v>2799</v>
      </c>
      <c r="D104" s="40"/>
      <c r="E104" s="44">
        <v>48.0</v>
      </c>
      <c r="F104" s="43" t="s">
        <v>2800</v>
      </c>
      <c r="G104" s="44">
        <v>0.0</v>
      </c>
      <c r="H104" s="40"/>
      <c r="I104" s="40"/>
      <c r="J104" s="40"/>
      <c r="K104" s="40"/>
      <c r="L104" s="40"/>
      <c r="M104" s="40"/>
      <c r="N104" s="40"/>
      <c r="O104" s="40"/>
      <c r="P104" s="40"/>
      <c r="Q104" s="40"/>
      <c r="R104" s="40"/>
      <c r="S104" s="40"/>
      <c r="T104" s="40"/>
      <c r="U104" s="40"/>
      <c r="V104" s="40"/>
    </row>
    <row r="105">
      <c r="A105" s="43" t="s">
        <v>2801</v>
      </c>
      <c r="B105" s="44">
        <v>3.0</v>
      </c>
      <c r="C105" s="45">
        <v>3000011.0</v>
      </c>
      <c r="D105" s="40"/>
      <c r="E105" s="44">
        <v>49.0</v>
      </c>
      <c r="F105" s="43" t="s">
        <v>2802</v>
      </c>
      <c r="G105" s="44">
        <v>0.0</v>
      </c>
      <c r="H105" s="40"/>
      <c r="I105" s="40"/>
      <c r="J105" s="40"/>
      <c r="K105" s="40"/>
      <c r="L105" s="40"/>
      <c r="M105" s="40"/>
      <c r="N105" s="40"/>
      <c r="O105" s="40"/>
      <c r="P105" s="40"/>
      <c r="Q105" s="40"/>
      <c r="R105" s="40"/>
      <c r="S105" s="40"/>
      <c r="T105" s="40"/>
      <c r="U105" s="40"/>
      <c r="V105" s="40"/>
    </row>
    <row r="106">
      <c r="A106" s="43" t="s">
        <v>2803</v>
      </c>
      <c r="B106" s="44">
        <v>0.0</v>
      </c>
      <c r="C106" s="44" t="s">
        <v>2804</v>
      </c>
      <c r="D106" s="40"/>
      <c r="E106" s="44">
        <v>50.0</v>
      </c>
      <c r="F106" s="43" t="s">
        <v>2805</v>
      </c>
      <c r="G106" s="44">
        <v>0.0</v>
      </c>
      <c r="H106" s="40"/>
      <c r="I106" s="40"/>
      <c r="J106" s="40"/>
      <c r="K106" s="40"/>
      <c r="L106" s="40"/>
      <c r="M106" s="40"/>
      <c r="N106" s="40"/>
      <c r="O106" s="40"/>
      <c r="P106" s="40"/>
      <c r="Q106" s="40"/>
      <c r="R106" s="40"/>
      <c r="S106" s="40"/>
      <c r="T106" s="40"/>
      <c r="U106" s="40"/>
      <c r="V106" s="40"/>
    </row>
    <row r="107">
      <c r="A107" s="43" t="s">
        <v>2806</v>
      </c>
      <c r="B107" s="44">
        <v>25.0</v>
      </c>
      <c r="C107" s="45">
        <v>2500001.0</v>
      </c>
      <c r="D107" s="40"/>
      <c r="E107" s="44">
        <v>51.0</v>
      </c>
      <c r="F107" s="43" t="s">
        <v>2807</v>
      </c>
      <c r="G107" s="44">
        <v>0.0</v>
      </c>
      <c r="H107" s="40"/>
      <c r="I107" s="40"/>
      <c r="J107" s="40"/>
      <c r="K107" s="40"/>
      <c r="L107" s="40"/>
      <c r="M107" s="40"/>
      <c r="N107" s="40"/>
      <c r="O107" s="40"/>
      <c r="P107" s="40"/>
      <c r="Q107" s="40"/>
      <c r="R107" s="40"/>
      <c r="S107" s="40"/>
      <c r="T107" s="40"/>
      <c r="U107" s="40"/>
      <c r="V107" s="40"/>
    </row>
    <row r="108">
      <c r="A108" s="43" t="s">
        <v>2808</v>
      </c>
      <c r="B108" s="44">
        <v>0.0</v>
      </c>
      <c r="C108" s="44" t="s">
        <v>2809</v>
      </c>
      <c r="D108" s="40"/>
      <c r="E108" s="44">
        <v>52.0</v>
      </c>
      <c r="F108" s="43" t="s">
        <v>2810</v>
      </c>
      <c r="G108" s="44">
        <v>0.0</v>
      </c>
      <c r="H108" s="40"/>
      <c r="I108" s="40"/>
      <c r="J108" s="40"/>
      <c r="K108" s="40"/>
      <c r="L108" s="40"/>
      <c r="M108" s="40"/>
      <c r="N108" s="40"/>
      <c r="O108" s="40"/>
      <c r="P108" s="40"/>
      <c r="Q108" s="40"/>
      <c r="R108" s="40"/>
      <c r="S108" s="40"/>
      <c r="T108" s="40"/>
      <c r="U108" s="40"/>
      <c r="V108" s="40"/>
    </row>
    <row r="109">
      <c r="A109" s="43" t="s">
        <v>2811</v>
      </c>
      <c r="B109" s="44">
        <v>0.0</v>
      </c>
      <c r="C109" s="44" t="s">
        <v>2812</v>
      </c>
      <c r="D109" s="40"/>
      <c r="E109" s="44">
        <v>53.0</v>
      </c>
      <c r="F109" s="43" t="s">
        <v>2813</v>
      </c>
      <c r="G109" s="44">
        <v>0.0</v>
      </c>
      <c r="H109" s="40"/>
      <c r="I109" s="40"/>
      <c r="J109" s="40"/>
      <c r="K109" s="40"/>
      <c r="L109" s="40"/>
      <c r="M109" s="40"/>
      <c r="N109" s="40"/>
      <c r="O109" s="40"/>
      <c r="P109" s="40"/>
      <c r="Q109" s="40"/>
      <c r="R109" s="40"/>
      <c r="S109" s="40"/>
      <c r="T109" s="40"/>
      <c r="U109" s="40"/>
      <c r="V109" s="40"/>
    </row>
    <row r="110">
      <c r="A110" s="43" t="s">
        <v>2814</v>
      </c>
      <c r="B110" s="44">
        <v>0.0</v>
      </c>
      <c r="C110" s="45">
        <v>11.0</v>
      </c>
      <c r="D110" s="40"/>
      <c r="E110" s="44">
        <v>54.0</v>
      </c>
      <c r="F110" s="43" t="s">
        <v>2815</v>
      </c>
      <c r="G110" s="44">
        <v>0.0</v>
      </c>
      <c r="H110" s="40"/>
      <c r="I110" s="40"/>
      <c r="J110" s="40"/>
      <c r="K110" s="40"/>
      <c r="L110" s="40"/>
      <c r="M110" s="40"/>
      <c r="N110" s="40"/>
      <c r="O110" s="40"/>
      <c r="P110" s="40"/>
      <c r="Q110" s="40"/>
      <c r="R110" s="40"/>
      <c r="S110" s="40"/>
      <c r="T110" s="40"/>
      <c r="U110" s="40"/>
      <c r="V110" s="40"/>
    </row>
    <row r="111">
      <c r="A111" s="43" t="s">
        <v>2816</v>
      </c>
      <c r="B111" s="44">
        <v>0.0</v>
      </c>
      <c r="C111" s="44" t="s">
        <v>2817</v>
      </c>
      <c r="D111" s="40"/>
      <c r="E111" s="44">
        <v>55.0</v>
      </c>
      <c r="F111" s="43" t="s">
        <v>2818</v>
      </c>
      <c r="G111" s="44">
        <v>0.0</v>
      </c>
      <c r="H111" s="40"/>
      <c r="I111" s="40"/>
      <c r="J111" s="40"/>
      <c r="K111" s="40"/>
      <c r="L111" s="40"/>
      <c r="M111" s="40"/>
      <c r="N111" s="40"/>
      <c r="O111" s="40"/>
      <c r="P111" s="40"/>
      <c r="Q111" s="40"/>
      <c r="R111" s="40"/>
      <c r="S111" s="40"/>
      <c r="T111" s="40"/>
      <c r="U111" s="40"/>
      <c r="V111" s="40"/>
    </row>
    <row r="112">
      <c r="A112" s="43" t="s">
        <v>2819</v>
      </c>
      <c r="B112" s="44">
        <v>37.0</v>
      </c>
      <c r="C112" s="45">
        <v>3700001.0</v>
      </c>
      <c r="D112" s="40"/>
      <c r="E112" s="44">
        <v>56.0</v>
      </c>
      <c r="F112" s="43" t="s">
        <v>2820</v>
      </c>
      <c r="G112" s="44">
        <v>0.0</v>
      </c>
      <c r="H112" s="40"/>
      <c r="I112" s="40"/>
      <c r="J112" s="40"/>
      <c r="K112" s="40"/>
      <c r="L112" s="40"/>
      <c r="M112" s="40"/>
      <c r="N112" s="40"/>
      <c r="O112" s="40"/>
      <c r="P112" s="40"/>
      <c r="Q112" s="40"/>
      <c r="R112" s="40"/>
      <c r="S112" s="40"/>
      <c r="T112" s="40"/>
      <c r="U112" s="40"/>
      <c r="V112" s="40"/>
    </row>
    <row r="113">
      <c r="A113" s="43" t="s">
        <v>2821</v>
      </c>
      <c r="B113" s="44">
        <v>17.0</v>
      </c>
      <c r="C113" s="45">
        <v>1700001.0</v>
      </c>
      <c r="D113" s="40"/>
      <c r="E113" s="44">
        <v>57.0</v>
      </c>
      <c r="F113" s="43" t="s">
        <v>2822</v>
      </c>
      <c r="G113" s="44">
        <v>0.0</v>
      </c>
      <c r="H113" s="40"/>
      <c r="I113" s="40"/>
      <c r="J113" s="40"/>
      <c r="K113" s="40"/>
      <c r="L113" s="40"/>
      <c r="M113" s="40"/>
      <c r="N113" s="40"/>
      <c r="O113" s="40"/>
      <c r="P113" s="40"/>
      <c r="Q113" s="40"/>
      <c r="R113" s="40"/>
      <c r="S113" s="40"/>
      <c r="T113" s="40"/>
      <c r="U113" s="40"/>
      <c r="V113" s="40"/>
    </row>
    <row r="114">
      <c r="A114" s="43" t="s">
        <v>2823</v>
      </c>
      <c r="B114" s="44">
        <v>10.0</v>
      </c>
      <c r="C114" s="45">
        <v>1000001.0</v>
      </c>
      <c r="D114" s="40"/>
      <c r="E114" s="44">
        <v>58.0</v>
      </c>
      <c r="F114" s="43" t="s">
        <v>2824</v>
      </c>
      <c r="G114" s="44">
        <v>0.0</v>
      </c>
      <c r="H114" s="40"/>
      <c r="I114" s="40"/>
      <c r="J114" s="40"/>
      <c r="K114" s="40"/>
      <c r="L114" s="40"/>
      <c r="M114" s="40"/>
      <c r="N114" s="40"/>
      <c r="O114" s="40"/>
      <c r="P114" s="40"/>
      <c r="Q114" s="40"/>
      <c r="R114" s="40"/>
      <c r="S114" s="40"/>
      <c r="T114" s="40"/>
      <c r="U114" s="40"/>
      <c r="V114" s="40"/>
    </row>
    <row r="115">
      <c r="A115" s="43" t="s">
        <v>2825</v>
      </c>
      <c r="B115" s="44">
        <v>0.0</v>
      </c>
      <c r="C115" s="44" t="s">
        <v>2826</v>
      </c>
      <c r="D115" s="40"/>
      <c r="E115" s="44">
        <v>59.0</v>
      </c>
      <c r="F115" s="43" t="s">
        <v>2827</v>
      </c>
      <c r="G115" s="44">
        <v>0.0</v>
      </c>
      <c r="H115" s="40"/>
      <c r="I115" s="40"/>
      <c r="J115" s="40"/>
      <c r="K115" s="40"/>
      <c r="L115" s="40"/>
      <c r="M115" s="40"/>
      <c r="N115" s="40"/>
      <c r="O115" s="40"/>
      <c r="P115" s="40"/>
      <c r="Q115" s="40"/>
      <c r="R115" s="40"/>
      <c r="S115" s="40"/>
      <c r="T115" s="40"/>
      <c r="U115" s="40"/>
      <c r="V115" s="40"/>
    </row>
    <row r="116">
      <c r="A116" s="43" t="s">
        <v>2778</v>
      </c>
      <c r="B116" s="44">
        <v>1.0</v>
      </c>
      <c r="C116" s="45">
        <v>1000012.0</v>
      </c>
      <c r="D116" s="40"/>
      <c r="E116" s="44">
        <v>60.0</v>
      </c>
      <c r="F116" s="43" t="s">
        <v>2828</v>
      </c>
      <c r="G116" s="44">
        <v>0.0</v>
      </c>
      <c r="H116" s="40"/>
      <c r="I116" s="40"/>
      <c r="J116" s="40"/>
      <c r="K116" s="40"/>
      <c r="L116" s="40"/>
      <c r="M116" s="40"/>
      <c r="N116" s="40"/>
      <c r="O116" s="40"/>
      <c r="P116" s="40"/>
      <c r="Q116" s="40"/>
      <c r="R116" s="40"/>
      <c r="S116" s="40"/>
      <c r="T116" s="40"/>
      <c r="U116" s="40"/>
      <c r="V116" s="40"/>
    </row>
    <row r="117">
      <c r="A117" s="43" t="s">
        <v>2829</v>
      </c>
      <c r="B117" s="44">
        <v>0.0</v>
      </c>
      <c r="C117" s="44" t="s">
        <v>2830</v>
      </c>
      <c r="D117" s="40"/>
      <c r="E117" s="44">
        <v>61.0</v>
      </c>
      <c r="F117" s="43" t="s">
        <v>2831</v>
      </c>
      <c r="G117" s="44">
        <v>0.0</v>
      </c>
      <c r="H117" s="40"/>
      <c r="I117" s="40"/>
      <c r="J117" s="40"/>
      <c r="K117" s="40"/>
      <c r="L117" s="40"/>
      <c r="M117" s="40"/>
      <c r="N117" s="40"/>
      <c r="O117" s="40"/>
      <c r="P117" s="40"/>
      <c r="Q117" s="40"/>
      <c r="R117" s="40"/>
      <c r="S117" s="40"/>
      <c r="T117" s="40"/>
      <c r="U117" s="40"/>
      <c r="V117" s="40"/>
    </row>
    <row r="118">
      <c r="A118" s="43" t="s">
        <v>2832</v>
      </c>
      <c r="B118" s="44">
        <v>0.0</v>
      </c>
      <c r="C118" s="44" t="s">
        <v>2833</v>
      </c>
      <c r="D118" s="40"/>
      <c r="E118" s="44">
        <v>62.0</v>
      </c>
      <c r="F118" s="43" t="s">
        <v>2834</v>
      </c>
      <c r="G118" s="44">
        <v>0.0</v>
      </c>
      <c r="H118" s="40"/>
      <c r="I118" s="40"/>
      <c r="J118" s="40"/>
      <c r="K118" s="40"/>
      <c r="L118" s="40"/>
      <c r="M118" s="40"/>
      <c r="N118" s="40"/>
      <c r="O118" s="40"/>
      <c r="P118" s="40"/>
      <c r="Q118" s="40"/>
      <c r="R118" s="40"/>
      <c r="S118" s="40"/>
      <c r="T118" s="40"/>
      <c r="U118" s="40"/>
      <c r="V118" s="40"/>
    </row>
    <row r="119">
      <c r="A119" s="43" t="s">
        <v>2835</v>
      </c>
      <c r="B119" s="44">
        <v>0.0</v>
      </c>
      <c r="C119" s="44" t="s">
        <v>2836</v>
      </c>
      <c r="D119" s="40"/>
      <c r="E119" s="44">
        <v>63.0</v>
      </c>
      <c r="F119" s="43" t="s">
        <v>2837</v>
      </c>
      <c r="G119" s="44">
        <v>0.0</v>
      </c>
      <c r="H119" s="40"/>
      <c r="I119" s="40"/>
      <c r="J119" s="40"/>
      <c r="K119" s="40"/>
      <c r="L119" s="40"/>
      <c r="M119" s="40"/>
      <c r="N119" s="40"/>
      <c r="O119" s="40"/>
      <c r="P119" s="40"/>
      <c r="Q119" s="40"/>
      <c r="R119" s="40"/>
      <c r="S119" s="40"/>
      <c r="T119" s="40"/>
      <c r="U119" s="40"/>
      <c r="V119" s="40"/>
    </row>
    <row r="120">
      <c r="A120" s="43" t="s">
        <v>2838</v>
      </c>
      <c r="B120" s="44">
        <v>0.0</v>
      </c>
      <c r="C120" s="45">
        <v>12.0</v>
      </c>
      <c r="D120" s="40"/>
      <c r="E120" s="44">
        <v>64.0</v>
      </c>
      <c r="F120" s="43" t="s">
        <v>2839</v>
      </c>
      <c r="G120" s="44">
        <v>0.0</v>
      </c>
      <c r="H120" s="40"/>
      <c r="I120" s="40"/>
      <c r="J120" s="40"/>
      <c r="K120" s="40"/>
      <c r="L120" s="40"/>
      <c r="M120" s="40"/>
      <c r="N120" s="40"/>
      <c r="O120" s="40"/>
      <c r="P120" s="40"/>
      <c r="Q120" s="40"/>
      <c r="R120" s="40"/>
      <c r="S120" s="40"/>
      <c r="T120" s="40"/>
      <c r="U120" s="40"/>
      <c r="V120" s="40"/>
    </row>
    <row r="121">
      <c r="A121" s="43" t="s">
        <v>2840</v>
      </c>
      <c r="B121" s="44">
        <v>0.0</v>
      </c>
      <c r="C121" s="44" t="s">
        <v>2841</v>
      </c>
      <c r="D121" s="40"/>
      <c r="E121" s="44">
        <v>65.0</v>
      </c>
      <c r="F121" s="43" t="s">
        <v>2840</v>
      </c>
      <c r="G121" s="44">
        <v>0.0</v>
      </c>
      <c r="H121" s="40"/>
      <c r="I121" s="40"/>
      <c r="J121" s="40"/>
      <c r="K121" s="40"/>
      <c r="L121" s="40"/>
      <c r="M121" s="40"/>
      <c r="N121" s="40"/>
      <c r="O121" s="40"/>
      <c r="P121" s="40"/>
      <c r="Q121" s="40"/>
      <c r="R121" s="40"/>
      <c r="S121" s="40"/>
      <c r="T121" s="40"/>
      <c r="U121" s="40"/>
      <c r="V121" s="40"/>
    </row>
    <row r="122">
      <c r="A122" s="43" t="s">
        <v>2842</v>
      </c>
      <c r="B122" s="44">
        <v>5.0</v>
      </c>
      <c r="C122" s="45">
        <v>5000012.0</v>
      </c>
      <c r="D122" s="40"/>
      <c r="E122" s="44">
        <v>66.0</v>
      </c>
      <c r="F122" s="43" t="s">
        <v>2838</v>
      </c>
      <c r="G122" s="44">
        <v>0.0</v>
      </c>
      <c r="H122" s="40"/>
      <c r="I122" s="40"/>
      <c r="J122" s="40"/>
      <c r="K122" s="40"/>
      <c r="L122" s="40"/>
      <c r="M122" s="40"/>
      <c r="N122" s="40"/>
      <c r="O122" s="40"/>
      <c r="P122" s="40"/>
      <c r="Q122" s="40"/>
      <c r="R122" s="40"/>
      <c r="S122" s="40"/>
      <c r="T122" s="40"/>
      <c r="U122" s="40"/>
      <c r="V122" s="40"/>
    </row>
    <row r="123">
      <c r="A123" s="43" t="s">
        <v>2839</v>
      </c>
      <c r="B123" s="44">
        <v>0.0</v>
      </c>
      <c r="C123" s="44" t="s">
        <v>2843</v>
      </c>
      <c r="D123" s="40"/>
      <c r="E123" s="44">
        <v>67.0</v>
      </c>
      <c r="F123" s="43" t="s">
        <v>2835</v>
      </c>
      <c r="G123" s="44">
        <v>0.0</v>
      </c>
      <c r="H123" s="40"/>
      <c r="I123" s="40"/>
      <c r="J123" s="40"/>
      <c r="K123" s="40"/>
      <c r="L123" s="40"/>
      <c r="M123" s="40"/>
      <c r="N123" s="40"/>
      <c r="O123" s="40"/>
      <c r="P123" s="40"/>
      <c r="Q123" s="40"/>
      <c r="R123" s="40"/>
      <c r="S123" s="40"/>
      <c r="T123" s="40"/>
      <c r="U123" s="40"/>
      <c r="V123" s="40"/>
    </row>
    <row r="124">
      <c r="A124" s="43" t="s">
        <v>2837</v>
      </c>
      <c r="B124" s="44">
        <v>0.0</v>
      </c>
      <c r="C124" s="44" t="s">
        <v>2844</v>
      </c>
      <c r="D124" s="40"/>
      <c r="E124" s="44">
        <v>68.0</v>
      </c>
      <c r="F124" s="43" t="s">
        <v>2832</v>
      </c>
      <c r="G124" s="44">
        <v>0.0</v>
      </c>
      <c r="H124" s="40"/>
      <c r="I124" s="40"/>
      <c r="J124" s="40"/>
      <c r="K124" s="40"/>
      <c r="L124" s="40"/>
      <c r="M124" s="40"/>
      <c r="N124" s="40"/>
      <c r="O124" s="40"/>
      <c r="P124" s="40"/>
      <c r="Q124" s="40"/>
      <c r="R124" s="40"/>
      <c r="S124" s="40"/>
      <c r="T124" s="40"/>
      <c r="U124" s="40"/>
      <c r="V124" s="40"/>
    </row>
    <row r="125">
      <c r="A125" s="43" t="s">
        <v>2834</v>
      </c>
      <c r="B125" s="44">
        <v>0.0</v>
      </c>
      <c r="C125" s="44" t="s">
        <v>2845</v>
      </c>
      <c r="D125" s="40"/>
      <c r="E125" s="44">
        <v>69.0</v>
      </c>
      <c r="F125" s="43" t="s">
        <v>2829</v>
      </c>
      <c r="G125" s="44">
        <v>0.0</v>
      </c>
      <c r="H125" s="40"/>
      <c r="I125" s="40"/>
      <c r="J125" s="40"/>
      <c r="K125" s="40"/>
      <c r="L125" s="40"/>
      <c r="M125" s="40"/>
      <c r="N125" s="40"/>
      <c r="O125" s="40"/>
      <c r="P125" s="40"/>
      <c r="Q125" s="40"/>
      <c r="R125" s="40"/>
      <c r="S125" s="40"/>
      <c r="T125" s="40"/>
      <c r="U125" s="40"/>
      <c r="V125" s="40"/>
    </row>
    <row r="126">
      <c r="A126" s="43" t="s">
        <v>2831</v>
      </c>
      <c r="B126" s="44">
        <v>0.0</v>
      </c>
      <c r="C126" s="44" t="s">
        <v>2846</v>
      </c>
      <c r="D126" s="40"/>
      <c r="E126" s="44">
        <v>70.0</v>
      </c>
      <c r="F126" s="43" t="s">
        <v>2825</v>
      </c>
      <c r="G126" s="44">
        <v>0.0</v>
      </c>
      <c r="H126" s="40"/>
      <c r="I126" s="40"/>
      <c r="J126" s="40"/>
      <c r="K126" s="40"/>
      <c r="L126" s="40"/>
      <c r="M126" s="40"/>
      <c r="N126" s="40"/>
      <c r="O126" s="40"/>
      <c r="P126" s="40"/>
      <c r="Q126" s="40"/>
      <c r="R126" s="40"/>
      <c r="S126" s="40"/>
      <c r="T126" s="40"/>
      <c r="U126" s="40"/>
      <c r="V126" s="40"/>
    </row>
    <row r="127">
      <c r="A127" s="43" t="s">
        <v>2828</v>
      </c>
      <c r="B127" s="44">
        <v>0.0</v>
      </c>
      <c r="C127" s="44" t="s">
        <v>2847</v>
      </c>
      <c r="D127" s="40"/>
      <c r="E127" s="44">
        <v>71.0</v>
      </c>
      <c r="F127" s="43" t="s">
        <v>2816</v>
      </c>
      <c r="G127" s="44">
        <v>0.0</v>
      </c>
      <c r="H127" s="40"/>
      <c r="I127" s="40"/>
      <c r="J127" s="40"/>
      <c r="K127" s="40"/>
      <c r="L127" s="40"/>
      <c r="M127" s="40"/>
      <c r="N127" s="40"/>
      <c r="O127" s="40"/>
      <c r="P127" s="40"/>
      <c r="Q127" s="40"/>
      <c r="R127" s="40"/>
      <c r="S127" s="40"/>
      <c r="T127" s="40"/>
      <c r="U127" s="40"/>
      <c r="V127" s="40"/>
    </row>
    <row r="128">
      <c r="A128" s="43" t="s">
        <v>2848</v>
      </c>
      <c r="B128" s="44">
        <v>2.0</v>
      </c>
      <c r="C128" s="45">
        <v>2000013.0</v>
      </c>
      <c r="D128" s="40"/>
      <c r="E128" s="44">
        <v>72.0</v>
      </c>
      <c r="F128" s="43" t="s">
        <v>2814</v>
      </c>
      <c r="G128" s="44">
        <v>0.0</v>
      </c>
      <c r="H128" s="40"/>
      <c r="I128" s="40"/>
      <c r="J128" s="40"/>
      <c r="K128" s="40"/>
      <c r="L128" s="40"/>
      <c r="M128" s="40"/>
      <c r="N128" s="40"/>
      <c r="O128" s="40"/>
      <c r="P128" s="40"/>
      <c r="Q128" s="40"/>
      <c r="R128" s="40"/>
      <c r="S128" s="40"/>
      <c r="T128" s="40"/>
      <c r="U128" s="40"/>
      <c r="V128" s="40"/>
    </row>
    <row r="129">
      <c r="A129" s="43" t="s">
        <v>2775</v>
      </c>
      <c r="B129" s="44">
        <v>1.0</v>
      </c>
      <c r="C129" s="45">
        <v>1000013.0</v>
      </c>
      <c r="D129" s="40"/>
      <c r="E129" s="44">
        <v>73.0</v>
      </c>
      <c r="F129" s="43" t="s">
        <v>2811</v>
      </c>
      <c r="G129" s="44">
        <v>0.0</v>
      </c>
      <c r="H129" s="40"/>
      <c r="I129" s="40"/>
      <c r="J129" s="40"/>
      <c r="K129" s="40"/>
      <c r="L129" s="40"/>
      <c r="M129" s="40"/>
      <c r="N129" s="40"/>
      <c r="O129" s="40"/>
      <c r="P129" s="40"/>
      <c r="Q129" s="40"/>
      <c r="R129" s="40"/>
      <c r="S129" s="40"/>
      <c r="T129" s="40"/>
      <c r="U129" s="40"/>
      <c r="V129" s="40"/>
    </row>
    <row r="130">
      <c r="A130" s="43" t="s">
        <v>2849</v>
      </c>
      <c r="B130" s="44">
        <v>8.0</v>
      </c>
      <c r="C130" s="45">
        <v>8000013.0</v>
      </c>
      <c r="D130" s="40"/>
      <c r="E130" s="44">
        <v>74.0</v>
      </c>
      <c r="F130" s="43" t="s">
        <v>2808</v>
      </c>
      <c r="G130" s="44">
        <v>0.0</v>
      </c>
      <c r="H130" s="40"/>
      <c r="I130" s="40"/>
      <c r="J130" s="40"/>
      <c r="K130" s="40"/>
      <c r="L130" s="40"/>
      <c r="M130" s="40"/>
      <c r="N130" s="40"/>
      <c r="O130" s="40"/>
      <c r="P130" s="40"/>
      <c r="Q130" s="40"/>
      <c r="R130" s="40"/>
      <c r="S130" s="40"/>
      <c r="T130" s="40"/>
      <c r="U130" s="40"/>
      <c r="V130" s="40"/>
    </row>
    <row r="131">
      <c r="A131" s="43" t="s">
        <v>2827</v>
      </c>
      <c r="B131" s="44">
        <v>0.0</v>
      </c>
      <c r="C131" s="44" t="s">
        <v>2850</v>
      </c>
      <c r="D131" s="40"/>
      <c r="E131" s="44">
        <v>75.0</v>
      </c>
      <c r="F131" s="43" t="s">
        <v>2803</v>
      </c>
      <c r="G131" s="44">
        <v>0.0</v>
      </c>
      <c r="H131" s="40"/>
      <c r="I131" s="40"/>
      <c r="J131" s="40"/>
      <c r="K131" s="40"/>
      <c r="L131" s="40"/>
      <c r="M131" s="40"/>
      <c r="N131" s="40"/>
      <c r="O131" s="40"/>
      <c r="P131" s="40"/>
      <c r="Q131" s="40"/>
      <c r="R131" s="40"/>
      <c r="S131" s="40"/>
      <c r="T131" s="40"/>
      <c r="U131" s="40"/>
      <c r="V131" s="40"/>
    </row>
    <row r="132">
      <c r="A132" s="43" t="s">
        <v>2773</v>
      </c>
      <c r="B132" s="44">
        <v>1.0</v>
      </c>
      <c r="C132" s="45">
        <v>1000013.0</v>
      </c>
      <c r="D132" s="40"/>
      <c r="E132" s="44">
        <v>76.0</v>
      </c>
      <c r="F132" s="43" t="s">
        <v>2798</v>
      </c>
      <c r="G132" s="44">
        <v>0.0</v>
      </c>
      <c r="H132" s="40"/>
      <c r="I132" s="40"/>
      <c r="J132" s="40"/>
      <c r="K132" s="40"/>
      <c r="L132" s="40"/>
      <c r="M132" s="40"/>
      <c r="N132" s="40"/>
      <c r="O132" s="40"/>
      <c r="P132" s="40"/>
      <c r="Q132" s="40"/>
      <c r="R132" s="40"/>
      <c r="S132" s="40"/>
      <c r="T132" s="40"/>
      <c r="U132" s="40"/>
      <c r="V132" s="40"/>
    </row>
    <row r="133">
      <c r="A133" s="43" t="s">
        <v>2824</v>
      </c>
      <c r="B133" s="44">
        <v>0.0</v>
      </c>
      <c r="C133" s="44" t="s">
        <v>2851</v>
      </c>
      <c r="D133" s="40"/>
      <c r="E133" s="44">
        <v>77.0</v>
      </c>
      <c r="F133" s="43" t="s">
        <v>2795</v>
      </c>
      <c r="G133" s="44">
        <v>0.0</v>
      </c>
      <c r="H133" s="40"/>
      <c r="I133" s="40"/>
      <c r="J133" s="40"/>
      <c r="K133" s="40"/>
      <c r="L133" s="40"/>
      <c r="M133" s="40"/>
      <c r="N133" s="40"/>
      <c r="O133" s="40"/>
      <c r="P133" s="40"/>
      <c r="Q133" s="40"/>
      <c r="R133" s="40"/>
      <c r="S133" s="40"/>
      <c r="T133" s="40"/>
      <c r="U133" s="40"/>
      <c r="V133" s="40"/>
    </row>
    <row r="134">
      <c r="A134" s="43" t="s">
        <v>2771</v>
      </c>
      <c r="B134" s="44">
        <v>1.0</v>
      </c>
      <c r="C134" s="45">
        <v>1000013.0</v>
      </c>
      <c r="D134" s="40"/>
      <c r="E134" s="44">
        <v>78.0</v>
      </c>
      <c r="F134" s="43" t="s">
        <v>2792</v>
      </c>
      <c r="G134" s="44">
        <v>0.0</v>
      </c>
      <c r="H134" s="40"/>
      <c r="I134" s="40"/>
      <c r="J134" s="40"/>
      <c r="K134" s="40"/>
      <c r="L134" s="40"/>
      <c r="M134" s="40"/>
      <c r="N134" s="40"/>
      <c r="O134" s="40"/>
      <c r="P134" s="40"/>
      <c r="Q134" s="40"/>
      <c r="R134" s="40"/>
      <c r="S134" s="40"/>
      <c r="T134" s="40"/>
      <c r="U134" s="40"/>
      <c r="V134" s="40"/>
    </row>
    <row r="135">
      <c r="A135" s="43" t="s">
        <v>2852</v>
      </c>
      <c r="B135" s="44">
        <v>3.0</v>
      </c>
      <c r="C135" s="45">
        <v>3000014.0</v>
      </c>
      <c r="D135" s="40"/>
      <c r="E135" s="44">
        <v>79.0</v>
      </c>
      <c r="F135" s="43" t="s">
        <v>2787</v>
      </c>
      <c r="G135" s="44">
        <v>0.0</v>
      </c>
      <c r="H135" s="40"/>
      <c r="I135" s="40"/>
      <c r="J135" s="40"/>
      <c r="K135" s="40"/>
      <c r="L135" s="40"/>
      <c r="M135" s="40"/>
      <c r="N135" s="40"/>
      <c r="O135" s="40"/>
      <c r="P135" s="40"/>
      <c r="Q135" s="40"/>
      <c r="R135" s="40"/>
      <c r="S135" s="40"/>
      <c r="T135" s="40"/>
      <c r="U135" s="40"/>
      <c r="V135" s="40"/>
    </row>
    <row r="136">
      <c r="A136" s="43" t="s">
        <v>2822</v>
      </c>
      <c r="B136" s="44">
        <v>0.0</v>
      </c>
      <c r="C136" s="44" t="s">
        <v>2853</v>
      </c>
      <c r="D136" s="40"/>
      <c r="E136" s="44">
        <v>80.0</v>
      </c>
      <c r="F136" s="43" t="s">
        <v>2783</v>
      </c>
      <c r="G136" s="44">
        <v>0.0</v>
      </c>
      <c r="H136" s="40"/>
      <c r="I136" s="40"/>
      <c r="J136" s="40"/>
      <c r="K136" s="40"/>
      <c r="L136" s="40"/>
      <c r="M136" s="40"/>
      <c r="N136" s="40"/>
      <c r="O136" s="40"/>
      <c r="P136" s="40"/>
      <c r="Q136" s="40"/>
      <c r="R136" s="40"/>
      <c r="S136" s="40"/>
      <c r="T136" s="40"/>
      <c r="U136" s="40"/>
      <c r="V136" s="40"/>
    </row>
    <row r="137">
      <c r="A137" s="43" t="s">
        <v>2769</v>
      </c>
      <c r="B137" s="44">
        <v>1.0</v>
      </c>
      <c r="C137" s="45">
        <v>1000014.0</v>
      </c>
      <c r="D137" s="40"/>
      <c r="E137" s="44">
        <v>81.0</v>
      </c>
      <c r="F137" s="43" t="s">
        <v>2780</v>
      </c>
      <c r="G137" s="44">
        <v>0.0</v>
      </c>
      <c r="H137" s="40"/>
      <c r="I137" s="40"/>
      <c r="J137" s="40"/>
      <c r="K137" s="40"/>
      <c r="L137" s="40"/>
      <c r="M137" s="40"/>
      <c r="N137" s="40"/>
      <c r="O137" s="40"/>
      <c r="P137" s="40"/>
      <c r="Q137" s="40"/>
      <c r="R137" s="40"/>
      <c r="S137" s="40"/>
      <c r="T137" s="40"/>
      <c r="U137" s="40"/>
      <c r="V137" s="40"/>
    </row>
    <row r="138">
      <c r="A138" s="43" t="s">
        <v>2820</v>
      </c>
      <c r="B138" s="44">
        <v>0.0</v>
      </c>
      <c r="C138" s="44" t="s">
        <v>2854</v>
      </c>
      <c r="D138" s="40"/>
      <c r="E138" s="44">
        <v>82.0</v>
      </c>
      <c r="F138" s="43" t="s">
        <v>2776</v>
      </c>
      <c r="G138" s="44">
        <v>0.0</v>
      </c>
      <c r="H138" s="40"/>
      <c r="I138" s="40"/>
      <c r="J138" s="40"/>
      <c r="K138" s="40"/>
      <c r="L138" s="40"/>
      <c r="M138" s="40"/>
      <c r="N138" s="40"/>
      <c r="O138" s="40"/>
      <c r="P138" s="40"/>
      <c r="Q138" s="40"/>
      <c r="R138" s="40"/>
      <c r="S138" s="40"/>
      <c r="T138" s="40"/>
      <c r="U138" s="40"/>
      <c r="V138" s="40"/>
    </row>
    <row r="139">
      <c r="A139" s="43" t="s">
        <v>2818</v>
      </c>
      <c r="B139" s="44">
        <v>0.0</v>
      </c>
      <c r="C139" s="44" t="s">
        <v>2855</v>
      </c>
      <c r="D139" s="40"/>
      <c r="E139" s="44">
        <v>83.0</v>
      </c>
      <c r="F139" s="43" t="s">
        <v>2772</v>
      </c>
      <c r="G139" s="44">
        <v>0.0</v>
      </c>
      <c r="H139" s="40"/>
      <c r="I139" s="40"/>
      <c r="J139" s="40"/>
      <c r="K139" s="40"/>
      <c r="L139" s="40"/>
      <c r="M139" s="40"/>
      <c r="N139" s="40"/>
      <c r="O139" s="40"/>
      <c r="P139" s="40"/>
      <c r="Q139" s="40"/>
      <c r="R139" s="40"/>
      <c r="S139" s="40"/>
      <c r="T139" s="40"/>
      <c r="U139" s="40"/>
      <c r="V139" s="40"/>
    </row>
    <row r="140">
      <c r="A140" s="43" t="s">
        <v>2815</v>
      </c>
      <c r="B140" s="44">
        <v>0.0</v>
      </c>
      <c r="C140" s="45">
        <v>14.0</v>
      </c>
      <c r="D140" s="40"/>
      <c r="E140" s="44">
        <v>84.0</v>
      </c>
      <c r="F140" s="43" t="s">
        <v>2765</v>
      </c>
      <c r="G140" s="44">
        <v>0.0</v>
      </c>
      <c r="H140" s="40"/>
      <c r="I140" s="40"/>
      <c r="J140" s="40"/>
      <c r="K140" s="40"/>
      <c r="L140" s="40"/>
      <c r="M140" s="40"/>
      <c r="N140" s="40"/>
      <c r="O140" s="40"/>
      <c r="P140" s="40"/>
      <c r="Q140" s="40"/>
      <c r="R140" s="40"/>
      <c r="S140" s="40"/>
      <c r="T140" s="40"/>
      <c r="U140" s="40"/>
      <c r="V140" s="40"/>
    </row>
    <row r="141">
      <c r="A141" s="43" t="s">
        <v>2813</v>
      </c>
      <c r="B141" s="44">
        <v>0.0</v>
      </c>
      <c r="C141" s="44" t="s">
        <v>2856</v>
      </c>
      <c r="D141" s="40"/>
      <c r="E141" s="44">
        <v>85.0</v>
      </c>
      <c r="F141" s="43" t="s">
        <v>2762</v>
      </c>
      <c r="G141" s="44">
        <v>0.0</v>
      </c>
      <c r="H141" s="40"/>
      <c r="I141" s="40"/>
      <c r="J141" s="40"/>
      <c r="K141" s="40"/>
      <c r="L141" s="40"/>
      <c r="M141" s="40"/>
      <c r="N141" s="40"/>
      <c r="O141" s="40"/>
      <c r="P141" s="40"/>
      <c r="Q141" s="40"/>
      <c r="R141" s="40"/>
      <c r="S141" s="40"/>
      <c r="T141" s="40"/>
      <c r="U141" s="40"/>
      <c r="V141" s="40"/>
    </row>
    <row r="142">
      <c r="A142" s="43" t="s">
        <v>2810</v>
      </c>
      <c r="B142" s="44">
        <v>0.0</v>
      </c>
      <c r="C142" s="44" t="s">
        <v>2857</v>
      </c>
      <c r="D142" s="40"/>
      <c r="E142" s="44">
        <v>86.0</v>
      </c>
      <c r="F142" s="43" t="s">
        <v>2760</v>
      </c>
      <c r="G142" s="44">
        <v>0.0</v>
      </c>
      <c r="H142" s="40"/>
      <c r="I142" s="40"/>
      <c r="J142" s="40"/>
      <c r="K142" s="40"/>
      <c r="L142" s="40"/>
      <c r="M142" s="40"/>
      <c r="N142" s="40"/>
      <c r="O142" s="40"/>
      <c r="P142" s="40"/>
      <c r="Q142" s="40"/>
      <c r="R142" s="40"/>
      <c r="S142" s="40"/>
      <c r="T142" s="40"/>
      <c r="U142" s="40"/>
      <c r="V142" s="40"/>
    </row>
    <row r="143">
      <c r="A143" s="43" t="s">
        <v>2807</v>
      </c>
      <c r="B143" s="44">
        <v>0.0</v>
      </c>
      <c r="C143" s="44" t="s">
        <v>2858</v>
      </c>
      <c r="D143" s="40"/>
      <c r="E143" s="44">
        <v>87.0</v>
      </c>
      <c r="F143" s="43" t="s">
        <v>2758</v>
      </c>
      <c r="G143" s="44">
        <v>0.0</v>
      </c>
      <c r="H143" s="40"/>
      <c r="I143" s="40"/>
      <c r="J143" s="40"/>
      <c r="K143" s="40"/>
      <c r="L143" s="40"/>
      <c r="M143" s="40"/>
      <c r="N143" s="40"/>
      <c r="O143" s="40"/>
      <c r="P143" s="40"/>
      <c r="Q143" s="40"/>
      <c r="R143" s="40"/>
      <c r="S143" s="40"/>
      <c r="T143" s="40"/>
      <c r="U143" s="40"/>
      <c r="V143" s="40"/>
    </row>
    <row r="144">
      <c r="A144" s="43" t="s">
        <v>2805</v>
      </c>
      <c r="B144" s="44">
        <v>0.0</v>
      </c>
      <c r="C144" s="44" t="s">
        <v>2859</v>
      </c>
      <c r="D144" s="40"/>
      <c r="E144" s="44">
        <v>88.0</v>
      </c>
      <c r="F144" s="43" t="s">
        <v>2756</v>
      </c>
      <c r="G144" s="44">
        <v>0.0</v>
      </c>
      <c r="H144" s="40"/>
      <c r="I144" s="40"/>
      <c r="J144" s="40"/>
      <c r="K144" s="40"/>
      <c r="L144" s="40"/>
      <c r="M144" s="40"/>
      <c r="N144" s="40"/>
      <c r="O144" s="40"/>
      <c r="P144" s="40"/>
      <c r="Q144" s="40"/>
      <c r="R144" s="40"/>
      <c r="S144" s="40"/>
      <c r="T144" s="40"/>
      <c r="U144" s="40"/>
      <c r="V144" s="40"/>
    </row>
    <row r="145">
      <c r="A145" s="43" t="s">
        <v>2802</v>
      </c>
      <c r="B145" s="44">
        <v>0.0</v>
      </c>
      <c r="C145" s="44" t="s">
        <v>2860</v>
      </c>
      <c r="D145" s="40"/>
      <c r="E145" s="44">
        <v>89.0</v>
      </c>
      <c r="F145" s="43" t="s">
        <v>2754</v>
      </c>
      <c r="G145" s="44">
        <v>0.0</v>
      </c>
      <c r="H145" s="40"/>
      <c r="I145" s="40"/>
      <c r="J145" s="40"/>
      <c r="K145" s="40"/>
      <c r="L145" s="40"/>
      <c r="M145" s="40"/>
      <c r="N145" s="40"/>
      <c r="O145" s="40"/>
      <c r="P145" s="40"/>
      <c r="Q145" s="40"/>
      <c r="R145" s="40"/>
      <c r="S145" s="40"/>
      <c r="T145" s="40"/>
      <c r="U145" s="40"/>
      <c r="V145" s="40"/>
    </row>
    <row r="146">
      <c r="A146" s="43" t="s">
        <v>2767</v>
      </c>
      <c r="B146" s="44">
        <v>1.0</v>
      </c>
      <c r="C146" s="45">
        <v>1000015.0</v>
      </c>
      <c r="D146" s="40"/>
      <c r="E146" s="44">
        <v>90.0</v>
      </c>
      <c r="F146" s="43" t="s">
        <v>2752</v>
      </c>
      <c r="G146" s="44">
        <v>0.0</v>
      </c>
      <c r="H146" s="40"/>
      <c r="I146" s="40"/>
      <c r="J146" s="40"/>
      <c r="K146" s="40"/>
      <c r="L146" s="40"/>
      <c r="M146" s="40"/>
      <c r="N146" s="40"/>
      <c r="O146" s="40"/>
      <c r="P146" s="40"/>
      <c r="Q146" s="40"/>
      <c r="R146" s="40"/>
      <c r="S146" s="40"/>
      <c r="T146" s="40"/>
      <c r="U146" s="40"/>
      <c r="V146" s="40"/>
    </row>
    <row r="147">
      <c r="A147" s="43" t="s">
        <v>2800</v>
      </c>
      <c r="B147" s="44">
        <v>0.0</v>
      </c>
      <c r="C147" s="44" t="s">
        <v>2861</v>
      </c>
      <c r="D147" s="40"/>
      <c r="E147" s="44">
        <v>91.0</v>
      </c>
      <c r="F147" s="43" t="s">
        <v>2750</v>
      </c>
      <c r="G147" s="44">
        <v>0.0</v>
      </c>
      <c r="H147" s="40"/>
      <c r="I147" s="40"/>
      <c r="J147" s="40"/>
      <c r="K147" s="40"/>
      <c r="L147" s="40"/>
      <c r="M147" s="40"/>
      <c r="N147" s="40"/>
      <c r="O147" s="40"/>
      <c r="P147" s="40"/>
      <c r="Q147" s="40"/>
      <c r="R147" s="40"/>
      <c r="S147" s="40"/>
      <c r="T147" s="40"/>
      <c r="U147" s="40"/>
      <c r="V147" s="40"/>
    </row>
    <row r="148">
      <c r="A148" s="43" t="s">
        <v>2797</v>
      </c>
      <c r="B148" s="44">
        <v>0.0</v>
      </c>
      <c r="C148" s="44" t="s">
        <v>2862</v>
      </c>
      <c r="D148" s="40"/>
      <c r="E148" s="44">
        <v>92.0</v>
      </c>
      <c r="F148" s="43" t="s">
        <v>2636</v>
      </c>
      <c r="G148" s="44">
        <v>0.0</v>
      </c>
      <c r="H148" s="40"/>
      <c r="I148" s="40"/>
      <c r="J148" s="40"/>
      <c r="K148" s="40"/>
      <c r="L148" s="40"/>
      <c r="M148" s="40"/>
      <c r="N148" s="40"/>
      <c r="O148" s="40"/>
      <c r="P148" s="40"/>
      <c r="Q148" s="40"/>
      <c r="R148" s="40"/>
      <c r="S148" s="40"/>
      <c r="T148" s="40"/>
      <c r="U148" s="40"/>
      <c r="V148" s="40"/>
    </row>
    <row r="149">
      <c r="A149" s="43" t="s">
        <v>2794</v>
      </c>
      <c r="B149" s="44">
        <v>0.0</v>
      </c>
      <c r="C149" s="44" t="s">
        <v>2863</v>
      </c>
      <c r="D149" s="40"/>
      <c r="E149" s="44">
        <v>93.0</v>
      </c>
      <c r="F149" s="43" t="s">
        <v>2497</v>
      </c>
      <c r="G149" s="44">
        <v>0.0</v>
      </c>
      <c r="H149" s="40"/>
      <c r="I149" s="40"/>
      <c r="J149" s="40"/>
      <c r="K149" s="40"/>
      <c r="L149" s="40"/>
      <c r="M149" s="40"/>
      <c r="N149" s="40"/>
      <c r="O149" s="40"/>
      <c r="P149" s="40"/>
      <c r="Q149" s="40"/>
      <c r="R149" s="40"/>
      <c r="S149" s="40"/>
      <c r="T149" s="40"/>
      <c r="U149" s="40"/>
      <c r="V149" s="40"/>
    </row>
    <row r="150">
      <c r="A150" s="43" t="s">
        <v>2864</v>
      </c>
      <c r="B150" s="44">
        <v>2.0</v>
      </c>
      <c r="C150" s="45">
        <v>2000015.0</v>
      </c>
      <c r="D150" s="40"/>
      <c r="E150" s="44">
        <v>94.0</v>
      </c>
      <c r="F150" s="43" t="s">
        <v>2453</v>
      </c>
      <c r="G150" s="44">
        <v>0.0</v>
      </c>
      <c r="H150" s="40"/>
      <c r="I150" s="40"/>
      <c r="J150" s="40"/>
      <c r="K150" s="40"/>
      <c r="L150" s="40"/>
      <c r="M150" s="40"/>
      <c r="N150" s="40"/>
      <c r="O150" s="40"/>
      <c r="P150" s="40"/>
      <c r="Q150" s="40"/>
      <c r="R150" s="40"/>
      <c r="S150" s="40"/>
      <c r="T150" s="40"/>
      <c r="U150" s="40"/>
      <c r="V150" s="40"/>
    </row>
    <row r="151">
      <c r="A151" s="43" t="s">
        <v>2865</v>
      </c>
      <c r="B151" s="44">
        <v>11.0</v>
      </c>
      <c r="C151" s="45">
        <v>1100002.0</v>
      </c>
      <c r="D151" s="40"/>
      <c r="E151" s="44">
        <v>95.0</v>
      </c>
      <c r="F151" s="43" t="s">
        <v>2330</v>
      </c>
      <c r="G151" s="44">
        <v>0.0</v>
      </c>
      <c r="H151" s="40"/>
      <c r="I151" s="40"/>
      <c r="J151" s="40"/>
      <c r="K151" s="40"/>
      <c r="L151" s="40"/>
      <c r="M151" s="40"/>
      <c r="N151" s="40"/>
      <c r="O151" s="40"/>
      <c r="P151" s="40"/>
      <c r="Q151" s="40"/>
      <c r="R151" s="40"/>
      <c r="S151" s="40"/>
      <c r="T151" s="40"/>
      <c r="U151" s="40"/>
      <c r="V151" s="40"/>
    </row>
    <row r="152">
      <c r="A152" s="43" t="s">
        <v>2866</v>
      </c>
      <c r="B152" s="44">
        <v>26.0</v>
      </c>
      <c r="C152" s="45">
        <v>2600002.0</v>
      </c>
      <c r="D152" s="40"/>
      <c r="E152" s="44">
        <v>96.0</v>
      </c>
      <c r="F152" s="43" t="s">
        <v>2083</v>
      </c>
      <c r="G152" s="44">
        <v>0.0</v>
      </c>
      <c r="H152" s="40"/>
      <c r="I152" s="40"/>
      <c r="J152" s="40"/>
      <c r="K152" s="40"/>
      <c r="L152" s="40"/>
      <c r="M152" s="40"/>
      <c r="N152" s="40"/>
      <c r="O152" s="40"/>
      <c r="P152" s="40"/>
      <c r="Q152" s="40"/>
      <c r="R152" s="40"/>
      <c r="S152" s="40"/>
      <c r="T152" s="40"/>
      <c r="U152" s="40"/>
      <c r="V152" s="40"/>
    </row>
    <row r="153">
      <c r="A153" s="43" t="s">
        <v>2791</v>
      </c>
      <c r="B153" s="44">
        <v>0.0</v>
      </c>
      <c r="C153" s="44" t="s">
        <v>2867</v>
      </c>
      <c r="D153" s="40"/>
      <c r="E153" s="44">
        <v>97.0</v>
      </c>
      <c r="F153" s="43" t="s">
        <v>1872</v>
      </c>
      <c r="G153" s="44">
        <v>0.0</v>
      </c>
      <c r="H153" s="40"/>
      <c r="I153" s="40"/>
      <c r="J153" s="40"/>
      <c r="K153" s="40"/>
      <c r="L153" s="40"/>
      <c r="M153" s="40"/>
      <c r="N153" s="40"/>
      <c r="O153" s="40"/>
      <c r="P153" s="40"/>
      <c r="Q153" s="40"/>
      <c r="R153" s="40"/>
      <c r="S153" s="40"/>
      <c r="T153" s="40"/>
      <c r="U153" s="40"/>
      <c r="V153" s="40"/>
    </row>
    <row r="154">
      <c r="A154" s="43" t="s">
        <v>2868</v>
      </c>
      <c r="B154" s="44">
        <v>8.0</v>
      </c>
      <c r="C154" s="45">
        <v>8000015.0</v>
      </c>
      <c r="D154" s="40"/>
      <c r="E154" s="44">
        <v>98.0</v>
      </c>
      <c r="F154" s="43" t="s">
        <v>964</v>
      </c>
      <c r="G154" s="44">
        <v>0.0</v>
      </c>
      <c r="H154" s="40"/>
      <c r="I154" s="40"/>
      <c r="J154" s="40"/>
      <c r="K154" s="40"/>
      <c r="L154" s="40"/>
      <c r="M154" s="40"/>
      <c r="N154" s="40"/>
      <c r="O154" s="40"/>
      <c r="P154" s="40"/>
      <c r="Q154" s="40"/>
      <c r="R154" s="40"/>
      <c r="S154" s="40"/>
      <c r="T154" s="40"/>
      <c r="U154" s="40"/>
      <c r="V154" s="40"/>
    </row>
    <row r="155">
      <c r="A155" s="43" t="s">
        <v>2869</v>
      </c>
      <c r="B155" s="44">
        <v>9.0</v>
      </c>
      <c r="C155" s="45">
        <v>9000016.0</v>
      </c>
      <c r="D155" s="40"/>
      <c r="E155" s="44">
        <v>99.0</v>
      </c>
      <c r="F155" s="43" t="s">
        <v>585</v>
      </c>
      <c r="G155" s="44">
        <v>0.0</v>
      </c>
      <c r="H155" s="40"/>
      <c r="I155" s="40"/>
      <c r="J155" s="40"/>
      <c r="K155" s="40"/>
      <c r="L155" s="40"/>
      <c r="M155" s="40"/>
      <c r="N155" s="40"/>
      <c r="O155" s="40"/>
      <c r="P155" s="40"/>
      <c r="Q155" s="40"/>
      <c r="R155" s="40"/>
      <c r="S155" s="40"/>
      <c r="T155" s="40"/>
      <c r="U155" s="40"/>
      <c r="V155" s="40"/>
    </row>
    <row r="156">
      <c r="A156" s="43" t="s">
        <v>2764</v>
      </c>
      <c r="B156" s="44">
        <v>1.0</v>
      </c>
      <c r="C156" s="45">
        <v>1000016.0</v>
      </c>
      <c r="D156" s="40"/>
      <c r="E156" s="44">
        <v>100.0</v>
      </c>
      <c r="F156" s="43" t="s">
        <v>355</v>
      </c>
      <c r="G156" s="44">
        <v>0.0</v>
      </c>
      <c r="H156" s="40"/>
      <c r="I156" s="40"/>
      <c r="J156" s="40"/>
      <c r="K156" s="40"/>
      <c r="L156" s="40"/>
      <c r="M156" s="40"/>
      <c r="N156" s="40"/>
      <c r="O156" s="40"/>
      <c r="P156" s="40"/>
      <c r="Q156" s="40"/>
      <c r="R156" s="40"/>
      <c r="S156" s="40"/>
      <c r="T156" s="40"/>
      <c r="U156" s="40"/>
      <c r="V156" s="40"/>
    </row>
  </sheetData>
  <mergeCells count="6">
    <mergeCell ref="A2:J2"/>
    <mergeCell ref="K4:T21"/>
    <mergeCell ref="F23:H23"/>
    <mergeCell ref="K23:T39"/>
    <mergeCell ref="K41:T77"/>
    <mergeCell ref="F56:G56"/>
  </mergeCells>
  <drawing r:id="rId1"/>
</worksheet>
</file>